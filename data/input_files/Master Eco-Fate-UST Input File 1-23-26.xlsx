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usepa-my.sharepoint.com/personal/farruggia_frank_epa_gov/Documents/FILE ROOM/Process Improvement Team/Taxon Tool - Team Review/"/>
    </mc:Choice>
  </mc:AlternateContent>
  <xr:revisionPtr revIDLastSave="478" documentId="8_{920A637B-3BA0-4D53-B8C9-DB838A381810}" xr6:coauthVersionLast="47" xr6:coauthVersionMax="47" xr10:uidLastSave="{190A2443-E802-4451-9CD2-E7DF6C35453E}"/>
  <bookViews>
    <workbookView xWindow="59655" yWindow="555" windowWidth="15420" windowHeight="15270" firstSheet="1" activeTab="1" xr2:uid="{1DA68303-2571-4486-96E0-F0B5F0997598}"/>
  </bookViews>
  <sheets>
    <sheet name="Endpoints for Plants &amp; Aquatics" sheetId="9" r:id="rId1"/>
    <sheet name="Endpoints for Terrestrial" sheetId="10" r:id="rId2"/>
    <sheet name="USE SUMMARY TABLE" sheetId="11" r:id="rId3"/>
    <sheet name="Physiochemical Data Entry" sheetId="20" r:id="rId4"/>
    <sheet name="Plant Residue Data Entry" sheetId="27" state="hidden" r:id="rId5"/>
    <sheet name="Lookup Tables For Tool" sheetId="12" state="hidden" r:id="rId6"/>
    <sheet name="summary_TPEZ" sheetId="17" r:id="rId7"/>
    <sheet name="summary_EPA Pond" sheetId="15" r:id="rId8"/>
    <sheet name="summary_WPEZ" sheetId="16" r:id="rId9"/>
    <sheet name="PWC scheme check" sheetId="14" r:id="rId10"/>
    <sheet name="test_out_xwalk" sheetId="30" r:id="rId11"/>
    <sheet name="PWC Output MetaData" sheetId="18" state="hidden" r:id="rId12"/>
    <sheet name="Endpoints to BeeREX" sheetId="32" state="hidden" r:id="rId13"/>
    <sheet name="Lookups" sheetId="8" state="hidden" r:id="rId14"/>
  </sheets>
  <definedNames>
    <definedName name="_xlnm._FilterDatabase" localSheetId="5" hidden="1">'Lookup Tables For Tool'!$A$7:$F$1009</definedName>
    <definedName name="_xlnm._FilterDatabase" localSheetId="9" hidden="1">'PWC scheme check'!$A$3:$MB$56</definedName>
    <definedName name="_xlnm._FilterDatabase" localSheetId="7" hidden="1">'summary_EPA Pond'!$A$3:$A$565</definedName>
    <definedName name="_xlnm._FilterDatabase" localSheetId="8" hidden="1">summary_WPEZ!#REF!</definedName>
    <definedName name="_xlnm._FilterDatabase" localSheetId="10" hidden="1">test_out_xwalk!$A$2:$K$33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2" l="1"/>
  <c r="D3" i="20" l="1"/>
  <c r="U54" i="11"/>
  <c r="T54" i="11"/>
  <c r="K39" i="9"/>
  <c r="K41" i="9"/>
  <c r="K44" i="9"/>
  <c r="K50" i="9"/>
  <c r="N48" i="10"/>
  <c r="N45" i="10"/>
  <c r="N39" i="10"/>
  <c r="N36" i="10"/>
  <c r="N33" i="10"/>
  <c r="N30" i="10"/>
  <c r="N27" i="10"/>
  <c r="N24" i="10"/>
  <c r="N21" i="10"/>
  <c r="N18" i="10"/>
  <c r="N17" i="10"/>
  <c r="N14" i="10"/>
  <c r="N13" i="10"/>
  <c r="N8" i="10"/>
  <c r="N5" i="10"/>
  <c r="N4" i="10"/>
  <c r="N25" i="9"/>
  <c r="N22" i="9"/>
  <c r="N19" i="9"/>
  <c r="N16" i="9"/>
  <c r="N13" i="9"/>
  <c r="N10" i="9"/>
  <c r="N7" i="9"/>
  <c r="N5" i="9"/>
  <c r="N4" i="9"/>
  <c r="K4" i="9"/>
  <c r="K49" i="10"/>
  <c r="K48" i="10"/>
  <c r="K46" i="10"/>
  <c r="K45" i="10"/>
  <c r="K43" i="10"/>
  <c r="K42" i="10"/>
  <c r="K40" i="10"/>
  <c r="K39" i="10"/>
  <c r="K37" i="10"/>
  <c r="K36" i="10"/>
  <c r="K34" i="10"/>
  <c r="K33" i="10"/>
  <c r="K31" i="10"/>
  <c r="K30" i="10"/>
  <c r="K28" i="10"/>
  <c r="K27" i="10"/>
  <c r="K25" i="10"/>
  <c r="K24" i="10"/>
  <c r="K22" i="10"/>
  <c r="K21" i="10"/>
  <c r="K19" i="10"/>
  <c r="K18" i="10"/>
  <c r="K17" i="10"/>
  <c r="K15" i="10"/>
  <c r="K14" i="10"/>
  <c r="K13" i="10"/>
  <c r="K11" i="10"/>
  <c r="K9" i="10"/>
  <c r="K8" i="10"/>
  <c r="K6" i="10"/>
  <c r="K5" i="10"/>
  <c r="K4" i="10"/>
  <c r="K47" i="9"/>
  <c r="K37" i="9"/>
  <c r="K35" i="9"/>
  <c r="K33" i="9"/>
  <c r="K31" i="9"/>
  <c r="K29" i="9"/>
  <c r="K27" i="9"/>
  <c r="K24" i="9"/>
  <c r="K21" i="9"/>
  <c r="K18" i="9"/>
  <c r="K15" i="9"/>
  <c r="K12" i="9"/>
  <c r="K9" i="9"/>
  <c r="K6" i="9"/>
  <c r="K53" i="9"/>
  <c r="K43" i="9"/>
  <c r="K40" i="9"/>
  <c r="K38" i="9"/>
  <c r="K36" i="9"/>
  <c r="K34" i="9"/>
  <c r="K32" i="9"/>
  <c r="K30" i="9"/>
  <c r="K28" i="9"/>
  <c r="K26" i="9"/>
  <c r="K25" i="9"/>
  <c r="K23" i="9"/>
  <c r="K22" i="9"/>
  <c r="K20" i="9"/>
  <c r="K19" i="9"/>
  <c r="K17" i="9"/>
  <c r="K16" i="9"/>
  <c r="K14" i="9"/>
  <c r="K13" i="9"/>
  <c r="K11" i="9"/>
  <c r="K10" i="9"/>
  <c r="K8" i="9"/>
  <c r="K7" i="9"/>
  <c r="K5" i="9"/>
  <c r="H37" i="32" l="1"/>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H6" i="32"/>
  <c r="H5" i="32"/>
  <c r="H4" i="32"/>
  <c r="H3" i="32"/>
  <c r="M48" i="10" l="1"/>
  <c r="J48" i="10"/>
  <c r="AK707" i="18" l="1"/>
  <c r="AK706" i="18"/>
  <c r="AK705" i="18"/>
  <c r="AK704" i="18"/>
  <c r="AK703" i="18"/>
  <c r="AK702" i="18"/>
  <c r="AK701" i="18"/>
  <c r="AK700" i="18"/>
  <c r="AK699" i="18"/>
  <c r="AK698" i="18"/>
  <c r="AK697" i="18"/>
  <c r="AK696" i="18"/>
  <c r="AK695" i="18"/>
  <c r="AA707" i="18" l="1" a="1"/>
  <c r="AA707" i="18" s="1"/>
  <c r="T707" i="18"/>
  <c r="U707" i="18" s="1" a="1"/>
  <c r="U707" i="18" s="1"/>
  <c r="AJ707" i="18" s="1"/>
  <c r="H707" i="18" a="1"/>
  <c r="H707" i="18" s="1"/>
  <c r="A707" i="18"/>
  <c r="B707" i="18" s="1" a="1"/>
  <c r="B707" i="18" s="1"/>
  <c r="AA706" i="18" a="1"/>
  <c r="AA706" i="18" s="1"/>
  <c r="T706" i="18"/>
  <c r="U706" i="18" s="1" a="1"/>
  <c r="U706" i="18" s="1"/>
  <c r="AJ706" i="18" s="1"/>
  <c r="H706" i="18" a="1"/>
  <c r="H706" i="18" s="1"/>
  <c r="A706" i="18"/>
  <c r="B706" i="18" s="1" a="1"/>
  <c r="B706" i="18" s="1"/>
  <c r="AA705" i="18" a="1"/>
  <c r="AA705" i="18" s="1"/>
  <c r="T705" i="18"/>
  <c r="U705" i="18" s="1" a="1"/>
  <c r="U705" i="18" s="1"/>
  <c r="AJ705" i="18" s="1"/>
  <c r="H705" i="18" a="1"/>
  <c r="H705" i="18" s="1"/>
  <c r="A705" i="18"/>
  <c r="B705" i="18" s="1" a="1"/>
  <c r="B705" i="18" s="1"/>
  <c r="AA704" i="18" a="1"/>
  <c r="AA704" i="18" s="1"/>
  <c r="T704" i="18"/>
  <c r="U704" i="18" s="1" a="1"/>
  <c r="U704" i="18" s="1"/>
  <c r="AJ704" i="18" s="1"/>
  <c r="H704" i="18" a="1"/>
  <c r="H704" i="18" s="1"/>
  <c r="A704" i="18"/>
  <c r="B704" i="18" s="1" a="1"/>
  <c r="B704" i="18" s="1"/>
  <c r="AA703" i="18" a="1"/>
  <c r="AA703" i="18" s="1"/>
  <c r="T703" i="18"/>
  <c r="U703" i="18" s="1" a="1"/>
  <c r="U703" i="18" s="1"/>
  <c r="AJ703" i="18" s="1"/>
  <c r="H703" i="18" a="1"/>
  <c r="H703" i="18" s="1"/>
  <c r="A703" i="18"/>
  <c r="B703" i="18" s="1" a="1"/>
  <c r="B703" i="18" s="1"/>
  <c r="AA702" i="18" a="1"/>
  <c r="AA702" i="18" s="1"/>
  <c r="T702" i="18"/>
  <c r="U702" i="18" s="1" a="1"/>
  <c r="U702" i="18" s="1"/>
  <c r="AJ702" i="18" s="1"/>
  <c r="H702" i="18" a="1"/>
  <c r="H702" i="18" s="1"/>
  <c r="A702" i="18"/>
  <c r="B702" i="18" s="1" a="1"/>
  <c r="B702" i="18" s="1"/>
  <c r="AA701" i="18" a="1"/>
  <c r="AA701" i="18" s="1"/>
  <c r="T701" i="18"/>
  <c r="U701" i="18" s="1" a="1"/>
  <c r="U701" i="18" s="1"/>
  <c r="AJ701" i="18" s="1"/>
  <c r="H701" i="18" a="1"/>
  <c r="H701" i="18" s="1"/>
  <c r="A701" i="18"/>
  <c r="B701" i="18" s="1" a="1"/>
  <c r="B701" i="18" s="1"/>
  <c r="AA700" i="18" a="1"/>
  <c r="AA700" i="18" s="1"/>
  <c r="T700" i="18"/>
  <c r="U700" i="18" s="1" a="1"/>
  <c r="U700" i="18" s="1"/>
  <c r="AJ700" i="18" s="1"/>
  <c r="H700" i="18" a="1"/>
  <c r="H700" i="18" s="1"/>
  <c r="A700" i="18"/>
  <c r="B700" i="18" s="1" a="1"/>
  <c r="B700" i="18" s="1"/>
  <c r="AA699" i="18" a="1"/>
  <c r="AA699" i="18" s="1"/>
  <c r="T699" i="18"/>
  <c r="U699" i="18" s="1" a="1"/>
  <c r="U699" i="18" s="1"/>
  <c r="AJ699" i="18" s="1"/>
  <c r="H699" i="18" a="1"/>
  <c r="H699" i="18" s="1"/>
  <c r="A699" i="18"/>
  <c r="B699" i="18" s="1" a="1"/>
  <c r="B699" i="18" s="1"/>
  <c r="AA698" i="18" a="1"/>
  <c r="AA698" i="18" s="1"/>
  <c r="T698" i="18"/>
  <c r="U698" i="18" s="1" a="1"/>
  <c r="U698" i="18" s="1"/>
  <c r="AJ698" i="18" s="1"/>
  <c r="H698" i="18" a="1"/>
  <c r="H698" i="18" s="1"/>
  <c r="A698" i="18"/>
  <c r="B698" i="18" s="1" a="1"/>
  <c r="B698" i="18" s="1"/>
  <c r="AA697" i="18" a="1"/>
  <c r="AA697" i="18" s="1"/>
  <c r="T697" i="18"/>
  <c r="U697" i="18" s="1" a="1"/>
  <c r="U697" i="18" s="1"/>
  <c r="AJ697" i="18" s="1"/>
  <c r="H697" i="18" a="1"/>
  <c r="H697" i="18" s="1"/>
  <c r="A697" i="18"/>
  <c r="B697" i="18" s="1" a="1"/>
  <c r="B697" i="18" s="1"/>
  <c r="AA696" i="18" a="1"/>
  <c r="AA696" i="18" s="1"/>
  <c r="T696" i="18"/>
  <c r="U696" i="18" s="1" a="1"/>
  <c r="U696" i="18" s="1"/>
  <c r="AJ696" i="18" s="1"/>
  <c r="H696" i="18" a="1"/>
  <c r="H696" i="18" s="1"/>
  <c r="A696" i="18"/>
  <c r="B696" i="18" s="1" a="1"/>
  <c r="B696" i="18" s="1"/>
  <c r="AA695" i="18" a="1"/>
  <c r="AA695" i="18" s="1"/>
  <c r="T695" i="18"/>
  <c r="U695" i="18" s="1" a="1"/>
  <c r="U695" i="18" s="1"/>
  <c r="AJ695" i="18" s="1"/>
  <c r="H695" i="18" a="1"/>
  <c r="H695" i="18" s="1"/>
  <c r="A695" i="18"/>
  <c r="B695" i="18" s="1" a="1"/>
  <c r="B695" i="18" s="1"/>
  <c r="AA694" i="18" a="1"/>
  <c r="AA694" i="18" s="1"/>
  <c r="T694" i="18"/>
  <c r="U694" i="18" s="1" a="1"/>
  <c r="U694" i="18" s="1"/>
  <c r="A694" i="18"/>
  <c r="B694" i="18" s="1" a="1"/>
  <c r="B694" i="18" s="1"/>
  <c r="R694" i="18" s="1"/>
  <c r="AA693" i="18" a="1"/>
  <c r="AA693" i="18" s="1"/>
  <c r="T693" i="18"/>
  <c r="U693" i="18" s="1" a="1"/>
  <c r="U693" i="18" s="1"/>
  <c r="A693" i="18"/>
  <c r="B693" i="18" s="1" a="1"/>
  <c r="B693" i="18" s="1"/>
  <c r="R693" i="18" s="1"/>
  <c r="AA692" i="18" a="1"/>
  <c r="AA692" i="18" s="1"/>
  <c r="T692" i="18"/>
  <c r="U692" i="18" s="1" a="1"/>
  <c r="U692" i="18" s="1"/>
  <c r="A692" i="18"/>
  <c r="B692" i="18" s="1" a="1"/>
  <c r="B692" i="18" s="1"/>
  <c r="R692" i="18" s="1"/>
  <c r="AA691" i="18" a="1"/>
  <c r="AA691" i="18" s="1"/>
  <c r="T691" i="18"/>
  <c r="U691" i="18" s="1" a="1"/>
  <c r="U691" i="18" s="1"/>
  <c r="A691" i="18"/>
  <c r="B691" i="18" s="1" a="1"/>
  <c r="B691" i="18" s="1"/>
  <c r="R691" i="18" s="1"/>
  <c r="AA690" i="18" a="1"/>
  <c r="AA690" i="18" s="1"/>
  <c r="T690" i="18"/>
  <c r="U690" i="18" s="1" a="1"/>
  <c r="U690" i="18" s="1"/>
  <c r="A690" i="18"/>
  <c r="B690" i="18" s="1" a="1"/>
  <c r="B690" i="18" s="1"/>
  <c r="R690" i="18" s="1"/>
  <c r="AA689" i="18" a="1"/>
  <c r="AA689" i="18" s="1"/>
  <c r="T689" i="18"/>
  <c r="U689" i="18" s="1" a="1"/>
  <c r="U689" i="18" s="1"/>
  <c r="A689" i="18"/>
  <c r="B689" i="18" s="1" a="1"/>
  <c r="B689" i="18" s="1"/>
  <c r="R689" i="18" s="1"/>
  <c r="AA688" i="18" a="1"/>
  <c r="AA688" i="18" s="1"/>
  <c r="T688" i="18"/>
  <c r="U688" i="18" s="1" a="1"/>
  <c r="U688" i="18" s="1"/>
  <c r="A688" i="18"/>
  <c r="B688" i="18" s="1" a="1"/>
  <c r="B688" i="18" s="1"/>
  <c r="R688" i="18" s="1"/>
  <c r="AA687" i="18" a="1"/>
  <c r="AA687" i="18" s="1"/>
  <c r="T687" i="18"/>
  <c r="U687" i="18" s="1" a="1"/>
  <c r="U687" i="18" s="1"/>
  <c r="A687" i="18"/>
  <c r="B687" i="18" s="1" a="1"/>
  <c r="B687" i="18" s="1"/>
  <c r="R687" i="18" s="1"/>
  <c r="AA686" i="18" a="1"/>
  <c r="AA686" i="18" s="1"/>
  <c r="T686" i="18"/>
  <c r="U686" i="18" s="1" a="1"/>
  <c r="U686" i="18" s="1"/>
  <c r="A686" i="18"/>
  <c r="B686" i="18" s="1" a="1"/>
  <c r="B686" i="18" s="1"/>
  <c r="R686" i="18" s="1"/>
  <c r="AA685" i="18" a="1"/>
  <c r="AA685" i="18" s="1"/>
  <c r="T685" i="18"/>
  <c r="U685" i="18" s="1" a="1"/>
  <c r="U685" i="18" s="1"/>
  <c r="A685" i="18"/>
  <c r="B685" i="18" s="1" a="1"/>
  <c r="B685" i="18" s="1"/>
  <c r="R685" i="18" s="1"/>
  <c r="AA684" i="18" a="1"/>
  <c r="AA684" i="18" s="1"/>
  <c r="T684" i="18"/>
  <c r="U684" i="18" s="1" a="1"/>
  <c r="U684" i="18" s="1"/>
  <c r="A684" i="18"/>
  <c r="B684" i="18" s="1" a="1"/>
  <c r="B684" i="18" s="1"/>
  <c r="R684" i="18" s="1"/>
  <c r="AA683" i="18" a="1"/>
  <c r="AA683" i="18" s="1"/>
  <c r="T683" i="18"/>
  <c r="U683" i="18" s="1" a="1"/>
  <c r="U683" i="18" s="1"/>
  <c r="A683" i="18"/>
  <c r="B683" i="18" s="1" a="1"/>
  <c r="B683" i="18" s="1"/>
  <c r="R683" i="18" s="1"/>
  <c r="AA682" i="18" a="1"/>
  <c r="AA682" i="18" s="1"/>
  <c r="T682" i="18"/>
  <c r="U682" i="18" s="1" a="1"/>
  <c r="U682" i="18" s="1"/>
  <c r="A682" i="18"/>
  <c r="B682" i="18" s="1" a="1"/>
  <c r="B682" i="18" s="1"/>
  <c r="R682" i="18" s="1"/>
  <c r="AA681" i="18" a="1"/>
  <c r="AA681" i="18" s="1"/>
  <c r="T681" i="18"/>
  <c r="U681" i="18" s="1" a="1"/>
  <c r="U681" i="18" s="1"/>
  <c r="A681" i="18"/>
  <c r="B681" i="18" s="1" a="1"/>
  <c r="B681" i="18" s="1"/>
  <c r="R681" i="18" s="1"/>
  <c r="AA680" i="18" a="1"/>
  <c r="AA680" i="18" s="1"/>
  <c r="T680" i="18"/>
  <c r="U680" i="18" s="1" a="1"/>
  <c r="U680" i="18" s="1"/>
  <c r="A680" i="18"/>
  <c r="B680" i="18" s="1" a="1"/>
  <c r="B680" i="18" s="1"/>
  <c r="R680" i="18" s="1"/>
  <c r="AA679" i="18" a="1"/>
  <c r="AA679" i="18" s="1"/>
  <c r="T679" i="18"/>
  <c r="U679" i="18" s="1" a="1"/>
  <c r="U679" i="18" s="1"/>
  <c r="A679" i="18"/>
  <c r="B679" i="18" s="1" a="1"/>
  <c r="B679" i="18" s="1"/>
  <c r="R679" i="18" s="1"/>
  <c r="A678" i="18"/>
  <c r="A677" i="18"/>
  <c r="A676" i="18"/>
  <c r="A675" i="18"/>
  <c r="A674" i="18"/>
  <c r="A673" i="18"/>
  <c r="A672" i="18"/>
  <c r="A671" i="18"/>
  <c r="A670" i="18"/>
  <c r="A669" i="18"/>
  <c r="A668" i="18"/>
  <c r="A667" i="18"/>
  <c r="A666" i="18"/>
  <c r="A665" i="18"/>
  <c r="A664" i="18"/>
  <c r="A663" i="18"/>
  <c r="A662" i="18"/>
  <c r="A661" i="18"/>
  <c r="A660" i="18"/>
  <c r="A659" i="18"/>
  <c r="A658" i="18"/>
  <c r="A657" i="18"/>
  <c r="A656" i="18"/>
  <c r="A655" i="18"/>
  <c r="A654" i="18"/>
  <c r="A653" i="18"/>
  <c r="A652" i="18"/>
  <c r="A651" i="18"/>
  <c r="A650" i="18"/>
  <c r="A649" i="18"/>
  <c r="A648" i="18"/>
  <c r="A647" i="18"/>
  <c r="A646" i="18"/>
  <c r="A645" i="18"/>
  <c r="A644" i="18"/>
  <c r="A643" i="18"/>
  <c r="A642" i="18"/>
  <c r="A641" i="18"/>
  <c r="A640" i="18"/>
  <c r="A639" i="18"/>
  <c r="A638" i="18"/>
  <c r="A637" i="18"/>
  <c r="A636" i="18"/>
  <c r="A635" i="18"/>
  <c r="A634" i="18"/>
  <c r="A633" i="18"/>
  <c r="A632" i="18"/>
  <c r="A631" i="18"/>
  <c r="A630" i="18"/>
  <c r="A629" i="18"/>
  <c r="A628" i="18"/>
  <c r="A627" i="18"/>
  <c r="A626" i="18"/>
  <c r="A625" i="18"/>
  <c r="A624" i="18"/>
  <c r="A623" i="18"/>
  <c r="A622" i="18"/>
  <c r="A621" i="18"/>
  <c r="A620" i="18"/>
  <c r="A619" i="18"/>
  <c r="A618" i="18"/>
  <c r="A617" i="18"/>
  <c r="A616" i="18"/>
  <c r="A615" i="18"/>
  <c r="A614" i="18"/>
  <c r="A613" i="18"/>
  <c r="A612" i="18"/>
  <c r="A611" i="18"/>
  <c r="A610" i="18"/>
  <c r="A609" i="18"/>
  <c r="A608" i="18"/>
  <c r="A607" i="18"/>
  <c r="A606" i="18"/>
  <c r="A605" i="18"/>
  <c r="A604" i="18"/>
  <c r="A603" i="18"/>
  <c r="A602" i="18"/>
  <c r="A601" i="18"/>
  <c r="A600" i="18"/>
  <c r="A599" i="18"/>
  <c r="A598" i="18"/>
  <c r="A597" i="18"/>
  <c r="A596" i="18"/>
  <c r="A595" i="18"/>
  <c r="A594" i="18"/>
  <c r="A593" i="18"/>
  <c r="A592" i="18"/>
  <c r="A591" i="18"/>
  <c r="A590" i="18"/>
  <c r="A589" i="18"/>
  <c r="A588" i="18"/>
  <c r="A587" i="18"/>
  <c r="A586" i="18"/>
  <c r="A585" i="18"/>
  <c r="A584" i="18"/>
  <c r="A583" i="18"/>
  <c r="A582" i="18"/>
  <c r="A581" i="18"/>
  <c r="A580" i="18"/>
  <c r="A579" i="18"/>
  <c r="A578" i="18"/>
  <c r="A577" i="18"/>
  <c r="A576" i="18"/>
  <c r="A575" i="18"/>
  <c r="A574" i="18"/>
  <c r="A573" i="18"/>
  <c r="A572" i="18"/>
  <c r="A571" i="18"/>
  <c r="A570" i="18"/>
  <c r="A569" i="18"/>
  <c r="A568" i="18"/>
  <c r="A567" i="18"/>
  <c r="A566" i="18"/>
  <c r="A565" i="18"/>
  <c r="A564" i="18"/>
  <c r="A563" i="18"/>
  <c r="A562" i="18"/>
  <c r="A561" i="18"/>
  <c r="A560" i="18"/>
  <c r="A559" i="18"/>
  <c r="A558" i="18"/>
  <c r="A557" i="18"/>
  <c r="A556" i="18"/>
  <c r="A555" i="18"/>
  <c r="A554" i="18"/>
  <c r="A553" i="18"/>
  <c r="A552" i="18"/>
  <c r="A551" i="18"/>
  <c r="A550" i="18"/>
  <c r="A549" i="18"/>
  <c r="A548" i="18"/>
  <c r="A547" i="18"/>
  <c r="A546" i="18"/>
  <c r="A545" i="18"/>
  <c r="A544" i="18"/>
  <c r="A543" i="18"/>
  <c r="A542" i="18"/>
  <c r="A541" i="18"/>
  <c r="A540" i="18"/>
  <c r="A539" i="18"/>
  <c r="A538" i="18"/>
  <c r="A537" i="18"/>
  <c r="A536" i="18"/>
  <c r="A535" i="18"/>
  <c r="A534" i="18"/>
  <c r="A533" i="18"/>
  <c r="A532" i="18"/>
  <c r="A531" i="18"/>
  <c r="A530" i="18"/>
  <c r="A529" i="18"/>
  <c r="A528" i="18"/>
  <c r="A527" i="18"/>
  <c r="A526" i="18"/>
  <c r="A525" i="18"/>
  <c r="A524" i="18"/>
  <c r="A523" i="18"/>
  <c r="A522" i="18"/>
  <c r="A521" i="18"/>
  <c r="A520" i="18"/>
  <c r="A519" i="18"/>
  <c r="A518" i="18"/>
  <c r="A517" i="18"/>
  <c r="A516" i="18"/>
  <c r="A515" i="18"/>
  <c r="A514" i="18"/>
  <c r="A513" i="18"/>
  <c r="A512" i="18"/>
  <c r="A511" i="18"/>
  <c r="A510" i="18"/>
  <c r="A509" i="18"/>
  <c r="A508" i="18"/>
  <c r="A507" i="18"/>
  <c r="A506" i="18"/>
  <c r="A505" i="18"/>
  <c r="A504" i="18"/>
  <c r="A503" i="18"/>
  <c r="A502" i="18"/>
  <c r="A501" i="18"/>
  <c r="A500" i="18"/>
  <c r="A499" i="18"/>
  <c r="A498" i="18"/>
  <c r="A497" i="18"/>
  <c r="A496" i="18"/>
  <c r="A495" i="18"/>
  <c r="A494" i="18"/>
  <c r="A493" i="18"/>
  <c r="A492" i="18"/>
  <c r="A491" i="18"/>
  <c r="A490" i="18"/>
  <c r="A489" i="18"/>
  <c r="A488" i="18"/>
  <c r="A487" i="18"/>
  <c r="A486" i="18"/>
  <c r="A485" i="18"/>
  <c r="A484" i="18"/>
  <c r="A483" i="18"/>
  <c r="A482" i="18"/>
  <c r="A481" i="18"/>
  <c r="A480" i="18"/>
  <c r="A479" i="18"/>
  <c r="A478" i="18"/>
  <c r="A477" i="18"/>
  <c r="A476" i="18"/>
  <c r="A475" i="18"/>
  <c r="A474" i="18"/>
  <c r="A473" i="18"/>
  <c r="A472" i="18"/>
  <c r="A471" i="18"/>
  <c r="A470" i="18"/>
  <c r="A469" i="18"/>
  <c r="A468" i="18"/>
  <c r="A467" i="18"/>
  <c r="A466" i="18"/>
  <c r="A465" i="18"/>
  <c r="A464" i="18"/>
  <c r="A463" i="18"/>
  <c r="A462" i="18"/>
  <c r="A461" i="18"/>
  <c r="A460" i="18"/>
  <c r="A459" i="18"/>
  <c r="A458" i="18"/>
  <c r="A457" i="18"/>
  <c r="A456" i="18"/>
  <c r="A455" i="18"/>
  <c r="A454" i="18"/>
  <c r="A453" i="18"/>
  <c r="A452" i="18"/>
  <c r="A451" i="18"/>
  <c r="A450" i="18"/>
  <c r="A449" i="18"/>
  <c r="A448" i="18"/>
  <c r="A447" i="18"/>
  <c r="A446" i="18"/>
  <c r="A445" i="18"/>
  <c r="A444" i="18"/>
  <c r="A443" i="18"/>
  <c r="A442" i="18"/>
  <c r="A441" i="18"/>
  <c r="A440" i="18"/>
  <c r="A439" i="18"/>
  <c r="A438" i="18"/>
  <c r="A437" i="18"/>
  <c r="A436" i="18"/>
  <c r="A435" i="18"/>
  <c r="A434" i="18"/>
  <c r="A433" i="18"/>
  <c r="A432" i="18"/>
  <c r="A431" i="18"/>
  <c r="A430" i="18"/>
  <c r="A429" i="18"/>
  <c r="A428" i="18"/>
  <c r="A427" i="18"/>
  <c r="A426" i="18"/>
  <c r="A425" i="18"/>
  <c r="A424" i="18"/>
  <c r="A423" i="18"/>
  <c r="A422" i="18"/>
  <c r="A421" i="18"/>
  <c r="A420" i="18"/>
  <c r="A419" i="18"/>
  <c r="A418" i="18"/>
  <c r="A417" i="18"/>
  <c r="A416" i="18"/>
  <c r="A415" i="18"/>
  <c r="A414" i="18"/>
  <c r="A413" i="18"/>
  <c r="A412" i="18"/>
  <c r="A411" i="18"/>
  <c r="A410" i="18"/>
  <c r="A409" i="18"/>
  <c r="A408" i="18"/>
  <c r="A407" i="18"/>
  <c r="A406" i="18"/>
  <c r="A405" i="18"/>
  <c r="A404" i="18"/>
  <c r="A403" i="18"/>
  <c r="A402" i="18"/>
  <c r="A401" i="18"/>
  <c r="A400" i="18"/>
  <c r="A399" i="18"/>
  <c r="A398" i="18"/>
  <c r="A397" i="18"/>
  <c r="A396" i="18"/>
  <c r="A395" i="18"/>
  <c r="A394" i="18"/>
  <c r="A393" i="18"/>
  <c r="A392" i="18"/>
  <c r="A391" i="18"/>
  <c r="A390" i="18"/>
  <c r="A389" i="18"/>
  <c r="A388" i="18"/>
  <c r="A387" i="18"/>
  <c r="A386" i="18"/>
  <c r="A385" i="18"/>
  <c r="A384" i="18"/>
  <c r="A383" i="18"/>
  <c r="A382" i="18"/>
  <c r="A381" i="18"/>
  <c r="A380" i="18"/>
  <c r="A379" i="18"/>
  <c r="A378" i="18"/>
  <c r="A377" i="18"/>
  <c r="A376" i="18"/>
  <c r="A375" i="18"/>
  <c r="A374" i="18"/>
  <c r="A373" i="18"/>
  <c r="A372" i="18"/>
  <c r="A371" i="18"/>
  <c r="A370" i="18"/>
  <c r="A369" i="18"/>
  <c r="A368" i="18"/>
  <c r="A367" i="18"/>
  <c r="A366" i="18"/>
  <c r="A365" i="18"/>
  <c r="A364" i="18"/>
  <c r="A363" i="18"/>
  <c r="A362" i="18"/>
  <c r="A361" i="18"/>
  <c r="A360" i="18"/>
  <c r="A359" i="18"/>
  <c r="A358" i="18"/>
  <c r="A357" i="18"/>
  <c r="A356" i="18"/>
  <c r="A355" i="18"/>
  <c r="A354" i="18"/>
  <c r="A353" i="18"/>
  <c r="A352" i="18"/>
  <c r="A351" i="18"/>
  <c r="A350" i="18"/>
  <c r="A349" i="18"/>
  <c r="A348" i="18"/>
  <c r="A347" i="18"/>
  <c r="A346" i="18"/>
  <c r="A345" i="18"/>
  <c r="A344" i="18"/>
  <c r="A343" i="18"/>
  <c r="A342" i="18"/>
  <c r="A341" i="18"/>
  <c r="A340" i="18"/>
  <c r="A339" i="18"/>
  <c r="A338" i="18"/>
  <c r="A337" i="18"/>
  <c r="A336" i="18"/>
  <c r="A335" i="18"/>
  <c r="A334" i="18"/>
  <c r="A333" i="18"/>
  <c r="A332" i="18"/>
  <c r="A331" i="18"/>
  <c r="A330" i="18"/>
  <c r="A329" i="18"/>
  <c r="A328" i="18"/>
  <c r="A327" i="18"/>
  <c r="A326" i="18"/>
  <c r="A325" i="18"/>
  <c r="A324" i="18"/>
  <c r="A323" i="18"/>
  <c r="A322" i="18"/>
  <c r="A321" i="18"/>
  <c r="A320" i="18"/>
  <c r="A319" i="18"/>
  <c r="A318" i="18"/>
  <c r="A317" i="18"/>
  <c r="A316" i="18"/>
  <c r="A315" i="18"/>
  <c r="A314" i="18"/>
  <c r="A313" i="18"/>
  <c r="A312" i="18"/>
  <c r="A311" i="18"/>
  <c r="A310" i="18"/>
  <c r="A309" i="18"/>
  <c r="A308" i="18"/>
  <c r="A307" i="18"/>
  <c r="A306" i="18"/>
  <c r="A305" i="18"/>
  <c r="A304" i="18"/>
  <c r="A303" i="18"/>
  <c r="A302" i="18"/>
  <c r="A301" i="18"/>
  <c r="A300" i="18"/>
  <c r="A299" i="18"/>
  <c r="A298" i="18"/>
  <c r="A297" i="18"/>
  <c r="A296" i="18"/>
  <c r="A295" i="18"/>
  <c r="A294" i="18"/>
  <c r="A293" i="18"/>
  <c r="A292" i="18"/>
  <c r="A291" i="18"/>
  <c r="A290" i="18"/>
  <c r="A289" i="18"/>
  <c r="A288" i="18"/>
  <c r="A287" i="18"/>
  <c r="A286" i="18"/>
  <c r="A285" i="18"/>
  <c r="A284" i="18"/>
  <c r="A283" i="18"/>
  <c r="A282" i="18"/>
  <c r="A281" i="18"/>
  <c r="A280" i="18"/>
  <c r="A279" i="18"/>
  <c r="A278" i="18"/>
  <c r="A277" i="18"/>
  <c r="A276" i="18"/>
  <c r="A275" i="18"/>
  <c r="A274" i="18"/>
  <c r="A273" i="18"/>
  <c r="A272" i="18"/>
  <c r="A271" i="18"/>
  <c r="A270" i="18"/>
  <c r="A269" i="18"/>
  <c r="A268" i="18"/>
  <c r="A267" i="18"/>
  <c r="A266" i="18"/>
  <c r="A265" i="18"/>
  <c r="A264" i="18"/>
  <c r="A263" i="18"/>
  <c r="A262" i="18"/>
  <c r="A261" i="18"/>
  <c r="A260" i="18"/>
  <c r="A259" i="18"/>
  <c r="A258" i="18"/>
  <c r="A257" i="18"/>
  <c r="A256" i="18"/>
  <c r="A255" i="18"/>
  <c r="A254" i="18"/>
  <c r="A253" i="18"/>
  <c r="A252" i="18"/>
  <c r="A251" i="18"/>
  <c r="A250" i="18"/>
  <c r="A249" i="18"/>
  <c r="A248" i="18"/>
  <c r="A247" i="18"/>
  <c r="A246" i="18"/>
  <c r="A245" i="18"/>
  <c r="A244" i="18"/>
  <c r="A243" i="18"/>
  <c r="A242" i="18"/>
  <c r="A241" i="18"/>
  <c r="A240" i="18"/>
  <c r="A239" i="18"/>
  <c r="A238" i="18"/>
  <c r="A237" i="18"/>
  <c r="A236" i="18"/>
  <c r="A235" i="18"/>
  <c r="A234" i="18"/>
  <c r="A233" i="18"/>
  <c r="A232" i="18"/>
  <c r="A231" i="18"/>
  <c r="A230" i="18"/>
  <c r="A229" i="18"/>
  <c r="A228" i="18"/>
  <c r="A227" i="18"/>
  <c r="A226" i="18"/>
  <c r="A225" i="18"/>
  <c r="A224" i="18"/>
  <c r="A223" i="18"/>
  <c r="A222" i="18"/>
  <c r="A221" i="18"/>
  <c r="A220" i="18"/>
  <c r="A219" i="18"/>
  <c r="A218" i="18"/>
  <c r="A217" i="18"/>
  <c r="A216" i="18"/>
  <c r="A215" i="18"/>
  <c r="A214" i="18"/>
  <c r="A213" i="18"/>
  <c r="A212" i="18"/>
  <c r="A211" i="18"/>
  <c r="A210" i="18"/>
  <c r="A209" i="18"/>
  <c r="A208" i="18"/>
  <c r="A207" i="18"/>
  <c r="A206" i="18"/>
  <c r="A205" i="18"/>
  <c r="A204" i="18"/>
  <c r="A203" i="18"/>
  <c r="A202" i="18"/>
  <c r="A201" i="18"/>
  <c r="A200" i="18"/>
  <c r="A199" i="18"/>
  <c r="A198" i="18"/>
  <c r="A197" i="18"/>
  <c r="A196" i="18"/>
  <c r="A195" i="18"/>
  <c r="A194" i="18"/>
  <c r="A193" i="18"/>
  <c r="A192" i="18"/>
  <c r="A191" i="18"/>
  <c r="A190" i="18"/>
  <c r="A189" i="18"/>
  <c r="A188" i="18"/>
  <c r="A187" i="18"/>
  <c r="A186" i="18"/>
  <c r="A185" i="18"/>
  <c r="A184" i="18"/>
  <c r="A183" i="18"/>
  <c r="A182" i="18"/>
  <c r="A181" i="18"/>
  <c r="A180" i="18"/>
  <c r="A179" i="18"/>
  <c r="A178" i="18"/>
  <c r="A177" i="18"/>
  <c r="A176" i="18"/>
  <c r="A175" i="18"/>
  <c r="A174"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Q696" i="18" l="1"/>
  <c r="R696" i="18"/>
  <c r="Q702" i="18"/>
  <c r="R702" i="18"/>
  <c r="Q703" i="18"/>
  <c r="R703" i="18"/>
  <c r="Q697" i="18"/>
  <c r="R697" i="18"/>
  <c r="Q704" i="18"/>
  <c r="R704" i="18"/>
  <c r="Q698" i="18"/>
  <c r="R698" i="18"/>
  <c r="Q705" i="18"/>
  <c r="R705" i="18"/>
  <c r="Q706" i="18"/>
  <c r="R706" i="18"/>
  <c r="Q699" i="18"/>
  <c r="R699" i="18"/>
  <c r="Q700" i="18"/>
  <c r="R700" i="18"/>
  <c r="Q707" i="18"/>
  <c r="R707" i="18"/>
  <c r="Q701" i="18"/>
  <c r="R701" i="18"/>
  <c r="Q695" i="18"/>
  <c r="R695" i="18"/>
  <c r="AJ689" i="18"/>
  <c r="AK689" i="18"/>
  <c r="AJ683" i="18"/>
  <c r="AK683" i="18"/>
  <c r="AJ691" i="18"/>
  <c r="AK691" i="18"/>
  <c r="AJ685" i="18"/>
  <c r="AK685" i="18"/>
  <c r="AJ693" i="18"/>
  <c r="AK693" i="18"/>
  <c r="AJ682" i="18"/>
  <c r="AK682" i="18"/>
  <c r="AJ686" i="18"/>
  <c r="AK686" i="18"/>
  <c r="AJ694" i="18"/>
  <c r="AK694" i="18"/>
  <c r="AJ684" i="18"/>
  <c r="AK684" i="18"/>
  <c r="AJ681" i="18"/>
  <c r="AK681" i="18"/>
  <c r="AJ687" i="18"/>
  <c r="AK687" i="18"/>
  <c r="AJ680" i="18"/>
  <c r="AK680" i="18"/>
  <c r="AJ692" i="18"/>
  <c r="AK692" i="18"/>
  <c r="AJ688" i="18"/>
  <c r="AK688" i="18"/>
  <c r="AJ690" i="18"/>
  <c r="AK690" i="18"/>
  <c r="AJ679" i="18"/>
  <c r="AK679" i="18"/>
  <c r="H684" i="18" a="1"/>
  <c r="H684" i="18" s="1"/>
  <c r="H690" i="18" a="1"/>
  <c r="H690" i="18" s="1"/>
  <c r="H679" i="18" a="1"/>
  <c r="H679" i="18" s="1"/>
  <c r="H685" i="18" a="1"/>
  <c r="H685" i="18" s="1"/>
  <c r="H691" i="18" a="1"/>
  <c r="H691" i="18" s="1"/>
  <c r="H680" i="18" a="1"/>
  <c r="H680" i="18" s="1"/>
  <c r="H686" i="18" a="1"/>
  <c r="H686" i="18" s="1"/>
  <c r="H692" i="18" a="1"/>
  <c r="H692" i="18" s="1"/>
  <c r="H681" i="18" a="1"/>
  <c r="H681" i="18" s="1"/>
  <c r="H687" i="18" a="1"/>
  <c r="H687" i="18" s="1"/>
  <c r="H693" i="18" a="1"/>
  <c r="H693" i="18" s="1"/>
  <c r="H682" i="18" a="1"/>
  <c r="H682" i="18" s="1"/>
  <c r="H688" i="18" a="1"/>
  <c r="H688" i="18" s="1"/>
  <c r="H694" i="18" a="1"/>
  <c r="H694" i="18" s="1"/>
  <c r="H683" i="18" a="1"/>
  <c r="H683" i="18" s="1"/>
  <c r="H689" i="18" a="1"/>
  <c r="H689" i="18" s="1"/>
  <c r="K692" i="18"/>
  <c r="P692" i="18"/>
  <c r="N692" i="18"/>
  <c r="O692" i="18"/>
  <c r="M692" i="18"/>
  <c r="L692" i="18"/>
  <c r="K681" i="18"/>
  <c r="L681" i="18"/>
  <c r="P681" i="18"/>
  <c r="O681" i="18"/>
  <c r="N681" i="18"/>
  <c r="M681" i="18"/>
  <c r="K687" i="18"/>
  <c r="P687" i="18"/>
  <c r="O687" i="18"/>
  <c r="N687" i="18"/>
  <c r="L687" i="18"/>
  <c r="M687" i="18"/>
  <c r="K693" i="18"/>
  <c r="P693" i="18"/>
  <c r="O693" i="18"/>
  <c r="N693" i="18"/>
  <c r="M693" i="18"/>
  <c r="L693" i="18"/>
  <c r="L690" i="18"/>
  <c r="K690" i="18"/>
  <c r="P690" i="18"/>
  <c r="O690" i="18"/>
  <c r="N690" i="18"/>
  <c r="M690" i="18"/>
  <c r="K679" i="18"/>
  <c r="N679" i="18"/>
  <c r="P679" i="18"/>
  <c r="O679" i="18"/>
  <c r="M679" i="18"/>
  <c r="L679" i="18"/>
  <c r="L680" i="18"/>
  <c r="K680" i="18"/>
  <c r="P680" i="18"/>
  <c r="N680" i="18"/>
  <c r="O680" i="18"/>
  <c r="M680" i="18"/>
  <c r="N682" i="18"/>
  <c r="P682" i="18"/>
  <c r="O682" i="18"/>
  <c r="K682" i="18"/>
  <c r="M682" i="18"/>
  <c r="L682" i="18"/>
  <c r="K688" i="18"/>
  <c r="L688" i="18"/>
  <c r="N688" i="18"/>
  <c r="P688" i="18"/>
  <c r="O688" i="18"/>
  <c r="M688" i="18"/>
  <c r="K694" i="18"/>
  <c r="P694" i="18"/>
  <c r="N694" i="18"/>
  <c r="O694" i="18"/>
  <c r="M694" i="18"/>
  <c r="L694" i="18"/>
  <c r="L691" i="18"/>
  <c r="N691" i="18"/>
  <c r="P691" i="18"/>
  <c r="K691" i="18"/>
  <c r="O691" i="18"/>
  <c r="M691" i="18"/>
  <c r="K683" i="18"/>
  <c r="L683" i="18"/>
  <c r="P683" i="18"/>
  <c r="N683" i="18"/>
  <c r="O683" i="18"/>
  <c r="M683" i="18"/>
  <c r="P689" i="18"/>
  <c r="N689" i="18"/>
  <c r="O689" i="18"/>
  <c r="M689" i="18"/>
  <c r="L689" i="18"/>
  <c r="K689" i="18"/>
  <c r="K686" i="18"/>
  <c r="P686" i="18"/>
  <c r="N686" i="18"/>
  <c r="O686" i="18"/>
  <c r="M686" i="18"/>
  <c r="L686" i="18"/>
  <c r="K684" i="18"/>
  <c r="P684" i="18"/>
  <c r="L684" i="18"/>
  <c r="O684" i="18"/>
  <c r="N684" i="18"/>
  <c r="M684" i="18"/>
  <c r="K685" i="18"/>
  <c r="L685" i="18"/>
  <c r="N685" i="18"/>
  <c r="P685" i="18"/>
  <c r="O685" i="18"/>
  <c r="M685" i="18"/>
  <c r="AI679" i="18"/>
  <c r="AH679" i="18"/>
  <c r="AG679" i="18"/>
  <c r="AF679" i="18"/>
  <c r="AE679" i="18"/>
  <c r="AD679" i="18"/>
  <c r="AI685" i="18"/>
  <c r="AH685" i="18"/>
  <c r="AG685" i="18"/>
  <c r="AF685" i="18"/>
  <c r="AE685" i="18"/>
  <c r="AD685" i="18"/>
  <c r="AI691" i="18"/>
  <c r="AH691" i="18"/>
  <c r="AG691" i="18"/>
  <c r="AF691" i="18"/>
  <c r="AE691" i="18"/>
  <c r="AD691" i="18"/>
  <c r="AI697" i="18"/>
  <c r="AH697" i="18"/>
  <c r="AG697" i="18"/>
  <c r="AF697" i="18"/>
  <c r="AE697" i="18"/>
  <c r="AD697" i="18"/>
  <c r="AI703" i="18"/>
  <c r="AH703" i="18"/>
  <c r="AG703" i="18"/>
  <c r="AF703" i="18"/>
  <c r="AE703" i="18"/>
  <c r="AD703" i="18"/>
  <c r="AI686" i="18"/>
  <c r="AH686" i="18"/>
  <c r="AG686" i="18"/>
  <c r="AF686" i="18"/>
  <c r="AE686" i="18"/>
  <c r="AD686" i="18"/>
  <c r="AI704" i="18"/>
  <c r="AH704" i="18"/>
  <c r="AG704" i="18"/>
  <c r="AF704" i="18"/>
  <c r="AE704" i="18"/>
  <c r="AD704" i="18"/>
  <c r="AI702" i="18"/>
  <c r="AH702" i="18"/>
  <c r="AG702" i="18"/>
  <c r="AF702" i="18"/>
  <c r="AE702" i="18"/>
  <c r="AD702" i="18"/>
  <c r="P697" i="18"/>
  <c r="O697" i="18"/>
  <c r="N697" i="18"/>
  <c r="K697" i="18"/>
  <c r="M697" i="18"/>
  <c r="L697" i="18"/>
  <c r="K698" i="18"/>
  <c r="P698" i="18"/>
  <c r="N698" i="18"/>
  <c r="O698" i="18"/>
  <c r="M698" i="18"/>
  <c r="L698" i="18"/>
  <c r="AI680" i="18"/>
  <c r="AH680" i="18"/>
  <c r="AF680" i="18"/>
  <c r="AG680" i="18"/>
  <c r="AE680" i="18"/>
  <c r="AD680" i="18"/>
  <c r="AF692" i="18"/>
  <c r="AI692" i="18"/>
  <c r="AH692" i="18"/>
  <c r="AG692" i="18"/>
  <c r="AE692" i="18"/>
  <c r="AD692" i="18"/>
  <c r="AI698" i="18"/>
  <c r="AH698" i="18"/>
  <c r="AG698" i="18"/>
  <c r="AF698" i="18"/>
  <c r="AE698" i="18"/>
  <c r="AD698" i="18"/>
  <c r="AI696" i="18"/>
  <c r="AH696" i="18"/>
  <c r="AG696" i="18"/>
  <c r="AF696" i="18"/>
  <c r="AE696" i="18"/>
  <c r="AD696" i="18"/>
  <c r="K703" i="18"/>
  <c r="P703" i="18"/>
  <c r="N703" i="18"/>
  <c r="O703" i="18"/>
  <c r="M703" i="18"/>
  <c r="L703" i="18"/>
  <c r="N705" i="18"/>
  <c r="P705" i="18"/>
  <c r="K705" i="18"/>
  <c r="O705" i="18"/>
  <c r="M705" i="18"/>
  <c r="L705" i="18"/>
  <c r="K699" i="18"/>
  <c r="P699" i="18"/>
  <c r="O699" i="18"/>
  <c r="N699" i="18"/>
  <c r="M699" i="18"/>
  <c r="L699" i="18"/>
  <c r="AI684" i="18"/>
  <c r="AH684" i="18"/>
  <c r="AG684" i="18"/>
  <c r="AF684" i="18"/>
  <c r="AE684" i="18"/>
  <c r="AD684" i="18"/>
  <c r="AI681" i="18"/>
  <c r="AF681" i="18"/>
  <c r="AH681" i="18"/>
  <c r="AG681" i="18"/>
  <c r="AE681" i="18"/>
  <c r="AD681" i="18"/>
  <c r="AI687" i="18"/>
  <c r="AH687" i="18"/>
  <c r="AG687" i="18"/>
  <c r="AF687" i="18"/>
  <c r="AE687" i="18"/>
  <c r="AD687" i="18"/>
  <c r="AI693" i="18"/>
  <c r="AH693" i="18"/>
  <c r="AG693" i="18"/>
  <c r="AF693" i="18"/>
  <c r="AE693" i="18"/>
  <c r="AD693" i="18"/>
  <c r="AI699" i="18"/>
  <c r="AH699" i="18"/>
  <c r="AG699" i="18"/>
  <c r="AF699" i="18"/>
  <c r="AE699" i="18"/>
  <c r="AD699" i="18"/>
  <c r="AI705" i="18"/>
  <c r="AH705" i="18"/>
  <c r="AG705" i="18"/>
  <c r="AF705" i="18"/>
  <c r="AE705" i="18"/>
  <c r="AD705" i="18"/>
  <c r="P702" i="18"/>
  <c r="N702" i="18"/>
  <c r="O702" i="18"/>
  <c r="M702" i="18"/>
  <c r="L702" i="18"/>
  <c r="K702" i="18"/>
  <c r="K700" i="18"/>
  <c r="P700" i="18"/>
  <c r="N700" i="18"/>
  <c r="O700" i="18"/>
  <c r="M700" i="18"/>
  <c r="L700" i="18"/>
  <c r="K706" i="18"/>
  <c r="P706" i="18"/>
  <c r="N706" i="18"/>
  <c r="O706" i="18"/>
  <c r="M706" i="18"/>
  <c r="L706" i="18"/>
  <c r="AF682" i="18"/>
  <c r="AI682" i="18"/>
  <c r="AH682" i="18"/>
  <c r="AG682" i="18"/>
  <c r="AE682" i="18"/>
  <c r="AD682" i="18"/>
  <c r="AI694" i="18"/>
  <c r="AH694" i="18"/>
  <c r="AG694" i="18"/>
  <c r="AF694" i="18"/>
  <c r="AE694" i="18"/>
  <c r="AD694" i="18"/>
  <c r="AI706" i="18"/>
  <c r="AH706" i="18"/>
  <c r="AG706" i="18"/>
  <c r="AF706" i="18"/>
  <c r="AE706" i="18"/>
  <c r="AD706" i="18"/>
  <c r="K696" i="18"/>
  <c r="P696" i="18"/>
  <c r="N696" i="18"/>
  <c r="O696" i="18"/>
  <c r="M696" i="18"/>
  <c r="L696" i="18"/>
  <c r="AI700" i="18"/>
  <c r="AH700" i="18"/>
  <c r="AG700" i="18"/>
  <c r="AF700" i="18"/>
  <c r="AE700" i="18"/>
  <c r="AD700" i="18"/>
  <c r="K701" i="18"/>
  <c r="P701" i="18"/>
  <c r="O701" i="18"/>
  <c r="N701" i="18"/>
  <c r="M701" i="18"/>
  <c r="L701" i="18"/>
  <c r="K707" i="18"/>
  <c r="P707" i="18"/>
  <c r="O707" i="18"/>
  <c r="N707" i="18"/>
  <c r="M707" i="18"/>
  <c r="L707" i="18"/>
  <c r="AI683" i="18"/>
  <c r="AH683" i="18"/>
  <c r="AG683" i="18"/>
  <c r="AF683" i="18"/>
  <c r="AE683" i="18"/>
  <c r="AD683" i="18"/>
  <c r="AI689" i="18"/>
  <c r="AF689" i="18"/>
  <c r="AH689" i="18"/>
  <c r="AG689" i="18"/>
  <c r="AE689" i="18"/>
  <c r="AD689" i="18"/>
  <c r="AI695" i="18"/>
  <c r="AH695" i="18"/>
  <c r="AG695" i="18"/>
  <c r="AF695" i="18"/>
  <c r="AE695" i="18"/>
  <c r="AD695" i="18"/>
  <c r="AI707" i="18"/>
  <c r="AH707" i="18"/>
  <c r="AG707" i="18"/>
  <c r="AF707" i="18"/>
  <c r="AE707" i="18"/>
  <c r="AD707" i="18"/>
  <c r="AI690" i="18"/>
  <c r="AH690" i="18"/>
  <c r="AF690" i="18"/>
  <c r="AG690" i="18"/>
  <c r="AE690" i="18"/>
  <c r="AD690" i="18"/>
  <c r="K704" i="18"/>
  <c r="P704" i="18"/>
  <c r="O704" i="18"/>
  <c r="N704" i="18"/>
  <c r="M704" i="18"/>
  <c r="L704" i="18"/>
  <c r="AI688" i="18"/>
  <c r="AH688" i="18"/>
  <c r="AG688" i="18"/>
  <c r="AF688" i="18"/>
  <c r="AE688" i="18"/>
  <c r="AD688" i="18"/>
  <c r="K695" i="18"/>
  <c r="N695" i="18"/>
  <c r="P695" i="18"/>
  <c r="O695" i="18"/>
  <c r="M695" i="18"/>
  <c r="L695" i="18"/>
  <c r="AI701" i="18"/>
  <c r="AH701" i="18"/>
  <c r="AG701" i="18"/>
  <c r="AF701" i="18"/>
  <c r="AE701" i="18"/>
  <c r="AD701" i="18"/>
  <c r="K50" i="10" l="1"/>
  <c r="K47" i="10"/>
  <c r="K41" i="10"/>
  <c r="K38" i="10"/>
  <c r="K35" i="10"/>
  <c r="K32" i="10"/>
  <c r="K29" i="10"/>
  <c r="K26" i="10"/>
  <c r="K23" i="10"/>
  <c r="K20" i="10"/>
  <c r="K16" i="10"/>
  <c r="K12" i="10"/>
  <c r="K10" i="10"/>
  <c r="K7" i="10"/>
  <c r="N6" i="10"/>
  <c r="B23" i="20"/>
  <c r="T678" i="18" l="1"/>
  <c r="T677" i="18"/>
  <c r="T676" i="18"/>
  <c r="U676" i="18" s="1" a="1"/>
  <c r="U676" i="18" s="1"/>
  <c r="T675" i="18"/>
  <c r="T674" i="18"/>
  <c r="T673" i="18"/>
  <c r="U673" i="18" s="1" a="1"/>
  <c r="T672" i="18"/>
  <c r="U672" i="18" s="1" a="1"/>
  <c r="T671" i="18"/>
  <c r="T670" i="18"/>
  <c r="U670" i="18" s="1" a="1"/>
  <c r="T669" i="18"/>
  <c r="U669" i="18" s="1" a="1"/>
  <c r="T668" i="18"/>
  <c r="U668" i="18" s="1" a="1"/>
  <c r="T667" i="18"/>
  <c r="U667" i="18" s="1" a="1"/>
  <c r="T666" i="18"/>
  <c r="U666" i="18" s="1" a="1"/>
  <c r="T665" i="18"/>
  <c r="U665" i="18" s="1" a="1"/>
  <c r="T664" i="18"/>
  <c r="U664" i="18" s="1" a="1"/>
  <c r="T663" i="18"/>
  <c r="U663" i="18" s="1" a="1"/>
  <c r="T662" i="18"/>
  <c r="U662" i="18" s="1" a="1"/>
  <c r="T661" i="18"/>
  <c r="U661" i="18" s="1" a="1"/>
  <c r="T660" i="18"/>
  <c r="U660" i="18" s="1" a="1"/>
  <c r="T659" i="18"/>
  <c r="U659" i="18" s="1" a="1"/>
  <c r="T658" i="18"/>
  <c r="U658" i="18" s="1" a="1"/>
  <c r="T657" i="18"/>
  <c r="U657" i="18" s="1" a="1"/>
  <c r="T656" i="18"/>
  <c r="U656" i="18" s="1" a="1"/>
  <c r="T655" i="18"/>
  <c r="U655" i="18" s="1" a="1"/>
  <c r="T654" i="18"/>
  <c r="T653" i="18"/>
  <c r="T652" i="18"/>
  <c r="T651" i="18"/>
  <c r="T650" i="18"/>
  <c r="T649" i="18"/>
  <c r="T648" i="18"/>
  <c r="U648" i="18" s="1" a="1"/>
  <c r="T647" i="18"/>
  <c r="T646" i="18"/>
  <c r="T645" i="18"/>
  <c r="T644" i="18"/>
  <c r="U644" i="18" s="1" a="1"/>
  <c r="T643" i="18"/>
  <c r="U643" i="18" s="1" a="1"/>
  <c r="T642" i="18"/>
  <c r="U642" i="18" s="1" a="1"/>
  <c r="T641" i="18"/>
  <c r="U641" i="18" s="1" a="1"/>
  <c r="T640" i="18"/>
  <c r="U640" i="18" s="1" a="1"/>
  <c r="T639" i="18"/>
  <c r="U639" i="18" s="1" a="1"/>
  <c r="T638" i="18"/>
  <c r="U638" i="18" s="1" a="1"/>
  <c r="T637" i="18"/>
  <c r="U637" i="18" s="1" a="1"/>
  <c r="T636" i="18"/>
  <c r="U636" i="18" s="1" a="1"/>
  <c r="T635" i="18"/>
  <c r="U635" i="18" s="1" a="1"/>
  <c r="T634" i="18"/>
  <c r="U634" i="18" s="1" a="1"/>
  <c r="T633" i="18"/>
  <c r="U633" i="18" s="1" a="1"/>
  <c r="T632" i="18"/>
  <c r="U632" i="18" s="1" a="1"/>
  <c r="T631" i="18"/>
  <c r="U631" i="18" s="1" a="1"/>
  <c r="T630" i="18"/>
  <c r="T629" i="18"/>
  <c r="T628" i="18"/>
  <c r="T627" i="18"/>
  <c r="T626" i="18"/>
  <c r="U626" i="18" s="1" a="1"/>
  <c r="T625" i="18"/>
  <c r="T624" i="18"/>
  <c r="U624" i="18" s="1" a="1"/>
  <c r="T623" i="18"/>
  <c r="T622" i="18"/>
  <c r="T621" i="18"/>
  <c r="T620" i="18"/>
  <c r="T619" i="18"/>
  <c r="T618" i="18"/>
  <c r="U618" i="18" s="1" a="1"/>
  <c r="T617" i="18"/>
  <c r="T616" i="18"/>
  <c r="U616" i="18" s="1" a="1"/>
  <c r="T615" i="18"/>
  <c r="T614" i="18"/>
  <c r="T613" i="18"/>
  <c r="T612" i="18"/>
  <c r="U612" i="18" s="1" a="1"/>
  <c r="T611" i="18"/>
  <c r="U611" i="18" s="1" a="1"/>
  <c r="T610" i="18"/>
  <c r="T609" i="18"/>
  <c r="U609" i="18" s="1" a="1"/>
  <c r="T608" i="18"/>
  <c r="U608" i="18" s="1" a="1"/>
  <c r="T607" i="18"/>
  <c r="U607" i="18" s="1" a="1"/>
  <c r="T606" i="18"/>
  <c r="T605" i="18"/>
  <c r="U605" i="18" s="1" a="1"/>
  <c r="T604" i="18"/>
  <c r="U604" i="18" s="1" a="1"/>
  <c r="U604" i="18" s="1"/>
  <c r="AK604" i="18" s="1"/>
  <c r="T603" i="18"/>
  <c r="T602" i="18"/>
  <c r="T601" i="18"/>
  <c r="T600" i="18"/>
  <c r="U600" i="18" s="1" a="1"/>
  <c r="T599" i="18"/>
  <c r="T598" i="18"/>
  <c r="T597" i="18"/>
  <c r="U597" i="18" s="1" a="1"/>
  <c r="T596" i="18"/>
  <c r="U596" i="18" s="1" a="1"/>
  <c r="T595" i="18"/>
  <c r="U595" i="18" s="1" a="1"/>
  <c r="T594" i="18"/>
  <c r="U594" i="18" s="1" a="1"/>
  <c r="T593" i="18"/>
  <c r="U593" i="18" s="1" a="1"/>
  <c r="T592" i="18"/>
  <c r="U592" i="18" s="1" a="1"/>
  <c r="T591" i="18"/>
  <c r="U591" i="18" s="1" a="1"/>
  <c r="T590" i="18"/>
  <c r="U590" i="18" s="1" a="1"/>
  <c r="T589" i="18"/>
  <c r="U589" i="18" s="1" a="1"/>
  <c r="T588" i="18"/>
  <c r="U588" i="18" s="1" a="1"/>
  <c r="U588" i="18" s="1"/>
  <c r="AK588" i="18" s="1"/>
  <c r="T587" i="18"/>
  <c r="U587" i="18" s="1" a="1"/>
  <c r="T586" i="18"/>
  <c r="U586" i="18" s="1" a="1"/>
  <c r="U586" i="18" s="1"/>
  <c r="AK586" i="18" s="1"/>
  <c r="T585" i="18"/>
  <c r="U585" i="18" s="1" a="1"/>
  <c r="T584" i="18"/>
  <c r="U584" i="18" s="1" a="1"/>
  <c r="T583" i="18"/>
  <c r="U583" i="18" s="1" a="1"/>
  <c r="T582" i="18"/>
  <c r="T581" i="18"/>
  <c r="T580" i="18"/>
  <c r="T579" i="18"/>
  <c r="T578" i="18"/>
  <c r="T577" i="18"/>
  <c r="U577" i="18" s="1" a="1"/>
  <c r="T576" i="18"/>
  <c r="U576" i="18" s="1" a="1"/>
  <c r="T575" i="18"/>
  <c r="T574" i="18"/>
  <c r="T573" i="18"/>
  <c r="T572" i="18"/>
  <c r="T571" i="18"/>
  <c r="T570" i="18"/>
  <c r="U570" i="18" s="1" a="1"/>
  <c r="T569" i="18"/>
  <c r="U569" i="18" s="1" a="1"/>
  <c r="T568" i="18"/>
  <c r="U568" i="18" s="1" a="1"/>
  <c r="T567" i="18"/>
  <c r="U567" i="18" s="1" a="1"/>
  <c r="T566" i="18"/>
  <c r="U566" i="18" s="1" a="1"/>
  <c r="T565" i="18"/>
  <c r="U565" i="18" s="1" a="1"/>
  <c r="T564" i="18"/>
  <c r="U564" i="18" s="1" a="1"/>
  <c r="T563" i="18"/>
  <c r="U563" i="18" s="1" a="1"/>
  <c r="T562" i="18"/>
  <c r="U562" i="18" s="1" a="1"/>
  <c r="T561" i="18"/>
  <c r="U561" i="18" s="1" a="1"/>
  <c r="T560" i="18"/>
  <c r="U560" i="18" s="1" a="1"/>
  <c r="T559" i="18"/>
  <c r="U559" i="18" s="1" a="1"/>
  <c r="T558" i="18"/>
  <c r="T557" i="18"/>
  <c r="T556" i="18"/>
  <c r="U556" i="18" s="1" a="1"/>
  <c r="U556" i="18" s="1"/>
  <c r="AK556" i="18" s="1"/>
  <c r="T555" i="18"/>
  <c r="U555" i="18" s="1" a="1"/>
  <c r="T554" i="18"/>
  <c r="T553" i="18"/>
  <c r="U553" i="18" s="1" a="1"/>
  <c r="T552" i="18"/>
  <c r="U552" i="18" s="1" a="1"/>
  <c r="T551" i="18"/>
  <c r="T550" i="18"/>
  <c r="T549" i="18"/>
  <c r="T548" i="18"/>
  <c r="T547" i="18"/>
  <c r="T546" i="18"/>
  <c r="T545" i="18"/>
  <c r="T544" i="18"/>
  <c r="U544" i="18" s="1" a="1"/>
  <c r="T543" i="18"/>
  <c r="T542" i="18"/>
  <c r="T541" i="18"/>
  <c r="T540" i="18"/>
  <c r="U540" i="18" s="1" a="1"/>
  <c r="T539" i="18"/>
  <c r="U539" i="18" s="1" a="1"/>
  <c r="T538" i="18"/>
  <c r="U538" i="18" s="1" a="1"/>
  <c r="U538" i="18" s="1"/>
  <c r="AK538" i="18" s="1"/>
  <c r="T537" i="18"/>
  <c r="U537" i="18" s="1" a="1"/>
  <c r="T536" i="18"/>
  <c r="U536" i="18" s="1" a="1"/>
  <c r="T535" i="18"/>
  <c r="U535" i="18" s="1" a="1"/>
  <c r="T534" i="18"/>
  <c r="T533" i="18"/>
  <c r="T532" i="18"/>
  <c r="T531" i="18"/>
  <c r="T530" i="18"/>
  <c r="T529" i="18"/>
  <c r="U529" i="18" s="1" a="1"/>
  <c r="T528" i="18"/>
  <c r="U528" i="18" s="1" a="1"/>
  <c r="T527" i="18"/>
  <c r="T526" i="18"/>
  <c r="T525" i="18"/>
  <c r="T524" i="18"/>
  <c r="U524" i="18" s="1" a="1"/>
  <c r="T523" i="18"/>
  <c r="U523" i="18" s="1" a="1"/>
  <c r="T522" i="18"/>
  <c r="U522" i="18" s="1" a="1"/>
  <c r="T521" i="18"/>
  <c r="U521" i="18" s="1" a="1"/>
  <c r="T520" i="18"/>
  <c r="U520" i="18" s="1" a="1"/>
  <c r="T519" i="18"/>
  <c r="U519" i="18" s="1" a="1"/>
  <c r="T518" i="18"/>
  <c r="U518" i="18" s="1" a="1"/>
  <c r="T517" i="18"/>
  <c r="U517" i="18" s="1" a="1"/>
  <c r="T516" i="18"/>
  <c r="U516" i="18" s="1" a="1"/>
  <c r="T515" i="18"/>
  <c r="U515" i="18" s="1" a="1"/>
  <c r="T514" i="18"/>
  <c r="U514" i="18" s="1" a="1"/>
  <c r="T513" i="18"/>
  <c r="U513" i="18" s="1" a="1"/>
  <c r="T512" i="18"/>
  <c r="U512" i="18" s="1" a="1"/>
  <c r="T511" i="18"/>
  <c r="U511" i="18" s="1" a="1"/>
  <c r="AA511" i="18" s="1" a="1"/>
  <c r="AA511" i="18" s="1"/>
  <c r="T510" i="18"/>
  <c r="T509" i="18"/>
  <c r="T508" i="18"/>
  <c r="T507" i="18"/>
  <c r="T506" i="18"/>
  <c r="T505" i="18"/>
  <c r="U505" i="18" s="1" a="1"/>
  <c r="T504" i="18"/>
  <c r="U504" i="18" s="1" a="1"/>
  <c r="T503" i="18"/>
  <c r="T502" i="18"/>
  <c r="U502" i="18" s="1" a="1"/>
  <c r="T501" i="18"/>
  <c r="T500" i="18"/>
  <c r="T499" i="18"/>
  <c r="T498" i="18"/>
  <c r="U498" i="18" s="1" a="1"/>
  <c r="T497" i="18"/>
  <c r="T496" i="18"/>
  <c r="U496" i="18" s="1" a="1"/>
  <c r="T495" i="18"/>
  <c r="T494" i="18"/>
  <c r="T493" i="18"/>
  <c r="T492" i="18"/>
  <c r="U492" i="18" s="1" a="1"/>
  <c r="T491" i="18"/>
  <c r="U491" i="18" s="1" a="1"/>
  <c r="T490" i="18"/>
  <c r="U490" i="18" s="1" a="1"/>
  <c r="T489" i="18"/>
  <c r="U489" i="18" s="1" a="1"/>
  <c r="T488" i="18"/>
  <c r="U488" i="18" s="1" a="1"/>
  <c r="T487" i="18"/>
  <c r="U487" i="18" s="1" a="1"/>
  <c r="AA487" i="18" s="1" a="1"/>
  <c r="AA487" i="18" s="1"/>
  <c r="T486" i="18"/>
  <c r="T485" i="18"/>
  <c r="T484" i="18"/>
  <c r="T483" i="18"/>
  <c r="U483" i="18" s="1" a="1"/>
  <c r="T482" i="18"/>
  <c r="T481" i="18"/>
  <c r="T480" i="18"/>
  <c r="U480" i="18" s="1" a="1"/>
  <c r="T479" i="18"/>
  <c r="T478" i="18"/>
  <c r="U478" i="18" s="1" a="1"/>
  <c r="T477" i="18"/>
  <c r="U477" i="18" s="1" a="1"/>
  <c r="T476" i="18"/>
  <c r="U476" i="18" s="1" a="1"/>
  <c r="T475" i="18"/>
  <c r="U475" i="18" s="1" a="1"/>
  <c r="T474" i="18"/>
  <c r="U474" i="18" s="1" a="1"/>
  <c r="U474" i="18" s="1"/>
  <c r="AK474" i="18" s="1"/>
  <c r="T473" i="18"/>
  <c r="U473" i="18" s="1" a="1"/>
  <c r="T472" i="18"/>
  <c r="U472" i="18" s="1" a="1"/>
  <c r="T471" i="18"/>
  <c r="U471" i="18" s="1" a="1"/>
  <c r="T470" i="18"/>
  <c r="U470" i="18" s="1" a="1"/>
  <c r="T469" i="18"/>
  <c r="U469" i="18" s="1" a="1"/>
  <c r="T468" i="18"/>
  <c r="U468" i="18" s="1" a="1"/>
  <c r="T467" i="18"/>
  <c r="U467" i="18" s="1" a="1"/>
  <c r="T466" i="18"/>
  <c r="U466" i="18" s="1" a="1"/>
  <c r="T465" i="18"/>
  <c r="U465" i="18" s="1" a="1"/>
  <c r="T464" i="18"/>
  <c r="U464" i="18" s="1" a="1"/>
  <c r="T463" i="18"/>
  <c r="U463" i="18" s="1" a="1"/>
  <c r="T462" i="18"/>
  <c r="T461" i="18"/>
  <c r="T460" i="18"/>
  <c r="T459" i="18"/>
  <c r="T458" i="18"/>
  <c r="T457" i="18"/>
  <c r="T456" i="18"/>
  <c r="U456" i="18" s="1" a="1"/>
  <c r="T455" i="18"/>
  <c r="T454" i="18"/>
  <c r="T453" i="18"/>
  <c r="T452" i="18"/>
  <c r="T451" i="18"/>
  <c r="U451" i="18" s="1" a="1"/>
  <c r="T450" i="18"/>
  <c r="U450" i="18" s="1" a="1"/>
  <c r="T449" i="18"/>
  <c r="U449" i="18" s="1" a="1"/>
  <c r="T448" i="18"/>
  <c r="U448" i="18" s="1" a="1"/>
  <c r="T447" i="18"/>
  <c r="U447" i="18" s="1" a="1"/>
  <c r="T446" i="18"/>
  <c r="U446" i="18" s="1" a="1"/>
  <c r="T445" i="18"/>
  <c r="U445" i="18" s="1" a="1"/>
  <c r="T444" i="18"/>
  <c r="U444" i="18" s="1" a="1"/>
  <c r="T443" i="18"/>
  <c r="U443" i="18" s="1" a="1"/>
  <c r="T442" i="18"/>
  <c r="U442" i="18" s="1" a="1"/>
  <c r="U442" i="18" s="1"/>
  <c r="AK442" i="18" s="1"/>
  <c r="T441" i="18"/>
  <c r="U441" i="18" s="1" a="1"/>
  <c r="T440" i="18"/>
  <c r="U440" i="18" s="1" a="1"/>
  <c r="T439" i="18"/>
  <c r="U439" i="18" s="1" a="1"/>
  <c r="T438" i="18"/>
  <c r="T437" i="18"/>
  <c r="T436" i="18"/>
  <c r="T435" i="18"/>
  <c r="T434" i="18"/>
  <c r="T433" i="18"/>
  <c r="U433" i="18" s="1" a="1"/>
  <c r="T432" i="18"/>
  <c r="U432" i="18" s="1" a="1"/>
  <c r="T431" i="18"/>
  <c r="T430" i="18"/>
  <c r="U430" i="18" s="1" a="1"/>
  <c r="T429" i="18"/>
  <c r="T428" i="18"/>
  <c r="T427" i="18"/>
  <c r="T426" i="18"/>
  <c r="T425" i="18"/>
  <c r="T424" i="18"/>
  <c r="T423" i="18"/>
  <c r="T422" i="18"/>
  <c r="U422" i="18" s="1" a="1"/>
  <c r="T421" i="18"/>
  <c r="U421" i="18" s="1" a="1"/>
  <c r="T420" i="18"/>
  <c r="U420" i="18" s="1" a="1"/>
  <c r="T419" i="18"/>
  <c r="U419" i="18" s="1" a="1"/>
  <c r="T418" i="18"/>
  <c r="U418" i="18" s="1" a="1"/>
  <c r="T417" i="18"/>
  <c r="U417" i="18" s="1" a="1"/>
  <c r="T416" i="18"/>
  <c r="U416" i="18" s="1" a="1"/>
  <c r="T415" i="18"/>
  <c r="U415" i="18" s="1" a="1"/>
  <c r="T414" i="18"/>
  <c r="T413" i="18"/>
  <c r="T412" i="18"/>
  <c r="U412" i="18" s="1" a="1"/>
  <c r="T411" i="18"/>
  <c r="U411" i="18" s="1" a="1"/>
  <c r="T410" i="18"/>
  <c r="T409" i="18"/>
  <c r="T408" i="18"/>
  <c r="U408" i="18" s="1" a="1"/>
  <c r="T407" i="18"/>
  <c r="T406" i="18"/>
  <c r="T405" i="18"/>
  <c r="T404" i="18"/>
  <c r="T403" i="18"/>
  <c r="T402" i="18"/>
  <c r="U402" i="18" s="1" a="1"/>
  <c r="T401" i="18"/>
  <c r="T400" i="18"/>
  <c r="U400" i="18" s="1" a="1"/>
  <c r="T399" i="18"/>
  <c r="U399" i="18" s="1" a="1"/>
  <c r="T398" i="18"/>
  <c r="U398" i="18" s="1" a="1"/>
  <c r="T397" i="18"/>
  <c r="U397" i="18" s="1" a="1"/>
  <c r="T396" i="18"/>
  <c r="U396" i="18" s="1" a="1"/>
  <c r="T395" i="18"/>
  <c r="U395" i="18" s="1" a="1"/>
  <c r="T394" i="18"/>
  <c r="U394" i="18" s="1" a="1"/>
  <c r="U394" i="18" s="1"/>
  <c r="AK394" i="18" s="1"/>
  <c r="T393" i="18"/>
  <c r="U393" i="18" s="1" a="1"/>
  <c r="T392" i="18"/>
  <c r="U392" i="18" s="1" a="1"/>
  <c r="T391" i="18"/>
  <c r="U391" i="18" s="1" a="1"/>
  <c r="T390" i="18"/>
  <c r="T389" i="18"/>
  <c r="T388" i="18"/>
  <c r="U388" i="18" s="1" a="1"/>
  <c r="U388" i="18" s="1"/>
  <c r="AK388" i="18" s="1"/>
  <c r="T387" i="18"/>
  <c r="T386" i="18"/>
  <c r="T385" i="18"/>
  <c r="T384" i="18"/>
  <c r="U384" i="18" s="1" a="1"/>
  <c r="T383" i="18"/>
  <c r="T382" i="18"/>
  <c r="T381" i="18"/>
  <c r="T380" i="18"/>
  <c r="T379" i="18"/>
  <c r="U379" i="18" s="1" a="1"/>
  <c r="T378" i="18"/>
  <c r="U378" i="18" s="1" a="1"/>
  <c r="AA378" i="18" s="1" a="1"/>
  <c r="AA378" i="18" s="1"/>
  <c r="T377" i="18"/>
  <c r="U377" i="18" s="1" a="1"/>
  <c r="T376" i="18"/>
  <c r="U376" i="18" s="1" a="1"/>
  <c r="T375" i="18"/>
  <c r="U375" i="18" s="1" a="1"/>
  <c r="T374" i="18"/>
  <c r="U374" i="18" s="1" a="1"/>
  <c r="T373" i="18"/>
  <c r="U373" i="18" s="1" a="1"/>
  <c r="T372" i="18"/>
  <c r="U372" i="18" s="1" a="1"/>
  <c r="T371" i="18"/>
  <c r="U371" i="18" s="1" a="1"/>
  <c r="T370" i="18"/>
  <c r="U370" i="18" s="1" a="1"/>
  <c r="T369" i="18"/>
  <c r="U369" i="18" s="1" a="1"/>
  <c r="T368" i="18"/>
  <c r="U368" i="18" s="1" a="1"/>
  <c r="T367" i="18"/>
  <c r="U367" i="18" s="1" a="1"/>
  <c r="T366" i="18"/>
  <c r="T365" i="18"/>
  <c r="T364" i="18"/>
  <c r="U364" i="18" s="1" a="1"/>
  <c r="T363" i="18"/>
  <c r="T362" i="18"/>
  <c r="T361" i="18"/>
  <c r="U361" i="18" s="1" a="1"/>
  <c r="T360" i="18"/>
  <c r="U360" i="18" s="1" a="1"/>
  <c r="T359" i="18"/>
  <c r="U359" i="18" s="1" a="1"/>
  <c r="T358" i="18"/>
  <c r="T357" i="18"/>
  <c r="T356" i="18"/>
  <c r="T355" i="18"/>
  <c r="U355" i="18" s="1" a="1"/>
  <c r="T354" i="18"/>
  <c r="T353" i="18"/>
  <c r="T352" i="18"/>
  <c r="U352" i="18" s="1" a="1"/>
  <c r="T351" i="18"/>
  <c r="T350" i="18"/>
  <c r="T349" i="18"/>
  <c r="U349" i="18" s="1" a="1"/>
  <c r="T348" i="18"/>
  <c r="U348" i="18" s="1" a="1"/>
  <c r="U348" i="18" s="1"/>
  <c r="AK348" i="18" s="1"/>
  <c r="T347" i="18"/>
  <c r="U347" i="18" s="1" a="1"/>
  <c r="T346" i="18"/>
  <c r="U346" i="18" s="1" a="1"/>
  <c r="T345" i="18"/>
  <c r="U345" i="18" s="1" a="1"/>
  <c r="T344" i="18"/>
  <c r="U344" i="18" s="1" a="1"/>
  <c r="T343" i="18"/>
  <c r="U343" i="18" s="1" a="1"/>
  <c r="T342" i="18"/>
  <c r="T341" i="18"/>
  <c r="T340" i="18"/>
  <c r="U340" i="18" s="1" a="1"/>
  <c r="T339" i="18"/>
  <c r="U339" i="18" s="1" a="1"/>
  <c r="T338" i="18"/>
  <c r="T337" i="18"/>
  <c r="U337" i="18" s="1" a="1"/>
  <c r="T336" i="18"/>
  <c r="U336" i="18" s="1" a="1"/>
  <c r="U336" i="18" s="1"/>
  <c r="AK336" i="18" s="1"/>
  <c r="T335" i="18"/>
  <c r="T334" i="18"/>
  <c r="T333" i="18"/>
  <c r="T332" i="18"/>
  <c r="T331" i="18"/>
  <c r="U331" i="18" s="1" a="1"/>
  <c r="T330" i="18"/>
  <c r="T329" i="18"/>
  <c r="T328" i="18"/>
  <c r="U328" i="18" s="1" a="1"/>
  <c r="T327" i="18"/>
  <c r="U327" i="18" s="1" a="1"/>
  <c r="T326" i="18"/>
  <c r="U326" i="18" s="1" a="1"/>
  <c r="T325" i="18"/>
  <c r="U325" i="18" s="1" a="1"/>
  <c r="T324" i="18"/>
  <c r="U324" i="18" s="1" a="1"/>
  <c r="T323" i="18"/>
  <c r="U323" i="18" s="1" a="1"/>
  <c r="T322" i="18"/>
  <c r="U322" i="18" s="1" a="1"/>
  <c r="T321" i="18"/>
  <c r="U321" i="18" s="1" a="1"/>
  <c r="T320" i="18"/>
  <c r="U320" i="18" s="1" a="1"/>
  <c r="U320" i="18" s="1"/>
  <c r="AK320" i="18" s="1"/>
  <c r="T319" i="18"/>
  <c r="U319" i="18" s="1" a="1"/>
  <c r="AA319" i="18" s="1" a="1"/>
  <c r="AA319" i="18" s="1"/>
  <c r="T318" i="18"/>
  <c r="T317" i="18"/>
  <c r="T316" i="18"/>
  <c r="U316" i="18" s="1" a="1"/>
  <c r="T315" i="18"/>
  <c r="T314" i="18"/>
  <c r="T313" i="18"/>
  <c r="U313" i="18" s="1" a="1"/>
  <c r="T312" i="18"/>
  <c r="U312" i="18" s="1" a="1"/>
  <c r="T311" i="18"/>
  <c r="U311" i="18" s="1" a="1"/>
  <c r="U311" i="18" s="1"/>
  <c r="AK311" i="18" s="1"/>
  <c r="T310" i="18"/>
  <c r="U310" i="18" s="1" a="1"/>
  <c r="T309" i="18"/>
  <c r="T308" i="18"/>
  <c r="U308" i="18" s="1" a="1"/>
  <c r="T307" i="18"/>
  <c r="U307" i="18" s="1" a="1"/>
  <c r="AA307" i="18" s="1" a="1"/>
  <c r="T306" i="18"/>
  <c r="U306" i="18" s="1" a="1"/>
  <c r="T305" i="18"/>
  <c r="U305" i="18" s="1" a="1"/>
  <c r="T304" i="18"/>
  <c r="U304" i="18" s="1" a="1"/>
  <c r="T303" i="18"/>
  <c r="U303" i="18" s="1" a="1"/>
  <c r="T302" i="18"/>
  <c r="T301" i="18"/>
  <c r="U301" i="18" s="1" a="1"/>
  <c r="T300" i="18"/>
  <c r="U300" i="18" s="1" a="1"/>
  <c r="T299" i="18"/>
  <c r="U299" i="18" s="1" a="1"/>
  <c r="T298" i="18"/>
  <c r="U298" i="18" s="1" a="1"/>
  <c r="U298" i="18" s="1"/>
  <c r="AK298" i="18" s="1"/>
  <c r="T297" i="18"/>
  <c r="U297" i="18" s="1" a="1"/>
  <c r="T296" i="18"/>
  <c r="U296" i="18" s="1" a="1"/>
  <c r="U296" i="18" s="1"/>
  <c r="AK296" i="18" s="1"/>
  <c r="T295" i="18"/>
  <c r="U295" i="18" s="1" a="1"/>
  <c r="T294" i="18"/>
  <c r="T293" i="18"/>
  <c r="U293" i="18" s="1" a="1"/>
  <c r="T292" i="18"/>
  <c r="U292" i="18" s="1" a="1"/>
  <c r="T291" i="18"/>
  <c r="T290" i="18"/>
  <c r="T289" i="18"/>
  <c r="T288" i="18"/>
  <c r="U288" i="18" s="1" a="1"/>
  <c r="AA288" i="18" s="1" a="1"/>
  <c r="T287" i="18"/>
  <c r="T286" i="18"/>
  <c r="U286" i="18" s="1" a="1"/>
  <c r="U286" i="18" s="1"/>
  <c r="AK286" i="18" s="1"/>
  <c r="T285" i="18"/>
  <c r="T284" i="18"/>
  <c r="T283" i="18"/>
  <c r="U283" i="18" s="1" a="1"/>
  <c r="T282" i="18"/>
  <c r="T281" i="18"/>
  <c r="T280" i="18"/>
  <c r="U280" i="18" s="1" a="1"/>
  <c r="T279" i="18"/>
  <c r="T278" i="18"/>
  <c r="T277" i="18"/>
  <c r="U277" i="18" s="1" a="1"/>
  <c r="AA277" i="18" s="1" a="1"/>
  <c r="T276" i="18"/>
  <c r="U276" i="18" s="1" a="1"/>
  <c r="T275" i="18"/>
  <c r="U275" i="18" s="1" a="1"/>
  <c r="T274" i="18"/>
  <c r="U274" i="18" s="1" a="1"/>
  <c r="T273" i="18"/>
  <c r="U273" i="18" s="1" a="1"/>
  <c r="T272" i="18"/>
  <c r="U272" i="18" s="1" a="1"/>
  <c r="T271" i="18"/>
  <c r="U271" i="18" s="1" a="1"/>
  <c r="T270" i="18"/>
  <c r="T269" i="18"/>
  <c r="T268" i="18"/>
  <c r="U268" i="18" s="1" a="1"/>
  <c r="T267" i="18"/>
  <c r="T266" i="18"/>
  <c r="T265" i="18"/>
  <c r="T264" i="18"/>
  <c r="T263" i="18"/>
  <c r="U263" i="18" s="1" a="1"/>
  <c r="T262" i="18"/>
  <c r="U262" i="18" s="1" a="1"/>
  <c r="T261" i="18"/>
  <c r="T260" i="18"/>
  <c r="T259" i="18"/>
  <c r="U259" i="18" s="1" a="1"/>
  <c r="U259" i="18" s="1"/>
  <c r="AK259" i="18" s="1"/>
  <c r="T258" i="18"/>
  <c r="U258" i="18" s="1" a="1"/>
  <c r="T257" i="18"/>
  <c r="U257" i="18" s="1" a="1"/>
  <c r="T256" i="18"/>
  <c r="U256" i="18" s="1" a="1"/>
  <c r="T255" i="18"/>
  <c r="U255" i="18" s="1" a="1"/>
  <c r="T254" i="18"/>
  <c r="U254" i="18" s="1" a="1"/>
  <c r="U254" i="18" s="1"/>
  <c r="AK254" i="18" s="1"/>
  <c r="T253" i="18"/>
  <c r="U253" i="18" s="1" a="1"/>
  <c r="T252" i="18"/>
  <c r="U252" i="18" s="1" a="1"/>
  <c r="T251" i="18"/>
  <c r="U251" i="18" s="1" a="1"/>
  <c r="T250" i="18"/>
  <c r="U250" i="18" s="1" a="1"/>
  <c r="T249" i="18"/>
  <c r="U249" i="18" s="1" a="1"/>
  <c r="T248" i="18"/>
  <c r="U248" i="18" s="1" a="1"/>
  <c r="AA248" i="18" s="1" a="1"/>
  <c r="T247" i="18"/>
  <c r="U247" i="18" s="1" a="1"/>
  <c r="T246" i="18"/>
  <c r="T245" i="18"/>
  <c r="U245" i="18" s="1" a="1"/>
  <c r="AA245" i="18" s="1" a="1"/>
  <c r="T244" i="18"/>
  <c r="U244" i="18" s="1" a="1"/>
  <c r="T243" i="18"/>
  <c r="T242" i="18"/>
  <c r="T241" i="18"/>
  <c r="T240" i="18"/>
  <c r="U240" i="18" s="1" a="1"/>
  <c r="T239" i="18"/>
  <c r="T238" i="18"/>
  <c r="T237" i="18"/>
  <c r="T236" i="18"/>
  <c r="T235" i="18"/>
  <c r="U235" i="18" s="1" a="1"/>
  <c r="T234" i="18"/>
  <c r="U234" i="18" s="1" a="1"/>
  <c r="T233" i="18"/>
  <c r="U233" i="18" s="1" a="1"/>
  <c r="T232" i="18"/>
  <c r="U232" i="18" s="1" a="1"/>
  <c r="T231" i="18"/>
  <c r="U231" i="18" s="1" a="1"/>
  <c r="T230" i="18"/>
  <c r="U230" i="18" s="1" a="1"/>
  <c r="T229" i="18"/>
  <c r="U229" i="18" s="1" a="1"/>
  <c r="T228" i="18"/>
  <c r="U228" i="18" s="1" a="1"/>
  <c r="T227" i="18"/>
  <c r="U227" i="18" s="1" a="1"/>
  <c r="T226" i="18"/>
  <c r="U226" i="18" s="1" a="1"/>
  <c r="T225" i="18"/>
  <c r="U225" i="18" s="1" a="1"/>
  <c r="T224" i="18"/>
  <c r="U224" i="18" s="1" a="1"/>
  <c r="AA224" i="18" s="1" a="1"/>
  <c r="T223" i="18"/>
  <c r="U223" i="18" s="1" a="1"/>
  <c r="T222" i="18"/>
  <c r="U222" i="18" s="1" a="1"/>
  <c r="T221" i="18"/>
  <c r="T220" i="18"/>
  <c r="U220" i="18" s="1" a="1"/>
  <c r="T219" i="18"/>
  <c r="T218" i="18"/>
  <c r="T217" i="18"/>
  <c r="U217" i="18" s="1" a="1"/>
  <c r="T216" i="18"/>
  <c r="U216" i="18" s="1" a="1"/>
  <c r="T215" i="18"/>
  <c r="U215" i="18" s="1" a="1"/>
  <c r="AA215" i="18" s="1" a="1"/>
  <c r="T214" i="18"/>
  <c r="U214" i="18" s="1" a="1"/>
  <c r="T213" i="18"/>
  <c r="T212" i="18"/>
  <c r="T211" i="18"/>
  <c r="U211" i="18" s="1" a="1"/>
  <c r="T210" i="18"/>
  <c r="T209" i="18"/>
  <c r="U209" i="18" s="1" a="1"/>
  <c r="T208" i="18"/>
  <c r="U208" i="18" s="1" a="1"/>
  <c r="T207" i="18"/>
  <c r="U207" i="18" s="1" a="1"/>
  <c r="T206" i="18"/>
  <c r="T205" i="18"/>
  <c r="U205" i="18" s="1" a="1"/>
  <c r="T204" i="18"/>
  <c r="U204" i="18" s="1" a="1"/>
  <c r="T203" i="18"/>
  <c r="U203" i="18" s="1" a="1"/>
  <c r="T202" i="18"/>
  <c r="U202" i="18" s="1" a="1"/>
  <c r="T201" i="18"/>
  <c r="U201" i="18" s="1" a="1"/>
  <c r="T200" i="18"/>
  <c r="U200" i="18" s="1" a="1"/>
  <c r="AA200" i="18" s="1" a="1"/>
  <c r="T199" i="18"/>
  <c r="U199" i="18" s="1" a="1"/>
  <c r="T198" i="18"/>
  <c r="T197" i="18"/>
  <c r="T196" i="18"/>
  <c r="U196" i="18" s="1" a="1"/>
  <c r="U196" i="18" s="1"/>
  <c r="AK196" i="18" s="1"/>
  <c r="T195" i="18"/>
  <c r="U195" i="18" s="1" a="1"/>
  <c r="T194" i="18"/>
  <c r="T193" i="18"/>
  <c r="U193" i="18" s="1" a="1"/>
  <c r="AA193" i="18" s="1" a="1"/>
  <c r="T192" i="18"/>
  <c r="U192" i="18" s="1" a="1"/>
  <c r="T191" i="18"/>
  <c r="U191" i="18" s="1" a="1"/>
  <c r="AA191" i="18" s="1" a="1"/>
  <c r="T190" i="18"/>
  <c r="U190" i="18" s="1" a="1"/>
  <c r="T189" i="18"/>
  <c r="U189" i="18" s="1" a="1"/>
  <c r="T188" i="18"/>
  <c r="U188" i="18" s="1" a="1"/>
  <c r="T187" i="18"/>
  <c r="U187" i="18" s="1" a="1"/>
  <c r="T186" i="18"/>
  <c r="U186" i="18" s="1" a="1"/>
  <c r="T185" i="18"/>
  <c r="T184" i="18"/>
  <c r="U184" i="18" s="1" a="1"/>
  <c r="AA184" i="18" s="1" a="1"/>
  <c r="T183" i="18"/>
  <c r="U183" i="18" s="1" a="1"/>
  <c r="T182" i="18"/>
  <c r="U182" i="18" s="1" a="1"/>
  <c r="T181" i="18"/>
  <c r="U181" i="18" s="1" a="1"/>
  <c r="T180" i="18"/>
  <c r="U180" i="18" s="1" a="1"/>
  <c r="T179" i="18"/>
  <c r="U179" i="18" s="1" a="1"/>
  <c r="T178" i="18"/>
  <c r="U178" i="18" s="1" a="1"/>
  <c r="T177" i="18"/>
  <c r="U177" i="18" s="1" a="1"/>
  <c r="T176" i="18"/>
  <c r="U176" i="18" s="1" a="1"/>
  <c r="T175" i="18"/>
  <c r="U175" i="18" s="1" a="1"/>
  <c r="T174" i="18"/>
  <c r="U174" i="18" s="1" a="1"/>
  <c r="T173" i="18"/>
  <c r="T172" i="18"/>
  <c r="U172" i="18" s="1" a="1"/>
  <c r="U172" i="18" s="1"/>
  <c r="T171" i="18"/>
  <c r="U171" i="18" s="1" a="1"/>
  <c r="T170" i="18"/>
  <c r="T169" i="18"/>
  <c r="T168" i="18"/>
  <c r="U168" i="18" s="1" a="1"/>
  <c r="T167" i="18"/>
  <c r="U167" i="18" s="1" a="1"/>
  <c r="AA167" i="18" s="1" a="1"/>
  <c r="T166" i="18"/>
  <c r="U166" i="18" s="1" a="1"/>
  <c r="T165" i="18"/>
  <c r="U165" i="18" s="1" a="1"/>
  <c r="T164" i="18"/>
  <c r="U164" i="18" s="1" a="1"/>
  <c r="T163" i="18"/>
  <c r="T162" i="18"/>
  <c r="T161" i="18"/>
  <c r="U161" i="18" s="1" a="1"/>
  <c r="T160" i="18"/>
  <c r="U160" i="18" s="1" a="1"/>
  <c r="T159" i="18"/>
  <c r="U159" i="18" s="1" a="1"/>
  <c r="T158" i="18"/>
  <c r="U158" i="18" s="1" a="1"/>
  <c r="T157" i="18"/>
  <c r="U157" i="18" s="1" a="1"/>
  <c r="T156" i="18"/>
  <c r="U156" i="18" s="1" a="1"/>
  <c r="T155" i="18"/>
  <c r="U155" i="18" s="1" a="1"/>
  <c r="T154" i="18"/>
  <c r="U154" i="18" s="1" a="1"/>
  <c r="T153" i="18"/>
  <c r="U153" i="18" s="1" a="1"/>
  <c r="AA153" i="18" s="1" a="1"/>
  <c r="T152" i="18"/>
  <c r="U152" i="18" s="1" a="1"/>
  <c r="T151" i="18"/>
  <c r="U151" i="18" s="1" a="1"/>
  <c r="T150" i="18"/>
  <c r="U150" i="18" s="1" a="1"/>
  <c r="T149" i="18"/>
  <c r="U149" i="18" s="1" a="1"/>
  <c r="T148" i="18"/>
  <c r="U148" i="18" s="1" a="1"/>
  <c r="U148" i="18" s="1"/>
  <c r="T147" i="18"/>
  <c r="U147" i="18" s="1" a="1"/>
  <c r="T146" i="18"/>
  <c r="T145" i="18"/>
  <c r="T144" i="18"/>
  <c r="U144" i="18" s="1" a="1"/>
  <c r="T143" i="18"/>
  <c r="U143" i="18" s="1" a="1"/>
  <c r="T142" i="18"/>
  <c r="T141" i="18"/>
  <c r="T140" i="18"/>
  <c r="U140" i="18" s="1" a="1"/>
  <c r="T139" i="18"/>
  <c r="U139" i="18" s="1" a="1"/>
  <c r="T138" i="18"/>
  <c r="U138" i="18" s="1" a="1"/>
  <c r="T137" i="18"/>
  <c r="U137" i="18" s="1" a="1"/>
  <c r="T136" i="18"/>
  <c r="U136" i="18" s="1" a="1"/>
  <c r="T135" i="18"/>
  <c r="U135" i="18" s="1" a="1"/>
  <c r="T134" i="18"/>
  <c r="U134" i="18" s="1" a="1"/>
  <c r="T133" i="18"/>
  <c r="U133" i="18" s="1" a="1"/>
  <c r="U133" i="18" s="1"/>
  <c r="T132" i="18"/>
  <c r="U132" i="18" s="1" a="1"/>
  <c r="T131" i="18"/>
  <c r="U131" i="18" s="1" a="1"/>
  <c r="T130" i="18"/>
  <c r="U130" i="18" s="1" a="1"/>
  <c r="T129" i="18"/>
  <c r="U129" i="18" s="1" a="1"/>
  <c r="T128" i="18"/>
  <c r="U128" i="18" s="1" a="1"/>
  <c r="T127" i="18"/>
  <c r="U127" i="18" s="1" a="1"/>
  <c r="T126" i="18"/>
  <c r="U126" i="18" s="1" a="1"/>
  <c r="T125" i="18"/>
  <c r="U125" i="18" s="1" a="1"/>
  <c r="T124" i="18"/>
  <c r="U124" i="18" s="1" a="1"/>
  <c r="T123" i="18"/>
  <c r="U123" i="18" s="1" a="1"/>
  <c r="T122" i="18"/>
  <c r="T121" i="18"/>
  <c r="T120" i="18"/>
  <c r="U120" i="18" s="1" a="1"/>
  <c r="T119" i="18"/>
  <c r="U119" i="18" s="1" a="1"/>
  <c r="T118" i="18"/>
  <c r="U118" i="18" s="1" a="1"/>
  <c r="AA118" i="18" s="1" a="1"/>
  <c r="T117" i="18"/>
  <c r="U117" i="18" s="1" a="1"/>
  <c r="T116" i="18"/>
  <c r="U116" i="18" s="1" a="1"/>
  <c r="T115" i="18"/>
  <c r="U115" i="18" s="1" a="1"/>
  <c r="T114" i="18"/>
  <c r="U114" i="18" s="1" a="1"/>
  <c r="T113" i="18"/>
  <c r="U113" i="18" s="1" a="1"/>
  <c r="T112" i="18"/>
  <c r="U112" i="18" s="1" a="1"/>
  <c r="T111" i="18"/>
  <c r="U111" i="18" s="1" a="1"/>
  <c r="T110" i="18"/>
  <c r="U110" i="18" s="1" a="1"/>
  <c r="T109" i="18"/>
  <c r="U109" i="18" s="1" a="1"/>
  <c r="AA109" i="18" s="1" a="1"/>
  <c r="T108" i="18"/>
  <c r="U108" i="18" s="1" a="1"/>
  <c r="T107" i="18"/>
  <c r="U107" i="18" s="1" a="1"/>
  <c r="T106" i="18"/>
  <c r="U106" i="18" s="1" a="1"/>
  <c r="T105" i="18"/>
  <c r="U105" i="18" s="1" a="1"/>
  <c r="T104" i="18"/>
  <c r="U104" i="18" s="1" a="1"/>
  <c r="T103" i="18"/>
  <c r="U103" i="18" s="1" a="1"/>
  <c r="T102" i="18"/>
  <c r="U102" i="18" s="1" a="1"/>
  <c r="T101" i="18"/>
  <c r="T100" i="18"/>
  <c r="U100" i="18" s="1" a="1"/>
  <c r="T99" i="18"/>
  <c r="U99" i="18" s="1" a="1"/>
  <c r="T98" i="18"/>
  <c r="T97" i="18"/>
  <c r="U97" i="18" s="1" a="1"/>
  <c r="T96" i="18"/>
  <c r="U96" i="18" s="1" a="1"/>
  <c r="U96" i="18" s="1"/>
  <c r="T95" i="18"/>
  <c r="U95" i="18" s="1" a="1"/>
  <c r="T94" i="18"/>
  <c r="U94" i="18" s="1" a="1"/>
  <c r="T93" i="18"/>
  <c r="U93" i="18" s="1" a="1"/>
  <c r="T92" i="18"/>
  <c r="U92" i="18" s="1" a="1"/>
  <c r="T91" i="18"/>
  <c r="U91" i="18" s="1" a="1"/>
  <c r="T90" i="18"/>
  <c r="U90" i="18" s="1" a="1"/>
  <c r="T89" i="18"/>
  <c r="U89" i="18" s="1" a="1"/>
  <c r="T88" i="18"/>
  <c r="U88" i="18" s="1" a="1"/>
  <c r="T87" i="18"/>
  <c r="U87" i="18" s="1" a="1"/>
  <c r="T86" i="18"/>
  <c r="U86" i="18" s="1" a="1"/>
  <c r="T85" i="18"/>
  <c r="U85" i="18" s="1" a="1"/>
  <c r="AA85" i="18" s="1" a="1"/>
  <c r="T84" i="18"/>
  <c r="U84" i="18" s="1" a="1"/>
  <c r="T83" i="18"/>
  <c r="U83" i="18" s="1" a="1"/>
  <c r="T82" i="18"/>
  <c r="U82" i="18" s="1" a="1"/>
  <c r="T81" i="18"/>
  <c r="U81" i="18" s="1" a="1"/>
  <c r="AA81" i="18" s="1" a="1"/>
  <c r="T80" i="18"/>
  <c r="U80" i="18" s="1" a="1"/>
  <c r="T79" i="18"/>
  <c r="U79" i="18" s="1" a="1"/>
  <c r="U79" i="18" s="1"/>
  <c r="T78" i="18"/>
  <c r="U78" i="18" s="1" a="1"/>
  <c r="T77" i="18"/>
  <c r="U77" i="18" s="1" a="1"/>
  <c r="T76" i="18"/>
  <c r="U76" i="18" s="1" a="1"/>
  <c r="T75" i="18"/>
  <c r="U75" i="18" s="1" a="1"/>
  <c r="T74" i="18"/>
  <c r="T73" i="18"/>
  <c r="U73" i="18" s="1" a="1"/>
  <c r="T72" i="18"/>
  <c r="U72" i="18" s="1" a="1"/>
  <c r="T71" i="18"/>
  <c r="U71" i="18" s="1" a="1"/>
  <c r="T70" i="18"/>
  <c r="U70" i="18" s="1" a="1"/>
  <c r="T69" i="18"/>
  <c r="U69" i="18" s="1" a="1"/>
  <c r="T68" i="18"/>
  <c r="U68" i="18" s="1" a="1"/>
  <c r="T67" i="18"/>
  <c r="U67" i="18" s="1" a="1"/>
  <c r="T66" i="18"/>
  <c r="U66" i="18" s="1" a="1"/>
  <c r="T65" i="18"/>
  <c r="U65" i="18" s="1" a="1"/>
  <c r="T64" i="18"/>
  <c r="U64" i="18" s="1" a="1"/>
  <c r="T63" i="18"/>
  <c r="U63" i="18" s="1" a="1"/>
  <c r="T62" i="18"/>
  <c r="U62" i="18" s="1" a="1"/>
  <c r="T61" i="18"/>
  <c r="U61" i="18" s="1" a="1"/>
  <c r="T60" i="18"/>
  <c r="U60" i="18" s="1" a="1"/>
  <c r="T59" i="18"/>
  <c r="U59" i="18" s="1" a="1"/>
  <c r="T58" i="18"/>
  <c r="U58" i="18" s="1" a="1"/>
  <c r="T57" i="18"/>
  <c r="U57" i="18" s="1" a="1"/>
  <c r="AA57" i="18" s="1" a="1"/>
  <c r="T56" i="18"/>
  <c r="U56" i="18" s="1" a="1"/>
  <c r="T55" i="18"/>
  <c r="U55" i="18" s="1" a="1"/>
  <c r="U55" i="18" s="1"/>
  <c r="T54" i="18"/>
  <c r="U54" i="18" s="1" a="1"/>
  <c r="T53" i="18"/>
  <c r="U53" i="18" s="1" a="1"/>
  <c r="T52" i="18"/>
  <c r="U52" i="18" s="1" a="1"/>
  <c r="T51" i="18"/>
  <c r="T50" i="18"/>
  <c r="T49" i="18"/>
  <c r="U49" i="18" s="1" a="1"/>
  <c r="T48" i="18"/>
  <c r="U48" i="18" s="1" a="1"/>
  <c r="T47" i="18"/>
  <c r="U47" i="18" s="1" a="1"/>
  <c r="T46" i="18"/>
  <c r="U46" i="18" s="1" a="1"/>
  <c r="T45" i="18"/>
  <c r="U45" i="18" s="1" a="1"/>
  <c r="T44" i="18"/>
  <c r="U44" i="18" s="1" a="1"/>
  <c r="T43" i="18"/>
  <c r="U43" i="18" s="1" a="1"/>
  <c r="T42" i="18"/>
  <c r="U42" i="18" s="1" a="1"/>
  <c r="T41" i="18"/>
  <c r="U41" i="18" s="1" a="1"/>
  <c r="T40" i="18"/>
  <c r="U40" i="18" s="1" a="1"/>
  <c r="T39" i="18"/>
  <c r="U39" i="18" s="1" a="1"/>
  <c r="T38" i="18"/>
  <c r="U38" i="18" s="1" a="1"/>
  <c r="T37" i="18"/>
  <c r="U37" i="18" s="1" a="1"/>
  <c r="T36" i="18"/>
  <c r="U36" i="18" s="1" a="1"/>
  <c r="T35" i="18"/>
  <c r="U35" i="18" s="1" a="1"/>
  <c r="T34" i="18"/>
  <c r="U34" i="18" s="1" a="1"/>
  <c r="T33" i="18"/>
  <c r="U33" i="18" s="1" a="1"/>
  <c r="AA33" i="18" s="1" a="1"/>
  <c r="T32" i="18"/>
  <c r="U32" i="18" s="1" a="1"/>
  <c r="T31" i="18"/>
  <c r="U31" i="18" s="1" a="1"/>
  <c r="U31" i="18" s="1"/>
  <c r="T30" i="18"/>
  <c r="U30" i="18" s="1" a="1"/>
  <c r="T29" i="18"/>
  <c r="T28" i="18"/>
  <c r="U28" i="18" s="1" a="1"/>
  <c r="T27" i="18"/>
  <c r="U27" i="18" s="1" a="1"/>
  <c r="T26" i="18"/>
  <c r="T25" i="18"/>
  <c r="U25" i="18" s="1" a="1"/>
  <c r="T24" i="18"/>
  <c r="U24" i="18" s="1" a="1"/>
  <c r="T23" i="18"/>
  <c r="U23" i="18" s="1" a="1"/>
  <c r="T22" i="18"/>
  <c r="U22" i="18" s="1" a="1"/>
  <c r="T21" i="18"/>
  <c r="U21" i="18" s="1" a="1"/>
  <c r="T20" i="18"/>
  <c r="U20" i="18" s="1" a="1"/>
  <c r="T19" i="18"/>
  <c r="U19" i="18" s="1" a="1"/>
  <c r="T18" i="18"/>
  <c r="U18" i="18" s="1" a="1"/>
  <c r="T17" i="18"/>
  <c r="U17" i="18" s="1" a="1"/>
  <c r="T16" i="18"/>
  <c r="U16" i="18" s="1" a="1"/>
  <c r="T15" i="18"/>
  <c r="U15" i="18" s="1" a="1"/>
  <c r="T14" i="18"/>
  <c r="U14" i="18" s="1" a="1"/>
  <c r="T13" i="18"/>
  <c r="U13" i="18" s="1" a="1"/>
  <c r="T12" i="18"/>
  <c r="U12" i="18" s="1" a="1"/>
  <c r="T11" i="18"/>
  <c r="U11" i="18" s="1" a="1"/>
  <c r="T10" i="18"/>
  <c r="U10" i="18" s="1" a="1"/>
  <c r="T9" i="18"/>
  <c r="U9" i="18" s="1" a="1"/>
  <c r="AA9" i="18" s="1" a="1"/>
  <c r="T8" i="18"/>
  <c r="U8" i="18" s="1" a="1"/>
  <c r="T7" i="18"/>
  <c r="U7" i="18" s="1" a="1"/>
  <c r="U7" i="18" s="1"/>
  <c r="T6" i="18"/>
  <c r="U6" i="18" s="1" a="1"/>
  <c r="T5" i="18"/>
  <c r="U5" i="18" s="1" a="1"/>
  <c r="T4" i="18"/>
  <c r="U4" i="18" s="1" a="1"/>
  <c r="B678" i="18" a="1"/>
  <c r="B678" i="18" s="1"/>
  <c r="R678" i="18" s="1"/>
  <c r="B677" i="18" a="1"/>
  <c r="B677" i="18" s="1"/>
  <c r="R677" i="18" s="1"/>
  <c r="B676" i="18" a="1"/>
  <c r="B676" i="18" s="1"/>
  <c r="R676" i="18" s="1"/>
  <c r="B675" i="18" a="1"/>
  <c r="B675" i="18" s="1"/>
  <c r="R675" i="18" s="1"/>
  <c r="B674" i="18" a="1"/>
  <c r="B674" i="18" s="1"/>
  <c r="R674" i="18" s="1"/>
  <c r="B673" i="18" a="1"/>
  <c r="B673" i="18" s="1"/>
  <c r="R673" i="18" s="1"/>
  <c r="B672" i="18" a="1"/>
  <c r="B672" i="18" s="1"/>
  <c r="R672" i="18" s="1"/>
  <c r="B671" i="18" a="1"/>
  <c r="B671" i="18" s="1"/>
  <c r="R671" i="18" s="1"/>
  <c r="B670" i="18" a="1"/>
  <c r="B670" i="18" s="1"/>
  <c r="R670" i="18" s="1"/>
  <c r="B669" i="18" a="1"/>
  <c r="H669" i="18" s="1" a="1"/>
  <c r="H669" i="18" s="1"/>
  <c r="B668" i="18" a="1"/>
  <c r="B668" i="18" s="1"/>
  <c r="R668" i="18" s="1"/>
  <c r="B667" i="18" a="1"/>
  <c r="B667" i="18" s="1"/>
  <c r="R667" i="18" s="1"/>
  <c r="B666" i="18" a="1"/>
  <c r="B665" i="18" a="1"/>
  <c r="B665" i="18" s="1"/>
  <c r="R665" i="18" s="1"/>
  <c r="B664" i="18" a="1"/>
  <c r="B664" i="18" s="1"/>
  <c r="R664" i="18" s="1"/>
  <c r="B663" i="18" a="1"/>
  <c r="B663" i="18" s="1"/>
  <c r="R663" i="18" s="1"/>
  <c r="B662" i="18" a="1"/>
  <c r="B661" i="18" a="1"/>
  <c r="B661" i="18" s="1"/>
  <c r="R661" i="18" s="1"/>
  <c r="B660" i="18" a="1"/>
  <c r="B660" i="18" s="1"/>
  <c r="R660" i="18" s="1"/>
  <c r="B659" i="18" a="1"/>
  <c r="B659" i="18" s="1"/>
  <c r="R659" i="18" s="1"/>
  <c r="B658" i="18" a="1"/>
  <c r="B658" i="18" s="1"/>
  <c r="B657" i="18" a="1"/>
  <c r="B657" i="18" s="1"/>
  <c r="R657" i="18" s="1"/>
  <c r="B656" i="18" a="1"/>
  <c r="H656" i="18" s="1" a="1"/>
  <c r="H656" i="18" s="1"/>
  <c r="B655" i="18" a="1"/>
  <c r="B654" i="18" a="1"/>
  <c r="B654" i="18" s="1"/>
  <c r="R654" i="18" s="1"/>
  <c r="B653" i="18" a="1"/>
  <c r="B652" i="18" a="1"/>
  <c r="B651" i="18" a="1"/>
  <c r="B650" i="18" a="1"/>
  <c r="H650" i="18" s="1" a="1"/>
  <c r="H650" i="18" s="1"/>
  <c r="B649" i="18" a="1"/>
  <c r="B648" i="18" a="1"/>
  <c r="B647" i="18" a="1"/>
  <c r="B647" i="18" s="1"/>
  <c r="R647" i="18" s="1"/>
  <c r="B646" i="18" a="1"/>
  <c r="B646" i="18" s="1"/>
  <c r="R646" i="18" s="1"/>
  <c r="B645" i="18" a="1"/>
  <c r="B645" i="18" s="1"/>
  <c r="R645" i="18" s="1"/>
  <c r="B644" i="18" a="1"/>
  <c r="B644" i="18" s="1"/>
  <c r="R644" i="18" s="1"/>
  <c r="B643" i="18" a="1"/>
  <c r="B643" i="18" s="1"/>
  <c r="R643" i="18" s="1"/>
  <c r="B642" i="18" a="1"/>
  <c r="B641" i="18" a="1"/>
  <c r="B641" i="18" s="1"/>
  <c r="R641" i="18" s="1"/>
  <c r="B640" i="18" a="1"/>
  <c r="H640" i="18" s="1" a="1"/>
  <c r="H640" i="18" s="1"/>
  <c r="B639" i="18" a="1"/>
  <c r="B639" i="18" s="1"/>
  <c r="R639" i="18" s="1"/>
  <c r="B638" i="18" a="1"/>
  <c r="B638" i="18" s="1"/>
  <c r="R638" i="18" s="1"/>
  <c r="B637" i="18" a="1"/>
  <c r="B636" i="18" a="1"/>
  <c r="B636" i="18" s="1"/>
  <c r="R636" i="18" s="1"/>
  <c r="B635" i="18" a="1"/>
  <c r="B635" i="18" s="1"/>
  <c r="R635" i="18" s="1"/>
  <c r="B634" i="18" a="1"/>
  <c r="B634" i="18" s="1"/>
  <c r="R634" i="18" s="1"/>
  <c r="B633" i="18" a="1"/>
  <c r="B632" i="18" a="1"/>
  <c r="B632" i="18" s="1"/>
  <c r="R632" i="18" s="1"/>
  <c r="B631" i="18" a="1"/>
  <c r="B631" i="18" s="1"/>
  <c r="R631" i="18" s="1"/>
  <c r="B630" i="18" a="1"/>
  <c r="B629" i="18" a="1"/>
  <c r="B628" i="18" a="1"/>
  <c r="B627" i="18" a="1"/>
  <c r="B626" i="18" a="1"/>
  <c r="B626" i="18" s="1"/>
  <c r="R626" i="18" s="1"/>
  <c r="B625" i="18" a="1"/>
  <c r="B625" i="18" s="1"/>
  <c r="R625" i="18" s="1"/>
  <c r="B624" i="18" a="1"/>
  <c r="B623" i="18" a="1"/>
  <c r="B623" i="18" s="1"/>
  <c r="R623" i="18" s="1"/>
  <c r="B622" i="18" a="1"/>
  <c r="B622" i="18" s="1"/>
  <c r="R622" i="18" s="1"/>
  <c r="B621" i="18" a="1"/>
  <c r="B620" i="18" a="1"/>
  <c r="B619" i="18" a="1"/>
  <c r="B619" i="18" s="1"/>
  <c r="R619" i="18" s="1"/>
  <c r="B618" i="18" a="1"/>
  <c r="B618" i="18" s="1"/>
  <c r="R618" i="18" s="1"/>
  <c r="B617" i="18" a="1"/>
  <c r="B617" i="18" s="1"/>
  <c r="R617" i="18" s="1"/>
  <c r="B616" i="18" a="1"/>
  <c r="B616" i="18" s="1"/>
  <c r="R616" i="18" s="1"/>
  <c r="B615" i="18" a="1"/>
  <c r="B614" i="18" a="1"/>
  <c r="B614" i="18" s="1"/>
  <c r="R614" i="18" s="1"/>
  <c r="B613" i="18" a="1"/>
  <c r="B613" i="18" s="1"/>
  <c r="R613" i="18" s="1"/>
  <c r="B612" i="18" a="1"/>
  <c r="B612" i="18" s="1"/>
  <c r="R612" i="18" s="1"/>
  <c r="B611" i="18" a="1"/>
  <c r="B611" i="18" s="1"/>
  <c r="R611" i="18" s="1"/>
  <c r="B610" i="18" a="1"/>
  <c r="B610" i="18" s="1"/>
  <c r="R610" i="18" s="1"/>
  <c r="B609" i="18" a="1"/>
  <c r="B609" i="18" s="1"/>
  <c r="R609" i="18" s="1"/>
  <c r="B608" i="18" a="1"/>
  <c r="B608" i="18" s="1"/>
  <c r="R608" i="18" s="1"/>
  <c r="B607" i="18" a="1"/>
  <c r="H607" i="18" s="1" a="1"/>
  <c r="H607" i="18" s="1"/>
  <c r="B606" i="18" a="1"/>
  <c r="B606" i="18" s="1"/>
  <c r="R606" i="18" s="1"/>
  <c r="B605" i="18" a="1"/>
  <c r="B604" i="18" a="1"/>
  <c r="B603" i="18" a="1"/>
  <c r="B603" i="18" s="1"/>
  <c r="R603" i="18" s="1"/>
  <c r="B602" i="18" a="1"/>
  <c r="B602" i="18" s="1"/>
  <c r="R602" i="18" s="1"/>
  <c r="B601" i="18" a="1"/>
  <c r="B600" i="18" a="1"/>
  <c r="B599" i="18" a="1"/>
  <c r="B599" i="18" s="1"/>
  <c r="R599" i="18" s="1"/>
  <c r="B598" i="18" a="1"/>
  <c r="B598" i="18" s="1"/>
  <c r="R598" i="18" s="1"/>
  <c r="B597" i="18" a="1"/>
  <c r="B596" i="18" a="1"/>
  <c r="B596" i="18" s="1"/>
  <c r="R596" i="18" s="1"/>
  <c r="B595" i="18" a="1"/>
  <c r="B594" i="18" a="1"/>
  <c r="H594" i="18" s="1" a="1"/>
  <c r="H594" i="18" s="1"/>
  <c r="B593" i="18" a="1"/>
  <c r="B592" i="18" a="1"/>
  <c r="B592" i="18" s="1"/>
  <c r="R592" i="18" s="1"/>
  <c r="B591" i="18" a="1"/>
  <c r="B591" i="18" s="1"/>
  <c r="R591" i="18" s="1"/>
  <c r="B590" i="18" a="1"/>
  <c r="B590" i="18" s="1"/>
  <c r="R590" i="18" s="1"/>
  <c r="B589" i="18" a="1"/>
  <c r="B589" i="18" s="1"/>
  <c r="R589" i="18" s="1"/>
  <c r="B588" i="18" a="1"/>
  <c r="B587" i="18" a="1"/>
  <c r="H587" i="18" s="1" a="1"/>
  <c r="H587" i="18" s="1"/>
  <c r="B586" i="18" a="1"/>
  <c r="B586" i="18" s="1"/>
  <c r="R586" i="18" s="1"/>
  <c r="B585" i="18" a="1"/>
  <c r="B585" i="18" s="1"/>
  <c r="R585" i="18" s="1"/>
  <c r="B584" i="18" a="1"/>
  <c r="B584" i="18" s="1"/>
  <c r="R584" i="18" s="1"/>
  <c r="B583" i="18" a="1"/>
  <c r="H583" i="18" s="1" a="1"/>
  <c r="H583" i="18" s="1"/>
  <c r="B582" i="18" a="1"/>
  <c r="B581" i="18" a="1"/>
  <c r="B580" i="18" a="1"/>
  <c r="B580" i="18" s="1"/>
  <c r="R580" i="18" s="1"/>
  <c r="B579" i="18" a="1"/>
  <c r="B579" i="18" s="1"/>
  <c r="R579" i="18" s="1"/>
  <c r="B578" i="18" a="1"/>
  <c r="B578" i="18" s="1"/>
  <c r="R578" i="18" s="1"/>
  <c r="B577" i="18" a="1"/>
  <c r="B577" i="18" s="1"/>
  <c r="R577" i="18" s="1"/>
  <c r="B576" i="18" a="1"/>
  <c r="B576" i="18" s="1"/>
  <c r="R576" i="18" s="1"/>
  <c r="B575" i="18" a="1"/>
  <c r="B575" i="18" s="1"/>
  <c r="R575" i="18" s="1"/>
  <c r="B574" i="18" a="1"/>
  <c r="B573" i="18" a="1"/>
  <c r="B572" i="18" a="1"/>
  <c r="H572" i="18" s="1" a="1"/>
  <c r="H572" i="18" s="1"/>
  <c r="B571" i="18" a="1"/>
  <c r="B570" i="18" a="1"/>
  <c r="B569" i="18" a="1"/>
  <c r="B568" i="18" a="1"/>
  <c r="H568" i="18" s="1" a="1"/>
  <c r="H568" i="18" s="1"/>
  <c r="B567" i="18" a="1"/>
  <c r="B567" i="18" s="1"/>
  <c r="R567" i="18" s="1"/>
  <c r="B566" i="18" a="1"/>
  <c r="B566" i="18" s="1"/>
  <c r="R566" i="18" s="1"/>
  <c r="B565" i="18" a="1"/>
  <c r="B565" i="18" s="1"/>
  <c r="R565" i="18" s="1"/>
  <c r="B564" i="18" a="1"/>
  <c r="B563" i="18" a="1"/>
  <c r="B562" i="18" a="1"/>
  <c r="B562" i="18" s="1"/>
  <c r="R562" i="18" s="1"/>
  <c r="B561" i="18" a="1"/>
  <c r="B561" i="18" s="1"/>
  <c r="R561" i="18" s="1"/>
  <c r="B560" i="18" a="1"/>
  <c r="B560" i="18" s="1"/>
  <c r="R560" i="18" s="1"/>
  <c r="B559" i="18" a="1"/>
  <c r="B558" i="18" a="1"/>
  <c r="B557" i="18" a="1"/>
  <c r="B556" i="18" a="1"/>
  <c r="B556" i="18" s="1"/>
  <c r="R556" i="18" s="1"/>
  <c r="B555" i="18" a="1"/>
  <c r="B554" i="18" a="1"/>
  <c r="B553" i="18" a="1"/>
  <c r="B552" i="18" a="1"/>
  <c r="B552" i="18" s="1"/>
  <c r="R552" i="18" s="1"/>
  <c r="B551" i="18" a="1"/>
  <c r="B551" i="18" s="1"/>
  <c r="R551" i="18" s="1"/>
  <c r="B550" i="18" a="1"/>
  <c r="B549" i="18" a="1"/>
  <c r="B548" i="18" a="1"/>
  <c r="B548" i="18" s="1"/>
  <c r="R548" i="18" s="1"/>
  <c r="B547" i="18" a="1"/>
  <c r="B547" i="18" s="1"/>
  <c r="R547" i="18" s="1"/>
  <c r="B546" i="18" a="1"/>
  <c r="B546" i="18" s="1"/>
  <c r="R546" i="18" s="1"/>
  <c r="B545" i="18" a="1"/>
  <c r="B545" i="18" s="1"/>
  <c r="B544" i="18" a="1"/>
  <c r="B544" i="18" s="1"/>
  <c r="R544" i="18" s="1"/>
  <c r="B543" i="18" a="1"/>
  <c r="B174" i="18" a="1"/>
  <c r="B174" i="18" s="1"/>
  <c r="R174" i="18" s="1"/>
  <c r="AA678" i="18" a="1"/>
  <c r="AA678" i="18" s="1"/>
  <c r="U678" i="18" a="1"/>
  <c r="U678" i="18" s="1"/>
  <c r="AA677" i="18" a="1"/>
  <c r="AA677" i="18" s="1"/>
  <c r="U677" i="18" a="1"/>
  <c r="U677" i="18" s="1"/>
  <c r="AA676" i="18" a="1"/>
  <c r="AA676" i="18" s="1"/>
  <c r="AA675" i="18" a="1"/>
  <c r="AA675" i="18" s="1"/>
  <c r="U675" i="18" a="1"/>
  <c r="U675" i="18" s="1"/>
  <c r="AA674" i="18" a="1"/>
  <c r="AA674" i="18" s="1"/>
  <c r="U674" i="18" a="1"/>
  <c r="U674" i="18" s="1"/>
  <c r="U671" i="18" a="1"/>
  <c r="U654" i="18" a="1"/>
  <c r="U653" i="18" a="1"/>
  <c r="AA652" i="18" a="1"/>
  <c r="AA652" i="18" s="1"/>
  <c r="U652" i="18" a="1"/>
  <c r="U652" i="18" s="1"/>
  <c r="U651" i="18" a="1"/>
  <c r="U650" i="18" a="1"/>
  <c r="U649" i="18" a="1"/>
  <c r="U647" i="18" a="1"/>
  <c r="U646" i="18" a="1"/>
  <c r="U645" i="18" a="1"/>
  <c r="U630" i="18" a="1"/>
  <c r="U629" i="18" a="1"/>
  <c r="AA628" i="18" a="1"/>
  <c r="AA628" i="18" s="1"/>
  <c r="U628" i="18" a="1"/>
  <c r="U628" i="18" s="1"/>
  <c r="U627" i="18" a="1"/>
  <c r="U625" i="18" a="1"/>
  <c r="U623" i="18" a="1"/>
  <c r="U622" i="18" a="1"/>
  <c r="U621" i="18" a="1"/>
  <c r="U620" i="18" a="1"/>
  <c r="U619" i="18" a="1"/>
  <c r="U617" i="18" a="1"/>
  <c r="AA617" i="18" s="1" a="1"/>
  <c r="AA617" i="18" s="1"/>
  <c r="U615" i="18" a="1"/>
  <c r="U614" i="18" a="1"/>
  <c r="U613" i="18" a="1"/>
  <c r="U610" i="18" a="1"/>
  <c r="U606" i="18" a="1"/>
  <c r="U603" i="18" a="1"/>
  <c r="U602" i="18" a="1"/>
  <c r="U601" i="18" a="1"/>
  <c r="U599" i="18" a="1"/>
  <c r="U598" i="18" a="1"/>
  <c r="U582" i="18" a="1"/>
  <c r="U581" i="18" a="1"/>
  <c r="U580" i="18" a="1"/>
  <c r="U580" i="18" s="1"/>
  <c r="AK580" i="18" s="1"/>
  <c r="U579" i="18" a="1"/>
  <c r="U578" i="18" a="1"/>
  <c r="U575" i="18" a="1"/>
  <c r="AA575" i="18" s="1" a="1"/>
  <c r="AA575" i="18" s="1"/>
  <c r="U574" i="18" a="1"/>
  <c r="U573" i="18" a="1"/>
  <c r="U572" i="18" a="1"/>
  <c r="U571" i="18" a="1"/>
  <c r="U558" i="18" a="1"/>
  <c r="U557" i="18" a="1"/>
  <c r="U554" i="18" a="1"/>
  <c r="U551" i="18" a="1"/>
  <c r="U550" i="18" a="1"/>
  <c r="U549" i="18" a="1"/>
  <c r="U548" i="18" a="1"/>
  <c r="U547" i="18" a="1"/>
  <c r="U546" i="18" a="1"/>
  <c r="U545" i="18" a="1"/>
  <c r="AA545" i="18" s="1" a="1"/>
  <c r="AA545" i="18" s="1"/>
  <c r="U543" i="18" a="1"/>
  <c r="U543" i="18" s="1"/>
  <c r="AK543" i="18" s="1"/>
  <c r="U542" i="18" a="1"/>
  <c r="U541" i="18" a="1"/>
  <c r="U534" i="18" a="1"/>
  <c r="U533" i="18" a="1"/>
  <c r="U532" i="18" a="1"/>
  <c r="U532" i="18" s="1"/>
  <c r="AK532" i="18" s="1"/>
  <c r="U531" i="18" a="1"/>
  <c r="U530" i="18" a="1"/>
  <c r="U527" i="18" a="1"/>
  <c r="U526" i="18" a="1"/>
  <c r="U525" i="18" a="1"/>
  <c r="AA525" i="18" s="1" a="1"/>
  <c r="AA525" i="18" s="1"/>
  <c r="U510" i="18" a="1"/>
  <c r="U509" i="18" a="1"/>
  <c r="U508" i="18" a="1"/>
  <c r="U508" i="18" s="1"/>
  <c r="AK508" i="18" s="1"/>
  <c r="U507" i="18" a="1"/>
  <c r="U506" i="18" a="1"/>
  <c r="U503" i="18" a="1"/>
  <c r="U501" i="18" a="1"/>
  <c r="U500" i="18" a="1"/>
  <c r="U499" i="18" a="1"/>
  <c r="U497" i="18" a="1"/>
  <c r="U495" i="18" a="1"/>
  <c r="U495" i="18" s="1"/>
  <c r="AK495" i="18" s="1"/>
  <c r="U494" i="18" a="1"/>
  <c r="U493" i="18" a="1"/>
  <c r="U486" i="18" a="1"/>
  <c r="U485" i="18" a="1"/>
  <c r="U484" i="18" a="1"/>
  <c r="U484" i="18" s="1"/>
  <c r="AK484" i="18" s="1"/>
  <c r="U482" i="18" a="1"/>
  <c r="U481" i="18" a="1"/>
  <c r="U479" i="18" a="1"/>
  <c r="U462" i="18" a="1"/>
  <c r="U461" i="18" a="1"/>
  <c r="U460" i="18" a="1"/>
  <c r="U460" i="18" s="1"/>
  <c r="AK460" i="18" s="1"/>
  <c r="U459" i="18" a="1"/>
  <c r="U458" i="18" a="1"/>
  <c r="U457" i="18" a="1"/>
  <c r="U455" i="18" a="1"/>
  <c r="U454" i="18" a="1"/>
  <c r="U453" i="18" a="1"/>
  <c r="U452" i="18" a="1"/>
  <c r="U438" i="18" a="1"/>
  <c r="U437" i="18" a="1"/>
  <c r="U436" i="18" a="1"/>
  <c r="U436" i="18" s="1"/>
  <c r="AK436" i="18" s="1"/>
  <c r="U435" i="18" a="1"/>
  <c r="U434" i="18" a="1"/>
  <c r="U431" i="18" a="1"/>
  <c r="U429" i="18" a="1"/>
  <c r="U428" i="18" a="1"/>
  <c r="U427" i="18" a="1"/>
  <c r="U426" i="18" a="1"/>
  <c r="U425" i="18" a="1"/>
  <c r="U424" i="18" a="1"/>
  <c r="U423" i="18" a="1"/>
  <c r="U414" i="18" a="1"/>
  <c r="U413" i="18" a="1"/>
  <c r="U410" i="18" a="1"/>
  <c r="U410" i="18" s="1"/>
  <c r="AK410" i="18" s="1"/>
  <c r="U409" i="18" a="1"/>
  <c r="U407" i="18" a="1"/>
  <c r="U406" i="18" a="1"/>
  <c r="U405" i="18" a="1"/>
  <c r="U404" i="18" a="1"/>
  <c r="U403" i="18" a="1"/>
  <c r="U401" i="18" a="1"/>
  <c r="U390" i="18" a="1"/>
  <c r="U389" i="18" a="1"/>
  <c r="U387" i="18" a="1"/>
  <c r="U386" i="18" a="1"/>
  <c r="U386" i="18" s="1"/>
  <c r="AK386" i="18" s="1"/>
  <c r="U385" i="18" a="1"/>
  <c r="U383" i="18" a="1"/>
  <c r="AA383" i="18" s="1" a="1"/>
  <c r="AA383" i="18" s="1"/>
  <c r="U382" i="18" a="1"/>
  <c r="U381" i="18" a="1"/>
  <c r="U380" i="18" a="1"/>
  <c r="U366" i="18" a="1"/>
  <c r="U365" i="18" a="1"/>
  <c r="U363" i="18" a="1"/>
  <c r="U362" i="18" a="1"/>
  <c r="U362" i="18" s="1"/>
  <c r="AK362" i="18" s="1"/>
  <c r="U358" i="18" a="1"/>
  <c r="U357" i="18" a="1"/>
  <c r="U356" i="18" a="1"/>
  <c r="U354" i="18" a="1"/>
  <c r="U353" i="18" a="1"/>
  <c r="U351" i="18" a="1"/>
  <c r="U350" i="18" a="1"/>
  <c r="U350" i="18" s="1"/>
  <c r="AK350" i="18" s="1"/>
  <c r="U342" i="18" a="1"/>
  <c r="U341" i="18" a="1"/>
  <c r="U338" i="18" a="1"/>
  <c r="U335" i="18" a="1"/>
  <c r="AA335" i="18" s="1" a="1"/>
  <c r="AA335" i="18" s="1"/>
  <c r="U334" i="18" a="1"/>
  <c r="U333" i="18" a="1"/>
  <c r="U332" i="18" a="1"/>
  <c r="U330" i="18" a="1"/>
  <c r="U329" i="18" a="1"/>
  <c r="U318" i="18" a="1"/>
  <c r="U317" i="18" a="1"/>
  <c r="U315" i="18" a="1"/>
  <c r="U314" i="18" a="1"/>
  <c r="U309" i="18" a="1"/>
  <c r="U302" i="18" a="1"/>
  <c r="U294" i="18" a="1"/>
  <c r="U291" i="18" a="1"/>
  <c r="U290" i="18" a="1"/>
  <c r="U289" i="18" a="1"/>
  <c r="U287" i="18" a="1"/>
  <c r="U285" i="18" a="1"/>
  <c r="U284" i="18" a="1"/>
  <c r="U282" i="18" a="1"/>
  <c r="U281" i="18" a="1"/>
  <c r="U279" i="18" a="1"/>
  <c r="U278" i="18" a="1"/>
  <c r="U270" i="18" a="1"/>
  <c r="U269" i="18" a="1"/>
  <c r="U267" i="18" a="1"/>
  <c r="U266" i="18" a="1"/>
  <c r="U265" i="18" a="1"/>
  <c r="U264" i="18" a="1"/>
  <c r="U261" i="18" a="1"/>
  <c r="U260" i="18" a="1"/>
  <c r="U246" i="18" a="1"/>
  <c r="U243" i="18" a="1"/>
  <c r="U242" i="18" a="1"/>
  <c r="U241" i="18" a="1"/>
  <c r="U239" i="18" a="1"/>
  <c r="U238" i="18" a="1"/>
  <c r="U237" i="18" a="1"/>
  <c r="U236" i="18" a="1"/>
  <c r="U221" i="18" a="1"/>
  <c r="U219" i="18" a="1"/>
  <c r="U218" i="18" a="1"/>
  <c r="U213" i="18" a="1"/>
  <c r="U212" i="18" a="1"/>
  <c r="U210" i="18" a="1"/>
  <c r="U206" i="18" a="1"/>
  <c r="U206" i="18" s="1"/>
  <c r="AK206" i="18" s="1"/>
  <c r="U198" i="18" a="1"/>
  <c r="U197" i="18" a="1"/>
  <c r="U197" i="18" s="1"/>
  <c r="AK197" i="18" s="1"/>
  <c r="U194" i="18" a="1"/>
  <c r="U185" i="18" a="1"/>
  <c r="U173" i="18" a="1"/>
  <c r="U170" i="18" a="1"/>
  <c r="U169" i="18" a="1"/>
  <c r="U163" i="18" a="1"/>
  <c r="U162" i="18" a="1"/>
  <c r="U146" i="18" a="1"/>
  <c r="U145" i="18" a="1"/>
  <c r="U142" i="18" a="1"/>
  <c r="U142" i="18" s="1"/>
  <c r="U141" i="18" a="1"/>
  <c r="U122" i="18" a="1"/>
  <c r="U121" i="18" a="1"/>
  <c r="U101" i="18" a="1"/>
  <c r="U98" i="18" a="1"/>
  <c r="AA98" i="18" s="1" a="1"/>
  <c r="U74" i="18" a="1"/>
  <c r="U51" i="18" a="1"/>
  <c r="U50" i="18" a="1"/>
  <c r="U29" i="18" a="1"/>
  <c r="U26" i="18" a="1"/>
  <c r="U53" i="11"/>
  <c r="T53" i="11"/>
  <c r="U52" i="11"/>
  <c r="T52" i="11"/>
  <c r="U51" i="11"/>
  <c r="T51" i="11"/>
  <c r="U50" i="11"/>
  <c r="T50" i="11"/>
  <c r="U49" i="11"/>
  <c r="T49" i="11"/>
  <c r="U48" i="11"/>
  <c r="T48" i="11"/>
  <c r="U47" i="11"/>
  <c r="T47" i="11"/>
  <c r="U46" i="11"/>
  <c r="T46" i="11"/>
  <c r="U45" i="11"/>
  <c r="T45" i="11"/>
  <c r="U44" i="11"/>
  <c r="T44" i="11"/>
  <c r="U43" i="11"/>
  <c r="T43" i="11"/>
  <c r="U42" i="11"/>
  <c r="T42" i="11"/>
  <c r="U41" i="11"/>
  <c r="T41" i="11"/>
  <c r="U40" i="11"/>
  <c r="T40" i="11"/>
  <c r="U39" i="11"/>
  <c r="T39" i="11"/>
  <c r="U38" i="11"/>
  <c r="T38" i="11"/>
  <c r="U37" i="11"/>
  <c r="T37" i="11"/>
  <c r="U36" i="11"/>
  <c r="T36" i="11"/>
  <c r="U35" i="11"/>
  <c r="T35" i="11"/>
  <c r="U34" i="11"/>
  <c r="T34" i="11"/>
  <c r="U33" i="11"/>
  <c r="T33" i="11"/>
  <c r="U32" i="11"/>
  <c r="T32" i="11"/>
  <c r="U31" i="11"/>
  <c r="T31" i="11"/>
  <c r="U30" i="11"/>
  <c r="T30" i="11"/>
  <c r="U29" i="11"/>
  <c r="T29" i="11"/>
  <c r="U28" i="11"/>
  <c r="T28" i="11"/>
  <c r="U27" i="11"/>
  <c r="T27" i="11"/>
  <c r="U26" i="11"/>
  <c r="T26" i="11"/>
  <c r="U25" i="11"/>
  <c r="T25" i="11"/>
  <c r="U24" i="11"/>
  <c r="T24" i="11"/>
  <c r="U23" i="11"/>
  <c r="T23" i="11"/>
  <c r="U22" i="11"/>
  <c r="T22" i="11"/>
  <c r="U21" i="11"/>
  <c r="T21" i="11"/>
  <c r="U20" i="11"/>
  <c r="T20" i="11"/>
  <c r="U19" i="11"/>
  <c r="T19" i="11"/>
  <c r="U18" i="11"/>
  <c r="T18" i="11"/>
  <c r="U17" i="11"/>
  <c r="T17" i="11"/>
  <c r="U16" i="11"/>
  <c r="T16" i="11"/>
  <c r="U15" i="11"/>
  <c r="T15" i="11"/>
  <c r="U14" i="11"/>
  <c r="T14" i="11"/>
  <c r="U13" i="11"/>
  <c r="T13" i="11"/>
  <c r="U12" i="11"/>
  <c r="T12" i="11"/>
  <c r="U11" i="11"/>
  <c r="T11" i="11"/>
  <c r="U10" i="11"/>
  <c r="T10" i="11"/>
  <c r="U9" i="11"/>
  <c r="T9" i="11"/>
  <c r="U8" i="11"/>
  <c r="T8" i="11"/>
  <c r="U7" i="11"/>
  <c r="T7" i="11"/>
  <c r="U6" i="11"/>
  <c r="T6" i="11"/>
  <c r="U5" i="11"/>
  <c r="T5" i="11"/>
  <c r="U4" i="11"/>
  <c r="T4" i="11"/>
  <c r="AK172" i="18" l="1"/>
  <c r="AK31" i="18"/>
  <c r="AK7" i="18"/>
  <c r="AK148" i="18"/>
  <c r="AK142" i="18"/>
  <c r="AK79" i="18"/>
  <c r="AK55" i="18"/>
  <c r="AK96" i="18"/>
  <c r="AK133" i="18"/>
  <c r="AA245" i="18"/>
  <c r="AA118" i="18"/>
  <c r="AA215" i="18"/>
  <c r="AA191" i="18"/>
  <c r="AA85" i="18"/>
  <c r="AA109" i="18"/>
  <c r="AA200" i="18"/>
  <c r="AA224" i="18"/>
  <c r="AA248" i="18"/>
  <c r="AA9" i="18"/>
  <c r="AA33" i="18"/>
  <c r="AA57" i="18"/>
  <c r="AA81" i="18"/>
  <c r="AA153" i="18"/>
  <c r="AA98" i="18"/>
  <c r="AA193" i="18"/>
  <c r="AA307" i="18"/>
  <c r="AA184" i="18"/>
  <c r="AA277" i="18"/>
  <c r="AA288" i="18"/>
  <c r="AA167" i="18"/>
  <c r="O658" i="18"/>
  <c r="R658" i="18"/>
  <c r="P545" i="18"/>
  <c r="R545" i="18"/>
  <c r="AJ676" i="18"/>
  <c r="AK676" i="18"/>
  <c r="AJ677" i="18"/>
  <c r="AK677" i="18"/>
  <c r="AJ652" i="18"/>
  <c r="AK652" i="18"/>
  <c r="AJ628" i="18"/>
  <c r="AK628" i="18"/>
  <c r="AJ674" i="18"/>
  <c r="AK674" i="18"/>
  <c r="AJ675" i="18"/>
  <c r="AK675" i="18"/>
  <c r="AJ678" i="18"/>
  <c r="AK678" i="18"/>
  <c r="AJ148" i="18"/>
  <c r="AJ133" i="18"/>
  <c r="AJ206" i="18"/>
  <c r="Q618" i="18"/>
  <c r="Q546" i="18"/>
  <c r="Q646" i="18"/>
  <c r="Q556" i="18"/>
  <c r="Q661" i="18"/>
  <c r="AJ96" i="18"/>
  <c r="Q578" i="18"/>
  <c r="Q670" i="18"/>
  <c r="AJ31" i="18"/>
  <c r="AA320" i="18" a="1"/>
  <c r="AA320" i="18" s="1"/>
  <c r="AA296" i="18" a="1"/>
  <c r="H674" i="18" a="1"/>
  <c r="H674" i="18" s="1"/>
  <c r="H678" i="18" a="1"/>
  <c r="H678" i="18" s="1"/>
  <c r="H675" i="18" a="1"/>
  <c r="H675" i="18" s="1"/>
  <c r="H676" i="18" a="1"/>
  <c r="H676" i="18" s="1"/>
  <c r="H677" i="18" a="1"/>
  <c r="H677" i="18" s="1"/>
  <c r="AJ172" i="18"/>
  <c r="AJ532" i="18"/>
  <c r="AJ604" i="18"/>
  <c r="AJ394" i="18"/>
  <c r="AJ388" i="18"/>
  <c r="AJ386" i="18"/>
  <c r="AJ298" i="18"/>
  <c r="AJ296" i="18"/>
  <c r="AJ286" i="18"/>
  <c r="AJ259" i="18"/>
  <c r="Q617" i="18"/>
  <c r="Q616" i="18"/>
  <c r="Q614" i="18"/>
  <c r="Q610" i="18"/>
  <c r="Q613" i="18"/>
  <c r="Q612" i="18"/>
  <c r="Q611" i="18"/>
  <c r="Q609" i="18"/>
  <c r="Q608" i="18"/>
  <c r="AJ311" i="18"/>
  <c r="AJ436" i="18"/>
  <c r="AJ543" i="18"/>
  <c r="AJ538" i="18"/>
  <c r="AJ410" i="18"/>
  <c r="AJ79" i="18"/>
  <c r="AJ320" i="18"/>
  <c r="AJ442" i="18"/>
  <c r="AJ460" i="18"/>
  <c r="AJ556" i="18"/>
  <c r="AJ508" i="18"/>
  <c r="Q174" i="18"/>
  <c r="AJ254" i="18"/>
  <c r="Q603" i="18"/>
  <c r="Q602" i="18"/>
  <c r="Q599" i="18"/>
  <c r="Q598" i="18"/>
  <c r="Q606" i="18"/>
  <c r="Q694" i="18"/>
  <c r="Q693" i="18"/>
  <c r="Q692" i="18"/>
  <c r="Q690" i="18"/>
  <c r="Q691" i="18"/>
  <c r="Q689" i="18"/>
  <c r="Q688" i="18"/>
  <c r="Q687" i="18"/>
  <c r="Q686" i="18"/>
  <c r="AJ350" i="18"/>
  <c r="AJ348" i="18"/>
  <c r="AJ336" i="18"/>
  <c r="AJ474" i="18"/>
  <c r="AJ362" i="18"/>
  <c r="AJ495" i="18"/>
  <c r="AJ484" i="18"/>
  <c r="AJ588" i="18"/>
  <c r="AJ586" i="18"/>
  <c r="AJ580" i="18"/>
  <c r="B80" i="18" a="1"/>
  <c r="B80" i="18" s="1"/>
  <c r="B9" i="18" a="1"/>
  <c r="B9" i="18" s="1"/>
  <c r="R9" i="18" s="1"/>
  <c r="B57" i="18" a="1"/>
  <c r="B105" i="18" a="1"/>
  <c r="B105" i="18" s="1"/>
  <c r="B176" i="18" a="1"/>
  <c r="B176" i="18" s="1"/>
  <c r="B248" i="18" a="1"/>
  <c r="B320" i="18" a="1"/>
  <c r="H320" i="18" s="1" a="1"/>
  <c r="H320" i="18" s="1"/>
  <c r="B392" i="18" a="1"/>
  <c r="B392" i="18" s="1"/>
  <c r="B440" i="18" a="1"/>
  <c r="B10" i="18" a="1"/>
  <c r="B10" i="18" s="1"/>
  <c r="B34" i="18" a="1"/>
  <c r="B58" i="18" a="1"/>
  <c r="B82" i="18" a="1"/>
  <c r="B82" i="18" s="1"/>
  <c r="B106" i="18" a="1"/>
  <c r="B106" i="18" s="1"/>
  <c r="B130" i="18" a="1"/>
  <c r="B130" i="18" s="1"/>
  <c r="L130" i="18" s="1"/>
  <c r="B154" i="18" a="1"/>
  <c r="B154" i="18" s="1"/>
  <c r="B177" i="18" a="1"/>
  <c r="B177" i="18" s="1"/>
  <c r="N177" i="18" s="1"/>
  <c r="B201" i="18" a="1"/>
  <c r="B225" i="18" a="1"/>
  <c r="B225" i="18" s="1"/>
  <c r="B249" i="18" a="1"/>
  <c r="B273" i="18" a="1"/>
  <c r="B297" i="18" a="1"/>
  <c r="B297" i="18" s="1"/>
  <c r="B321" i="18" a="1"/>
  <c r="B345" i="18" a="1"/>
  <c r="B369" i="18" a="1"/>
  <c r="B393" i="18" a="1"/>
  <c r="B393" i="18" s="1"/>
  <c r="B417" i="18" a="1"/>
  <c r="B417" i="18" s="1"/>
  <c r="B441" i="18" a="1"/>
  <c r="B441" i="18" s="1"/>
  <c r="O441" i="18" s="1"/>
  <c r="B465" i="18" a="1"/>
  <c r="B465" i="18" s="1"/>
  <c r="M465" i="18" s="1"/>
  <c r="B489" i="18" a="1"/>
  <c r="H489" i="18" s="1" a="1"/>
  <c r="H489" i="18" s="1"/>
  <c r="B513" i="18" a="1"/>
  <c r="B513" i="18" s="1"/>
  <c r="R513" i="18" s="1"/>
  <c r="B537" i="18" a="1"/>
  <c r="B537" i="18" s="1"/>
  <c r="R537" i="18" s="1"/>
  <c r="B32" i="18" a="1"/>
  <c r="B200" i="18" a="1"/>
  <c r="H200" i="18" s="1" a="1"/>
  <c r="H200" i="18" s="1"/>
  <c r="B368" i="18" a="1"/>
  <c r="B464" i="18" a="1"/>
  <c r="B536" i="18" a="1"/>
  <c r="B11" i="18" a="1"/>
  <c r="B11" i="18" s="1"/>
  <c r="B35" i="18" a="1"/>
  <c r="H35" i="18" s="1" a="1"/>
  <c r="H35" i="18" s="1"/>
  <c r="B59" i="18" a="1"/>
  <c r="B59" i="18" s="1"/>
  <c r="R59" i="18" s="1"/>
  <c r="B83" i="18" a="1"/>
  <c r="B83" i="18" s="1"/>
  <c r="R83" i="18" s="1"/>
  <c r="B107" i="18" a="1"/>
  <c r="H107" i="18" s="1" a="1"/>
  <c r="H107" i="18" s="1"/>
  <c r="B131" i="18" a="1"/>
  <c r="B131" i="18" s="1"/>
  <c r="B155" i="18" a="1"/>
  <c r="B178" i="18" a="1"/>
  <c r="B202" i="18" a="1"/>
  <c r="B202" i="18" s="1"/>
  <c r="R202" i="18" s="1"/>
  <c r="B226" i="18" a="1"/>
  <c r="B226" i="18" s="1"/>
  <c r="L226" i="18" s="1"/>
  <c r="B250" i="18" a="1"/>
  <c r="B250" i="18" s="1"/>
  <c r="R250" i="18" s="1"/>
  <c r="B274" i="18" a="1"/>
  <c r="B274" i="18" s="1"/>
  <c r="R274" i="18" s="1"/>
  <c r="B271" i="18" a="1"/>
  <c r="H271" i="18" s="1" a="1"/>
  <c r="H271" i="18" s="1"/>
  <c r="B153" i="18" a="1"/>
  <c r="H153" i="18" s="1" a="1"/>
  <c r="H153" i="18" s="1"/>
  <c r="B488" i="18" a="1"/>
  <c r="H488" i="18" s="1" a="1"/>
  <c r="H488" i="18" s="1"/>
  <c r="B12" i="18" a="1"/>
  <c r="B12" i="18" s="1"/>
  <c r="R12" i="18" s="1"/>
  <c r="B36" i="18" a="1"/>
  <c r="B36" i="18" s="1"/>
  <c r="B60" i="18" a="1"/>
  <c r="B60" i="18" s="1"/>
  <c r="B84" i="18" a="1"/>
  <c r="B84" i="18" s="1"/>
  <c r="B108" i="18" a="1"/>
  <c r="B108" i="18" s="1"/>
  <c r="B56" i="18" a="1"/>
  <c r="H56" i="18" s="1" a="1"/>
  <c r="H56" i="18" s="1"/>
  <c r="B13" i="18" a="1"/>
  <c r="B13" i="18" s="1"/>
  <c r="R13" i="18" s="1"/>
  <c r="B37" i="18" a="1"/>
  <c r="B61" i="18" a="1"/>
  <c r="B61" i="18" s="1"/>
  <c r="B85" i="18" a="1"/>
  <c r="B109" i="18" a="1"/>
  <c r="B109" i="18" s="1"/>
  <c r="R109" i="18" s="1"/>
  <c r="B223" i="18" a="1"/>
  <c r="B272" i="18" a="1"/>
  <c r="B272" i="18" s="1"/>
  <c r="R272" i="18" s="1"/>
  <c r="B128" i="18" a="1"/>
  <c r="B128" i="18" s="1"/>
  <c r="B303" i="18" a="1"/>
  <c r="H303" i="18" s="1" a="1"/>
  <c r="H303" i="18" s="1"/>
  <c r="B327" i="18" a="1"/>
  <c r="B351" i="18" a="1"/>
  <c r="B375" i="18" a="1"/>
  <c r="B399" i="18" a="1"/>
  <c r="B423" i="18" a="1"/>
  <c r="B447" i="18" a="1"/>
  <c r="B471" i="18" a="1"/>
  <c r="B471" i="18" s="1"/>
  <c r="R471" i="18" s="1"/>
  <c r="B495" i="18" a="1"/>
  <c r="B495" i="18" s="1"/>
  <c r="R495" i="18" s="1"/>
  <c r="B519" i="18" a="1"/>
  <c r="B519" i="18" s="1"/>
  <c r="B199" i="18" a="1"/>
  <c r="B199" i="18" s="1"/>
  <c r="R199" i="18" s="1"/>
  <c r="B113" i="18" a="1"/>
  <c r="H113" i="18" s="1" a="1"/>
  <c r="H113" i="18" s="1"/>
  <c r="B137" i="18" a="1"/>
  <c r="B137" i="18" s="1"/>
  <c r="B161" i="18" a="1"/>
  <c r="B161" i="18" s="1"/>
  <c r="O161" i="18" s="1"/>
  <c r="B184" i="18" a="1"/>
  <c r="B184" i="18" s="1"/>
  <c r="B208" i="18" a="1"/>
  <c r="H208" i="18" s="1" a="1"/>
  <c r="H208" i="18" s="1"/>
  <c r="B232" i="18" a="1"/>
  <c r="H232" i="18" s="1" a="1"/>
  <c r="H232" i="18" s="1"/>
  <c r="B256" i="18" a="1"/>
  <c r="B280" i="18" a="1"/>
  <c r="B280" i="18" s="1"/>
  <c r="B304" i="18" a="1"/>
  <c r="B304" i="18" s="1"/>
  <c r="B328" i="18" a="1"/>
  <c r="B328" i="18" s="1"/>
  <c r="B352" i="18" a="1"/>
  <c r="H352" i="18" s="1" a="1"/>
  <c r="H352" i="18" s="1"/>
  <c r="B376" i="18" a="1"/>
  <c r="B376" i="18" s="1"/>
  <c r="B400" i="18" a="1"/>
  <c r="B424" i="18" a="1"/>
  <c r="B448" i="18" a="1"/>
  <c r="B472" i="18" a="1"/>
  <c r="B496" i="18" a="1"/>
  <c r="B520" i="18" a="1"/>
  <c r="B104" i="18" a="1"/>
  <c r="B104" i="18" s="1"/>
  <c r="B33" i="18" a="1"/>
  <c r="B33" i="18" s="1"/>
  <c r="B81" i="18" a="1"/>
  <c r="B81" i="18" s="1"/>
  <c r="R81" i="18" s="1"/>
  <c r="B129" i="18" a="1"/>
  <c r="B129" i="18" s="1"/>
  <c r="R129" i="18" s="1"/>
  <c r="B224" i="18" a="1"/>
  <c r="B224" i="18" s="1"/>
  <c r="O224" i="18" s="1"/>
  <c r="B296" i="18" a="1"/>
  <c r="B296" i="18" s="1"/>
  <c r="R296" i="18" s="1"/>
  <c r="B344" i="18" a="1"/>
  <c r="B416" i="18" a="1"/>
  <c r="B416" i="18" s="1"/>
  <c r="N416" i="18" s="1"/>
  <c r="B512" i="18" a="1"/>
  <c r="B512" i="18" s="1"/>
  <c r="R512" i="18" s="1"/>
  <c r="B18" i="18" a="1"/>
  <c r="B42" i="18" a="1"/>
  <c r="B42" i="18" s="1"/>
  <c r="B66" i="18" a="1"/>
  <c r="B66" i="18" s="1"/>
  <c r="R66" i="18" s="1"/>
  <c r="B90" i="18" a="1"/>
  <c r="H90" i="18" s="1" a="1"/>
  <c r="H90" i="18" s="1"/>
  <c r="B114" i="18" a="1"/>
  <c r="B114" i="18" s="1"/>
  <c r="B138" i="18" a="1"/>
  <c r="B138" i="18" s="1"/>
  <c r="K138" i="18" s="1"/>
  <c r="B162" i="18" a="1"/>
  <c r="B185" i="18" a="1"/>
  <c r="B209" i="18" a="1"/>
  <c r="H209" i="18" s="1" a="1"/>
  <c r="H209" i="18" s="1"/>
  <c r="B233" i="18" a="1"/>
  <c r="B257" i="18" a="1"/>
  <c r="H257" i="18" s="1" a="1"/>
  <c r="H257" i="18" s="1"/>
  <c r="B281" i="18" a="1"/>
  <c r="B281" i="18" s="1"/>
  <c r="B19" i="18" a="1"/>
  <c r="B43" i="18" a="1"/>
  <c r="B43" i="18" s="1"/>
  <c r="R43" i="18" s="1"/>
  <c r="B67" i="18" a="1"/>
  <c r="B67" i="18" s="1"/>
  <c r="B91" i="18" a="1"/>
  <c r="B91" i="18" s="1"/>
  <c r="B282" i="18" a="1"/>
  <c r="B282" i="18" s="1"/>
  <c r="R282" i="18" s="1"/>
  <c r="B306" i="18" a="1"/>
  <c r="B306" i="18" s="1"/>
  <c r="B330" i="18" a="1"/>
  <c r="B330" i="18" s="1"/>
  <c r="B354" i="18" a="1"/>
  <c r="B354" i="18" s="1"/>
  <c r="B378" i="18" a="1"/>
  <c r="B378" i="18" s="1"/>
  <c r="B402" i="18" a="1"/>
  <c r="H402" i="18" s="1" a="1"/>
  <c r="H402" i="18" s="1"/>
  <c r="B426" i="18" a="1"/>
  <c r="B426" i="18" s="1"/>
  <c r="B450" i="18" a="1"/>
  <c r="B450" i="18" s="1"/>
  <c r="R450" i="18" s="1"/>
  <c r="B474" i="18" a="1"/>
  <c r="B474" i="18" s="1"/>
  <c r="B498" i="18" a="1"/>
  <c r="B522" i="18" a="1"/>
  <c r="B211" i="18" a="1"/>
  <c r="B211" i="18" s="1"/>
  <c r="AE311" i="18"/>
  <c r="B116" i="18" a="1"/>
  <c r="H116" i="18" s="1" a="1"/>
  <c r="H116" i="18" s="1"/>
  <c r="B140" i="18" a="1"/>
  <c r="B140" i="18" s="1"/>
  <c r="N140" i="18" s="1"/>
  <c r="B164" i="18" a="1"/>
  <c r="B164" i="18" s="1"/>
  <c r="L164" i="18" s="1"/>
  <c r="B187" i="18" a="1"/>
  <c r="B187" i="18" s="1"/>
  <c r="K187" i="18" s="1"/>
  <c r="B235" i="18" a="1"/>
  <c r="B259" i="18" a="1"/>
  <c r="B259" i="18" s="1"/>
  <c r="R259" i="18" s="1"/>
  <c r="B283" i="18" a="1"/>
  <c r="B283" i="18" s="1"/>
  <c r="B307" i="18" a="1"/>
  <c r="B331" i="18" a="1"/>
  <c r="B331" i="18" s="1"/>
  <c r="B355" i="18" a="1"/>
  <c r="B379" i="18" a="1"/>
  <c r="B403" i="18" a="1"/>
  <c r="B427" i="18" a="1"/>
  <c r="H427" i="18" s="1" a="1"/>
  <c r="H427" i="18" s="1"/>
  <c r="B451" i="18" a="1"/>
  <c r="B451" i="18" s="1"/>
  <c r="O451" i="18" s="1"/>
  <c r="B475" i="18" a="1"/>
  <c r="B475" i="18" s="1"/>
  <c r="B499" i="18" a="1"/>
  <c r="B499" i="18" s="1"/>
  <c r="K499" i="18" s="1"/>
  <c r="B523" i="18" a="1"/>
  <c r="H523" i="18" s="1" a="1"/>
  <c r="H523" i="18" s="1"/>
  <c r="B21" i="18" a="1"/>
  <c r="B21" i="18" s="1"/>
  <c r="B45" i="18" a="1"/>
  <c r="B45" i="18" s="1"/>
  <c r="B69" i="18" a="1"/>
  <c r="B69" i="18" s="1"/>
  <c r="B93" i="18" a="1"/>
  <c r="B93" i="18" s="1"/>
  <c r="O93" i="18" s="1"/>
  <c r="B117" i="18" a="1"/>
  <c r="B117" i="18" s="1"/>
  <c r="R117" i="18" s="1"/>
  <c r="B141" i="18" a="1"/>
  <c r="B165" i="18" a="1"/>
  <c r="B188" i="18" a="1"/>
  <c r="H188" i="18" s="1" a="1"/>
  <c r="H188" i="18" s="1"/>
  <c r="B212" i="18" a="1"/>
  <c r="B212" i="18" s="1"/>
  <c r="B236" i="18" a="1"/>
  <c r="B236" i="18" s="1"/>
  <c r="P236" i="18" s="1"/>
  <c r="B260" i="18" a="1"/>
  <c r="B260" i="18" s="1"/>
  <c r="R260" i="18" s="1"/>
  <c r="B284" i="18" a="1"/>
  <c r="H284" i="18" s="1" a="1"/>
  <c r="H284" i="18" s="1"/>
  <c r="B308" i="18" a="1"/>
  <c r="H308" i="18" s="1" a="1"/>
  <c r="H308" i="18" s="1"/>
  <c r="B332" i="18" a="1"/>
  <c r="B356" i="18" a="1"/>
  <c r="B380" i="18" a="1"/>
  <c r="H380" i="18" s="1" a="1"/>
  <c r="H380" i="18" s="1"/>
  <c r="B404" i="18" a="1"/>
  <c r="B428" i="18" a="1"/>
  <c r="B428" i="18" s="1"/>
  <c r="B452" i="18" a="1"/>
  <c r="B476" i="18" a="1"/>
  <c r="H476" i="18" s="1" a="1"/>
  <c r="H476" i="18" s="1"/>
  <c r="B500" i="18" a="1"/>
  <c r="H500" i="18" s="1" a="1"/>
  <c r="H500" i="18" s="1"/>
  <c r="B524" i="18" a="1"/>
  <c r="H524" i="18" s="1" a="1"/>
  <c r="H524" i="18" s="1"/>
  <c r="B22" i="18" a="1"/>
  <c r="B22" i="18" s="1"/>
  <c r="B46" i="18" a="1"/>
  <c r="B46" i="18" s="1"/>
  <c r="O46" i="18" s="1"/>
  <c r="B70" i="18" a="1"/>
  <c r="B70" i="18" s="1"/>
  <c r="B94" i="18" a="1"/>
  <c r="B94" i="18" s="1"/>
  <c r="B118" i="18" a="1"/>
  <c r="B118" i="18" s="1"/>
  <c r="R118" i="18" s="1"/>
  <c r="B142" i="18" a="1"/>
  <c r="B142" i="18" s="1"/>
  <c r="P142" i="18" s="1"/>
  <c r="B166" i="18" a="1"/>
  <c r="B166" i="18" s="1"/>
  <c r="B189" i="18" a="1"/>
  <c r="B189" i="18" s="1"/>
  <c r="B213" i="18" a="1"/>
  <c r="B213" i="18" s="1"/>
  <c r="K213" i="18" s="1"/>
  <c r="B237" i="18" a="1"/>
  <c r="H237" i="18" s="1" a="1"/>
  <c r="H237" i="18" s="1"/>
  <c r="B261" i="18" a="1"/>
  <c r="B23" i="18" a="1"/>
  <c r="B47" i="18" a="1"/>
  <c r="B47" i="18" s="1"/>
  <c r="R47" i="18" s="1"/>
  <c r="B71" i="18" a="1"/>
  <c r="B71" i="18" s="1"/>
  <c r="B95" i="18" a="1"/>
  <c r="B95" i="18" s="1"/>
  <c r="B295" i="18" a="1"/>
  <c r="B295" i="18" s="1"/>
  <c r="B288" i="18" a="1"/>
  <c r="B312" i="18" a="1"/>
  <c r="B312" i="18" s="1"/>
  <c r="B336" i="18" a="1"/>
  <c r="B336" i="18" s="1"/>
  <c r="R336" i="18" s="1"/>
  <c r="B360" i="18" a="1"/>
  <c r="B384" i="18" a="1"/>
  <c r="B408" i="18" a="1"/>
  <c r="B408" i="18" s="1"/>
  <c r="B432" i="18" a="1"/>
  <c r="B432" i="18" s="1"/>
  <c r="M432" i="18" s="1"/>
  <c r="B456" i="18" a="1"/>
  <c r="H456" i="18" s="1" a="1"/>
  <c r="H456" i="18" s="1"/>
  <c r="B480" i="18" a="1"/>
  <c r="B504" i="18" a="1"/>
  <c r="H504" i="18" s="1" a="1"/>
  <c r="H504" i="18" s="1"/>
  <c r="B528" i="18" a="1"/>
  <c r="B528" i="18" s="1"/>
  <c r="R528" i="18" s="1"/>
  <c r="B175" i="18" a="1"/>
  <c r="B175" i="18" s="1"/>
  <c r="AA586" i="18" a="1"/>
  <c r="AA586" i="18" s="1"/>
  <c r="B122" i="18" a="1"/>
  <c r="B122" i="18" s="1"/>
  <c r="B146" i="18" a="1"/>
  <c r="H146" i="18" s="1" a="1"/>
  <c r="H146" i="18" s="1"/>
  <c r="B170" i="18" a="1"/>
  <c r="B170" i="18" s="1"/>
  <c r="B193" i="18" a="1"/>
  <c r="B193" i="18" s="1"/>
  <c r="R193" i="18" s="1"/>
  <c r="B217" i="18" a="1"/>
  <c r="B217" i="18" s="1"/>
  <c r="O217" i="18" s="1"/>
  <c r="B241" i="18" a="1"/>
  <c r="B241" i="18" s="1"/>
  <c r="B265" i="18" a="1"/>
  <c r="B265" i="18" s="1"/>
  <c r="R265" i="18" s="1"/>
  <c r="B8" i="18" a="1"/>
  <c r="B8" i="18" s="1"/>
  <c r="R8" i="18" s="1"/>
  <c r="B27" i="18" a="1"/>
  <c r="H27" i="18" s="1" a="1"/>
  <c r="H27" i="18" s="1"/>
  <c r="B51" i="18" a="1"/>
  <c r="B75" i="18" a="1"/>
  <c r="B75" i="18" s="1"/>
  <c r="R75" i="18" s="1"/>
  <c r="B99" i="18" a="1"/>
  <c r="B99" i="18" s="1"/>
  <c r="B247" i="18" a="1"/>
  <c r="B247" i="18" s="1"/>
  <c r="B152" i="18" a="1"/>
  <c r="H152" i="18" s="1" a="1"/>
  <c r="H152" i="18" s="1"/>
  <c r="B293" i="18" a="1"/>
  <c r="H293" i="18" s="1" a="1"/>
  <c r="H293" i="18" s="1"/>
  <c r="B317" i="18" a="1"/>
  <c r="B341" i="18" a="1"/>
  <c r="B341" i="18" s="1"/>
  <c r="B365" i="18" a="1"/>
  <c r="B365" i="18" s="1"/>
  <c r="B389" i="18" a="1"/>
  <c r="H389" i="18" s="1" a="1"/>
  <c r="H389" i="18" s="1"/>
  <c r="B413" i="18" a="1"/>
  <c r="B413" i="18" s="1"/>
  <c r="B437" i="18" a="1"/>
  <c r="B461" i="18" a="1"/>
  <c r="B461" i="18" s="1"/>
  <c r="R461" i="18" s="1"/>
  <c r="B485" i="18" a="1"/>
  <c r="H485" i="18" s="1" a="1"/>
  <c r="H485" i="18" s="1"/>
  <c r="B509" i="18" a="1"/>
  <c r="B509" i="18" s="1"/>
  <c r="R509" i="18" s="1"/>
  <c r="B533" i="18" a="1"/>
  <c r="B127" i="18" a="1"/>
  <c r="B127" i="18" s="1"/>
  <c r="B151" i="18" a="1"/>
  <c r="B151" i="18" s="1"/>
  <c r="B198" i="18" a="1"/>
  <c r="B198" i="18" s="1"/>
  <c r="R198" i="18" s="1"/>
  <c r="B222" i="18" a="1"/>
  <c r="B246" i="18" a="1"/>
  <c r="B246" i="18" s="1"/>
  <c r="B270" i="18" a="1"/>
  <c r="B270" i="18" s="1"/>
  <c r="R270" i="18" s="1"/>
  <c r="B294" i="18" a="1"/>
  <c r="B294" i="18" s="1"/>
  <c r="B318" i="18" a="1"/>
  <c r="B342" i="18" a="1"/>
  <c r="B342" i="18" s="1"/>
  <c r="B366" i="18" a="1"/>
  <c r="B390" i="18" a="1"/>
  <c r="B414" i="18" a="1"/>
  <c r="B438" i="18" a="1"/>
  <c r="B462" i="18" a="1"/>
  <c r="B486" i="18" a="1"/>
  <c r="B510" i="18" a="1"/>
  <c r="B510" i="18" s="1"/>
  <c r="R510" i="18" s="1"/>
  <c r="B534" i="18" a="1"/>
  <c r="H534" i="18" s="1" a="1"/>
  <c r="H534" i="18" s="1"/>
  <c r="B24" i="18" a="1"/>
  <c r="B48" i="18" a="1"/>
  <c r="B48" i="18" s="1"/>
  <c r="R48" i="18" s="1"/>
  <c r="B72" i="18" a="1"/>
  <c r="B72" i="18" s="1"/>
  <c r="R72" i="18" s="1"/>
  <c r="B96" i="18" a="1"/>
  <c r="B96" i="18" s="1"/>
  <c r="B119" i="18" a="1"/>
  <c r="B119" i="18" s="1"/>
  <c r="R119" i="18" s="1"/>
  <c r="B143" i="18" a="1"/>
  <c r="B143" i="18" s="1"/>
  <c r="B167" i="18" a="1"/>
  <c r="B167" i="18" s="1"/>
  <c r="B190" i="18" a="1"/>
  <c r="B214" i="18" a="1"/>
  <c r="B214" i="18" s="1"/>
  <c r="B238" i="18" a="1"/>
  <c r="B238" i="18" s="1"/>
  <c r="B262" i="18" a="1"/>
  <c r="H262" i="18" s="1" a="1"/>
  <c r="H262" i="18" s="1"/>
  <c r="B285" i="18" a="1"/>
  <c r="H285" i="18" s="1" a="1"/>
  <c r="H285" i="18" s="1"/>
  <c r="B309" i="18" a="1"/>
  <c r="B309" i="18" s="1"/>
  <c r="B333" i="18" a="1"/>
  <c r="B333" i="18" s="1"/>
  <c r="B357" i="18" a="1"/>
  <c r="B381" i="18" a="1"/>
  <c r="B381" i="18" s="1"/>
  <c r="B405" i="18" a="1"/>
  <c r="B405" i="18" s="1"/>
  <c r="B429" i="18" a="1"/>
  <c r="B429" i="18" s="1"/>
  <c r="R429" i="18" s="1"/>
  <c r="B453" i="18" a="1"/>
  <c r="B477" i="18" a="1"/>
  <c r="B501" i="18" a="1"/>
  <c r="B525" i="18" a="1"/>
  <c r="B525" i="18" s="1"/>
  <c r="B25" i="18" a="1"/>
  <c r="B25" i="18" s="1"/>
  <c r="B49" i="18" a="1"/>
  <c r="B49" i="18" s="1"/>
  <c r="B73" i="18" a="1"/>
  <c r="H73" i="18" s="1" a="1"/>
  <c r="H73" i="18" s="1"/>
  <c r="B97" i="18" a="1"/>
  <c r="B97" i="18" s="1"/>
  <c r="B120" i="18" a="1"/>
  <c r="B120" i="18" s="1"/>
  <c r="R120" i="18" s="1"/>
  <c r="B144" i="18" a="1"/>
  <c r="B144" i="18" s="1"/>
  <c r="P144" i="18" s="1"/>
  <c r="B168" i="18" a="1"/>
  <c r="B168" i="18" s="1"/>
  <c r="B191" i="18" a="1"/>
  <c r="B215" i="18" a="1"/>
  <c r="B215" i="18" s="1"/>
  <c r="B239" i="18" a="1"/>
  <c r="B239" i="18" s="1"/>
  <c r="B263" i="18" a="1"/>
  <c r="B263" i="18" s="1"/>
  <c r="B286" i="18" a="1"/>
  <c r="B286" i="18" s="1"/>
  <c r="R286" i="18" s="1"/>
  <c r="B310" i="18" a="1"/>
  <c r="B310" i="18" s="1"/>
  <c r="R310" i="18" s="1"/>
  <c r="B334" i="18" a="1"/>
  <c r="B334" i="18" s="1"/>
  <c r="R334" i="18" s="1"/>
  <c r="B358" i="18" a="1"/>
  <c r="B382" i="18" a="1"/>
  <c r="B382" i="18" s="1"/>
  <c r="B406" i="18" a="1"/>
  <c r="B430" i="18" a="1"/>
  <c r="B454" i="18" a="1"/>
  <c r="B454" i="18" s="1"/>
  <c r="B478" i="18" a="1"/>
  <c r="B502" i="18" a="1"/>
  <c r="B526" i="18" a="1"/>
  <c r="B26" i="18" a="1"/>
  <c r="B26" i="18" s="1"/>
  <c r="R26" i="18" s="1"/>
  <c r="B50" i="18" a="1"/>
  <c r="B50" i="18" s="1"/>
  <c r="B74" i="18" a="1"/>
  <c r="B74" i="18" s="1"/>
  <c r="B98" i="18" a="1"/>
  <c r="B98" i="18" s="1"/>
  <c r="B121" i="18" a="1"/>
  <c r="B121" i="18" s="1"/>
  <c r="B145" i="18" a="1"/>
  <c r="B145" i="18" s="1"/>
  <c r="B169" i="18" a="1"/>
  <c r="B169" i="18" s="1"/>
  <c r="K169" i="18" s="1"/>
  <c r="B192" i="18" a="1"/>
  <c r="H192" i="18" s="1" a="1"/>
  <c r="H192" i="18" s="1"/>
  <c r="B216" i="18" a="1"/>
  <c r="H216" i="18" s="1" a="1"/>
  <c r="H216" i="18" s="1"/>
  <c r="B240" i="18" a="1"/>
  <c r="B240" i="18" s="1"/>
  <c r="B264" i="18" a="1"/>
  <c r="B264" i="18" s="1"/>
  <c r="B287" i="18" a="1"/>
  <c r="B287" i="18" s="1"/>
  <c r="B311" i="18" a="1"/>
  <c r="B335" i="18" a="1"/>
  <c r="B359" i="18" a="1"/>
  <c r="B359" i="18" s="1"/>
  <c r="B383" i="18" a="1"/>
  <c r="B407" i="18" a="1"/>
  <c r="B407" i="18" s="1"/>
  <c r="P407" i="18" s="1"/>
  <c r="B431" i="18" a="1"/>
  <c r="H431" i="18" s="1" a="1"/>
  <c r="H431" i="18" s="1"/>
  <c r="B455" i="18" a="1"/>
  <c r="B479" i="18" a="1"/>
  <c r="B503" i="18" a="1"/>
  <c r="B527" i="18" a="1"/>
  <c r="B28" i="18" a="1"/>
  <c r="B28" i="18" s="1"/>
  <c r="B52" i="18" a="1"/>
  <c r="B52" i="18" s="1"/>
  <c r="B76" i="18" a="1"/>
  <c r="B76" i="18" s="1"/>
  <c r="B100" i="18" a="1"/>
  <c r="B100" i="18" s="1"/>
  <c r="B123" i="18" a="1"/>
  <c r="B123" i="18" s="1"/>
  <c r="R123" i="18" s="1"/>
  <c r="B147" i="18" a="1"/>
  <c r="B171" i="18" a="1"/>
  <c r="B171" i="18" s="1"/>
  <c r="B194" i="18" a="1"/>
  <c r="B194" i="18" s="1"/>
  <c r="L194" i="18" s="1"/>
  <c r="B218" i="18" a="1"/>
  <c r="B218" i="18" s="1"/>
  <c r="B242" i="18" a="1"/>
  <c r="B242" i="18" s="1"/>
  <c r="R242" i="18" s="1"/>
  <c r="B266" i="18" a="1"/>
  <c r="B266" i="18" s="1"/>
  <c r="R266" i="18" s="1"/>
  <c r="B289" i="18" a="1"/>
  <c r="B289" i="18" s="1"/>
  <c r="R289" i="18" s="1"/>
  <c r="B313" i="18" a="1"/>
  <c r="B337" i="18" a="1"/>
  <c r="B337" i="18" s="1"/>
  <c r="B361" i="18" a="1"/>
  <c r="B361" i="18" s="1"/>
  <c r="B385" i="18" a="1"/>
  <c r="B409" i="18" a="1"/>
  <c r="B433" i="18" a="1"/>
  <c r="B433" i="18" s="1"/>
  <c r="L433" i="18" s="1"/>
  <c r="B457" i="18" a="1"/>
  <c r="B481" i="18" a="1"/>
  <c r="B481" i="18" s="1"/>
  <c r="B505" i="18" a="1"/>
  <c r="B505" i="18" s="1"/>
  <c r="R505" i="18" s="1"/>
  <c r="B529" i="18" a="1"/>
  <c r="B5" i="18" a="1"/>
  <c r="B5" i="18" s="1"/>
  <c r="R5" i="18" s="1"/>
  <c r="B29" i="18" a="1"/>
  <c r="B53" i="18" a="1"/>
  <c r="B53" i="18" s="1"/>
  <c r="B77" i="18" a="1"/>
  <c r="B77" i="18" s="1"/>
  <c r="R77" i="18" s="1"/>
  <c r="B101" i="18" a="1"/>
  <c r="B101" i="18" s="1"/>
  <c r="B124" i="18" a="1"/>
  <c r="H124" i="18" s="1" a="1"/>
  <c r="H124" i="18" s="1"/>
  <c r="B148" i="18" a="1"/>
  <c r="B148" i="18" s="1"/>
  <c r="O148" i="18" s="1"/>
  <c r="B172" i="18" a="1"/>
  <c r="B172" i="18" s="1"/>
  <c r="B195" i="18" a="1"/>
  <c r="H195" i="18" s="1" a="1"/>
  <c r="H195" i="18" s="1"/>
  <c r="B219" i="18" a="1"/>
  <c r="B219" i="18" s="1"/>
  <c r="B243" i="18" a="1"/>
  <c r="B243" i="18" s="1"/>
  <c r="B267" i="18" a="1"/>
  <c r="B267" i="18" s="1"/>
  <c r="R267" i="18" s="1"/>
  <c r="B290" i="18" a="1"/>
  <c r="B290" i="18" s="1"/>
  <c r="R290" i="18" s="1"/>
  <c r="B314" i="18" a="1"/>
  <c r="B314" i="18" s="1"/>
  <c r="B338" i="18" a="1"/>
  <c r="B362" i="18" a="1"/>
  <c r="B386" i="18" a="1"/>
  <c r="B410" i="18" a="1"/>
  <c r="B434" i="18" a="1"/>
  <c r="B458" i="18" a="1"/>
  <c r="H458" i="18" s="1" a="1"/>
  <c r="H458" i="18" s="1"/>
  <c r="B482" i="18" a="1"/>
  <c r="B506" i="18" a="1"/>
  <c r="B506" i="18" s="1"/>
  <c r="B530" i="18" a="1"/>
  <c r="B6" i="18" a="1"/>
  <c r="B6" i="18" s="1"/>
  <c r="B30" i="18" a="1"/>
  <c r="B30" i="18" s="1"/>
  <c r="B54" i="18" a="1"/>
  <c r="B78" i="18" a="1"/>
  <c r="B78" i="18" s="1"/>
  <c r="R78" i="18" s="1"/>
  <c r="B102" i="18" a="1"/>
  <c r="B102" i="18" s="1"/>
  <c r="B125" i="18" a="1"/>
  <c r="B125" i="18" s="1"/>
  <c r="B149" i="18" a="1"/>
  <c r="B149" i="18" s="1"/>
  <c r="B173" i="18" a="1"/>
  <c r="B173" i="18" s="1"/>
  <c r="B196" i="18" a="1"/>
  <c r="B196" i="18" s="1"/>
  <c r="R196" i="18" s="1"/>
  <c r="B220" i="18" a="1"/>
  <c r="H220" i="18" s="1" a="1"/>
  <c r="H220" i="18" s="1"/>
  <c r="B244" i="18" a="1"/>
  <c r="B244" i="18" s="1"/>
  <c r="B268" i="18" a="1"/>
  <c r="B268" i="18" s="1"/>
  <c r="B291" i="18" a="1"/>
  <c r="H291" i="18" s="1" a="1"/>
  <c r="H291" i="18" s="1"/>
  <c r="B315" i="18" a="1"/>
  <c r="H315" i="18" s="1" a="1"/>
  <c r="H315" i="18" s="1"/>
  <c r="B339" i="18" a="1"/>
  <c r="B339" i="18" s="1"/>
  <c r="B363" i="18" a="1"/>
  <c r="B387" i="18" a="1"/>
  <c r="B411" i="18" a="1"/>
  <c r="B411" i="18" s="1"/>
  <c r="R411" i="18" s="1"/>
  <c r="B435" i="18" a="1"/>
  <c r="B435" i="18" s="1"/>
  <c r="R435" i="18" s="1"/>
  <c r="B459" i="18" a="1"/>
  <c r="B459" i="18" s="1"/>
  <c r="R459" i="18" s="1"/>
  <c r="B483" i="18" a="1"/>
  <c r="B507" i="18" a="1"/>
  <c r="B507" i="18" s="1"/>
  <c r="N507" i="18" s="1"/>
  <c r="B531" i="18" a="1"/>
  <c r="B531" i="18" s="1"/>
  <c r="R531" i="18" s="1"/>
  <c r="B7" i="18" a="1"/>
  <c r="B7" i="18" s="1"/>
  <c r="R7" i="18" s="1"/>
  <c r="B31" i="18" a="1"/>
  <c r="B31" i="18" s="1"/>
  <c r="B55" i="18" a="1"/>
  <c r="B55" i="18" s="1"/>
  <c r="R55" i="18" s="1"/>
  <c r="B79" i="18" a="1"/>
  <c r="B79" i="18" s="1"/>
  <c r="B103" i="18" a="1"/>
  <c r="B103" i="18" s="1"/>
  <c r="B126" i="18" a="1"/>
  <c r="B126" i="18" s="1"/>
  <c r="B150" i="18" a="1"/>
  <c r="H150" i="18" s="1" a="1"/>
  <c r="H150" i="18" s="1"/>
  <c r="B197" i="18" a="1"/>
  <c r="B221" i="18" a="1"/>
  <c r="B221" i="18" s="1"/>
  <c r="B245" i="18" a="1"/>
  <c r="H245" i="18" s="1" a="1"/>
  <c r="H245" i="18" s="1"/>
  <c r="B269" i="18" a="1"/>
  <c r="B269" i="18" s="1"/>
  <c r="R269" i="18" s="1"/>
  <c r="B292" i="18" a="1"/>
  <c r="B292" i="18" s="1"/>
  <c r="B316" i="18" a="1"/>
  <c r="B340" i="18" a="1"/>
  <c r="H340" i="18" s="1" a="1"/>
  <c r="H340" i="18" s="1"/>
  <c r="B364" i="18" a="1"/>
  <c r="B364" i="18" s="1"/>
  <c r="B388" i="18" a="1"/>
  <c r="B388" i="18" s="1"/>
  <c r="B412" i="18" a="1"/>
  <c r="B436" i="18" a="1"/>
  <c r="H436" i="18" s="1" a="1"/>
  <c r="H436" i="18" s="1"/>
  <c r="B460" i="18" a="1"/>
  <c r="B484" i="18" a="1"/>
  <c r="H484" i="18" s="1" a="1"/>
  <c r="H484" i="18" s="1"/>
  <c r="B508" i="18" a="1"/>
  <c r="B508" i="18" s="1"/>
  <c r="R508" i="18" s="1"/>
  <c r="B532" i="18" a="1"/>
  <c r="B319" i="18" a="1"/>
  <c r="B343" i="18" a="1"/>
  <c r="B343" i="18" s="1"/>
  <c r="B367" i="18" a="1"/>
  <c r="B367" i="18" s="1"/>
  <c r="B391" i="18" a="1"/>
  <c r="B391" i="18" s="1"/>
  <c r="B415" i="18" a="1"/>
  <c r="B415" i="18" s="1"/>
  <c r="R415" i="18" s="1"/>
  <c r="B439" i="18" a="1"/>
  <c r="B439" i="18" s="1"/>
  <c r="B463" i="18" a="1"/>
  <c r="B487" i="18" a="1"/>
  <c r="B511" i="18" a="1"/>
  <c r="B511" i="18" s="1"/>
  <c r="R511" i="18" s="1"/>
  <c r="B535" i="18" a="1"/>
  <c r="B132" i="18" a="1"/>
  <c r="B132" i="18" s="1"/>
  <c r="B156" i="18" a="1"/>
  <c r="B156" i="18" s="1"/>
  <c r="B179" i="18" a="1"/>
  <c r="B179" i="18" s="1"/>
  <c r="B203" i="18" a="1"/>
  <c r="B227" i="18" a="1"/>
  <c r="H227" i="18" s="1" a="1"/>
  <c r="H227" i="18" s="1"/>
  <c r="B251" i="18" a="1"/>
  <c r="B251" i="18" s="1"/>
  <c r="R251" i="18" s="1"/>
  <c r="B275" i="18" a="1"/>
  <c r="H275" i="18" s="1" a="1"/>
  <c r="H275" i="18" s="1"/>
  <c r="B298" i="18" a="1"/>
  <c r="B298" i="18" s="1"/>
  <c r="R298" i="18" s="1"/>
  <c r="B322" i="18" a="1"/>
  <c r="B322" i="18" s="1"/>
  <c r="B346" i="18" a="1"/>
  <c r="B346" i="18" s="1"/>
  <c r="R346" i="18" s="1"/>
  <c r="B370" i="18" a="1"/>
  <c r="B370" i="18" s="1"/>
  <c r="B394" i="18" a="1"/>
  <c r="B394" i="18" s="1"/>
  <c r="B418" i="18" a="1"/>
  <c r="B418" i="18" s="1"/>
  <c r="R418" i="18" s="1"/>
  <c r="B442" i="18" a="1"/>
  <c r="B466" i="18" a="1"/>
  <c r="H466" i="18" s="1" a="1"/>
  <c r="H466" i="18" s="1"/>
  <c r="B490" i="18" a="1"/>
  <c r="B490" i="18" s="1"/>
  <c r="B514" i="18" a="1"/>
  <c r="B538" i="18" a="1"/>
  <c r="B14" i="18" a="1"/>
  <c r="B14" i="18" s="1"/>
  <c r="B38" i="18" a="1"/>
  <c r="B62" i="18" a="1"/>
  <c r="B62" i="18" s="1"/>
  <c r="R62" i="18" s="1"/>
  <c r="B86" i="18" a="1"/>
  <c r="B86" i="18" s="1"/>
  <c r="R86" i="18" s="1"/>
  <c r="B110" i="18" a="1"/>
  <c r="B133" i="18" a="1"/>
  <c r="B133" i="18" s="1"/>
  <c r="B157" i="18" a="1"/>
  <c r="B157" i="18" s="1"/>
  <c r="B180" i="18" a="1"/>
  <c r="B180" i="18" s="1"/>
  <c r="B204" i="18" a="1"/>
  <c r="H204" i="18" s="1" a="1"/>
  <c r="H204" i="18" s="1"/>
  <c r="B228" i="18" a="1"/>
  <c r="B228" i="18" s="1"/>
  <c r="B252" i="18" a="1"/>
  <c r="B252" i="18" s="1"/>
  <c r="R252" i="18" s="1"/>
  <c r="B276" i="18" a="1"/>
  <c r="B276" i="18" s="1"/>
  <c r="B299" i="18" a="1"/>
  <c r="B299" i="18" s="1"/>
  <c r="R299" i="18" s="1"/>
  <c r="B323" i="18" a="1"/>
  <c r="B347" i="18" a="1"/>
  <c r="B347" i="18" s="1"/>
  <c r="B371" i="18" a="1"/>
  <c r="B371" i="18" s="1"/>
  <c r="B395" i="18" a="1"/>
  <c r="B419" i="18" a="1"/>
  <c r="B419" i="18" s="1"/>
  <c r="B443" i="18" a="1"/>
  <c r="B467" i="18" a="1"/>
  <c r="B467" i="18" s="1"/>
  <c r="B491" i="18" a="1"/>
  <c r="H491" i="18" s="1" a="1"/>
  <c r="H491" i="18" s="1"/>
  <c r="B515" i="18" a="1"/>
  <c r="B515" i="18" s="1"/>
  <c r="R515" i="18" s="1"/>
  <c r="B539" i="18" a="1"/>
  <c r="B539" i="18" s="1"/>
  <c r="B15" i="18" a="1"/>
  <c r="B15" i="18" s="1"/>
  <c r="B39" i="18" a="1"/>
  <c r="B39" i="18" s="1"/>
  <c r="R39" i="18" s="1"/>
  <c r="B63" i="18" a="1"/>
  <c r="B87" i="18" a="1"/>
  <c r="B87" i="18" s="1"/>
  <c r="B111" i="18" a="1"/>
  <c r="B111" i="18" s="1"/>
  <c r="B134" i="18" a="1"/>
  <c r="H134" i="18" s="1" a="1"/>
  <c r="H134" i="18" s="1"/>
  <c r="B158" i="18" a="1"/>
  <c r="B158" i="18" s="1"/>
  <c r="B181" i="18" a="1"/>
  <c r="B205" i="18" a="1"/>
  <c r="B205" i="18" s="1"/>
  <c r="B229" i="18" a="1"/>
  <c r="B229" i="18" s="1"/>
  <c r="B253" i="18" a="1"/>
  <c r="B253" i="18" s="1"/>
  <c r="B277" i="18" a="1"/>
  <c r="B277" i="18" s="1"/>
  <c r="R277" i="18" s="1"/>
  <c r="B300" i="18" a="1"/>
  <c r="B300" i="18" s="1"/>
  <c r="R300" i="18" s="1"/>
  <c r="B324" i="18" a="1"/>
  <c r="B324" i="18" s="1"/>
  <c r="R324" i="18" s="1"/>
  <c r="B348" i="18" a="1"/>
  <c r="B348" i="18" s="1"/>
  <c r="R348" i="18" s="1"/>
  <c r="B372" i="18" a="1"/>
  <c r="B396" i="18" a="1"/>
  <c r="B396" i="18" s="1"/>
  <c r="B420" i="18" a="1"/>
  <c r="B444" i="18" a="1"/>
  <c r="B468" i="18" a="1"/>
  <c r="B468" i="18" s="1"/>
  <c r="B492" i="18" a="1"/>
  <c r="B492" i="18" s="1"/>
  <c r="B516" i="18" a="1"/>
  <c r="B516" i="18" s="1"/>
  <c r="B540" i="18" a="1"/>
  <c r="B540" i="18" s="1"/>
  <c r="R540" i="18" s="1"/>
  <c r="B16" i="18" a="1"/>
  <c r="B16" i="18" s="1"/>
  <c r="R16" i="18" s="1"/>
  <c r="B40" i="18" a="1"/>
  <c r="B40" i="18" s="1"/>
  <c r="B64" i="18" a="1"/>
  <c r="B64" i="18" s="1"/>
  <c r="R64" i="18" s="1"/>
  <c r="B88" i="18" a="1"/>
  <c r="B88" i="18" s="1"/>
  <c r="B135" i="18" a="1"/>
  <c r="B135" i="18" s="1"/>
  <c r="B159" i="18" a="1"/>
  <c r="B159" i="18" s="1"/>
  <c r="B182" i="18" a="1"/>
  <c r="B182" i="18" s="1"/>
  <c r="B206" i="18" a="1"/>
  <c r="B206" i="18" s="1"/>
  <c r="B230" i="18" a="1"/>
  <c r="B230" i="18" s="1"/>
  <c r="B254" i="18" a="1"/>
  <c r="B254" i="18" s="1"/>
  <c r="R254" i="18" s="1"/>
  <c r="B278" i="18" a="1"/>
  <c r="H278" i="18" s="1" a="1"/>
  <c r="H278" i="18" s="1"/>
  <c r="B301" i="18" a="1"/>
  <c r="B301" i="18" s="1"/>
  <c r="R301" i="18" s="1"/>
  <c r="B325" i="18" a="1"/>
  <c r="B325" i="18" s="1"/>
  <c r="R325" i="18" s="1"/>
  <c r="B349" i="18" a="1"/>
  <c r="B349" i="18" s="1"/>
  <c r="R349" i="18" s="1"/>
  <c r="B373" i="18" a="1"/>
  <c r="B373" i="18" s="1"/>
  <c r="B397" i="18" a="1"/>
  <c r="B397" i="18" s="1"/>
  <c r="B421" i="18" a="1"/>
  <c r="B421" i="18" s="1"/>
  <c r="R421" i="18" s="1"/>
  <c r="B445" i="18" a="1"/>
  <c r="B445" i="18" s="1"/>
  <c r="R445" i="18" s="1"/>
  <c r="B469" i="18" a="1"/>
  <c r="B469" i="18" s="1"/>
  <c r="B493" i="18" a="1"/>
  <c r="B517" i="18" a="1"/>
  <c r="B541" i="18" a="1"/>
  <c r="B17" i="18" a="1"/>
  <c r="B17" i="18" s="1"/>
  <c r="R17" i="18" s="1"/>
  <c r="B41" i="18" a="1"/>
  <c r="B41" i="18" s="1"/>
  <c r="B65" i="18" a="1"/>
  <c r="B65" i="18" s="1"/>
  <c r="B89" i="18" a="1"/>
  <c r="B89" i="18" s="1"/>
  <c r="O89" i="18" s="1"/>
  <c r="B112" i="18" a="1"/>
  <c r="B112" i="18" s="1"/>
  <c r="B136" i="18" a="1"/>
  <c r="B160" i="18" a="1"/>
  <c r="B160" i="18" s="1"/>
  <c r="B183" i="18" a="1"/>
  <c r="B183" i="18" s="1"/>
  <c r="B207" i="18" a="1"/>
  <c r="B207" i="18" s="1"/>
  <c r="K207" i="18" s="1"/>
  <c r="B231" i="18" a="1"/>
  <c r="B231" i="18" s="1"/>
  <c r="B255" i="18" a="1"/>
  <c r="B255" i="18" s="1"/>
  <c r="B279" i="18" a="1"/>
  <c r="H279" i="18" s="1" a="1"/>
  <c r="H279" i="18" s="1"/>
  <c r="B302" i="18" a="1"/>
  <c r="B302" i="18" s="1"/>
  <c r="B326" i="18" a="1"/>
  <c r="H326" i="18" s="1" a="1"/>
  <c r="H326" i="18" s="1"/>
  <c r="B350" i="18" a="1"/>
  <c r="B350" i="18" s="1"/>
  <c r="R350" i="18" s="1"/>
  <c r="B374" i="18" a="1"/>
  <c r="B374" i="18" s="1"/>
  <c r="B398" i="18" a="1"/>
  <c r="B398" i="18" s="1"/>
  <c r="B422" i="18" a="1"/>
  <c r="B422" i="18" s="1"/>
  <c r="R422" i="18" s="1"/>
  <c r="B446" i="18" a="1"/>
  <c r="B446" i="18" s="1"/>
  <c r="B470" i="18" a="1"/>
  <c r="B494" i="18" a="1"/>
  <c r="B494" i="18" s="1"/>
  <c r="B518" i="18" a="1"/>
  <c r="B542" i="18" a="1"/>
  <c r="B542" i="18" s="1"/>
  <c r="B20" i="18" a="1"/>
  <c r="B20" i="18" s="1"/>
  <c r="R20" i="18" s="1"/>
  <c r="B44" i="18" a="1"/>
  <c r="B68" i="18" a="1"/>
  <c r="B68" i="18" s="1"/>
  <c r="B92" i="18" a="1"/>
  <c r="B92" i="18" s="1"/>
  <c r="B115" i="18" a="1"/>
  <c r="H115" i="18" s="1" a="1"/>
  <c r="H115" i="18" s="1"/>
  <c r="B139" i="18" a="1"/>
  <c r="B139" i="18" s="1"/>
  <c r="B163" i="18" a="1"/>
  <c r="B163" i="18" s="1"/>
  <c r="B186" i="18" a="1"/>
  <c r="B186" i="18" s="1"/>
  <c r="R186" i="18" s="1"/>
  <c r="B210" i="18" a="1"/>
  <c r="B210" i="18" s="1"/>
  <c r="B234" i="18" a="1"/>
  <c r="H234" i="18" s="1" a="1"/>
  <c r="H234" i="18" s="1"/>
  <c r="B258" i="18" a="1"/>
  <c r="B258" i="18" s="1"/>
  <c r="R258" i="18" s="1"/>
  <c r="B305" i="18" a="1"/>
  <c r="H305" i="18" s="1" a="1"/>
  <c r="H305" i="18" s="1"/>
  <c r="B329" i="18" a="1"/>
  <c r="B329" i="18" s="1"/>
  <c r="R329" i="18" s="1"/>
  <c r="B353" i="18" a="1"/>
  <c r="B353" i="18" s="1"/>
  <c r="B377" i="18" a="1"/>
  <c r="B377" i="18" s="1"/>
  <c r="P377" i="18" s="1"/>
  <c r="B401" i="18" a="1"/>
  <c r="B401" i="18" s="1"/>
  <c r="L401" i="18" s="1"/>
  <c r="B425" i="18" a="1"/>
  <c r="B425" i="18" s="1"/>
  <c r="R425" i="18" s="1"/>
  <c r="B449" i="18" a="1"/>
  <c r="B449" i="18" s="1"/>
  <c r="R449" i="18" s="1"/>
  <c r="B473" i="18" a="1"/>
  <c r="B497" i="18" a="1"/>
  <c r="B521" i="18" a="1"/>
  <c r="B521" i="18" s="1"/>
  <c r="AA394" i="18" a="1"/>
  <c r="AA394" i="18" s="1"/>
  <c r="H606" i="18" a="1"/>
  <c r="H606" i="18" s="1"/>
  <c r="AA474" i="18" a="1"/>
  <c r="H635" i="18" a="1"/>
  <c r="H635" i="18" s="1"/>
  <c r="H547" i="18" a="1"/>
  <c r="H618" i="18" a="1"/>
  <c r="H618" i="18" s="1"/>
  <c r="AA543" i="18" a="1"/>
  <c r="AA543" i="18" s="1"/>
  <c r="AA588" i="18" a="1"/>
  <c r="AA588" i="18" s="1"/>
  <c r="AA538" i="18" a="1"/>
  <c r="AA148" i="18" a="1"/>
  <c r="AA508" i="18" a="1"/>
  <c r="AA508" i="18" s="1"/>
  <c r="AA362" i="18" a="1"/>
  <c r="AA388" i="18" a="1"/>
  <c r="H566" i="18" a="1"/>
  <c r="H566" i="18" s="1"/>
  <c r="B572" i="18"/>
  <c r="AA298" i="18" a="1"/>
  <c r="AA350" i="18" a="1"/>
  <c r="AH133" i="18"/>
  <c r="AG133" i="18"/>
  <c r="AD133" i="18"/>
  <c r="AF133" i="18"/>
  <c r="AE133" i="18"/>
  <c r="AI386" i="18"/>
  <c r="AG386" i="18"/>
  <c r="AH386" i="18"/>
  <c r="AF386" i="18"/>
  <c r="AE386" i="18"/>
  <c r="AD386" i="18"/>
  <c r="AI460" i="18"/>
  <c r="AD460" i="18"/>
  <c r="AE460" i="18"/>
  <c r="AF460" i="18"/>
  <c r="AH460" i="18"/>
  <c r="AG460" i="18"/>
  <c r="AI484" i="18"/>
  <c r="AD484" i="18"/>
  <c r="AG484" i="18"/>
  <c r="AF484" i="18"/>
  <c r="AE484" i="18"/>
  <c r="AH484" i="18"/>
  <c r="AA386" i="18" a="1"/>
  <c r="AE410" i="18"/>
  <c r="AD410" i="18"/>
  <c r="AH410" i="18"/>
  <c r="AG410" i="18"/>
  <c r="AF410" i="18"/>
  <c r="AI410" i="18"/>
  <c r="AI436" i="18"/>
  <c r="AD436" i="18"/>
  <c r="AG436" i="18"/>
  <c r="AF436" i="18"/>
  <c r="AE436" i="18"/>
  <c r="AH436" i="18"/>
  <c r="AA460" i="18" a="1"/>
  <c r="AA484" i="18" a="1"/>
  <c r="AA484" i="18" s="1"/>
  <c r="O618" i="18"/>
  <c r="AI142" i="18"/>
  <c r="AG142" i="18"/>
  <c r="AF142" i="18"/>
  <c r="AE142" i="18"/>
  <c r="AD142" i="18"/>
  <c r="AH142" i="18"/>
  <c r="AI362" i="18"/>
  <c r="AH362" i="18"/>
  <c r="AG362" i="18"/>
  <c r="AF362" i="18"/>
  <c r="AE362" i="18"/>
  <c r="AD362" i="18"/>
  <c r="AA410" i="18" a="1"/>
  <c r="AA436" i="18" a="1"/>
  <c r="AF538" i="18"/>
  <c r="AD538" i="18"/>
  <c r="AI538" i="18"/>
  <c r="AG538" i="18"/>
  <c r="AE538" i="18"/>
  <c r="AH538" i="18"/>
  <c r="AG588" i="18"/>
  <c r="AF588" i="18"/>
  <c r="AE588" i="18"/>
  <c r="AD588" i="18"/>
  <c r="AI588" i="18"/>
  <c r="AH588" i="18"/>
  <c r="N599" i="18"/>
  <c r="AI7" i="18"/>
  <c r="AH7" i="18"/>
  <c r="AG7" i="18"/>
  <c r="AF7" i="18"/>
  <c r="AE7" i="18"/>
  <c r="AD7" i="18"/>
  <c r="AI388" i="18"/>
  <c r="AD388" i="18"/>
  <c r="AF388" i="18"/>
  <c r="AH388" i="18"/>
  <c r="AE388" i="18"/>
  <c r="AG388" i="18"/>
  <c r="AF442" i="18"/>
  <c r="AD442" i="18"/>
  <c r="AI442" i="18"/>
  <c r="AH442" i="18"/>
  <c r="AG442" i="18"/>
  <c r="AE442" i="18"/>
  <c r="AA442" i="18" a="1"/>
  <c r="AA442" i="18" s="1"/>
  <c r="B640" i="18"/>
  <c r="AF298" i="18"/>
  <c r="AI298" i="18"/>
  <c r="AD298" i="18"/>
  <c r="AE298" i="18"/>
  <c r="AH298" i="18"/>
  <c r="AG298" i="18"/>
  <c r="AF394" i="18"/>
  <c r="AD394" i="18"/>
  <c r="AI394" i="18"/>
  <c r="AH394" i="18"/>
  <c r="AG394" i="18"/>
  <c r="AE394" i="18"/>
  <c r="AI543" i="18"/>
  <c r="AH543" i="18"/>
  <c r="AF543" i="18"/>
  <c r="AE543" i="18"/>
  <c r="AD543" i="18"/>
  <c r="AG543" i="18"/>
  <c r="AE674" i="18"/>
  <c r="AD674" i="18"/>
  <c r="AI674" i="18"/>
  <c r="AH674" i="18"/>
  <c r="AF674" i="18"/>
  <c r="AG674" i="18"/>
  <c r="AI348" i="18"/>
  <c r="AD348" i="18"/>
  <c r="AE348" i="18"/>
  <c r="AG348" i="18"/>
  <c r="AF348" i="18"/>
  <c r="AH348" i="18"/>
  <c r="AA495" i="18" a="1"/>
  <c r="AG675" i="18"/>
  <c r="AF675" i="18"/>
  <c r="AE675" i="18"/>
  <c r="AD675" i="18"/>
  <c r="AI675" i="18"/>
  <c r="AH675" i="18"/>
  <c r="H396" i="18" a="1"/>
  <c r="H396" i="18" s="1"/>
  <c r="AI133" i="18"/>
  <c r="AA348" i="18" a="1"/>
  <c r="AH196" i="18"/>
  <c r="AF196" i="18"/>
  <c r="AD196" i="18"/>
  <c r="AI196" i="18"/>
  <c r="AG196" i="18"/>
  <c r="AE196" i="18"/>
  <c r="AI676" i="18"/>
  <c r="AH676" i="18"/>
  <c r="AG676" i="18"/>
  <c r="AD676" i="18"/>
  <c r="AF676" i="18"/>
  <c r="AE676" i="18"/>
  <c r="AA196" i="18" a="1"/>
  <c r="AF350" i="18"/>
  <c r="AI350" i="18"/>
  <c r="AD350" i="18"/>
  <c r="AG350" i="18"/>
  <c r="AE350" i="18"/>
  <c r="AH350" i="18"/>
  <c r="AI474" i="18"/>
  <c r="AH474" i="18"/>
  <c r="AG474" i="18"/>
  <c r="AF474" i="18"/>
  <c r="AE474" i="18"/>
  <c r="AD474" i="18"/>
  <c r="AH172" i="18"/>
  <c r="AF172" i="18"/>
  <c r="AI172" i="18"/>
  <c r="AG172" i="18"/>
  <c r="AD172" i="18"/>
  <c r="AE172" i="18"/>
  <c r="AI652" i="18"/>
  <c r="AH652" i="18"/>
  <c r="AD652" i="18"/>
  <c r="AF652" i="18"/>
  <c r="AE652" i="18"/>
  <c r="AG652" i="18"/>
  <c r="AH677" i="18"/>
  <c r="AG677" i="18"/>
  <c r="AF677" i="18"/>
  <c r="AE677" i="18"/>
  <c r="AD677" i="18"/>
  <c r="AI677" i="18"/>
  <c r="AI96" i="18"/>
  <c r="AF96" i="18"/>
  <c r="AE96" i="18"/>
  <c r="AH96" i="18"/>
  <c r="AG96" i="18"/>
  <c r="AD96" i="18"/>
  <c r="AE197" i="18"/>
  <c r="AI197" i="18"/>
  <c r="AH197" i="18"/>
  <c r="AG197" i="18"/>
  <c r="AD197" i="18"/>
  <c r="AF197" i="18"/>
  <c r="AD148" i="18"/>
  <c r="AI148" i="18"/>
  <c r="AH148" i="18"/>
  <c r="AG148" i="18"/>
  <c r="AF148" i="18"/>
  <c r="AE148" i="18"/>
  <c r="AA172" i="18" a="1"/>
  <c r="N646" i="18"/>
  <c r="AI254" i="18"/>
  <c r="AF254" i="18"/>
  <c r="AE254" i="18"/>
  <c r="AH254" i="18"/>
  <c r="AG254" i="18"/>
  <c r="AD254" i="18"/>
  <c r="AI628" i="18"/>
  <c r="AH628" i="18"/>
  <c r="AD628" i="18"/>
  <c r="AF628" i="18"/>
  <c r="AG628" i="18"/>
  <c r="AE628" i="18"/>
  <c r="AI678" i="18"/>
  <c r="AH678" i="18"/>
  <c r="AG678" i="18"/>
  <c r="AF678" i="18"/>
  <c r="AE678" i="18"/>
  <c r="AD678" i="18"/>
  <c r="L590" i="18"/>
  <c r="L591" i="18"/>
  <c r="K668" i="18"/>
  <c r="AI31" i="18"/>
  <c r="AH31" i="18"/>
  <c r="AG31" i="18"/>
  <c r="AF31" i="18"/>
  <c r="AE31" i="18"/>
  <c r="AD31" i="18"/>
  <c r="AH55" i="18"/>
  <c r="AG55" i="18"/>
  <c r="AF55" i="18"/>
  <c r="AE55" i="18"/>
  <c r="AD55" i="18"/>
  <c r="AI55" i="18"/>
  <c r="AI79" i="18"/>
  <c r="AH79" i="18"/>
  <c r="AG79" i="18"/>
  <c r="AF79" i="18"/>
  <c r="AE79" i="18"/>
  <c r="AD79" i="18"/>
  <c r="AI495" i="18"/>
  <c r="AH495" i="18"/>
  <c r="AF495" i="18"/>
  <c r="AE495" i="18"/>
  <c r="AD495" i="18"/>
  <c r="AG495" i="18"/>
  <c r="H548" i="18" a="1"/>
  <c r="H548" i="18" s="1"/>
  <c r="H611" i="18" a="1"/>
  <c r="H611" i="18" s="1"/>
  <c r="M632" i="18"/>
  <c r="AE296" i="18"/>
  <c r="AD296" i="18"/>
  <c r="AI296" i="18"/>
  <c r="AG296" i="18"/>
  <c r="AF296" i="18"/>
  <c r="AH296" i="18"/>
  <c r="AE320" i="18"/>
  <c r="AD320" i="18"/>
  <c r="AH320" i="18"/>
  <c r="AI320" i="18"/>
  <c r="AG320" i="18"/>
  <c r="AF320" i="18"/>
  <c r="AI580" i="18"/>
  <c r="AH580" i="18"/>
  <c r="AD580" i="18"/>
  <c r="AF580" i="18"/>
  <c r="AE580" i="18"/>
  <c r="AG580" i="18"/>
  <c r="AI604" i="18"/>
  <c r="AH604" i="18"/>
  <c r="AD604" i="18"/>
  <c r="AE604" i="18"/>
  <c r="AF604" i="18"/>
  <c r="AG604" i="18"/>
  <c r="P632" i="18"/>
  <c r="AA580" i="18" a="1"/>
  <c r="AA604" i="18" a="1"/>
  <c r="P671" i="18"/>
  <c r="AH259" i="18"/>
  <c r="AD259" i="18"/>
  <c r="AI259" i="18"/>
  <c r="AG259" i="18"/>
  <c r="AF259" i="18"/>
  <c r="AE259" i="18"/>
  <c r="AD286" i="18"/>
  <c r="AI286" i="18"/>
  <c r="AE286" i="18"/>
  <c r="AH286" i="18"/>
  <c r="AG286" i="18"/>
  <c r="AF286" i="18"/>
  <c r="M634" i="18"/>
  <c r="AH206" i="18"/>
  <c r="AF206" i="18"/>
  <c r="AD206" i="18"/>
  <c r="AI206" i="18"/>
  <c r="AG206" i="18"/>
  <c r="AE206" i="18"/>
  <c r="AA286" i="18" a="1"/>
  <c r="AF311" i="18"/>
  <c r="AI311" i="18"/>
  <c r="AD311" i="18"/>
  <c r="AH311" i="18"/>
  <c r="AG311" i="18"/>
  <c r="AH336" i="18"/>
  <c r="AD336" i="18"/>
  <c r="AI336" i="18"/>
  <c r="AG336" i="18"/>
  <c r="AF336" i="18"/>
  <c r="AE336" i="18"/>
  <c r="AI532" i="18"/>
  <c r="AD532" i="18"/>
  <c r="AH532" i="18"/>
  <c r="AG532" i="18"/>
  <c r="AE532" i="18"/>
  <c r="AF532" i="18"/>
  <c r="AI556" i="18"/>
  <c r="AH556" i="18"/>
  <c r="AD556" i="18"/>
  <c r="AF556" i="18"/>
  <c r="AG556" i="18"/>
  <c r="AE556" i="18"/>
  <c r="L552" i="18"/>
  <c r="H634" i="18" a="1"/>
  <c r="H634" i="18" s="1"/>
  <c r="AA311" i="18" a="1"/>
  <c r="AA311" i="18" s="1"/>
  <c r="AA336" i="18" a="1"/>
  <c r="AI508" i="18"/>
  <c r="AD508" i="18"/>
  <c r="AH508" i="18"/>
  <c r="AG508" i="18"/>
  <c r="AF508" i="18"/>
  <c r="AE508" i="18"/>
  <c r="AA532" i="18" a="1"/>
  <c r="AA556" i="18" a="1"/>
  <c r="AF586" i="18"/>
  <c r="AE586" i="18"/>
  <c r="AD586" i="18"/>
  <c r="AI586" i="18"/>
  <c r="AH586" i="18"/>
  <c r="AG586" i="18"/>
  <c r="AA152" i="18" a="1"/>
  <c r="U152" i="18"/>
  <c r="AA351" i="18" a="1"/>
  <c r="AA351" i="18" s="1"/>
  <c r="U351" i="18"/>
  <c r="AA357" i="18" a="1"/>
  <c r="AA357" i="18" s="1"/>
  <c r="U357" i="18"/>
  <c r="AA263" i="18" a="1"/>
  <c r="U263" i="18"/>
  <c r="B630" i="18"/>
  <c r="R630" i="18" s="1"/>
  <c r="H630" i="18" a="1"/>
  <c r="H630" i="18" s="1"/>
  <c r="AA176" i="18" a="1"/>
  <c r="U176" i="18"/>
  <c r="AA665" i="18" a="1"/>
  <c r="AA665" i="18" s="1"/>
  <c r="U665" i="18"/>
  <c r="L612" i="18"/>
  <c r="AA300" i="18" a="1"/>
  <c r="U300" i="18"/>
  <c r="P645" i="18"/>
  <c r="B574" i="18"/>
  <c r="R574" i="18" s="1"/>
  <c r="H574" i="18" a="1"/>
  <c r="H574" i="18" s="1"/>
  <c r="N636" i="18"/>
  <c r="B655" i="18"/>
  <c r="R655" i="18" s="1"/>
  <c r="H655" i="18" a="1"/>
  <c r="H655" i="18" s="1"/>
  <c r="P566" i="18"/>
  <c r="B559" i="18"/>
  <c r="R559" i="18" s="1"/>
  <c r="H559" i="18" a="1"/>
  <c r="H559" i="18" s="1"/>
  <c r="AA439" i="18" a="1"/>
  <c r="AA439" i="18" s="1"/>
  <c r="U439" i="18"/>
  <c r="AA128" i="18" a="1"/>
  <c r="U128" i="18"/>
  <c r="B604" i="18"/>
  <c r="O604" i="18" s="1"/>
  <c r="H604" i="18" a="1"/>
  <c r="H604" i="18" s="1"/>
  <c r="L625" i="18"/>
  <c r="N625" i="18"/>
  <c r="U167" i="18"/>
  <c r="H670" i="18" a="1"/>
  <c r="H670" i="18" s="1"/>
  <c r="H560" i="18" a="1"/>
  <c r="H560" i="18" s="1"/>
  <c r="H616" i="18" a="1"/>
  <c r="H616" i="18" s="1"/>
  <c r="H631" i="18" a="1"/>
  <c r="H631" i="18" s="1"/>
  <c r="H641" i="18" a="1"/>
  <c r="H641" i="18" s="1"/>
  <c r="B656" i="18"/>
  <c r="H545" i="18" a="1"/>
  <c r="H545" i="18" s="1"/>
  <c r="H575" i="18" a="1"/>
  <c r="H575" i="18" s="1"/>
  <c r="H602" i="18" a="1"/>
  <c r="K616" i="18"/>
  <c r="N671" i="18"/>
  <c r="H561" i="18" a="1"/>
  <c r="H561" i="18" s="1"/>
  <c r="B587" i="18"/>
  <c r="H632" i="18" a="1"/>
  <c r="H632" i="18" s="1"/>
  <c r="N575" i="18"/>
  <c r="O575" i="18"/>
  <c r="P575" i="18"/>
  <c r="H619" i="18" a="1"/>
  <c r="H619" i="18" s="1"/>
  <c r="H659" i="18" a="1"/>
  <c r="U511" i="18"/>
  <c r="H174" i="18" a="1"/>
  <c r="H591" i="18" a="1"/>
  <c r="H591" i="18" s="1"/>
  <c r="H646" i="18" a="1"/>
  <c r="H646" i="18" s="1"/>
  <c r="O660" i="18"/>
  <c r="U307" i="18"/>
  <c r="P660" i="18"/>
  <c r="B458" i="18"/>
  <c r="H551" i="18" a="1"/>
  <c r="H551" i="18" s="1"/>
  <c r="B607" i="18"/>
  <c r="H418" i="18" a="1"/>
  <c r="H418" i="18" s="1"/>
  <c r="H519" i="18" a="1"/>
  <c r="H519" i="18" s="1"/>
  <c r="P551" i="18"/>
  <c r="H567" i="18" a="1"/>
  <c r="H661" i="18" a="1"/>
  <c r="H661" i="18" s="1"/>
  <c r="M475" i="18"/>
  <c r="H521" i="18" a="1"/>
  <c r="H638" i="18" a="1"/>
  <c r="H638" i="18" s="1"/>
  <c r="U378" i="18"/>
  <c r="H407" i="18" a="1"/>
  <c r="H407" i="18" s="1"/>
  <c r="H507" i="18" a="1"/>
  <c r="B436" i="18"/>
  <c r="H556" i="18" a="1"/>
  <c r="H556" i="18" s="1"/>
  <c r="B583" i="18"/>
  <c r="R583" i="18" s="1"/>
  <c r="H599" i="18" a="1"/>
  <c r="H599" i="18" s="1"/>
  <c r="H654" i="18" a="1"/>
  <c r="H542" i="18" a="1"/>
  <c r="H542" i="18" s="1"/>
  <c r="AA143" i="18" a="1"/>
  <c r="U143" i="18"/>
  <c r="AA239" i="18" a="1"/>
  <c r="U239" i="18"/>
  <c r="B605" i="18"/>
  <c r="H605" i="18" a="1"/>
  <c r="H605" i="18" s="1"/>
  <c r="B620" i="18"/>
  <c r="H620" i="18" a="1"/>
  <c r="H620" i="18" s="1"/>
  <c r="B549" i="18"/>
  <c r="R549" i="18" s="1"/>
  <c r="H549" i="18" a="1"/>
  <c r="H549" i="18" s="1"/>
  <c r="U383" i="18"/>
  <c r="AA104" i="18" a="1"/>
  <c r="U104" i="18"/>
  <c r="AA387" i="18" a="1"/>
  <c r="AA387" i="18" s="1"/>
  <c r="U387" i="18"/>
  <c r="U248" i="18"/>
  <c r="U224" i="18"/>
  <c r="B588" i="18"/>
  <c r="R588" i="18" s="1"/>
  <c r="H588" i="18" a="1"/>
  <c r="H588" i="18" s="1"/>
  <c r="H633" i="18" a="1"/>
  <c r="H633" i="18" s="1"/>
  <c r="B633" i="18"/>
  <c r="L633" i="18" s="1"/>
  <c r="H578" i="18" a="1"/>
  <c r="H578" i="18" s="1"/>
  <c r="U200" i="18"/>
  <c r="AK200" i="18" s="1"/>
  <c r="B593" i="18"/>
  <c r="H593" i="18" a="1"/>
  <c r="H593" i="18" s="1"/>
  <c r="AA559" i="18" a="1"/>
  <c r="AA559" i="18" s="1"/>
  <c r="U559" i="18"/>
  <c r="AA272" i="18" a="1"/>
  <c r="U272" i="18"/>
  <c r="AA353" i="18" a="1"/>
  <c r="AA353" i="18" s="1"/>
  <c r="U353" i="18"/>
  <c r="B437" i="18"/>
  <c r="K437" i="18" s="1"/>
  <c r="H437" i="18" a="1"/>
  <c r="H437" i="18" s="1"/>
  <c r="H450" i="18" a="1"/>
  <c r="H450" i="18" s="1"/>
  <c r="B476" i="18"/>
  <c r="B569" i="18"/>
  <c r="L569" i="18" s="1"/>
  <c r="H569" i="18" a="1"/>
  <c r="H569" i="18" s="1"/>
  <c r="AA324" i="18" a="1"/>
  <c r="AA324" i="18" s="1"/>
  <c r="U324" i="18"/>
  <c r="AA583" i="18" a="1"/>
  <c r="AA583" i="18" s="1"/>
  <c r="U583" i="18"/>
  <c r="U191" i="18"/>
  <c r="AK191" i="18" s="1"/>
  <c r="U215" i="18"/>
  <c r="AA463" i="18" a="1"/>
  <c r="AA463" i="18" s="1"/>
  <c r="U463" i="18"/>
  <c r="P673" i="18"/>
  <c r="M673" i="18"/>
  <c r="K673" i="18"/>
  <c r="B553" i="18"/>
  <c r="R553" i="18" s="1"/>
  <c r="H553" i="18" a="1"/>
  <c r="H553" i="18" s="1"/>
  <c r="B568" i="18"/>
  <c r="R568" i="18" s="1"/>
  <c r="B621" i="18"/>
  <c r="H621" i="18" a="1"/>
  <c r="H621" i="18" s="1"/>
  <c r="H673" i="18" a="1"/>
  <c r="H673" i="18" s="1"/>
  <c r="B555" i="18"/>
  <c r="R555" i="18" s="1"/>
  <c r="H555" i="18" a="1"/>
  <c r="H555" i="18" s="1"/>
  <c r="B570" i="18"/>
  <c r="K570" i="18" s="1"/>
  <c r="H570" i="18" a="1"/>
  <c r="H570" i="18" s="1"/>
  <c r="H388" i="18" a="1"/>
  <c r="H388" i="18" s="1"/>
  <c r="AA593" i="18" a="1"/>
  <c r="AA593" i="18" s="1"/>
  <c r="U593" i="18"/>
  <c r="H541" i="18" a="1"/>
  <c r="H541" i="18" s="1"/>
  <c r="B541" i="18"/>
  <c r="AA535" i="18" a="1"/>
  <c r="AA535" i="18" s="1"/>
  <c r="U535" i="18"/>
  <c r="B557" i="18"/>
  <c r="H557" i="18" a="1"/>
  <c r="H557" i="18" s="1"/>
  <c r="B648" i="18"/>
  <c r="R648" i="18" s="1"/>
  <c r="H648" i="18" a="1"/>
  <c r="H648" i="18" s="1"/>
  <c r="B558" i="18"/>
  <c r="R558" i="18" s="1"/>
  <c r="H558" i="18" a="1"/>
  <c r="H558" i="18" s="1"/>
  <c r="B649" i="18"/>
  <c r="R649" i="18" s="1"/>
  <c r="H649" i="18" a="1"/>
  <c r="H649" i="18" s="1"/>
  <c r="O661" i="18"/>
  <c r="AA641" i="18" a="1"/>
  <c r="AA641" i="18" s="1"/>
  <c r="U641" i="18"/>
  <c r="B457" i="18"/>
  <c r="H457" i="18" a="1"/>
  <c r="H457" i="18" s="1"/>
  <c r="B484" i="18"/>
  <c r="B573" i="18"/>
  <c r="R573" i="18" s="1"/>
  <c r="H573" i="18" a="1"/>
  <c r="H573" i="18" s="1"/>
  <c r="B651" i="18"/>
  <c r="R651" i="18" s="1"/>
  <c r="H651" i="18" a="1"/>
  <c r="H651" i="18" s="1"/>
  <c r="B652" i="18"/>
  <c r="H652" i="18" a="1"/>
  <c r="H652" i="18" s="1"/>
  <c r="H393" i="18" a="1"/>
  <c r="H393" i="18" s="1"/>
  <c r="H471" i="18" a="1"/>
  <c r="H471" i="18" s="1"/>
  <c r="B653" i="18"/>
  <c r="R653" i="18" s="1"/>
  <c r="H653" i="18" a="1"/>
  <c r="H653" i="18" s="1"/>
  <c r="U288" i="18"/>
  <c r="U487" i="18"/>
  <c r="U617" i="18"/>
  <c r="H394" i="18" a="1"/>
  <c r="H394" i="18" s="1"/>
  <c r="H473" i="18" a="1"/>
  <c r="H473" i="18" s="1"/>
  <c r="B473" i="18"/>
  <c r="B600" i="18"/>
  <c r="H600" i="18" a="1"/>
  <c r="H600" i="18" s="1"/>
  <c r="B601" i="18"/>
  <c r="H601" i="18" a="1"/>
  <c r="H601" i="18" s="1"/>
  <c r="O548" i="18"/>
  <c r="N548" i="18"/>
  <c r="B571" i="18"/>
  <c r="H571" i="18" a="1"/>
  <c r="H571" i="18" s="1"/>
  <c r="B662" i="18"/>
  <c r="H662" i="18" a="1"/>
  <c r="H662" i="18" s="1"/>
  <c r="H579" i="18" a="1"/>
  <c r="H579" i="18" s="1"/>
  <c r="H612" i="18" a="1"/>
  <c r="H612" i="18" s="1"/>
  <c r="B624" i="18"/>
  <c r="R624" i="18" s="1"/>
  <c r="H624" i="18" a="1"/>
  <c r="H624" i="18" s="1"/>
  <c r="B642" i="18"/>
  <c r="R642" i="18" s="1"/>
  <c r="H642" i="18" a="1"/>
  <c r="H642" i="18" s="1"/>
  <c r="B550" i="18"/>
  <c r="R550" i="18" s="1"/>
  <c r="H550" i="18" a="1"/>
  <c r="H550" i="18" s="1"/>
  <c r="H666" i="18" a="1"/>
  <c r="H666" i="18" s="1"/>
  <c r="B666" i="18"/>
  <c r="H580" i="18" a="1"/>
  <c r="H592" i="18" a="1"/>
  <c r="H592" i="18" s="1"/>
  <c r="H613" i="18" a="1"/>
  <c r="H613" i="18" s="1"/>
  <c r="H508" i="18" a="1"/>
  <c r="H508" i="18" s="1"/>
  <c r="H516" i="18" a="1"/>
  <c r="H516" i="18" s="1"/>
  <c r="B581" i="18"/>
  <c r="R581" i="18" s="1"/>
  <c r="H581" i="18" a="1"/>
  <c r="H581" i="18" s="1"/>
  <c r="P614" i="18"/>
  <c r="N614" i="18"/>
  <c r="K614" i="18"/>
  <c r="H509" i="18" a="1"/>
  <c r="H509" i="18" s="1"/>
  <c r="B582" i="18"/>
  <c r="R582" i="18" s="1"/>
  <c r="H582" i="18" a="1"/>
  <c r="H582" i="18" s="1"/>
  <c r="H614" i="18" a="1"/>
  <c r="H626" i="18" a="1"/>
  <c r="H667" i="18" a="1"/>
  <c r="H667" i="18" s="1"/>
  <c r="U525" i="18"/>
  <c r="H433" i="18" a="1"/>
  <c r="H433" i="18" s="1"/>
  <c r="H562" i="18" a="1"/>
  <c r="H562" i="18" s="1"/>
  <c r="U575" i="18"/>
  <c r="H422" i="18" a="1"/>
  <c r="H422" i="18" s="1"/>
  <c r="B489" i="18"/>
  <c r="B563" i="18"/>
  <c r="H563" i="18" a="1"/>
  <c r="H563" i="18" s="1"/>
  <c r="B615" i="18"/>
  <c r="H615" i="18" a="1"/>
  <c r="H615" i="18" s="1"/>
  <c r="H668" i="18" a="1"/>
  <c r="H668" i="18" s="1"/>
  <c r="B564" i="18"/>
  <c r="R564" i="18" s="1"/>
  <c r="H564" i="18" a="1"/>
  <c r="H564" i="18" s="1"/>
  <c r="B594" i="18"/>
  <c r="B627" i="18"/>
  <c r="H627" i="18" a="1"/>
  <c r="H627" i="18" s="1"/>
  <c r="B595" i="18"/>
  <c r="R595" i="18" s="1"/>
  <c r="H595" i="18" a="1"/>
  <c r="H595" i="18" s="1"/>
  <c r="B628" i="18"/>
  <c r="R628" i="18" s="1"/>
  <c r="H628" i="18" a="1"/>
  <c r="H628" i="18" s="1"/>
  <c r="B637" i="18"/>
  <c r="R637" i="18" s="1"/>
  <c r="H637" i="18" a="1"/>
  <c r="H637" i="18" s="1"/>
  <c r="H647" i="18" a="1"/>
  <c r="H543" i="18" a="1"/>
  <c r="H543" i="18" s="1"/>
  <c r="B543" i="18"/>
  <c r="R543" i="18" s="1"/>
  <c r="B597" i="18"/>
  <c r="R597" i="18" s="1"/>
  <c r="H597" i="18" a="1"/>
  <c r="H597" i="18" s="1"/>
  <c r="B629" i="18"/>
  <c r="H629" i="18" a="1"/>
  <c r="H629" i="18" s="1"/>
  <c r="H492" i="18" a="1"/>
  <c r="H492" i="18" s="1"/>
  <c r="H585" i="18" a="1"/>
  <c r="H585" i="18" s="1"/>
  <c r="B669" i="18"/>
  <c r="R669" i="18" s="1"/>
  <c r="B554" i="18"/>
  <c r="R554" i="18" s="1"/>
  <c r="H554" i="18" a="1"/>
  <c r="H554" i="18" s="1"/>
  <c r="H586" i="18" a="1"/>
  <c r="H586" i="18" s="1"/>
  <c r="H598" i="18" a="1"/>
  <c r="H598" i="18" s="1"/>
  <c r="H639" i="18" a="1"/>
  <c r="H660" i="18" a="1"/>
  <c r="H660" i="18" s="1"/>
  <c r="M660" i="18"/>
  <c r="B650" i="18"/>
  <c r="R650" i="18" s="1"/>
  <c r="H544" i="18" a="1"/>
  <c r="H544" i="18" s="1"/>
  <c r="H608" i="18" a="1"/>
  <c r="H608" i="18" s="1"/>
  <c r="H622" i="18" a="1"/>
  <c r="H622" i="18" s="1"/>
  <c r="H636" i="18" a="1"/>
  <c r="H636" i="18" s="1"/>
  <c r="H643" i="18" a="1"/>
  <c r="H643" i="18" s="1"/>
  <c r="H657" i="18" a="1"/>
  <c r="H663" i="18" a="1"/>
  <c r="H596" i="18" a="1"/>
  <c r="H596" i="18" s="1"/>
  <c r="H609" i="18" a="1"/>
  <c r="H623" i="18" a="1"/>
  <c r="H623" i="18" s="1"/>
  <c r="H644" i="18" a="1"/>
  <c r="H644" i="18" s="1"/>
  <c r="H658" i="18" a="1"/>
  <c r="H658" i="18" s="1"/>
  <c r="H664" i="18" a="1"/>
  <c r="H664" i="18" s="1"/>
  <c r="H671" i="18" a="1"/>
  <c r="H671" i="18" s="1"/>
  <c r="N596" i="18"/>
  <c r="M551" i="18"/>
  <c r="H576" i="18" a="1"/>
  <c r="H576" i="18" s="1"/>
  <c r="H589" i="18" a="1"/>
  <c r="H589" i="18" s="1"/>
  <c r="H610" i="18" a="1"/>
  <c r="H610" i="18" s="1"/>
  <c r="H665" i="18" a="1"/>
  <c r="H665" i="18" s="1"/>
  <c r="M671" i="18"/>
  <c r="H546" i="18" a="1"/>
  <c r="H546" i="18" s="1"/>
  <c r="H590" i="18" a="1"/>
  <c r="H590" i="18" s="1"/>
  <c r="H603" i="18" a="1"/>
  <c r="H603" i="18" s="1"/>
  <c r="H645" i="18" a="1"/>
  <c r="H468" i="18" a="1"/>
  <c r="H552" i="18" a="1"/>
  <c r="H552" i="18" s="1"/>
  <c r="H577" i="18" a="1"/>
  <c r="H577" i="18" s="1"/>
  <c r="H584" i="18" a="1"/>
  <c r="H584" i="18" s="1"/>
  <c r="H625" i="18" a="1"/>
  <c r="H625" i="18" s="1"/>
  <c r="H565" i="18" a="1"/>
  <c r="H565" i="18" s="1"/>
  <c r="H617" i="18" a="1"/>
  <c r="H617" i="18" s="1"/>
  <c r="H672" i="18" a="1"/>
  <c r="L174" i="18"/>
  <c r="K174" i="18"/>
  <c r="P174" i="18"/>
  <c r="O174" i="18"/>
  <c r="N174" i="18"/>
  <c r="M174" i="18"/>
  <c r="N432" i="18"/>
  <c r="P667" i="18"/>
  <c r="O667" i="18"/>
  <c r="N667" i="18"/>
  <c r="M667" i="18"/>
  <c r="L667" i="18"/>
  <c r="K667" i="18"/>
  <c r="N561" i="18"/>
  <c r="K561" i="18"/>
  <c r="P561" i="18"/>
  <c r="O561" i="18"/>
  <c r="M561" i="18"/>
  <c r="L561" i="18"/>
  <c r="L417" i="18"/>
  <c r="N417" i="18"/>
  <c r="K417" i="18"/>
  <c r="P567" i="18"/>
  <c r="O567" i="18"/>
  <c r="N567" i="18"/>
  <c r="K567" i="18"/>
  <c r="L567" i="18"/>
  <c r="M567" i="18"/>
  <c r="L554" i="18"/>
  <c r="K554" i="18"/>
  <c r="N554" i="18"/>
  <c r="L562" i="18"/>
  <c r="O562" i="18"/>
  <c r="K562" i="18"/>
  <c r="P562" i="18"/>
  <c r="N562" i="18"/>
  <c r="M562" i="18"/>
  <c r="O418" i="18"/>
  <c r="P418" i="18"/>
  <c r="N418" i="18"/>
  <c r="M418" i="18"/>
  <c r="K418" i="18"/>
  <c r="L418" i="18"/>
  <c r="M441" i="18"/>
  <c r="L574" i="18"/>
  <c r="O574" i="18"/>
  <c r="N574" i="18"/>
  <c r="K574" i="18"/>
  <c r="P580" i="18"/>
  <c r="O580" i="18"/>
  <c r="N580" i="18"/>
  <c r="M580" i="18"/>
  <c r="L580" i="18"/>
  <c r="K580" i="18"/>
  <c r="P556" i="18"/>
  <c r="O556" i="18"/>
  <c r="N556" i="18"/>
  <c r="M556" i="18"/>
  <c r="L556" i="18"/>
  <c r="K556" i="18"/>
  <c r="N655" i="18"/>
  <c r="L655" i="18"/>
  <c r="M655" i="18"/>
  <c r="L546" i="18"/>
  <c r="M546" i="18"/>
  <c r="O546" i="18"/>
  <c r="P546" i="18"/>
  <c r="N546" i="18"/>
  <c r="K546" i="18"/>
  <c r="O643" i="18"/>
  <c r="M643" i="18"/>
  <c r="L643" i="18"/>
  <c r="K643" i="18"/>
  <c r="P643" i="18"/>
  <c r="N643" i="18"/>
  <c r="P602" i="18"/>
  <c r="O602" i="18"/>
  <c r="L602" i="18"/>
  <c r="N602" i="18"/>
  <c r="M602" i="18"/>
  <c r="K602" i="18"/>
  <c r="P451" i="18"/>
  <c r="N451" i="18"/>
  <c r="K492" i="18"/>
  <c r="O492" i="18"/>
  <c r="M492" i="18"/>
  <c r="L492" i="18"/>
  <c r="P492" i="18"/>
  <c r="P499" i="18"/>
  <c r="N499" i="18"/>
  <c r="N585" i="18"/>
  <c r="P585" i="18"/>
  <c r="O585" i="18"/>
  <c r="M585" i="18"/>
  <c r="L585" i="18"/>
  <c r="K585" i="18"/>
  <c r="N495" i="18"/>
  <c r="O635" i="18"/>
  <c r="P635" i="18"/>
  <c r="M635" i="18"/>
  <c r="N635" i="18"/>
  <c r="K635" i="18"/>
  <c r="L635" i="18"/>
  <c r="P558" i="18"/>
  <c r="L558" i="18"/>
  <c r="O609" i="18"/>
  <c r="N609" i="18"/>
  <c r="L609" i="18"/>
  <c r="K609" i="18"/>
  <c r="P609" i="18"/>
  <c r="M609" i="18"/>
  <c r="K459" i="18"/>
  <c r="L610" i="18"/>
  <c r="O610" i="18"/>
  <c r="N610" i="18"/>
  <c r="K610" i="18"/>
  <c r="M610" i="18"/>
  <c r="P610" i="18"/>
  <c r="P565" i="18"/>
  <c r="M565" i="18"/>
  <c r="O565" i="18"/>
  <c r="N565" i="18"/>
  <c r="K565" i="18"/>
  <c r="L565" i="18"/>
  <c r="N583" i="18"/>
  <c r="P657" i="18"/>
  <c r="N657" i="18"/>
  <c r="M657" i="18"/>
  <c r="O657" i="18"/>
  <c r="L657" i="18"/>
  <c r="K657" i="18"/>
  <c r="O611" i="18"/>
  <c r="L611" i="18"/>
  <c r="K611" i="18"/>
  <c r="M611" i="18"/>
  <c r="N611" i="18"/>
  <c r="P611" i="18"/>
  <c r="N631" i="18"/>
  <c r="M631" i="18"/>
  <c r="P631" i="18"/>
  <c r="O631" i="18"/>
  <c r="K631" i="18"/>
  <c r="L631" i="18"/>
  <c r="P663" i="18"/>
  <c r="O663" i="18"/>
  <c r="N663" i="18"/>
  <c r="K663" i="18"/>
  <c r="M663" i="18"/>
  <c r="L663" i="18"/>
  <c r="L637" i="18"/>
  <c r="P578" i="18"/>
  <c r="O578" i="18"/>
  <c r="L578" i="18"/>
  <c r="M578" i="18"/>
  <c r="N578" i="18"/>
  <c r="K578" i="18"/>
  <c r="P591" i="18"/>
  <c r="O591" i="18"/>
  <c r="N591" i="18"/>
  <c r="K591" i="18"/>
  <c r="M591" i="18"/>
  <c r="P664" i="18"/>
  <c r="N664" i="18"/>
  <c r="M664" i="18"/>
  <c r="O664" i="18"/>
  <c r="L664" i="18"/>
  <c r="K664" i="18"/>
  <c r="L638" i="18"/>
  <c r="O638" i="18"/>
  <c r="P638" i="18"/>
  <c r="N638" i="18"/>
  <c r="M638" i="18"/>
  <c r="K638" i="18"/>
  <c r="L592" i="18"/>
  <c r="O592" i="18"/>
  <c r="N592" i="18"/>
  <c r="K592" i="18"/>
  <c r="P592" i="18"/>
  <c r="M592" i="18"/>
  <c r="K555" i="18"/>
  <c r="L437" i="18"/>
  <c r="P613" i="18"/>
  <c r="M613" i="18"/>
  <c r="N613" i="18"/>
  <c r="L613" i="18"/>
  <c r="K613" i="18"/>
  <c r="O613" i="18"/>
  <c r="O619" i="18"/>
  <c r="M619" i="18"/>
  <c r="L619" i="18"/>
  <c r="K619" i="18"/>
  <c r="P619" i="18"/>
  <c r="N619" i="18"/>
  <c r="M446" i="18"/>
  <c r="P555" i="18"/>
  <c r="L563" i="18"/>
  <c r="N563" i="18"/>
  <c r="K563" i="18"/>
  <c r="P606" i="18"/>
  <c r="N606" i="18"/>
  <c r="M606" i="18"/>
  <c r="L606" i="18"/>
  <c r="K606" i="18"/>
  <c r="O606" i="18"/>
  <c r="M569" i="18"/>
  <c r="P569" i="18"/>
  <c r="L586" i="18"/>
  <c r="P586" i="18"/>
  <c r="O586" i="18"/>
  <c r="N586" i="18"/>
  <c r="M586" i="18"/>
  <c r="K586" i="18"/>
  <c r="L662" i="18"/>
  <c r="N644" i="18"/>
  <c r="L644" i="18"/>
  <c r="K644" i="18"/>
  <c r="P644" i="18"/>
  <c r="O644" i="18"/>
  <c r="M644" i="18"/>
  <c r="P674" i="18"/>
  <c r="O674" i="18"/>
  <c r="L674" i="18"/>
  <c r="M674" i="18"/>
  <c r="K674" i="18"/>
  <c r="N674" i="18"/>
  <c r="N544" i="18"/>
  <c r="M544" i="18"/>
  <c r="P544" i="18"/>
  <c r="O544" i="18"/>
  <c r="L544" i="18"/>
  <c r="K544" i="18"/>
  <c r="P598" i="18"/>
  <c r="N598" i="18"/>
  <c r="K598" i="18"/>
  <c r="O598" i="18"/>
  <c r="M598" i="18"/>
  <c r="L598" i="18"/>
  <c r="N494" i="18"/>
  <c r="M494" i="18"/>
  <c r="L494" i="18"/>
  <c r="P494" i="18"/>
  <c r="O494" i="18"/>
  <c r="N576" i="18"/>
  <c r="P576" i="18"/>
  <c r="L576" i="18"/>
  <c r="K576" i="18"/>
  <c r="O576" i="18"/>
  <c r="P622" i="18"/>
  <c r="K622" i="18"/>
  <c r="O622" i="18"/>
  <c r="N622" i="18"/>
  <c r="L622" i="18"/>
  <c r="M622" i="18"/>
  <c r="M645" i="18"/>
  <c r="K645" i="18"/>
  <c r="N645" i="18"/>
  <c r="L645" i="18"/>
  <c r="O645" i="18"/>
  <c r="O675" i="18"/>
  <c r="L675" i="18"/>
  <c r="P675" i="18"/>
  <c r="N675" i="18"/>
  <c r="M675" i="18"/>
  <c r="K675" i="18"/>
  <c r="N560" i="18"/>
  <c r="L560" i="18"/>
  <c r="K560" i="18"/>
  <c r="P560" i="18"/>
  <c r="O560" i="18"/>
  <c r="M560" i="18"/>
  <c r="L634" i="18"/>
  <c r="O634" i="18"/>
  <c r="N634" i="18"/>
  <c r="K634" i="18"/>
  <c r="P634" i="18"/>
  <c r="O421" i="18"/>
  <c r="M576" i="18"/>
  <c r="P639" i="18"/>
  <c r="O639" i="18"/>
  <c r="N639" i="18"/>
  <c r="K639" i="18"/>
  <c r="L639" i="18"/>
  <c r="M639" i="18"/>
  <c r="P670" i="18"/>
  <c r="O670" i="18"/>
  <c r="L670" i="18"/>
  <c r="K670" i="18"/>
  <c r="N670" i="18"/>
  <c r="M670" i="18"/>
  <c r="O577" i="18"/>
  <c r="L577" i="18"/>
  <c r="K577" i="18"/>
  <c r="P577" i="18"/>
  <c r="N577" i="18"/>
  <c r="M577" i="18"/>
  <c r="O659" i="18"/>
  <c r="P659" i="18"/>
  <c r="N659" i="18"/>
  <c r="M659" i="18"/>
  <c r="L659" i="18"/>
  <c r="K659" i="18"/>
  <c r="O617" i="18"/>
  <c r="N617" i="18"/>
  <c r="M617" i="18"/>
  <c r="L617" i="18"/>
  <c r="K617" i="18"/>
  <c r="P617" i="18"/>
  <c r="P630" i="18"/>
  <c r="N630" i="18"/>
  <c r="M630" i="18"/>
  <c r="L630" i="18"/>
  <c r="K630" i="18"/>
  <c r="O630" i="18"/>
  <c r="P589" i="18"/>
  <c r="M589" i="18"/>
  <c r="N589" i="18"/>
  <c r="L589" i="18"/>
  <c r="K589" i="18"/>
  <c r="P618" i="18"/>
  <c r="N618" i="18"/>
  <c r="L618" i="18"/>
  <c r="K618" i="18"/>
  <c r="M618" i="18"/>
  <c r="N474" i="18"/>
  <c r="L474" i="18"/>
  <c r="K474" i="18"/>
  <c r="O589" i="18"/>
  <c r="O641" i="18"/>
  <c r="N641" i="18"/>
  <c r="M641" i="18"/>
  <c r="L641" i="18"/>
  <c r="P641" i="18"/>
  <c r="K641" i="18"/>
  <c r="O579" i="18"/>
  <c r="N579" i="18"/>
  <c r="P579" i="18"/>
  <c r="M579" i="18"/>
  <c r="K579" i="18"/>
  <c r="N584" i="18"/>
  <c r="L584" i="18"/>
  <c r="K584" i="18"/>
  <c r="M584" i="18"/>
  <c r="P584" i="18"/>
  <c r="N590" i="18"/>
  <c r="M590" i="18"/>
  <c r="P590" i="18"/>
  <c r="O590" i="18"/>
  <c r="K590" i="18"/>
  <c r="N648" i="18"/>
  <c r="P648" i="18"/>
  <c r="O648" i="18"/>
  <c r="P654" i="18"/>
  <c r="N654" i="18"/>
  <c r="M654" i="18"/>
  <c r="L654" i="18"/>
  <c r="K654" i="18"/>
  <c r="O654" i="18"/>
  <c r="N672" i="18"/>
  <c r="O672" i="18"/>
  <c r="M672" i="18"/>
  <c r="L672" i="18"/>
  <c r="P672" i="18"/>
  <c r="K672" i="18"/>
  <c r="O547" i="18"/>
  <c r="M547" i="18"/>
  <c r="L547" i="18"/>
  <c r="K547" i="18"/>
  <c r="P547" i="18"/>
  <c r="N547" i="18"/>
  <c r="L642" i="18"/>
  <c r="K642" i="18"/>
  <c r="P475" i="18"/>
  <c r="N552" i="18"/>
  <c r="P552" i="18"/>
  <c r="O552" i="18"/>
  <c r="M552" i="18"/>
  <c r="K552" i="18"/>
  <c r="L579" i="18"/>
  <c r="O584" i="18"/>
  <c r="L568" i="18"/>
  <c r="P616" i="18"/>
  <c r="M616" i="18"/>
  <c r="L616" i="18"/>
  <c r="O616" i="18"/>
  <c r="N616" i="18"/>
  <c r="P626" i="18"/>
  <c r="O626" i="18"/>
  <c r="L626" i="18"/>
  <c r="M626" i="18"/>
  <c r="K626" i="18"/>
  <c r="N626" i="18"/>
  <c r="P665" i="18"/>
  <c r="O665" i="18"/>
  <c r="N665" i="18"/>
  <c r="M665" i="18"/>
  <c r="L665" i="18"/>
  <c r="K665" i="18"/>
  <c r="O573" i="18"/>
  <c r="N573" i="18"/>
  <c r="K656" i="18"/>
  <c r="P656" i="18"/>
  <c r="L548" i="18"/>
  <c r="K548" i="18"/>
  <c r="P548" i="18"/>
  <c r="M548" i="18"/>
  <c r="P612" i="18"/>
  <c r="O612" i="18"/>
  <c r="M612" i="18"/>
  <c r="N612" i="18"/>
  <c r="K612" i="18"/>
  <c r="P636" i="18"/>
  <c r="O636" i="18"/>
  <c r="M636" i="18"/>
  <c r="L636" i="18"/>
  <c r="K636" i="18"/>
  <c r="P646" i="18"/>
  <c r="O646" i="18"/>
  <c r="M646" i="18"/>
  <c r="L646" i="18"/>
  <c r="K646" i="18"/>
  <c r="P676" i="18"/>
  <c r="O676" i="18"/>
  <c r="N676" i="18"/>
  <c r="M676" i="18"/>
  <c r="K676" i="18"/>
  <c r="L676" i="18"/>
  <c r="N603" i="18"/>
  <c r="M603" i="18"/>
  <c r="K603" i="18"/>
  <c r="P603" i="18"/>
  <c r="O603" i="18"/>
  <c r="L603" i="18"/>
  <c r="K599" i="18"/>
  <c r="M599" i="18"/>
  <c r="P599" i="18"/>
  <c r="O599" i="18"/>
  <c r="L599" i="18"/>
  <c r="N632" i="18"/>
  <c r="L632" i="18"/>
  <c r="K632" i="18"/>
  <c r="O632" i="18"/>
  <c r="P661" i="18"/>
  <c r="M661" i="18"/>
  <c r="K661" i="18"/>
  <c r="N661" i="18"/>
  <c r="L661" i="18"/>
  <c r="O521" i="18"/>
  <c r="N608" i="18"/>
  <c r="L608" i="18"/>
  <c r="K608" i="18"/>
  <c r="M652" i="18"/>
  <c r="M608" i="18"/>
  <c r="K623" i="18"/>
  <c r="N623" i="18"/>
  <c r="M623" i="18"/>
  <c r="P623" i="18"/>
  <c r="O623" i="18"/>
  <c r="K647" i="18"/>
  <c r="M647" i="18"/>
  <c r="L647" i="18"/>
  <c r="P647" i="18"/>
  <c r="O647" i="18"/>
  <c r="N566" i="18"/>
  <c r="M566" i="18"/>
  <c r="O566" i="18"/>
  <c r="L566" i="18"/>
  <c r="K566" i="18"/>
  <c r="O608" i="18"/>
  <c r="N510" i="18"/>
  <c r="L510" i="18"/>
  <c r="K510" i="18"/>
  <c r="M510" i="18"/>
  <c r="P521" i="18"/>
  <c r="O545" i="18"/>
  <c r="N545" i="18"/>
  <c r="M545" i="18"/>
  <c r="L545" i="18"/>
  <c r="P596" i="18"/>
  <c r="O596" i="18"/>
  <c r="M596" i="18"/>
  <c r="L596" i="18"/>
  <c r="K596" i="18"/>
  <c r="P608" i="18"/>
  <c r="L623" i="18"/>
  <c r="N647" i="18"/>
  <c r="P678" i="18"/>
  <c r="O678" i="18"/>
  <c r="N678" i="18"/>
  <c r="M678" i="18"/>
  <c r="L678" i="18"/>
  <c r="K678" i="18"/>
  <c r="M653" i="18"/>
  <c r="L653" i="18"/>
  <c r="K653" i="18"/>
  <c r="O668" i="18"/>
  <c r="N668" i="18"/>
  <c r="L668" i="18"/>
  <c r="P668" i="18"/>
  <c r="M668" i="18"/>
  <c r="K545" i="18"/>
  <c r="K575" i="18"/>
  <c r="M575" i="18"/>
  <c r="L575" i="18"/>
  <c r="O614" i="18"/>
  <c r="L614" i="18"/>
  <c r="M614" i="18"/>
  <c r="L658" i="18"/>
  <c r="P658" i="18"/>
  <c r="M658" i="18"/>
  <c r="N658" i="18"/>
  <c r="K658" i="18"/>
  <c r="P625" i="18"/>
  <c r="O625" i="18"/>
  <c r="M625" i="18"/>
  <c r="K625" i="18"/>
  <c r="N633" i="18"/>
  <c r="M633" i="18"/>
  <c r="K551" i="18"/>
  <c r="O551" i="18"/>
  <c r="N551" i="18"/>
  <c r="P669" i="18"/>
  <c r="O673" i="18"/>
  <c r="N673" i="18"/>
  <c r="L673" i="18"/>
  <c r="L551" i="18"/>
  <c r="L564" i="18"/>
  <c r="P564" i="18"/>
  <c r="O677" i="18"/>
  <c r="N677" i="18"/>
  <c r="M677" i="18"/>
  <c r="K677" i="18"/>
  <c r="L677" i="18"/>
  <c r="P677" i="18"/>
  <c r="L671" i="18"/>
  <c r="K671" i="18"/>
  <c r="O671" i="18"/>
  <c r="K660" i="18"/>
  <c r="L660" i="18"/>
  <c r="N660" i="18"/>
  <c r="AA42" i="18" a="1"/>
  <c r="U42" i="18"/>
  <c r="AA59" i="18" a="1"/>
  <c r="U59" i="18"/>
  <c r="AA73" i="18" a="1"/>
  <c r="U73" i="18"/>
  <c r="AA149" i="18" a="1"/>
  <c r="U149" i="18"/>
  <c r="AA251" i="18" a="1"/>
  <c r="U251" i="18"/>
  <c r="AA34" i="18" a="1"/>
  <c r="U34" i="18"/>
  <c r="AA138" i="18" a="1"/>
  <c r="U138" i="18"/>
  <c r="AA6" i="18" a="1"/>
  <c r="U6" i="18"/>
  <c r="AA51" i="18" a="1"/>
  <c r="U51" i="18"/>
  <c r="AA221" i="18" a="1"/>
  <c r="U221" i="18"/>
  <c r="U20" i="18"/>
  <c r="AA20" i="18" a="1"/>
  <c r="AA54" i="18" a="1"/>
  <c r="U54" i="18"/>
  <c r="AA82" i="18" a="1"/>
  <c r="U82" i="18"/>
  <c r="AA210" i="18" a="1"/>
  <c r="U210" i="18"/>
  <c r="AA23" i="18" a="1"/>
  <c r="U23" i="18"/>
  <c r="U68" i="18"/>
  <c r="AA68" i="18" a="1"/>
  <c r="AA71" i="18" a="1"/>
  <c r="U71" i="18"/>
  <c r="U144" i="18"/>
  <c r="AA144" i="18" a="1"/>
  <c r="AA76" i="18" a="1"/>
  <c r="U76" i="18"/>
  <c r="AA147" i="18" a="1"/>
  <c r="U147" i="18"/>
  <c r="AA315" i="18" a="1"/>
  <c r="AA315" i="18" s="1"/>
  <c r="U315" i="18"/>
  <c r="AA15" i="18" a="1"/>
  <c r="U15" i="18"/>
  <c r="AA46" i="18" a="1"/>
  <c r="U46" i="18"/>
  <c r="AA125" i="18" a="1"/>
  <c r="U125" i="18"/>
  <c r="U216" i="18"/>
  <c r="AA216" i="18" a="1"/>
  <c r="AA35" i="18" a="1"/>
  <c r="U35" i="18"/>
  <c r="AA49" i="18" a="1"/>
  <c r="U49" i="18"/>
  <c r="AA63" i="18" a="1"/>
  <c r="U63" i="18"/>
  <c r="AA219" i="18" a="1"/>
  <c r="U219" i="18"/>
  <c r="AA280" i="18" a="1"/>
  <c r="U280" i="18"/>
  <c r="AA18" i="18" a="1"/>
  <c r="U18" i="18"/>
  <c r="AA52" i="18" a="1"/>
  <c r="U52" i="18"/>
  <c r="AA175" i="18" a="1"/>
  <c r="U175" i="18"/>
  <c r="AA66" i="18" a="1"/>
  <c r="U66" i="18"/>
  <c r="AA83" i="18" a="1"/>
  <c r="U83" i="18"/>
  <c r="AA24" i="18" a="1"/>
  <c r="U24" i="18"/>
  <c r="AA10" i="18" a="1"/>
  <c r="U10" i="18"/>
  <c r="AA27" i="18" a="1"/>
  <c r="U27" i="18"/>
  <c r="AA111" i="18" a="1"/>
  <c r="U111" i="18"/>
  <c r="AA114" i="18" a="1"/>
  <c r="U114" i="18"/>
  <c r="AA131" i="18" a="1"/>
  <c r="U131" i="18"/>
  <c r="U341" i="18"/>
  <c r="AA341" i="18" a="1"/>
  <c r="AA341" i="18" s="1"/>
  <c r="AA377" i="18" a="1"/>
  <c r="AA377" i="18" s="1"/>
  <c r="U377" i="18"/>
  <c r="AA30" i="18" a="1"/>
  <c r="U30" i="18"/>
  <c r="AA58" i="18" a="1"/>
  <c r="U58" i="18"/>
  <c r="U44" i="18"/>
  <c r="AA44" i="18" a="1"/>
  <c r="AA75" i="18" a="1"/>
  <c r="U75" i="18"/>
  <c r="U120" i="18"/>
  <c r="AA120" i="18" a="1"/>
  <c r="AA275" i="18" a="1"/>
  <c r="U275" i="18"/>
  <c r="AA47" i="18" a="1"/>
  <c r="U47" i="18"/>
  <c r="AA78" i="18" a="1"/>
  <c r="U78" i="18"/>
  <c r="AA123" i="18" a="1"/>
  <c r="U123" i="18"/>
  <c r="AA162" i="18" a="1"/>
  <c r="U162" i="18"/>
  <c r="U195" i="18"/>
  <c r="AA195" i="18" a="1"/>
  <c r="AA203" i="18" a="1"/>
  <c r="U203" i="18"/>
  <c r="U264" i="18"/>
  <c r="AA264" i="18" a="1"/>
  <c r="AA173" i="18" a="1"/>
  <c r="U173" i="18"/>
  <c r="AA267" i="18" a="1"/>
  <c r="U267" i="18"/>
  <c r="U505" i="18"/>
  <c r="AA505" i="18" a="1"/>
  <c r="AA505" i="18" s="1"/>
  <c r="AA22" i="18" a="1"/>
  <c r="U22" i="18"/>
  <c r="AA25" i="18" a="1"/>
  <c r="U25" i="18"/>
  <c r="AA39" i="18" a="1"/>
  <c r="U39" i="18"/>
  <c r="U339" i="18"/>
  <c r="AA339" i="18" a="1"/>
  <c r="AA339" i="18" s="1"/>
  <c r="AA11" i="18" a="1"/>
  <c r="U11" i="18"/>
  <c r="AA28" i="18" a="1"/>
  <c r="U28" i="18"/>
  <c r="AA70" i="18" a="1"/>
  <c r="U70" i="18"/>
  <c r="AA112" i="18" a="1"/>
  <c r="U112" i="18"/>
  <c r="AA179" i="18" a="1"/>
  <c r="U179" i="18"/>
  <c r="AA87" i="18" a="1"/>
  <c r="U87" i="18"/>
  <c r="AA146" i="18" a="1"/>
  <c r="U146" i="18"/>
  <c r="AA262" i="18" a="1"/>
  <c r="U262" i="18"/>
  <c r="AA425" i="18" a="1"/>
  <c r="AA425" i="18" s="1"/>
  <c r="U425" i="18"/>
  <c r="AA558" i="18" a="1"/>
  <c r="AA558" i="18" s="1"/>
  <c r="U558" i="18"/>
  <c r="AA14" i="18" a="1"/>
  <c r="U14" i="18"/>
  <c r="AA160" i="18" a="1"/>
  <c r="U160" i="18"/>
  <c r="AA317" i="18" a="1"/>
  <c r="AA317" i="18" s="1"/>
  <c r="U317" i="18"/>
  <c r="AA356" i="18" a="1"/>
  <c r="AA356" i="18" s="1"/>
  <c r="U356" i="18"/>
  <c r="AA400" i="18" a="1"/>
  <c r="AA400" i="18" s="1"/>
  <c r="U400" i="18"/>
  <c r="AA48" i="18" a="1"/>
  <c r="U48" i="18"/>
  <c r="AA62" i="18" a="1"/>
  <c r="U62" i="18"/>
  <c r="AA93" i="18" a="1"/>
  <c r="U93" i="18"/>
  <c r="U188" i="18"/>
  <c r="AK188" i="18" s="1"/>
  <c r="AA188" i="18" a="1"/>
  <c r="U204" i="18"/>
  <c r="AA204" i="18" a="1"/>
  <c r="AA218" i="18" a="1"/>
  <c r="U218" i="18"/>
  <c r="AA232" i="18" a="1"/>
  <c r="U232" i="18"/>
  <c r="AA279" i="18" a="1"/>
  <c r="U279" i="18"/>
  <c r="AA290" i="18" a="1"/>
  <c r="U290" i="18"/>
  <c r="AA309" i="18" a="1"/>
  <c r="U309" i="18"/>
  <c r="AA403" i="18" a="1"/>
  <c r="AA403" i="18" s="1"/>
  <c r="U403" i="18"/>
  <c r="AA453" i="18" a="1"/>
  <c r="AA453" i="18" s="1"/>
  <c r="U453" i="18"/>
  <c r="AA503" i="18" a="1"/>
  <c r="AA503" i="18" s="1"/>
  <c r="U503" i="18"/>
  <c r="AA90" i="18" a="1"/>
  <c r="U90" i="18"/>
  <c r="AA17" i="18" a="1"/>
  <c r="U17" i="18"/>
  <c r="AA127" i="18" a="1"/>
  <c r="U127" i="18"/>
  <c r="AA141" i="18" a="1"/>
  <c r="U141" i="18"/>
  <c r="AA166" i="18" a="1"/>
  <c r="U166" i="18"/>
  <c r="AA174" i="18" a="1"/>
  <c r="U174" i="18"/>
  <c r="AA207" i="18" a="1"/>
  <c r="U207" i="18"/>
  <c r="U235" i="18"/>
  <c r="AA235" i="18" a="1"/>
  <c r="AA243" i="18" a="1"/>
  <c r="U243" i="18"/>
  <c r="U389" i="18"/>
  <c r="AA389" i="18" a="1"/>
  <c r="AA389" i="18" s="1"/>
  <c r="AA553" i="18" a="1"/>
  <c r="AA553" i="18" s="1"/>
  <c r="U553" i="18"/>
  <c r="AA630" i="18" a="1"/>
  <c r="AA630" i="18" s="1"/>
  <c r="U630" i="18"/>
  <c r="AA647" i="18" a="1"/>
  <c r="AA647" i="18" s="1"/>
  <c r="U647" i="18"/>
  <c r="U163" i="18"/>
  <c r="AA163" i="18" a="1"/>
  <c r="U240" i="18"/>
  <c r="AA240" i="18" a="1"/>
  <c r="AA37" i="18" a="1"/>
  <c r="U37" i="18"/>
  <c r="AA65" i="18" a="1"/>
  <c r="U65" i="18"/>
  <c r="AA107" i="18" a="1"/>
  <c r="U107" i="18"/>
  <c r="AA257" i="18" a="1"/>
  <c r="U257" i="18"/>
  <c r="AA282" i="18" a="1"/>
  <c r="U282" i="18"/>
  <c r="AA285" i="18" a="1"/>
  <c r="U285" i="18"/>
  <c r="AA293" i="18" a="1"/>
  <c r="U293" i="18"/>
  <c r="AA337" i="18" a="1"/>
  <c r="AA337" i="18" s="1"/>
  <c r="U337" i="18"/>
  <c r="AA414" i="18" a="1"/>
  <c r="AA414" i="18" s="1"/>
  <c r="U414" i="18"/>
  <c r="AA467" i="18" a="1"/>
  <c r="AA467" i="18" s="1"/>
  <c r="U467" i="18"/>
  <c r="AA531" i="18" a="1"/>
  <c r="AA531" i="18" s="1"/>
  <c r="U531" i="18"/>
  <c r="AA597" i="18" a="1"/>
  <c r="AA597" i="18" s="1"/>
  <c r="U597" i="18"/>
  <c r="AA633" i="18" a="1"/>
  <c r="AA633" i="18" s="1"/>
  <c r="U633" i="18"/>
  <c r="AA666" i="18" a="1"/>
  <c r="AA666" i="18" s="1"/>
  <c r="U666" i="18"/>
  <c r="AA201" i="18" a="1"/>
  <c r="U201" i="18"/>
  <c r="AA669" i="18" a="1"/>
  <c r="AA669" i="18" s="1"/>
  <c r="U669" i="18"/>
  <c r="AA213" i="18" a="1"/>
  <c r="U213" i="18"/>
  <c r="AA238" i="18" a="1"/>
  <c r="U238" i="18"/>
  <c r="U260" i="18"/>
  <c r="AA260" i="18" a="1"/>
  <c r="AA271" i="18" a="1"/>
  <c r="U271" i="18"/>
  <c r="U301" i="18"/>
  <c r="AA301" i="18" a="1"/>
  <c r="AA409" i="18" a="1"/>
  <c r="AA409" i="18" s="1"/>
  <c r="U409" i="18"/>
  <c r="AA459" i="18" a="1"/>
  <c r="AA459" i="18" s="1"/>
  <c r="U459" i="18"/>
  <c r="AA481" i="18" a="1"/>
  <c r="AA481" i="18" s="1"/>
  <c r="U481" i="18"/>
  <c r="U520" i="18"/>
  <c r="AA520" i="18" a="1"/>
  <c r="AA520" i="18" s="1"/>
  <c r="AA26" i="18" a="1"/>
  <c r="U26" i="18"/>
  <c r="AA40" i="18" a="1"/>
  <c r="U40" i="18"/>
  <c r="AA99" i="18" a="1"/>
  <c r="U99" i="18"/>
  <c r="AA110" i="18" a="1"/>
  <c r="U110" i="18"/>
  <c r="AA113" i="18" a="1"/>
  <c r="U113" i="18"/>
  <c r="U116" i="18"/>
  <c r="AA116" i="18" a="1"/>
  <c r="U130" i="18"/>
  <c r="AA130" i="18" a="1"/>
  <c r="AA155" i="18" a="1"/>
  <c r="U155" i="18"/>
  <c r="AA169" i="18" a="1"/>
  <c r="U169" i="18"/>
  <c r="AA177" i="18" a="1"/>
  <c r="U177" i="18"/>
  <c r="AA199" i="18" a="1"/>
  <c r="U199" i="18"/>
  <c r="AK199" i="18" s="1"/>
  <c r="U312" i="18"/>
  <c r="AA312" i="18" a="1"/>
  <c r="AA312" i="18" s="1"/>
  <c r="AA326" i="18" a="1"/>
  <c r="AA326" i="18" s="1"/>
  <c r="U326" i="18"/>
  <c r="AA329" i="18" a="1"/>
  <c r="AA329" i="18" s="1"/>
  <c r="U329" i="18"/>
  <c r="AA376" i="18" a="1"/>
  <c r="AA376" i="18" s="1"/>
  <c r="U376" i="18"/>
  <c r="AA470" i="18" a="1"/>
  <c r="AA470" i="18" s="1"/>
  <c r="U470" i="18"/>
  <c r="U570" i="18"/>
  <c r="AA570" i="18" a="1"/>
  <c r="AA570" i="18" s="1"/>
  <c r="AA611" i="18" a="1"/>
  <c r="AA611" i="18" s="1"/>
  <c r="U611" i="18"/>
  <c r="U536" i="18"/>
  <c r="AA536" i="18" a="1"/>
  <c r="AA536" i="18" s="1"/>
  <c r="AA12" i="18" a="1"/>
  <c r="U12" i="18"/>
  <c r="AA29" i="18" a="1"/>
  <c r="U29" i="18"/>
  <c r="U180" i="18"/>
  <c r="AA180" i="18" a="1"/>
  <c r="AA227" i="18" a="1"/>
  <c r="U227" i="18"/>
  <c r="AA304" i="18" a="1"/>
  <c r="U304" i="18"/>
  <c r="AA534" i="18" a="1"/>
  <c r="AA534" i="18" s="1"/>
  <c r="U534" i="18"/>
  <c r="AA589" i="18" a="1"/>
  <c r="AA589" i="18" s="1"/>
  <c r="U589" i="18"/>
  <c r="AA614" i="18" a="1"/>
  <c r="AA614" i="18" s="1"/>
  <c r="U614" i="18"/>
  <c r="AA43" i="18" a="1"/>
  <c r="U43" i="18"/>
  <c r="AA60" i="18" a="1"/>
  <c r="U60" i="18"/>
  <c r="AA74" i="18" a="1"/>
  <c r="U74" i="18"/>
  <c r="AA88" i="18" a="1"/>
  <c r="U88" i="18"/>
  <c r="AA102" i="18" a="1"/>
  <c r="U102" i="18"/>
  <c r="AA119" i="18" a="1"/>
  <c r="U119" i="18"/>
  <c r="AA158" i="18" a="1"/>
  <c r="U158" i="18"/>
  <c r="AA183" i="18" a="1"/>
  <c r="U183" i="18"/>
  <c r="AK183" i="18" s="1"/>
  <c r="U274" i="18"/>
  <c r="AA274" i="18" a="1"/>
  <c r="U346" i="18"/>
  <c r="AA346" i="18" a="1"/>
  <c r="AA346" i="18" s="1"/>
  <c r="AA398" i="18" a="1"/>
  <c r="AA398" i="18" s="1"/>
  <c r="U398" i="18"/>
  <c r="AA448" i="18" a="1"/>
  <c r="AA448" i="18" s="1"/>
  <c r="U448" i="18"/>
  <c r="AA32" i="18" a="1"/>
  <c r="U32" i="18"/>
  <c r="AA77" i="18" a="1"/>
  <c r="U77" i="18"/>
  <c r="U91" i="18"/>
  <c r="AA91" i="18" a="1"/>
  <c r="AA122" i="18" a="1"/>
  <c r="U122" i="18"/>
  <c r="AA161" i="18" a="1"/>
  <c r="U161" i="18"/>
  <c r="U164" i="18"/>
  <c r="AA164" i="18" a="1"/>
  <c r="AA194" i="18" a="1"/>
  <c r="U194" i="18"/>
  <c r="U202" i="18"/>
  <c r="AK202" i="18" s="1"/>
  <c r="AA202" i="18" a="1"/>
  <c r="AA230" i="18" a="1"/>
  <c r="U230" i="18"/>
  <c r="AA241" i="18" a="1"/>
  <c r="U241" i="18"/>
  <c r="AA249" i="18" a="1"/>
  <c r="U249" i="18"/>
  <c r="AA318" i="18" a="1"/>
  <c r="AA318" i="18" s="1"/>
  <c r="U318" i="18"/>
  <c r="AA462" i="18" a="1"/>
  <c r="AA462" i="18" s="1"/>
  <c r="U462" i="18"/>
  <c r="AA548" i="18" a="1"/>
  <c r="AA548" i="18" s="1"/>
  <c r="U548" i="18"/>
  <c r="AA603" i="18" a="1"/>
  <c r="AA603" i="18" s="1"/>
  <c r="U603" i="18"/>
  <c r="AA101" i="18" a="1"/>
  <c r="U101" i="18"/>
  <c r="U132" i="18"/>
  <c r="AA132" i="18" a="1"/>
  <c r="AA157" i="18" a="1"/>
  <c r="U157" i="18"/>
  <c r="AA121" i="18" a="1"/>
  <c r="U121" i="18"/>
  <c r="AA171" i="18" a="1"/>
  <c r="U171" i="18"/>
  <c r="AA182" i="18" a="1"/>
  <c r="U182" i="18"/>
  <c r="AK182" i="18" s="1"/>
  <c r="AA229" i="18" a="1"/>
  <c r="U229" i="18"/>
  <c r="AA273" i="18" a="1"/>
  <c r="U273" i="18"/>
  <c r="AA306" i="18" a="1"/>
  <c r="U306" i="18"/>
  <c r="AA45" i="18" a="1"/>
  <c r="U45" i="18"/>
  <c r="U124" i="18"/>
  <c r="AA124" i="18" a="1"/>
  <c r="AA265" i="18" a="1"/>
  <c r="U265" i="18"/>
  <c r="U276" i="18"/>
  <c r="AA276" i="18" a="1"/>
  <c r="AA411" i="18" a="1"/>
  <c r="AA411" i="18" s="1"/>
  <c r="U411" i="18"/>
  <c r="AA486" i="18" a="1"/>
  <c r="AA486" i="18" s="1"/>
  <c r="U486" i="18"/>
  <c r="AA500" i="18" a="1"/>
  <c r="AA500" i="18" s="1"/>
  <c r="U500" i="18"/>
  <c r="AA4" i="18" a="1"/>
  <c r="U4" i="18"/>
  <c r="AA136" i="18" a="1"/>
  <c r="U136" i="18"/>
  <c r="U139" i="18"/>
  <c r="AA139" i="18" a="1"/>
  <c r="AA150" i="18" a="1"/>
  <c r="U150" i="18"/>
  <c r="AA186" i="18" a="1"/>
  <c r="U186" i="18"/>
  <c r="AK186" i="18" s="1"/>
  <c r="AA205" i="18" a="1"/>
  <c r="U205" i="18"/>
  <c r="AA233" i="18" a="1"/>
  <c r="U233" i="18"/>
  <c r="U252" i="18"/>
  <c r="AA252" i="18" a="1"/>
  <c r="AA266" i="18" a="1"/>
  <c r="U266" i="18"/>
  <c r="AA299" i="18" a="1"/>
  <c r="U299" i="18"/>
  <c r="AA404" i="18" a="1"/>
  <c r="AA404" i="18" s="1"/>
  <c r="U404" i="18"/>
  <c r="AA80" i="18" a="1"/>
  <c r="U80" i="18"/>
  <c r="AA94" i="18" a="1"/>
  <c r="U94" i="18"/>
  <c r="AA105" i="18" a="1"/>
  <c r="U105" i="18"/>
  <c r="AA189" i="18" a="1"/>
  <c r="U189" i="18"/>
  <c r="AK189" i="18" s="1"/>
  <c r="U236" i="18"/>
  <c r="AA236" i="18" a="1"/>
  <c r="AA255" i="18" a="1"/>
  <c r="U255" i="18"/>
  <c r="AA291" i="18" a="1"/>
  <c r="U291" i="18"/>
  <c r="AA321" i="18" a="1"/>
  <c r="AA321" i="18" s="1"/>
  <c r="U321" i="18"/>
  <c r="AA349" i="18" a="1"/>
  <c r="AA349" i="18" s="1"/>
  <c r="U349" i="18"/>
  <c r="U368" i="18"/>
  <c r="AA368" i="18" a="1"/>
  <c r="AA368" i="18" s="1"/>
  <c r="U385" i="18"/>
  <c r="AA385" i="18" a="1"/>
  <c r="AA385" i="18" s="1"/>
  <c r="AA407" i="18" a="1"/>
  <c r="AA407" i="18" s="1"/>
  <c r="U407" i="18"/>
  <c r="U479" i="18"/>
  <c r="AA479" i="18" a="1"/>
  <c r="AA479" i="18" s="1"/>
  <c r="U512" i="18"/>
  <c r="AA512" i="18" a="1"/>
  <c r="AA512" i="18" s="1"/>
  <c r="AA529" i="18" a="1"/>
  <c r="AA529" i="18" s="1"/>
  <c r="U529" i="18"/>
  <c r="U562" i="18"/>
  <c r="AA562" i="18" a="1"/>
  <c r="AA562" i="18" s="1"/>
  <c r="AA97" i="18" a="1"/>
  <c r="U97" i="18"/>
  <c r="AA208" i="18" a="1"/>
  <c r="U208" i="18"/>
  <c r="U211" i="18"/>
  <c r="AA211" i="18" a="1"/>
  <c r="AA269" i="18" a="1"/>
  <c r="U269" i="18"/>
  <c r="AA283" i="18" a="1"/>
  <c r="U283" i="18"/>
  <c r="AA435" i="18" a="1"/>
  <c r="AA435" i="18" s="1"/>
  <c r="U435" i="18"/>
  <c r="AA457" i="18" a="1"/>
  <c r="AA457" i="18" s="1"/>
  <c r="U457" i="18"/>
  <c r="AA21" i="18" a="1"/>
  <c r="U21" i="18"/>
  <c r="AA38" i="18" a="1"/>
  <c r="U38" i="18"/>
  <c r="U108" i="18"/>
  <c r="AA108" i="18" a="1"/>
  <c r="AA258" i="18" a="1"/>
  <c r="U258" i="18"/>
  <c r="U294" i="18"/>
  <c r="AA294" i="18" a="1"/>
  <c r="AA302" i="18" a="1"/>
  <c r="U302" i="18"/>
  <c r="AA393" i="18" a="1"/>
  <c r="AA393" i="18" s="1"/>
  <c r="U393" i="18"/>
  <c r="AA507" i="18" a="1"/>
  <c r="AA507" i="18" s="1"/>
  <c r="U507" i="18"/>
  <c r="AA518" i="18" a="1"/>
  <c r="AA518" i="18" s="1"/>
  <c r="U518" i="18"/>
  <c r="AA135" i="18" a="1"/>
  <c r="U135" i="18"/>
  <c r="AA69" i="18" a="1"/>
  <c r="U69" i="18"/>
  <c r="AA86" i="18" a="1"/>
  <c r="U86" i="18"/>
  <c r="U100" i="18"/>
  <c r="AA100" i="18" a="1"/>
  <c r="AA145" i="18" a="1"/>
  <c r="U145" i="18"/>
  <c r="U178" i="18"/>
  <c r="AA178" i="18" a="1"/>
  <c r="AA214" i="18" a="1"/>
  <c r="U214" i="18"/>
  <c r="AA225" i="18" a="1"/>
  <c r="U225" i="18"/>
  <c r="AA247" i="18" a="1"/>
  <c r="U247" i="18"/>
  <c r="AA261" i="18" a="1"/>
  <c r="U261" i="18"/>
  <c r="AA313" i="18" a="1"/>
  <c r="AA313" i="18" s="1"/>
  <c r="U313" i="18"/>
  <c r="AA330" i="18" a="1"/>
  <c r="AA330" i="18" s="1"/>
  <c r="U330" i="18"/>
  <c r="U418" i="18"/>
  <c r="AA418" i="18" a="1"/>
  <c r="AA418" i="18" s="1"/>
  <c r="AA41" i="18" a="1"/>
  <c r="U41" i="18"/>
  <c r="AA72" i="18" a="1"/>
  <c r="U72" i="18"/>
  <c r="AA117" i="18" a="1"/>
  <c r="U117" i="18"/>
  <c r="U156" i="18"/>
  <c r="AA156" i="18" a="1"/>
  <c r="AA170" i="18" a="1"/>
  <c r="U170" i="18"/>
  <c r="AA181" i="18" a="1"/>
  <c r="U181" i="18"/>
  <c r="AK181" i="18" s="1"/>
  <c r="AA305" i="18" a="1"/>
  <c r="U305" i="18"/>
  <c r="AA333" i="18" a="1"/>
  <c r="AA333" i="18" s="1"/>
  <c r="U333" i="18"/>
  <c r="AA352" i="18" a="1"/>
  <c r="AA352" i="18" s="1"/>
  <c r="U352" i="18"/>
  <c r="AA446" i="18" a="1"/>
  <c r="AA446" i="18" s="1"/>
  <c r="U446" i="18"/>
  <c r="AA524" i="18" a="1"/>
  <c r="AA524" i="18" s="1"/>
  <c r="U524" i="18"/>
  <c r="AA557" i="18" a="1"/>
  <c r="AA557" i="18" s="1"/>
  <c r="U557" i="18"/>
  <c r="AA601" i="18" a="1"/>
  <c r="AA601" i="18" s="1"/>
  <c r="U601" i="18"/>
  <c r="AA13" i="18" a="1"/>
  <c r="U13" i="18"/>
  <c r="AA89" i="18" a="1"/>
  <c r="U89" i="18"/>
  <c r="AA134" i="18" a="1"/>
  <c r="U134" i="18"/>
  <c r="AA159" i="18" a="1"/>
  <c r="U159" i="18"/>
  <c r="U192" i="18"/>
  <c r="AK192" i="18" s="1"/>
  <c r="AA192" i="18" a="1"/>
  <c r="U228" i="18"/>
  <c r="AA228" i="18" a="1"/>
  <c r="AA297" i="18" a="1"/>
  <c r="U297" i="18"/>
  <c r="AA363" i="18" a="1"/>
  <c r="AA363" i="18" s="1"/>
  <c r="U363" i="18"/>
  <c r="AA424" i="18" a="1"/>
  <c r="AA424" i="18" s="1"/>
  <c r="U424" i="18"/>
  <c r="AA427" i="18" a="1"/>
  <c r="AA427" i="18" s="1"/>
  <c r="U427" i="18"/>
  <c r="AA582" i="18" a="1"/>
  <c r="AA582" i="18" s="1"/>
  <c r="U582" i="18"/>
  <c r="AA61" i="18" a="1"/>
  <c r="U61" i="18"/>
  <c r="U92" i="18"/>
  <c r="AA92" i="18" a="1"/>
  <c r="AA103" i="18" a="1"/>
  <c r="U103" i="18"/>
  <c r="AA217" i="18" a="1"/>
  <c r="U217" i="18"/>
  <c r="AA231" i="18" a="1"/>
  <c r="U231" i="18"/>
  <c r="U250" i="18"/>
  <c r="AA250" i="18" a="1"/>
  <c r="AA185" i="18" a="1"/>
  <c r="U185" i="18"/>
  <c r="AK185" i="18" s="1"/>
  <c r="AA16" i="18" a="1"/>
  <c r="U16" i="18"/>
  <c r="AA126" i="18" a="1"/>
  <c r="U126" i="18"/>
  <c r="AA137" i="18" a="1"/>
  <c r="U137" i="18"/>
  <c r="U140" i="18"/>
  <c r="AA140" i="18" a="1"/>
  <c r="AA165" i="18" a="1"/>
  <c r="U165" i="18"/>
  <c r="U187" i="18"/>
  <c r="AK187" i="18" s="1"/>
  <c r="AA187" i="18" a="1"/>
  <c r="AA242" i="18" a="1"/>
  <c r="U242" i="18"/>
  <c r="AA253" i="18" a="1"/>
  <c r="U253" i="18"/>
  <c r="AA278" i="18" a="1"/>
  <c r="U278" i="18"/>
  <c r="U289" i="18"/>
  <c r="AA289" i="18" a="1"/>
  <c r="AA366" i="18" a="1"/>
  <c r="AA366" i="18" s="1"/>
  <c r="U366" i="18"/>
  <c r="AA402" i="18" a="1"/>
  <c r="AA402" i="18" s="1"/>
  <c r="U402" i="18"/>
  <c r="AA5" i="18" a="1"/>
  <c r="U5" i="18"/>
  <c r="AA36" i="18" a="1"/>
  <c r="U36" i="18"/>
  <c r="AA50" i="18" a="1"/>
  <c r="U50" i="18"/>
  <c r="AA64" i="18" a="1"/>
  <c r="U64" i="18"/>
  <c r="AA95" i="18" a="1"/>
  <c r="U95" i="18"/>
  <c r="U106" i="18"/>
  <c r="AA106" i="18" a="1"/>
  <c r="AA151" i="18" a="1"/>
  <c r="U151" i="18"/>
  <c r="AA234" i="18" a="1"/>
  <c r="U234" i="18"/>
  <c r="U413" i="18"/>
  <c r="AA413" i="18" a="1"/>
  <c r="AA413" i="18" s="1"/>
  <c r="AA433" i="18" a="1"/>
  <c r="AA433" i="18" s="1"/>
  <c r="U433" i="18"/>
  <c r="AA441" i="18" a="1"/>
  <c r="AA441" i="18" s="1"/>
  <c r="U441" i="18"/>
  <c r="U488" i="18"/>
  <c r="AA488" i="18" a="1"/>
  <c r="AA488" i="18" s="1"/>
  <c r="AA19" i="18" a="1"/>
  <c r="U19" i="18"/>
  <c r="AA53" i="18" a="1"/>
  <c r="U53" i="18"/>
  <c r="AA190" i="18" a="1"/>
  <c r="U190" i="18"/>
  <c r="AK190" i="18" s="1"/>
  <c r="AA209" i="18" a="1"/>
  <c r="U209" i="18"/>
  <c r="U212" i="18"/>
  <c r="AA212" i="18" a="1"/>
  <c r="AA223" i="18" a="1"/>
  <c r="U223" i="18"/>
  <c r="AA237" i="18" a="1"/>
  <c r="U237" i="18"/>
  <c r="AA256" i="18" a="1"/>
  <c r="U256" i="18"/>
  <c r="U284" i="18"/>
  <c r="AA284" i="18" a="1"/>
  <c r="AA292" i="18" a="1"/>
  <c r="U292" i="18"/>
  <c r="AA555" i="18" a="1"/>
  <c r="AA555" i="18" s="1"/>
  <c r="U555" i="18"/>
  <c r="AA566" i="18" a="1"/>
  <c r="AA566" i="18" s="1"/>
  <c r="U566" i="18"/>
  <c r="AA8" i="18" a="1"/>
  <c r="U8" i="18"/>
  <c r="AA67" i="18" a="1"/>
  <c r="U67" i="18"/>
  <c r="U84" i="18"/>
  <c r="AA84" i="18" a="1"/>
  <c r="U154" i="18"/>
  <c r="AA154" i="18" a="1"/>
  <c r="AA198" i="18" a="1"/>
  <c r="U198" i="18"/>
  <c r="AA469" i="18" a="1"/>
  <c r="AA469" i="18" s="1"/>
  <c r="U469" i="18"/>
  <c r="AA494" i="18" a="1"/>
  <c r="AA494" i="18" s="1"/>
  <c r="U494" i="18"/>
  <c r="U519" i="18"/>
  <c r="AA519" i="18" a="1"/>
  <c r="AA519" i="18" s="1"/>
  <c r="AA56" i="18" a="1"/>
  <c r="U56" i="18"/>
  <c r="U115" i="18"/>
  <c r="AA115" i="18" a="1"/>
  <c r="AA129" i="18" a="1"/>
  <c r="U129" i="18"/>
  <c r="U168" i="18"/>
  <c r="AA168" i="18" a="1"/>
  <c r="U226" i="18"/>
  <c r="AA226" i="18" a="1"/>
  <c r="AA287" i="18" a="1"/>
  <c r="U287" i="18"/>
  <c r="AA295" i="18" a="1"/>
  <c r="U295" i="18"/>
  <c r="AA303" i="18" a="1"/>
  <c r="U303" i="18"/>
  <c r="AA328" i="18" a="1"/>
  <c r="AA328" i="18" s="1"/>
  <c r="U328" i="18"/>
  <c r="AA342" i="18" a="1"/>
  <c r="AA342" i="18" s="1"/>
  <c r="U342" i="18"/>
  <c r="AA375" i="18" a="1"/>
  <c r="AA375" i="18" s="1"/>
  <c r="U375" i="18"/>
  <c r="AA483" i="18" a="1"/>
  <c r="AA483" i="18" s="1"/>
  <c r="U483" i="18"/>
  <c r="AA569" i="18" a="1"/>
  <c r="AA569" i="18" s="1"/>
  <c r="U569" i="18"/>
  <c r="AA254" i="18" a="1"/>
  <c r="U9" i="18"/>
  <c r="U33" i="18"/>
  <c r="U57" i="18"/>
  <c r="U81" i="18"/>
  <c r="U85" i="18"/>
  <c r="U118" i="18"/>
  <c r="AA142" i="18" a="1"/>
  <c r="U153" i="18"/>
  <c r="U184" i="18"/>
  <c r="AK184" i="18" s="1"/>
  <c r="U193" i="18"/>
  <c r="AK193" i="18" s="1"/>
  <c r="U245" i="18"/>
  <c r="AA259" i="18" a="1"/>
  <c r="AA327" i="18" a="1"/>
  <c r="AA327" i="18" s="1"/>
  <c r="U327" i="18"/>
  <c r="U335" i="18"/>
  <c r="AA510" i="18" a="1"/>
  <c r="AA510" i="18" s="1"/>
  <c r="U510" i="18"/>
  <c r="AA521" i="18" a="1"/>
  <c r="AA521" i="18" s="1"/>
  <c r="U521" i="18"/>
  <c r="AA591" i="18" a="1"/>
  <c r="AA591" i="18" s="1"/>
  <c r="U591" i="18"/>
  <c r="U616" i="18"/>
  <c r="AA616" i="18" a="1"/>
  <c r="AA616" i="18" s="1"/>
  <c r="AA7" i="18" a="1"/>
  <c r="AA268" i="18" a="1"/>
  <c r="U268" i="18"/>
  <c r="AA358" i="18" a="1"/>
  <c r="AA358" i="18" s="1"/>
  <c r="U358" i="18"/>
  <c r="AA551" i="18" a="1"/>
  <c r="AA551" i="18" s="1"/>
  <c r="U551" i="18"/>
  <c r="U567" i="18"/>
  <c r="AA567" i="18" a="1"/>
  <c r="AA567" i="18" s="1"/>
  <c r="U109" i="18"/>
  <c r="AA401" i="18" a="1"/>
  <c r="AA401" i="18" s="1"/>
  <c r="U401" i="18"/>
  <c r="AA419" i="18" a="1"/>
  <c r="AA419" i="18" s="1"/>
  <c r="U419" i="18"/>
  <c r="AA473" i="18" a="1"/>
  <c r="AA473" i="18" s="1"/>
  <c r="U473" i="18"/>
  <c r="AA540" i="18" a="1"/>
  <c r="AA540" i="18" s="1"/>
  <c r="U540" i="18"/>
  <c r="AA619" i="18" a="1"/>
  <c r="AA619" i="18" s="1"/>
  <c r="U619" i="18"/>
  <c r="AA644" i="18" a="1"/>
  <c r="AA644" i="18" s="1"/>
  <c r="U644" i="18"/>
  <c r="U277" i="18"/>
  <c r="AA564" i="18" a="1"/>
  <c r="AA564" i="18" s="1"/>
  <c r="U564" i="18"/>
  <c r="AA613" i="18" a="1"/>
  <c r="AA613" i="18" s="1"/>
  <c r="U613" i="18"/>
  <c r="AA220" i="18" a="1"/>
  <c r="U220" i="18"/>
  <c r="U322" i="18"/>
  <c r="AA322" i="18" a="1"/>
  <c r="AA322" i="18" s="1"/>
  <c r="AA340" i="18" a="1"/>
  <c r="AA340" i="18" s="1"/>
  <c r="U340" i="18"/>
  <c r="AA361" i="18" a="1"/>
  <c r="AA361" i="18" s="1"/>
  <c r="U361" i="18"/>
  <c r="AA369" i="18" a="1"/>
  <c r="AA369" i="18" s="1"/>
  <c r="U369" i="18"/>
  <c r="AA438" i="18" a="1"/>
  <c r="AA438" i="18" s="1"/>
  <c r="U438" i="18"/>
  <c r="AA489" i="18" a="1"/>
  <c r="AA489" i="18" s="1"/>
  <c r="U489" i="18"/>
  <c r="AA497" i="18" a="1"/>
  <c r="AA497" i="18" s="1"/>
  <c r="U497" i="18"/>
  <c r="AA513" i="18" a="1"/>
  <c r="AA513" i="18" s="1"/>
  <c r="U513" i="18"/>
  <c r="AA527" i="18" a="1"/>
  <c r="AA527" i="18" s="1"/>
  <c r="U527" i="18"/>
  <c r="AA594" i="18" a="1"/>
  <c r="AA594" i="18" s="1"/>
  <c r="U594" i="18"/>
  <c r="AA605" i="18" a="1"/>
  <c r="AA605" i="18" s="1"/>
  <c r="U605" i="18"/>
  <c r="AA672" i="18" a="1"/>
  <c r="AA672" i="18" s="1"/>
  <c r="U672" i="18"/>
  <c r="U98" i="18"/>
  <c r="U319" i="18"/>
  <c r="AA390" i="18" a="1"/>
  <c r="AA390" i="18" s="1"/>
  <c r="U390" i="18"/>
  <c r="AA449" i="18" a="1"/>
  <c r="AA449" i="18" s="1"/>
  <c r="U449" i="18"/>
  <c r="AA465" i="18" a="1"/>
  <c r="AA465" i="18" s="1"/>
  <c r="U465" i="18"/>
  <c r="AA476" i="18" a="1"/>
  <c r="AA476" i="18" s="1"/>
  <c r="U476" i="18"/>
  <c r="AA573" i="18" a="1"/>
  <c r="AA573" i="18" s="1"/>
  <c r="U573" i="18"/>
  <c r="AA622" i="18" a="1"/>
  <c r="AA622" i="18" s="1"/>
  <c r="U622" i="18"/>
  <c r="AA658" i="18" a="1"/>
  <c r="AA658" i="18" s="1"/>
  <c r="U658" i="18"/>
  <c r="AA55" i="18" a="1"/>
  <c r="AA206" i="18" a="1"/>
  <c r="AA372" i="18" a="1"/>
  <c r="AA372" i="18" s="1"/>
  <c r="U372" i="18"/>
  <c r="AA380" i="18" a="1"/>
  <c r="AA380" i="18" s="1"/>
  <c r="U380" i="18"/>
  <c r="AA452" i="18" a="1"/>
  <c r="AA452" i="18" s="1"/>
  <c r="U452" i="18"/>
  <c r="AA492" i="18" a="1"/>
  <c r="AA492" i="18" s="1"/>
  <c r="U492" i="18"/>
  <c r="AA608" i="18" a="1"/>
  <c r="AA608" i="18" s="1"/>
  <c r="U608" i="18"/>
  <c r="AA661" i="18" a="1"/>
  <c r="AA661" i="18" s="1"/>
  <c r="U661" i="18"/>
  <c r="AA325" i="18" a="1"/>
  <c r="AA325" i="18" s="1"/>
  <c r="U325" i="18"/>
  <c r="AA343" i="18" a="1"/>
  <c r="AA343" i="18" s="1"/>
  <c r="U343" i="18"/>
  <c r="AA468" i="18" a="1"/>
  <c r="AA468" i="18" s="1"/>
  <c r="U468" i="18"/>
  <c r="AA516" i="18" a="1"/>
  <c r="AA516" i="18" s="1"/>
  <c r="U516" i="18"/>
  <c r="AA581" i="18" a="1"/>
  <c r="AA581" i="18" s="1"/>
  <c r="U581" i="18"/>
  <c r="AA636" i="18" a="1"/>
  <c r="AA636" i="18" s="1"/>
  <c r="U636" i="18"/>
  <c r="U664" i="18"/>
  <c r="AA664" i="18" a="1"/>
  <c r="AA664" i="18" s="1"/>
  <c r="U310" i="18"/>
  <c r="AA310" i="18" a="1"/>
  <c r="AA310" i="18" s="1"/>
  <c r="AA364" i="18" a="1"/>
  <c r="AA364" i="18" s="1"/>
  <c r="U364" i="18"/>
  <c r="AA417" i="18" a="1"/>
  <c r="AA417" i="18" s="1"/>
  <c r="U417" i="18"/>
  <c r="AA422" i="18" a="1"/>
  <c r="AA422" i="18" s="1"/>
  <c r="U422" i="18"/>
  <c r="U546" i="18"/>
  <c r="AA546" i="18" a="1"/>
  <c r="AA546" i="18" s="1"/>
  <c r="AA96" i="18" a="1"/>
  <c r="U338" i="18"/>
  <c r="AA338" i="18" a="1"/>
  <c r="AA338" i="18" s="1"/>
  <c r="AA396" i="18" a="1"/>
  <c r="AA396" i="18" s="1"/>
  <c r="U396" i="18"/>
  <c r="AA399" i="18" a="1"/>
  <c r="AA399" i="18" s="1"/>
  <c r="U399" i="18"/>
  <c r="AA444" i="18" a="1"/>
  <c r="AA444" i="18" s="1"/>
  <c r="U444" i="18"/>
  <c r="AA455" i="18" a="1"/>
  <c r="AA455" i="18" s="1"/>
  <c r="U455" i="18"/>
  <c r="U471" i="18"/>
  <c r="AA471" i="18" a="1"/>
  <c r="AA471" i="18" s="1"/>
  <c r="U522" i="18"/>
  <c r="AA522" i="18" a="1"/>
  <c r="AA522" i="18" s="1"/>
  <c r="AA549" i="18" a="1"/>
  <c r="AA549" i="18" s="1"/>
  <c r="U549" i="18"/>
  <c r="AA667" i="18" a="1"/>
  <c r="AA667" i="18" s="1"/>
  <c r="U667" i="18"/>
  <c r="AA133" i="18" a="1"/>
  <c r="U545" i="18"/>
  <c r="AA246" i="18" a="1"/>
  <c r="U246" i="18"/>
  <c r="AA359" i="18" a="1"/>
  <c r="AA359" i="18" s="1"/>
  <c r="U359" i="18"/>
  <c r="AA367" i="18" a="1"/>
  <c r="AA367" i="18" s="1"/>
  <c r="U367" i="18"/>
  <c r="AA428" i="18" a="1"/>
  <c r="AA428" i="18" s="1"/>
  <c r="U428" i="18"/>
  <c r="U447" i="18"/>
  <c r="AA447" i="18" a="1"/>
  <c r="AA447" i="18" s="1"/>
  <c r="AA565" i="18" a="1"/>
  <c r="AA565" i="18" s="1"/>
  <c r="U565" i="18"/>
  <c r="U584" i="18"/>
  <c r="AA584" i="18" a="1"/>
  <c r="AA584" i="18" s="1"/>
  <c r="U592" i="18"/>
  <c r="AA592" i="18" a="1"/>
  <c r="AA592" i="18" s="1"/>
  <c r="AA642" i="18" a="1"/>
  <c r="AA642" i="18" s="1"/>
  <c r="U642" i="18"/>
  <c r="AA653" i="18" a="1"/>
  <c r="AA653" i="18" s="1"/>
  <c r="U653" i="18"/>
  <c r="AA412" i="18" a="1"/>
  <c r="AA412" i="18" s="1"/>
  <c r="U412" i="18"/>
  <c r="AA431" i="18" a="1"/>
  <c r="AA431" i="18" s="1"/>
  <c r="U431" i="18"/>
  <c r="AA533" i="18" a="1"/>
  <c r="AA533" i="18" s="1"/>
  <c r="U533" i="18"/>
  <c r="AA541" i="18" a="1"/>
  <c r="AA541" i="18" s="1"/>
  <c r="U541" i="18"/>
  <c r="U568" i="18"/>
  <c r="AA568" i="18" a="1"/>
  <c r="AA568" i="18" s="1"/>
  <c r="AA645" i="18" a="1"/>
  <c r="AA645" i="18" s="1"/>
  <c r="U645" i="18"/>
  <c r="U308" i="18"/>
  <c r="AA308" i="18" a="1"/>
  <c r="AA323" i="18" a="1"/>
  <c r="AA323" i="18" s="1"/>
  <c r="U323" i="18"/>
  <c r="AA405" i="18" a="1"/>
  <c r="AA405" i="18" s="1"/>
  <c r="U405" i="18"/>
  <c r="AA420" i="18" a="1"/>
  <c r="AA420" i="18" s="1"/>
  <c r="U420" i="18"/>
  <c r="U498" i="18"/>
  <c r="AA498" i="18" a="1"/>
  <c r="AA498" i="18" s="1"/>
  <c r="U560" i="18"/>
  <c r="AA560" i="18" a="1"/>
  <c r="AA560" i="18" s="1"/>
  <c r="AA571" i="18" a="1"/>
  <c r="AA571" i="18" s="1"/>
  <c r="U571" i="18"/>
  <c r="AA579" i="18" a="1"/>
  <c r="AA579" i="18" s="1"/>
  <c r="U579" i="18"/>
  <c r="AA587" i="18" a="1"/>
  <c r="AA587" i="18" s="1"/>
  <c r="U587" i="18"/>
  <c r="AA595" i="18" a="1"/>
  <c r="AA595" i="18" s="1"/>
  <c r="U595" i="18"/>
  <c r="AA656" i="18" a="1"/>
  <c r="AA656" i="18" s="1"/>
  <c r="U656" i="18"/>
  <c r="AA331" i="18" a="1"/>
  <c r="AA331" i="18" s="1"/>
  <c r="U331" i="18"/>
  <c r="U370" i="18"/>
  <c r="AA370" i="18" a="1"/>
  <c r="AA370" i="18" s="1"/>
  <c r="AA434" i="18" a="1"/>
  <c r="AA434" i="18" s="1"/>
  <c r="U434" i="18"/>
  <c r="U450" i="18"/>
  <c r="AA450" i="18" a="1"/>
  <c r="AA450" i="18" s="1"/>
  <c r="AA477" i="18" a="1"/>
  <c r="AA477" i="18" s="1"/>
  <c r="U477" i="18"/>
  <c r="U490" i="18"/>
  <c r="AA490" i="18" a="1"/>
  <c r="AA490" i="18" s="1"/>
  <c r="AA501" i="18" a="1"/>
  <c r="AA501" i="18" s="1"/>
  <c r="U501" i="18"/>
  <c r="U514" i="18"/>
  <c r="AA514" i="18" a="1"/>
  <c r="AA514" i="18" s="1"/>
  <c r="AA606" i="18" a="1"/>
  <c r="AA606" i="18" s="1"/>
  <c r="U606" i="18"/>
  <c r="AA623" i="18" a="1"/>
  <c r="AA623" i="18" s="1"/>
  <c r="U623" i="18"/>
  <c r="AA659" i="18" a="1"/>
  <c r="AA659" i="18" s="1"/>
  <c r="U659" i="18"/>
  <c r="AA354" i="18" a="1"/>
  <c r="AA354" i="18" s="1"/>
  <c r="U354" i="18"/>
  <c r="AA373" i="18" a="1"/>
  <c r="AA373" i="18" s="1"/>
  <c r="U373" i="18"/>
  <c r="AA381" i="18" a="1"/>
  <c r="AA381" i="18" s="1"/>
  <c r="U381" i="18"/>
  <c r="AA391" i="18" a="1"/>
  <c r="AA391" i="18" s="1"/>
  <c r="U391" i="18"/>
  <c r="U466" i="18"/>
  <c r="AA466" i="18" a="1"/>
  <c r="AA466" i="18" s="1"/>
  <c r="AA493" i="18" a="1"/>
  <c r="AA493" i="18" s="1"/>
  <c r="U493" i="18"/>
  <c r="U544" i="18"/>
  <c r="AA544" i="18" a="1"/>
  <c r="AA544" i="18" s="1"/>
  <c r="AA574" i="18" a="1"/>
  <c r="AA574" i="18" s="1"/>
  <c r="U574" i="18"/>
  <c r="AA609" i="18" a="1"/>
  <c r="AA609" i="18" s="1"/>
  <c r="U609" i="18"/>
  <c r="AA662" i="18" a="1"/>
  <c r="AA662" i="18" s="1"/>
  <c r="U662" i="18"/>
  <c r="AA244" i="18" a="1"/>
  <c r="U244" i="18"/>
  <c r="U344" i="18"/>
  <c r="AA344" i="18" a="1"/>
  <c r="AA344" i="18" s="1"/>
  <c r="AA517" i="18" a="1"/>
  <c r="AA517" i="18" s="1"/>
  <c r="U517" i="18"/>
  <c r="AA563" i="18" a="1"/>
  <c r="AA563" i="18" s="1"/>
  <c r="U563" i="18"/>
  <c r="AA637" i="18" a="1"/>
  <c r="AA637" i="18" s="1"/>
  <c r="U637" i="18"/>
  <c r="AA415" i="18" a="1"/>
  <c r="AA415" i="18" s="1"/>
  <c r="U415" i="18"/>
  <c r="AA423" i="18" a="1"/>
  <c r="AA423" i="18" s="1"/>
  <c r="U423" i="18"/>
  <c r="U426" i="18"/>
  <c r="AA426" i="18" a="1"/>
  <c r="AA426" i="18" s="1"/>
  <c r="AA485" i="18" a="1"/>
  <c r="AA485" i="18" s="1"/>
  <c r="U485" i="18"/>
  <c r="AA509" i="18" a="1"/>
  <c r="AA509" i="18" s="1"/>
  <c r="U509" i="18"/>
  <c r="AA547" i="18" a="1"/>
  <c r="AA547" i="18" s="1"/>
  <c r="U547" i="18"/>
  <c r="U640" i="18"/>
  <c r="AA640" i="18" a="1"/>
  <c r="AA640" i="18" s="1"/>
  <c r="AA347" i="18" a="1"/>
  <c r="AA347" i="18" s="1"/>
  <c r="U347" i="18"/>
  <c r="U365" i="18"/>
  <c r="AA365" i="18" a="1"/>
  <c r="AA365" i="18" s="1"/>
  <c r="AA397" i="18" a="1"/>
  <c r="AA397" i="18" s="1"/>
  <c r="U397" i="18"/>
  <c r="AA445" i="18" a="1"/>
  <c r="AA445" i="18" s="1"/>
  <c r="U445" i="18"/>
  <c r="AA461" i="18" a="1"/>
  <c r="AA461" i="18" s="1"/>
  <c r="U461" i="18"/>
  <c r="AA523" i="18" a="1"/>
  <c r="AA523" i="18" s="1"/>
  <c r="U523" i="18"/>
  <c r="AA577" i="18" a="1"/>
  <c r="AA577" i="18" s="1"/>
  <c r="U577" i="18"/>
  <c r="AA590" i="18" a="1"/>
  <c r="AA590" i="18" s="1"/>
  <c r="U590" i="18"/>
  <c r="AA31" i="18" a="1"/>
  <c r="AA281" i="18" a="1"/>
  <c r="U281" i="18"/>
  <c r="AA429" i="18" a="1"/>
  <c r="AA429" i="18" s="1"/>
  <c r="U429" i="18"/>
  <c r="AA437" i="18" a="1"/>
  <c r="AA437" i="18" s="1"/>
  <c r="U437" i="18"/>
  <c r="U472" i="18"/>
  <c r="AA472" i="18" a="1"/>
  <c r="AA472" i="18" s="1"/>
  <c r="U496" i="18"/>
  <c r="AA496" i="18" a="1"/>
  <c r="AA496" i="18" s="1"/>
  <c r="AA539" i="18" a="1"/>
  <c r="AA539" i="18" s="1"/>
  <c r="U539" i="18"/>
  <c r="AA550" i="18" a="1"/>
  <c r="AA550" i="18" s="1"/>
  <c r="U550" i="18"/>
  <c r="AA585" i="18" a="1"/>
  <c r="AA585" i="18" s="1"/>
  <c r="U585" i="18"/>
  <c r="AA643" i="18" a="1"/>
  <c r="AA643" i="18" s="1"/>
  <c r="U643" i="18"/>
  <c r="AA314" i="18" a="1"/>
  <c r="AA314" i="18" s="1"/>
  <c r="U314" i="18"/>
  <c r="AA443" i="18" a="1"/>
  <c r="AA443" i="18" s="1"/>
  <c r="U443" i="18"/>
  <c r="AA618" i="18" a="1"/>
  <c r="AA618" i="18" s="1"/>
  <c r="U618" i="18"/>
  <c r="AA629" i="18" a="1"/>
  <c r="AA629" i="18" s="1"/>
  <c r="U629" i="18"/>
  <c r="AA654" i="18" a="1"/>
  <c r="AA654" i="18" s="1"/>
  <c r="U654" i="18"/>
  <c r="AA671" i="18" a="1"/>
  <c r="AA671" i="18" s="1"/>
  <c r="U671" i="18"/>
  <c r="AA197" i="18" a="1"/>
  <c r="AA374" i="18" a="1"/>
  <c r="AA374" i="18" s="1"/>
  <c r="U374" i="18"/>
  <c r="AA395" i="18" a="1"/>
  <c r="AA395" i="18" s="1"/>
  <c r="U395" i="18"/>
  <c r="U416" i="18"/>
  <c r="AA416" i="18" a="1"/>
  <c r="AA416" i="18" s="1"/>
  <c r="AA316" i="18" a="1"/>
  <c r="AA316" i="18" s="1"/>
  <c r="U316" i="18"/>
  <c r="U464" i="18"/>
  <c r="AA464" i="18" a="1"/>
  <c r="AA464" i="18" s="1"/>
  <c r="AA475" i="18" a="1"/>
  <c r="AA475" i="18" s="1"/>
  <c r="U475" i="18"/>
  <c r="AA499" i="18" a="1"/>
  <c r="AA499" i="18" s="1"/>
  <c r="U499" i="18"/>
  <c r="AA542" i="18" a="1"/>
  <c r="AA542" i="18" s="1"/>
  <c r="U542" i="18"/>
  <c r="AA561" i="18" a="1"/>
  <c r="AA561" i="18" s="1"/>
  <c r="U561" i="18"/>
  <c r="AA621" i="18" a="1"/>
  <c r="AA621" i="18" s="1"/>
  <c r="U621" i="18"/>
  <c r="AA657" i="18" a="1"/>
  <c r="AA657" i="18" s="1"/>
  <c r="U657" i="18"/>
  <c r="AA79" i="18" a="1"/>
  <c r="AA270" i="18" a="1"/>
  <c r="U270" i="18"/>
  <c r="AA371" i="18" a="1"/>
  <c r="AA371" i="18" s="1"/>
  <c r="U371" i="18"/>
  <c r="AA379" i="18" a="1"/>
  <c r="AA379" i="18" s="1"/>
  <c r="U379" i="18"/>
  <c r="AA451" i="18" a="1"/>
  <c r="AA451" i="18" s="1"/>
  <c r="U451" i="18"/>
  <c r="AA491" i="18" a="1"/>
  <c r="AA491" i="18" s="1"/>
  <c r="U491" i="18"/>
  <c r="AA572" i="18" a="1"/>
  <c r="AA572" i="18" s="1"/>
  <c r="U572" i="18"/>
  <c r="AA632" i="18" a="1"/>
  <c r="AA632" i="18" s="1"/>
  <c r="U632" i="18"/>
  <c r="AA355" i="18" a="1"/>
  <c r="AA355" i="18" s="1"/>
  <c r="U355" i="18"/>
  <c r="U392" i="18"/>
  <c r="AA392" i="18" a="1"/>
  <c r="AA392" i="18" s="1"/>
  <c r="AA421" i="18" a="1"/>
  <c r="AA421" i="18" s="1"/>
  <c r="U421" i="18"/>
  <c r="U440" i="18"/>
  <c r="AA440" i="18" a="1"/>
  <c r="AA440" i="18" s="1"/>
  <c r="AA515" i="18" a="1"/>
  <c r="AA515" i="18" s="1"/>
  <c r="U515" i="18"/>
  <c r="AA537" i="18" a="1"/>
  <c r="AA537" i="18" s="1"/>
  <c r="U537" i="18"/>
  <c r="AA599" i="18" a="1"/>
  <c r="AA599" i="18" s="1"/>
  <c r="U599" i="18"/>
  <c r="AA635" i="18" a="1"/>
  <c r="AA635" i="18" s="1"/>
  <c r="U635" i="18"/>
  <c r="AA222" i="18" a="1"/>
  <c r="U222" i="18"/>
  <c r="AA332" i="18" a="1"/>
  <c r="AA332" i="18" s="1"/>
  <c r="U332" i="18"/>
  <c r="AA345" i="18" a="1"/>
  <c r="AA345" i="18" s="1"/>
  <c r="U345" i="18"/>
  <c r="AA382" i="18" a="1"/>
  <c r="AA382" i="18" s="1"/>
  <c r="U382" i="18"/>
  <c r="AA638" i="18" a="1"/>
  <c r="AA638" i="18" s="1"/>
  <c r="U638" i="18"/>
  <c r="AA432" i="18" a="1"/>
  <c r="AA432" i="18" s="1"/>
  <c r="U432" i="18"/>
  <c r="AA596" i="18" a="1"/>
  <c r="AA596" i="18" s="1"/>
  <c r="U596" i="18"/>
  <c r="AA625" i="18" a="1"/>
  <c r="AA625" i="18" s="1"/>
  <c r="U625" i="18"/>
  <c r="AA655" i="18" a="1"/>
  <c r="AA655" i="18" s="1"/>
  <c r="U655" i="18"/>
  <c r="AA639" i="18" a="1"/>
  <c r="AA639" i="18" s="1"/>
  <c r="U639" i="18"/>
  <c r="AA650" i="18" a="1"/>
  <c r="AA650" i="18" s="1"/>
  <c r="U650" i="18"/>
  <c r="AA430" i="18" a="1"/>
  <c r="AA430" i="18" s="1"/>
  <c r="U430" i="18"/>
  <c r="AA360" i="18" a="1"/>
  <c r="AA360" i="18" s="1"/>
  <c r="U360" i="18"/>
  <c r="AA458" i="18" a="1"/>
  <c r="AA458" i="18" s="1"/>
  <c r="U458" i="18"/>
  <c r="AA620" i="18" a="1"/>
  <c r="AA620" i="18" s="1"/>
  <c r="U620" i="18"/>
  <c r="AA612" i="18" a="1"/>
  <c r="AA612" i="18" s="1"/>
  <c r="U612" i="18"/>
  <c r="AA456" i="18" a="1"/>
  <c r="AA456" i="18" s="1"/>
  <c r="U456" i="18"/>
  <c r="AA631" i="18" a="1"/>
  <c r="AA631" i="18" s="1"/>
  <c r="U631" i="18"/>
  <c r="AA634" i="18" a="1"/>
  <c r="AA634" i="18" s="1"/>
  <c r="U634" i="18"/>
  <c r="AA648" i="18" a="1"/>
  <c r="AA648" i="18" s="1"/>
  <c r="U648" i="18"/>
  <c r="AA670" i="18" a="1"/>
  <c r="AA670" i="18" s="1"/>
  <c r="U670" i="18"/>
  <c r="AA482" i="18" a="1"/>
  <c r="AA482" i="18" s="1"/>
  <c r="U482" i="18"/>
  <c r="AA615" i="18" a="1"/>
  <c r="AA615" i="18" s="1"/>
  <c r="U615" i="18"/>
  <c r="AA626" i="18" a="1"/>
  <c r="AA626" i="18" s="1"/>
  <c r="U626" i="18"/>
  <c r="AA454" i="18" a="1"/>
  <c r="AA454" i="18" s="1"/>
  <c r="U454" i="18"/>
  <c r="AA673" i="18" a="1"/>
  <c r="AA673" i="18" s="1"/>
  <c r="U673" i="18"/>
  <c r="AA408" i="18" a="1"/>
  <c r="AA408" i="18" s="1"/>
  <c r="U408" i="18"/>
  <c r="AA506" i="18" a="1"/>
  <c r="AA506" i="18" s="1"/>
  <c r="U506" i="18"/>
  <c r="AA480" i="18" a="1"/>
  <c r="AA480" i="18" s="1"/>
  <c r="U480" i="18"/>
  <c r="AA607" i="18" a="1"/>
  <c r="AA607" i="18" s="1"/>
  <c r="U607" i="18"/>
  <c r="AA651" i="18" a="1"/>
  <c r="AA651" i="18" s="1"/>
  <c r="U651" i="18"/>
  <c r="AA334" i="18" a="1"/>
  <c r="AA334" i="18" s="1"/>
  <c r="U334" i="18"/>
  <c r="AA530" i="18" a="1"/>
  <c r="AA530" i="18" s="1"/>
  <c r="U530" i="18"/>
  <c r="AA602" i="18" a="1"/>
  <c r="AA602" i="18" s="1"/>
  <c r="U602" i="18"/>
  <c r="AA610" i="18" a="1"/>
  <c r="AA610" i="18" s="1"/>
  <c r="U610" i="18"/>
  <c r="AA406" i="18" a="1"/>
  <c r="AA406" i="18" s="1"/>
  <c r="U406" i="18"/>
  <c r="AA504" i="18" a="1"/>
  <c r="AA504" i="18" s="1"/>
  <c r="U504" i="18"/>
  <c r="AA478" i="18" a="1"/>
  <c r="AA478" i="18" s="1"/>
  <c r="U478" i="18"/>
  <c r="AA554" i="18" a="1"/>
  <c r="AA554" i="18" s="1"/>
  <c r="U554" i="18"/>
  <c r="AA624" i="18" a="1"/>
  <c r="AA624" i="18" s="1"/>
  <c r="U624" i="18"/>
  <c r="AA646" i="18" a="1"/>
  <c r="AA646" i="18" s="1"/>
  <c r="U646" i="18"/>
  <c r="AA668" i="18" a="1"/>
  <c r="AA668" i="18" s="1"/>
  <c r="U668" i="18"/>
  <c r="AA528" i="18" a="1"/>
  <c r="AA528" i="18" s="1"/>
  <c r="U528" i="18"/>
  <c r="AA600" i="18" a="1"/>
  <c r="AA600" i="18" s="1"/>
  <c r="U600" i="18"/>
  <c r="AA502" i="18" a="1"/>
  <c r="AA502" i="18" s="1"/>
  <c r="U502" i="18"/>
  <c r="AA578" i="18" a="1"/>
  <c r="AA578" i="18" s="1"/>
  <c r="U578" i="18"/>
  <c r="AA649" i="18" a="1"/>
  <c r="AA649" i="18" s="1"/>
  <c r="U649" i="18"/>
  <c r="AA552" i="18" a="1"/>
  <c r="AA552" i="18" s="1"/>
  <c r="U552" i="18"/>
  <c r="AA660" i="18" a="1"/>
  <c r="AA660" i="18" s="1"/>
  <c r="U660" i="18"/>
  <c r="AA526" i="18" a="1"/>
  <c r="AA526" i="18" s="1"/>
  <c r="U526" i="18"/>
  <c r="AA598" i="18" a="1"/>
  <c r="AA598" i="18" s="1"/>
  <c r="U598" i="18"/>
  <c r="AA627" i="18" a="1"/>
  <c r="AA627" i="18" s="1"/>
  <c r="U627" i="18"/>
  <c r="AA663" i="18" a="1"/>
  <c r="AA663" i="18" s="1"/>
  <c r="U663" i="18"/>
  <c r="AA384" i="18" a="1"/>
  <c r="AA384" i="18" s="1"/>
  <c r="U384" i="18"/>
  <c r="AA576" i="18" a="1"/>
  <c r="AA576" i="18" s="1"/>
  <c r="U576" i="18"/>
  <c r="K397" i="18" l="1"/>
  <c r="P397" i="18"/>
  <c r="O397" i="18"/>
  <c r="L388" i="18"/>
  <c r="N388" i="18"/>
  <c r="M388" i="18"/>
  <c r="P413" i="18"/>
  <c r="M413" i="18"/>
  <c r="M378" i="18"/>
  <c r="P378" i="18"/>
  <c r="O378" i="18"/>
  <c r="L378" i="18"/>
  <c r="R408" i="18"/>
  <c r="O408" i="18"/>
  <c r="M408" i="18"/>
  <c r="K408" i="18"/>
  <c r="L408" i="18"/>
  <c r="N408" i="18"/>
  <c r="B389" i="18"/>
  <c r="Q389" i="18" s="1"/>
  <c r="H136" i="18" a="1"/>
  <c r="H136" i="18" s="1"/>
  <c r="B136" i="18"/>
  <c r="O136" i="18" s="1"/>
  <c r="O88" i="18"/>
  <c r="N88" i="18"/>
  <c r="H63" i="18" a="1"/>
  <c r="H63" i="18" s="1"/>
  <c r="B63" i="18"/>
  <c r="R63" i="18" s="1"/>
  <c r="B38" i="18"/>
  <c r="R38" i="18" s="1"/>
  <c r="H38" i="18" a="1"/>
  <c r="H38" i="18" s="1"/>
  <c r="R79" i="18"/>
  <c r="N79" i="18"/>
  <c r="M79" i="18"/>
  <c r="O79" i="18"/>
  <c r="L79" i="18"/>
  <c r="P79" i="18"/>
  <c r="K79" i="18"/>
  <c r="B54" i="18"/>
  <c r="H54" i="18" a="1"/>
  <c r="H54" i="18" s="1"/>
  <c r="B29" i="18"/>
  <c r="H29" i="18" a="1"/>
  <c r="H29" i="18" s="1"/>
  <c r="M99" i="18"/>
  <c r="K99" i="18"/>
  <c r="P99" i="18"/>
  <c r="O99" i="18"/>
  <c r="L99" i="18"/>
  <c r="B288" i="18"/>
  <c r="H288" i="18" a="1"/>
  <c r="H288" i="18" s="1"/>
  <c r="B307" i="18"/>
  <c r="R307" i="18" s="1"/>
  <c r="H307" i="18" a="1"/>
  <c r="H307" i="18" s="1"/>
  <c r="B19" i="18"/>
  <c r="R19" i="18" s="1"/>
  <c r="H19" i="18" a="1"/>
  <c r="H19" i="18" s="1"/>
  <c r="B178" i="18"/>
  <c r="Q178" i="18" s="1"/>
  <c r="H178" i="18" a="1"/>
  <c r="H178" i="18" s="1"/>
  <c r="B273" i="18"/>
  <c r="H273" i="18" a="1"/>
  <c r="H273" i="18" s="1"/>
  <c r="R125" i="18"/>
  <c r="P125" i="18"/>
  <c r="O125" i="18"/>
  <c r="K125" i="18"/>
  <c r="N125" i="18"/>
  <c r="M125" i="18"/>
  <c r="L125" i="18"/>
  <c r="O135" i="18"/>
  <c r="N135" i="18"/>
  <c r="K135" i="18"/>
  <c r="L135" i="18"/>
  <c r="R28" i="18"/>
  <c r="L28" i="18"/>
  <c r="R247" i="18"/>
  <c r="M247" i="18"/>
  <c r="P247" i="18"/>
  <c r="O247" i="18"/>
  <c r="N247" i="18"/>
  <c r="L247" i="18"/>
  <c r="K247" i="18"/>
  <c r="N139" i="18"/>
  <c r="K139" i="18"/>
  <c r="P139" i="18"/>
  <c r="N112" i="18"/>
  <c r="O112" i="18"/>
  <c r="R14" i="18"/>
  <c r="N14" i="18"/>
  <c r="P14" i="18"/>
  <c r="M14" i="18"/>
  <c r="L14" i="18"/>
  <c r="R30" i="18"/>
  <c r="N30" i="18"/>
  <c r="P30" i="18"/>
  <c r="O30" i="18"/>
  <c r="M30" i="18"/>
  <c r="L30" i="18"/>
  <c r="R283" i="18"/>
  <c r="P283" i="18"/>
  <c r="N283" i="18"/>
  <c r="R281" i="18"/>
  <c r="L281" i="18"/>
  <c r="B155" i="18"/>
  <c r="R155" i="18" s="1"/>
  <c r="H155" i="18" a="1"/>
  <c r="H155" i="18" s="1"/>
  <c r="B249" i="18"/>
  <c r="R249" i="18" s="1"/>
  <c r="H249" i="18" a="1"/>
  <c r="H249" i="18" s="1"/>
  <c r="B110" i="18"/>
  <c r="K110" i="18" s="1"/>
  <c r="H110" i="18" a="1"/>
  <c r="H110" i="18" s="1"/>
  <c r="R111" i="18"/>
  <c r="N111" i="18"/>
  <c r="M111" i="18"/>
  <c r="R87" i="18"/>
  <c r="N87" i="18"/>
  <c r="M87" i="18"/>
  <c r="P87" i="18"/>
  <c r="L87" i="18"/>
  <c r="K87" i="18"/>
  <c r="R31" i="18"/>
  <c r="M31" i="18"/>
  <c r="B51" i="18"/>
  <c r="R51" i="18" s="1"/>
  <c r="H51" i="18" a="1"/>
  <c r="H51" i="18" s="1"/>
  <c r="R183" i="18"/>
  <c r="N183" i="18"/>
  <c r="O183" i="18"/>
  <c r="P183" i="18"/>
  <c r="M183" i="18"/>
  <c r="L183" i="18"/>
  <c r="K183" i="18"/>
  <c r="P160" i="18"/>
  <c r="K160" i="18"/>
  <c r="M160" i="18"/>
  <c r="L160" i="18"/>
  <c r="R71" i="18"/>
  <c r="O71" i="18"/>
  <c r="N71" i="18"/>
  <c r="B235" i="18"/>
  <c r="R235" i="18" s="1"/>
  <c r="H235" i="18" a="1"/>
  <c r="H235" i="18" s="1"/>
  <c r="B233" i="18"/>
  <c r="H233" i="18" a="1"/>
  <c r="H233" i="18" s="1"/>
  <c r="B201" i="18"/>
  <c r="R201" i="18" s="1"/>
  <c r="H201" i="18" a="1"/>
  <c r="H201" i="18" s="1"/>
  <c r="P101" i="18"/>
  <c r="O101" i="18"/>
  <c r="K101" i="18"/>
  <c r="N101" i="18"/>
  <c r="M101" i="18"/>
  <c r="L101" i="18"/>
  <c r="B358" i="18"/>
  <c r="Q358" i="18" s="1"/>
  <c r="H358" i="18" a="1"/>
  <c r="H358" i="18" s="1"/>
  <c r="B23" i="18"/>
  <c r="K23" i="18" s="1"/>
  <c r="H23" i="18" a="1"/>
  <c r="H23" i="18" s="1"/>
  <c r="H185" i="18" a="1"/>
  <c r="H185" i="18" s="1"/>
  <c r="B185" i="18"/>
  <c r="R185" i="18" s="1"/>
  <c r="H223" i="18" a="1"/>
  <c r="H223" i="18" s="1"/>
  <c r="B223" i="18"/>
  <c r="Q223" i="18" s="1"/>
  <c r="L241" i="18"/>
  <c r="K241" i="18"/>
  <c r="B261" i="18"/>
  <c r="R261" i="18" s="1"/>
  <c r="H261" i="18" a="1"/>
  <c r="H261" i="18" s="1"/>
  <c r="H162" i="18" a="1"/>
  <c r="H162" i="18" s="1"/>
  <c r="B162" i="18"/>
  <c r="L162" i="18" s="1"/>
  <c r="R304" i="18"/>
  <c r="L304" i="18"/>
  <c r="P304" i="18"/>
  <c r="N304" i="18"/>
  <c r="K304" i="18"/>
  <c r="O304" i="18"/>
  <c r="M304" i="18"/>
  <c r="R11" i="18"/>
  <c r="P11" i="18"/>
  <c r="M11" i="18"/>
  <c r="N11" i="18"/>
  <c r="L11" i="18"/>
  <c r="B165" i="18"/>
  <c r="Q165" i="18" s="1"/>
  <c r="H165" i="18" a="1"/>
  <c r="H165" i="18" s="1"/>
  <c r="R280" i="18"/>
  <c r="K280" i="18"/>
  <c r="P280" i="18"/>
  <c r="R61" i="18"/>
  <c r="L61" i="18"/>
  <c r="P61" i="18"/>
  <c r="O61" i="18"/>
  <c r="M61" i="18"/>
  <c r="M76" i="18"/>
  <c r="K76" i="18"/>
  <c r="P76" i="18"/>
  <c r="N76" i="18"/>
  <c r="B222" i="18"/>
  <c r="H222" i="18" a="1"/>
  <c r="H222" i="18" s="1"/>
  <c r="R106" i="18"/>
  <c r="K106" i="18"/>
  <c r="P214" i="18"/>
  <c r="O214" i="18"/>
  <c r="L214" i="18"/>
  <c r="R189" i="18"/>
  <c r="M189" i="18"/>
  <c r="P189" i="18"/>
  <c r="K189" i="18"/>
  <c r="O189" i="18"/>
  <c r="N189" i="18"/>
  <c r="B141" i="18"/>
  <c r="H141" i="18" a="1"/>
  <c r="H141" i="18" s="1"/>
  <c r="N211" i="18"/>
  <c r="P211" i="18"/>
  <c r="K211" i="18"/>
  <c r="B256" i="18"/>
  <c r="H256" i="18" a="1"/>
  <c r="H256" i="18" s="1"/>
  <c r="H37" i="18" a="1"/>
  <c r="H37" i="18" s="1"/>
  <c r="B37" i="18"/>
  <c r="R37" i="18" s="1"/>
  <c r="B58" i="18"/>
  <c r="R58" i="18" s="1"/>
  <c r="H58" i="18" a="1"/>
  <c r="H58" i="18" s="1"/>
  <c r="B362" i="18"/>
  <c r="N362" i="18" s="1"/>
  <c r="H362" i="18" a="1"/>
  <c r="H362" i="18" s="1"/>
  <c r="O287" i="18"/>
  <c r="N287" i="18"/>
  <c r="L287" i="18"/>
  <c r="M287" i="18"/>
  <c r="P239" i="18"/>
  <c r="O239" i="18"/>
  <c r="B190" i="18"/>
  <c r="R190" i="18" s="1"/>
  <c r="H190" i="18" a="1"/>
  <c r="H190" i="18" s="1"/>
  <c r="B368" i="18"/>
  <c r="P368" i="18" s="1"/>
  <c r="H368" i="18" a="1"/>
  <c r="H368" i="18" s="1"/>
  <c r="B34" i="18"/>
  <c r="R34" i="18" s="1"/>
  <c r="H34" i="18" a="1"/>
  <c r="H34" i="18" s="1"/>
  <c r="B85" i="18"/>
  <c r="R85" i="18" s="1"/>
  <c r="H85" i="18" a="1"/>
  <c r="H85" i="18" s="1"/>
  <c r="B338" i="18"/>
  <c r="P338" i="18" s="1"/>
  <c r="H338" i="18" a="1"/>
  <c r="H338" i="18" s="1"/>
  <c r="L215" i="18"/>
  <c r="N215" i="18"/>
  <c r="R122" i="18"/>
  <c r="O122" i="18"/>
  <c r="P122" i="18"/>
  <c r="R10" i="18"/>
  <c r="N10" i="18"/>
  <c r="L10" i="18"/>
  <c r="M10" i="18"/>
  <c r="K10" i="18"/>
  <c r="O10" i="18"/>
  <c r="B191" i="18"/>
  <c r="H191" i="18" a="1"/>
  <c r="H191" i="18" s="1"/>
  <c r="O143" i="18"/>
  <c r="P143" i="18"/>
  <c r="L143" i="18"/>
  <c r="M143" i="18"/>
  <c r="K143" i="18"/>
  <c r="R69" i="18"/>
  <c r="O69" i="18"/>
  <c r="K69" i="18"/>
  <c r="P69" i="18"/>
  <c r="N69" i="18"/>
  <c r="M69" i="18"/>
  <c r="L69" i="18"/>
  <c r="B18" i="18"/>
  <c r="R18" i="18" s="1"/>
  <c r="H18" i="18" a="1"/>
  <c r="H18" i="18" s="1"/>
  <c r="R184" i="18"/>
  <c r="O184" i="18"/>
  <c r="K184" i="18"/>
  <c r="P184" i="18"/>
  <c r="N184" i="18"/>
  <c r="M184" i="18"/>
  <c r="L184" i="18"/>
  <c r="B32" i="18"/>
  <c r="H32" i="18" a="1"/>
  <c r="H32" i="18" s="1"/>
  <c r="R268" i="18"/>
  <c r="P268" i="18"/>
  <c r="P243" i="18"/>
  <c r="K243" i="18"/>
  <c r="O243" i="18"/>
  <c r="M243" i="18"/>
  <c r="O218" i="18"/>
  <c r="L218" i="18"/>
  <c r="R36" i="18"/>
  <c r="L36" i="18"/>
  <c r="K36" i="18"/>
  <c r="P36" i="18"/>
  <c r="N36" i="18"/>
  <c r="M36" i="18"/>
  <c r="B248" i="18"/>
  <c r="H248" i="18" a="1"/>
  <c r="H248" i="18" s="1"/>
  <c r="O228" i="18"/>
  <c r="N228" i="18"/>
  <c r="N244" i="18"/>
  <c r="K244" i="18"/>
  <c r="M244" i="18"/>
  <c r="L244" i="18"/>
  <c r="O219" i="18"/>
  <c r="L219" i="18"/>
  <c r="N22" i="18"/>
  <c r="P22" i="18"/>
  <c r="O22" i="18"/>
  <c r="M22" i="18"/>
  <c r="L22" i="18"/>
  <c r="N176" i="18"/>
  <c r="O176" i="18"/>
  <c r="N229" i="18"/>
  <c r="P229" i="18"/>
  <c r="L229" i="18"/>
  <c r="M229" i="18"/>
  <c r="R179" i="18"/>
  <c r="O179" i="18"/>
  <c r="M179" i="18"/>
  <c r="B24" i="18"/>
  <c r="R24" i="18" s="1"/>
  <c r="H24" i="18" a="1"/>
  <c r="H24" i="18" s="1"/>
  <c r="L105" i="18"/>
  <c r="P105" i="18"/>
  <c r="O105" i="18"/>
  <c r="K105" i="18"/>
  <c r="N105" i="18"/>
  <c r="M105" i="18"/>
  <c r="M205" i="18"/>
  <c r="O205" i="18"/>
  <c r="N205" i="18"/>
  <c r="L156" i="18"/>
  <c r="K156" i="18"/>
  <c r="O156" i="18"/>
  <c r="M156" i="18"/>
  <c r="L172" i="18"/>
  <c r="N172" i="18"/>
  <c r="M172" i="18"/>
  <c r="B147" i="18"/>
  <c r="Q147" i="18" s="1"/>
  <c r="H147" i="18" a="1"/>
  <c r="H147" i="18" s="1"/>
  <c r="L98" i="18"/>
  <c r="K98" i="18"/>
  <c r="M49" i="18"/>
  <c r="K49" i="18"/>
  <c r="B57" i="18"/>
  <c r="H57" i="18" a="1"/>
  <c r="H57" i="18" s="1"/>
  <c r="M255" i="18"/>
  <c r="L255" i="18"/>
  <c r="N255" i="18"/>
  <c r="K255" i="18"/>
  <c r="P255" i="18"/>
  <c r="O230" i="18"/>
  <c r="P230" i="18"/>
  <c r="K230" i="18"/>
  <c r="N230" i="18"/>
  <c r="M230" i="18"/>
  <c r="K132" i="18"/>
  <c r="P132" i="18"/>
  <c r="O132" i="18"/>
  <c r="L132" i="18"/>
  <c r="P221" i="18"/>
  <c r="N221" i="18"/>
  <c r="O221" i="18"/>
  <c r="M221" i="18"/>
  <c r="O173" i="18"/>
  <c r="N173" i="18"/>
  <c r="P173" i="18"/>
  <c r="K74" i="18"/>
  <c r="P74" i="18"/>
  <c r="N74" i="18"/>
  <c r="O25" i="18"/>
  <c r="L25" i="18"/>
  <c r="L231" i="18"/>
  <c r="K231" i="18"/>
  <c r="O133" i="18"/>
  <c r="M133" i="18"/>
  <c r="P133" i="18"/>
  <c r="N133" i="18"/>
  <c r="L133" i="18"/>
  <c r="K133" i="18"/>
  <c r="B197" i="18"/>
  <c r="M197" i="18" s="1"/>
  <c r="H197" i="18" a="1"/>
  <c r="H197" i="18" s="1"/>
  <c r="O149" i="18"/>
  <c r="P149" i="18"/>
  <c r="N149" i="18"/>
  <c r="K149" i="18"/>
  <c r="R50" i="18"/>
  <c r="M50" i="18"/>
  <c r="P50" i="18"/>
  <c r="O50" i="18"/>
  <c r="N50" i="18"/>
  <c r="L50" i="18"/>
  <c r="R33" i="18"/>
  <c r="O33" i="18"/>
  <c r="N33" i="18"/>
  <c r="P33" i="18"/>
  <c r="M33" i="18"/>
  <c r="L33" i="18"/>
  <c r="K33" i="18"/>
  <c r="R80" i="18"/>
  <c r="M80" i="18"/>
  <c r="K80" i="18"/>
  <c r="P80" i="18"/>
  <c r="O80" i="18"/>
  <c r="N80" i="18"/>
  <c r="L80" i="18"/>
  <c r="O210" i="18"/>
  <c r="M210" i="18"/>
  <c r="N210" i="18"/>
  <c r="L210" i="18"/>
  <c r="K210" i="18"/>
  <c r="P210" i="18"/>
  <c r="R126" i="18"/>
  <c r="O126" i="18"/>
  <c r="K126" i="18"/>
  <c r="P126" i="18"/>
  <c r="L126" i="18"/>
  <c r="R67" i="18"/>
  <c r="P67" i="18"/>
  <c r="M67" i="18"/>
  <c r="O67" i="18"/>
  <c r="N67" i="18"/>
  <c r="L67" i="18"/>
  <c r="K67" i="18"/>
  <c r="L91" i="18"/>
  <c r="N91" i="18"/>
  <c r="P91" i="18"/>
  <c r="O91" i="18"/>
  <c r="M91" i="18"/>
  <c r="K91" i="18"/>
  <c r="R297" i="18"/>
  <c r="K297" i="18"/>
  <c r="M297" i="18"/>
  <c r="N297" i="18"/>
  <c r="L297" i="18"/>
  <c r="P297" i="18"/>
  <c r="O297" i="18"/>
  <c r="M573" i="18"/>
  <c r="O583" i="18"/>
  <c r="N570" i="18"/>
  <c r="H69" i="18" a="1"/>
  <c r="H69" i="18" s="1"/>
  <c r="H88" i="18" a="1"/>
  <c r="H88" i="18" s="1"/>
  <c r="B152" i="18"/>
  <c r="R152" i="18" s="1"/>
  <c r="H202" i="18" a="1"/>
  <c r="H202" i="18" s="1"/>
  <c r="B237" i="18"/>
  <c r="K237" i="18" s="1"/>
  <c r="H143" i="18" a="1"/>
  <c r="H143" i="18" s="1"/>
  <c r="H46" i="18" a="1"/>
  <c r="H46" i="18" s="1"/>
  <c r="H129" i="18" a="1"/>
  <c r="H129" i="18" s="1"/>
  <c r="P583" i="18"/>
  <c r="P570" i="18"/>
  <c r="H5" i="18" a="1"/>
  <c r="H5" i="18" s="1"/>
  <c r="B73" i="18"/>
  <c r="R73" i="18" s="1"/>
  <c r="H103" i="18" a="1"/>
  <c r="H103" i="18" s="1"/>
  <c r="H154" i="18" a="1"/>
  <c r="H154" i="18" s="1"/>
  <c r="H274" i="18" a="1"/>
  <c r="H274" i="18" s="1"/>
  <c r="O558" i="18"/>
  <c r="B257" i="18"/>
  <c r="P257" i="18" s="1"/>
  <c r="H269" i="18" a="1"/>
  <c r="H269" i="18" s="1"/>
  <c r="K558" i="18"/>
  <c r="H240" i="18" a="1"/>
  <c r="H240" i="18" s="1"/>
  <c r="H67" i="18" a="1"/>
  <c r="H67" i="18" s="1"/>
  <c r="H229" i="18" a="1"/>
  <c r="H229" i="18" s="1"/>
  <c r="H328" i="18" a="1"/>
  <c r="H328" i="18" s="1"/>
  <c r="B271" i="18"/>
  <c r="R271" i="18" s="1"/>
  <c r="H306" i="18" a="1"/>
  <c r="H306" i="18" s="1"/>
  <c r="H50" i="18" a="1"/>
  <c r="H50" i="18" s="1"/>
  <c r="H314" i="18" a="1"/>
  <c r="H314" i="18" s="1"/>
  <c r="B208" i="18"/>
  <c r="H226" i="18" a="1"/>
  <c r="H226" i="18" s="1"/>
  <c r="H359" i="18" a="1"/>
  <c r="H359" i="18" s="1"/>
  <c r="H126" i="18" a="1"/>
  <c r="H126" i="18" s="1"/>
  <c r="N569" i="18"/>
  <c r="P408" i="18"/>
  <c r="H298" i="18" a="1"/>
  <c r="H298" i="18" s="1"/>
  <c r="H62" i="18" a="1"/>
  <c r="H62" i="18" s="1"/>
  <c r="B220" i="18"/>
  <c r="Q220" i="18" s="1"/>
  <c r="H184" i="18" a="1"/>
  <c r="H184" i="18" s="1"/>
  <c r="B153" i="18"/>
  <c r="Q153" i="18" s="1"/>
  <c r="H108" i="18" a="1"/>
  <c r="H108" i="18" s="1"/>
  <c r="H172" i="18" a="1"/>
  <c r="H172" i="18" s="1"/>
  <c r="B195" i="18"/>
  <c r="M195" i="18" s="1"/>
  <c r="O569" i="18"/>
  <c r="N437" i="18"/>
  <c r="L624" i="18"/>
  <c r="H179" i="18" a="1"/>
  <c r="H179" i="18" s="1"/>
  <c r="H196" i="18" a="1"/>
  <c r="H196" i="18" s="1"/>
  <c r="H148" i="18" a="1"/>
  <c r="H148" i="18" s="1"/>
  <c r="H243" i="18" a="1"/>
  <c r="H243" i="18" s="1"/>
  <c r="H296" i="18" a="1"/>
  <c r="H296" i="18" s="1"/>
  <c r="H166" i="18" a="1"/>
  <c r="H166" i="18" s="1"/>
  <c r="H361" i="18" a="1"/>
  <c r="H361" i="18" s="1"/>
  <c r="H121" i="18" a="1"/>
  <c r="H121" i="18" s="1"/>
  <c r="H80" i="18" a="1"/>
  <c r="H80" i="18" s="1"/>
  <c r="B466" i="18"/>
  <c r="M466" i="18" s="1"/>
  <c r="H347" i="18" a="1"/>
  <c r="H347" i="18" s="1"/>
  <c r="B234" i="18"/>
  <c r="R234" i="18" s="1"/>
  <c r="B232" i="18"/>
  <c r="O232" i="18" s="1"/>
  <c r="H43" i="18" a="1"/>
  <c r="H43" i="18" s="1"/>
  <c r="H250" i="18" a="1"/>
  <c r="H250" i="18" s="1"/>
  <c r="K564" i="18"/>
  <c r="O555" i="18"/>
  <c r="B500" i="18"/>
  <c r="R500" i="18" s="1"/>
  <c r="H53" i="18" a="1"/>
  <c r="H53" i="18" s="1"/>
  <c r="N555" i="18"/>
  <c r="M495" i="18"/>
  <c r="O413" i="18"/>
  <c r="N378" i="18"/>
  <c r="H101" i="18" a="1"/>
  <c r="H101" i="18" s="1"/>
  <c r="H105" i="18" a="1"/>
  <c r="H105" i="18" s="1"/>
  <c r="H86" i="18" a="1"/>
  <c r="H86" i="18" s="1"/>
  <c r="H33" i="18" a="1"/>
  <c r="H33" i="18" s="1"/>
  <c r="H173" i="18" a="1"/>
  <c r="H173" i="18" s="1"/>
  <c r="H247" i="18" a="1"/>
  <c r="H247" i="18" s="1"/>
  <c r="H169" i="18" a="1"/>
  <c r="H169" i="18" s="1"/>
  <c r="B491" i="18"/>
  <c r="H104" i="18" a="1"/>
  <c r="H104" i="18" s="1"/>
  <c r="H9" i="18" a="1"/>
  <c r="H9" i="18" s="1"/>
  <c r="H258" i="18" a="1"/>
  <c r="H258" i="18" s="1"/>
  <c r="B134" i="18"/>
  <c r="H330" i="18" a="1"/>
  <c r="H330" i="18" s="1"/>
  <c r="H183" i="18" a="1"/>
  <c r="H183" i="18" s="1"/>
  <c r="O554" i="18"/>
  <c r="B150" i="18"/>
  <c r="N150" i="18" s="1"/>
  <c r="H158" i="18" a="1"/>
  <c r="H158" i="18" s="1"/>
  <c r="K583" i="18"/>
  <c r="P554" i="18"/>
  <c r="H135" i="18" a="1"/>
  <c r="H135" i="18" s="1"/>
  <c r="H297" i="18" a="1"/>
  <c r="H297" i="18" s="1"/>
  <c r="H26" i="18" a="1"/>
  <c r="H26" i="18" s="1"/>
  <c r="O653" i="18"/>
  <c r="P510" i="18"/>
  <c r="P573" i="18"/>
  <c r="L583" i="18"/>
  <c r="O570" i="18"/>
  <c r="L432" i="18"/>
  <c r="H77" i="18" a="1"/>
  <c r="H77" i="18" s="1"/>
  <c r="K573" i="18"/>
  <c r="M583" i="18"/>
  <c r="P441" i="18"/>
  <c r="B524" i="18"/>
  <c r="R295" i="18"/>
  <c r="M295" i="18"/>
  <c r="P295" i="18"/>
  <c r="O362" i="18"/>
  <c r="P337" i="18"/>
  <c r="K337" i="18"/>
  <c r="N337" i="18"/>
  <c r="P347" i="18"/>
  <c r="L347" i="18"/>
  <c r="K347" i="18"/>
  <c r="O347" i="18"/>
  <c r="K322" i="18"/>
  <c r="O322" i="18"/>
  <c r="P322" i="18"/>
  <c r="R339" i="18"/>
  <c r="M339" i="18"/>
  <c r="P339" i="18"/>
  <c r="L339" i="18"/>
  <c r="N339" i="18"/>
  <c r="K339" i="18"/>
  <c r="L314" i="18"/>
  <c r="N314" i="18"/>
  <c r="P314" i="18"/>
  <c r="M314" i="18"/>
  <c r="N353" i="18"/>
  <c r="P353" i="18"/>
  <c r="O353" i="18"/>
  <c r="M353" i="18"/>
  <c r="K353" i="18"/>
  <c r="L353" i="18"/>
  <c r="N354" i="18"/>
  <c r="L354" i="18"/>
  <c r="M354" i="18"/>
  <c r="P354" i="18"/>
  <c r="O354" i="18"/>
  <c r="K354" i="18"/>
  <c r="O341" i="18"/>
  <c r="L341" i="18"/>
  <c r="P341" i="18"/>
  <c r="O268" i="18"/>
  <c r="K55" i="18"/>
  <c r="M5" i="18"/>
  <c r="H139" i="18" a="1"/>
  <c r="H139" i="18" s="1"/>
  <c r="L268" i="18"/>
  <c r="L191" i="18"/>
  <c r="L55" i="18"/>
  <c r="N5" i="18"/>
  <c r="N268" i="18"/>
  <c r="M55" i="18"/>
  <c r="O5" i="18"/>
  <c r="H295" i="18" a="1"/>
  <c r="H295" i="18" s="1"/>
  <c r="H219" i="18" a="1"/>
  <c r="H219" i="18" s="1"/>
  <c r="M268" i="18"/>
  <c r="P55" i="18"/>
  <c r="P5" i="18"/>
  <c r="O281" i="18"/>
  <c r="K5" i="18"/>
  <c r="H39" i="18" a="1"/>
  <c r="H39" i="18" s="1"/>
  <c r="M281" i="18"/>
  <c r="M283" i="18"/>
  <c r="L5" i="18"/>
  <c r="B320" i="18"/>
  <c r="R320" i="18" s="1"/>
  <c r="H281" i="18" a="1"/>
  <c r="H281" i="18" s="1"/>
  <c r="O283" i="18"/>
  <c r="N280" i="18"/>
  <c r="K283" i="18"/>
  <c r="L139" i="18"/>
  <c r="O55" i="18"/>
  <c r="H75" i="18" a="1"/>
  <c r="H75" i="18" s="1"/>
  <c r="M139" i="18"/>
  <c r="H114" i="18" a="1"/>
  <c r="H114" i="18" s="1"/>
  <c r="O280" i="18"/>
  <c r="L283" i="18"/>
  <c r="K30" i="18"/>
  <c r="K14" i="18"/>
  <c r="N55" i="18"/>
  <c r="H213" i="18" a="1"/>
  <c r="H213" i="18" s="1"/>
  <c r="O14" i="18"/>
  <c r="H283" i="18" a="1"/>
  <c r="H283" i="18" s="1"/>
  <c r="H30" i="18" a="1"/>
  <c r="H30" i="18" s="1"/>
  <c r="K61" i="18"/>
  <c r="H64" i="18" a="1"/>
  <c r="H64" i="18" s="1"/>
  <c r="L75" i="18"/>
  <c r="N61" i="18"/>
  <c r="H302" i="18" a="1"/>
  <c r="H302" i="18" s="1"/>
  <c r="O75" i="18"/>
  <c r="H277" i="18" a="1"/>
  <c r="H277" i="18" s="1"/>
  <c r="N179" i="18"/>
  <c r="N75" i="18"/>
  <c r="H244" i="18" a="1"/>
  <c r="H244" i="18" s="1"/>
  <c r="P281" i="18"/>
  <c r="K112" i="18"/>
  <c r="K75" i="18"/>
  <c r="B204" i="18"/>
  <c r="O204" i="18" s="1"/>
  <c r="H218" i="18" a="1"/>
  <c r="H218" i="18" s="1"/>
  <c r="Q179" i="18"/>
  <c r="P75" i="18"/>
  <c r="N281" i="18"/>
  <c r="M75" i="18"/>
  <c r="H125" i="18" a="1"/>
  <c r="H125" i="18" s="1"/>
  <c r="H14" i="18" a="1"/>
  <c r="H14" i="18" s="1"/>
  <c r="H238" i="18" a="1"/>
  <c r="H238" i="18" s="1"/>
  <c r="AK28" i="18"/>
  <c r="AK34" i="18"/>
  <c r="AK61" i="18"/>
  <c r="AK64" i="18"/>
  <c r="AK60" i="18"/>
  <c r="AK11" i="18"/>
  <c r="AK63" i="18"/>
  <c r="AK41" i="18"/>
  <c r="AK50" i="18"/>
  <c r="AK45" i="18"/>
  <c r="AK32" i="18"/>
  <c r="AK43" i="18"/>
  <c r="AK49" i="18"/>
  <c r="AK23" i="18"/>
  <c r="AK53" i="18"/>
  <c r="AK36" i="18"/>
  <c r="AK14" i="18"/>
  <c r="AK39" i="18"/>
  <c r="AK47" i="18"/>
  <c r="AK27" i="18"/>
  <c r="AK35" i="18"/>
  <c r="AK59" i="18"/>
  <c r="AK8" i="18"/>
  <c r="AK19" i="18"/>
  <c r="AK5" i="18"/>
  <c r="AK16" i="18"/>
  <c r="AK40" i="18"/>
  <c r="AK25" i="18"/>
  <c r="AK10" i="18"/>
  <c r="AK42" i="18"/>
  <c r="AK26" i="18"/>
  <c r="AK65" i="18"/>
  <c r="AK22" i="18"/>
  <c r="AK24" i="18"/>
  <c r="AK54" i="18"/>
  <c r="AK57" i="18"/>
  <c r="AK37" i="18"/>
  <c r="AK46" i="18"/>
  <c r="AK20" i="18"/>
  <c r="AK9" i="18"/>
  <c r="AK4" i="18"/>
  <c r="AK66" i="18"/>
  <c r="AK15" i="18"/>
  <c r="AK176" i="18"/>
  <c r="AK44" i="18"/>
  <c r="AK33" i="18"/>
  <c r="AK56" i="18"/>
  <c r="AK38" i="18"/>
  <c r="AK17" i="18"/>
  <c r="AK58" i="18"/>
  <c r="AK51" i="18"/>
  <c r="AK21" i="18"/>
  <c r="AK29" i="18"/>
  <c r="AK62" i="18"/>
  <c r="AK30" i="18"/>
  <c r="AK52" i="18"/>
  <c r="AK6" i="18"/>
  <c r="AK13" i="18"/>
  <c r="AK12" i="18"/>
  <c r="AK48" i="18"/>
  <c r="AK18" i="18"/>
  <c r="AA168" i="18"/>
  <c r="AA228" i="18"/>
  <c r="AA294" i="18"/>
  <c r="AA139" i="18"/>
  <c r="AA120" i="18"/>
  <c r="AA104" i="18"/>
  <c r="AA298" i="18"/>
  <c r="AA185" i="18"/>
  <c r="AA305" i="18"/>
  <c r="AA225" i="18"/>
  <c r="AA189" i="18"/>
  <c r="AA229" i="18"/>
  <c r="AA241" i="18"/>
  <c r="AA26" i="18"/>
  <c r="AA65" i="18"/>
  <c r="AA166" i="18"/>
  <c r="AA218" i="18"/>
  <c r="AA22" i="18"/>
  <c r="AA24" i="18"/>
  <c r="AA125" i="18"/>
  <c r="AA54" i="18"/>
  <c r="AA220" i="18"/>
  <c r="AA250" i="18"/>
  <c r="AA192" i="18"/>
  <c r="AA274" i="18"/>
  <c r="AA204" i="18"/>
  <c r="AA20" i="18"/>
  <c r="AA181" i="18"/>
  <c r="AA214" i="18"/>
  <c r="AA258" i="18"/>
  <c r="AA105" i="18"/>
  <c r="AA136" i="18"/>
  <c r="AA182" i="18"/>
  <c r="AA230" i="18"/>
  <c r="AA141" i="18"/>
  <c r="AA262" i="18"/>
  <c r="AA75" i="18"/>
  <c r="AA83" i="18"/>
  <c r="AA46" i="18"/>
  <c r="AA281" i="18"/>
  <c r="AA268" i="18"/>
  <c r="AA115" i="18"/>
  <c r="AA289" i="18"/>
  <c r="AA178" i="18"/>
  <c r="AA108" i="18"/>
  <c r="AA202" i="18"/>
  <c r="AA240" i="18"/>
  <c r="AA188" i="18"/>
  <c r="AA44" i="18"/>
  <c r="AA129" i="18"/>
  <c r="AA37" i="18"/>
  <c r="AA292" i="18"/>
  <c r="AA231" i="18"/>
  <c r="AA159" i="18"/>
  <c r="AA170" i="18"/>
  <c r="AA94" i="18"/>
  <c r="AA4" i="18"/>
  <c r="AA171" i="18"/>
  <c r="AA183" i="18"/>
  <c r="AA227" i="18"/>
  <c r="AA199" i="18"/>
  <c r="AA127" i="18"/>
  <c r="AA146" i="18"/>
  <c r="AA267" i="18"/>
  <c r="AA66" i="18"/>
  <c r="AA15" i="18"/>
  <c r="AA221" i="18"/>
  <c r="AA176" i="18"/>
  <c r="AA304" i="18"/>
  <c r="AA284" i="18"/>
  <c r="AA156" i="18"/>
  <c r="AA180" i="18"/>
  <c r="AA163" i="18"/>
  <c r="AA164" i="18"/>
  <c r="AA264" i="18"/>
  <c r="AA278" i="18"/>
  <c r="AA217" i="18"/>
  <c r="AA134" i="18"/>
  <c r="AA145" i="18"/>
  <c r="AA38" i="18"/>
  <c r="AA80" i="18"/>
  <c r="AA121" i="18"/>
  <c r="AA194" i="18"/>
  <c r="AA158" i="18"/>
  <c r="AA17" i="18"/>
  <c r="AA87" i="18"/>
  <c r="AA173" i="18"/>
  <c r="AA58" i="18"/>
  <c r="AA175" i="18"/>
  <c r="AA51" i="18"/>
  <c r="AA100" i="18"/>
  <c r="AA103" i="18"/>
  <c r="AA132" i="18"/>
  <c r="AA301" i="18"/>
  <c r="AA56" i="18"/>
  <c r="AA177" i="18"/>
  <c r="AA93" i="18"/>
  <c r="AA148" i="18"/>
  <c r="AA256" i="18"/>
  <c r="AA234" i="18"/>
  <c r="AA253" i="18"/>
  <c r="AA89" i="18"/>
  <c r="AA117" i="18"/>
  <c r="AA21" i="18"/>
  <c r="AA157" i="18"/>
  <c r="AA119" i="18"/>
  <c r="AA29" i="18"/>
  <c r="AA169" i="18"/>
  <c r="AA90" i="18"/>
  <c r="AA62" i="18"/>
  <c r="AA179" i="18"/>
  <c r="AA30" i="18"/>
  <c r="AA52" i="18"/>
  <c r="AA147" i="18"/>
  <c r="AA6" i="18"/>
  <c r="AA239" i="18"/>
  <c r="AA92" i="18"/>
  <c r="AA237" i="18"/>
  <c r="AA151" i="18"/>
  <c r="AA242" i="18"/>
  <c r="AA13" i="18"/>
  <c r="AA72" i="18"/>
  <c r="AA86" i="18"/>
  <c r="AA299" i="18"/>
  <c r="AA161" i="18"/>
  <c r="AA102" i="18"/>
  <c r="AA12" i="18"/>
  <c r="AA155" i="18"/>
  <c r="AA48" i="18"/>
  <c r="AA112" i="18"/>
  <c r="AA203" i="18"/>
  <c r="AA18" i="18"/>
  <c r="AA76" i="18"/>
  <c r="AA138" i="18"/>
  <c r="AA143" i="18"/>
  <c r="AA308" i="18"/>
  <c r="AA106" i="18"/>
  <c r="AA187" i="18"/>
  <c r="AA276" i="18"/>
  <c r="AA130" i="18"/>
  <c r="AA195" i="18"/>
  <c r="AA144" i="18"/>
  <c r="AA223" i="18"/>
  <c r="AA61" i="18"/>
  <c r="AA41" i="18"/>
  <c r="AA69" i="18"/>
  <c r="AA266" i="18"/>
  <c r="AA101" i="18"/>
  <c r="AA122" i="18"/>
  <c r="AA88" i="18"/>
  <c r="AA271" i="18"/>
  <c r="AA70" i="18"/>
  <c r="AA280" i="18"/>
  <c r="AA34" i="18"/>
  <c r="AA263" i="18"/>
  <c r="AA252" i="18"/>
  <c r="AA116" i="18"/>
  <c r="AA260" i="18"/>
  <c r="AA212" i="18"/>
  <c r="AA95" i="18"/>
  <c r="AA135" i="18"/>
  <c r="AA283" i="18"/>
  <c r="AA265" i="18"/>
  <c r="AA74" i="18"/>
  <c r="AA293" i="18"/>
  <c r="AA28" i="18"/>
  <c r="AA162" i="18"/>
  <c r="AA131" i="18"/>
  <c r="AA219" i="18"/>
  <c r="AA71" i="18"/>
  <c r="AA251" i="18"/>
  <c r="AA91" i="18"/>
  <c r="AA198" i="18"/>
  <c r="AA165" i="18"/>
  <c r="AA222" i="18"/>
  <c r="AA154" i="18"/>
  <c r="AA140" i="18"/>
  <c r="AA124" i="18"/>
  <c r="AA68" i="18"/>
  <c r="AA303" i="18"/>
  <c r="AA209" i="18"/>
  <c r="AA64" i="18"/>
  <c r="AA269" i="18"/>
  <c r="AA233" i="18"/>
  <c r="AA77" i="18"/>
  <c r="AA60" i="18"/>
  <c r="AA113" i="18"/>
  <c r="AA238" i="18"/>
  <c r="AA285" i="18"/>
  <c r="AA243" i="18"/>
  <c r="AA309" i="18"/>
  <c r="AA11" i="18"/>
  <c r="AA123" i="18"/>
  <c r="AA114" i="18"/>
  <c r="AA63" i="18"/>
  <c r="AA149" i="18"/>
  <c r="AA84" i="18"/>
  <c r="AA211" i="18"/>
  <c r="AA235" i="18"/>
  <c r="AA272" i="18"/>
  <c r="AA43" i="18"/>
  <c r="AA295" i="18"/>
  <c r="AA190" i="18"/>
  <c r="AA137" i="18"/>
  <c r="AA291" i="18"/>
  <c r="AA205" i="18"/>
  <c r="AA45" i="18"/>
  <c r="AA110" i="18"/>
  <c r="AA213" i="18"/>
  <c r="AA282" i="18"/>
  <c r="AA290" i="18"/>
  <c r="AA160" i="18"/>
  <c r="AA78" i="18"/>
  <c r="AA111" i="18"/>
  <c r="AA49" i="18"/>
  <c r="AA23" i="18"/>
  <c r="AA152" i="18"/>
  <c r="AA172" i="18"/>
  <c r="AA126" i="18"/>
  <c r="AA306" i="18"/>
  <c r="AA257" i="18"/>
  <c r="AA279" i="18"/>
  <c r="AA39" i="18"/>
  <c r="AA27" i="18"/>
  <c r="AA210" i="18"/>
  <c r="AA236" i="18"/>
  <c r="AA128" i="18"/>
  <c r="AA296" i="18"/>
  <c r="AA50" i="18"/>
  <c r="AA32" i="18"/>
  <c r="AA73" i="18"/>
  <c r="AA244" i="18"/>
  <c r="AA246" i="18"/>
  <c r="AA287" i="18"/>
  <c r="AA67" i="18"/>
  <c r="AA53" i="18"/>
  <c r="AA36" i="18"/>
  <c r="AA261" i="18"/>
  <c r="AA208" i="18"/>
  <c r="AA255" i="18"/>
  <c r="AA186" i="18"/>
  <c r="AA99" i="18"/>
  <c r="AA207" i="18"/>
  <c r="AA14" i="18"/>
  <c r="AA47" i="18"/>
  <c r="AA35" i="18"/>
  <c r="AA59" i="18"/>
  <c r="AA300" i="18"/>
  <c r="AA270" i="18"/>
  <c r="AA226" i="18"/>
  <c r="AA216" i="18"/>
  <c r="AA8" i="18"/>
  <c r="AA19" i="18"/>
  <c r="AA5" i="18"/>
  <c r="AA16" i="18"/>
  <c r="AA297" i="18"/>
  <c r="AA247" i="18"/>
  <c r="AA302" i="18"/>
  <c r="AA97" i="18"/>
  <c r="AA150" i="18"/>
  <c r="AA273" i="18"/>
  <c r="AA249" i="18"/>
  <c r="AA40" i="18"/>
  <c r="AA201" i="18"/>
  <c r="AA107" i="18"/>
  <c r="AA174" i="18"/>
  <c r="AA232" i="18"/>
  <c r="AA25" i="18"/>
  <c r="AA275" i="18"/>
  <c r="AA10" i="18"/>
  <c r="AA82" i="18"/>
  <c r="AA42" i="18"/>
  <c r="AJ244" i="18"/>
  <c r="AK244" i="18"/>
  <c r="AJ261" i="18"/>
  <c r="AK261" i="18"/>
  <c r="AJ306" i="18"/>
  <c r="AK306" i="18"/>
  <c r="AJ207" i="18"/>
  <c r="AK207" i="18"/>
  <c r="AJ300" i="18"/>
  <c r="AK300" i="18"/>
  <c r="AJ305" i="18"/>
  <c r="AK305" i="18"/>
  <c r="AJ225" i="18"/>
  <c r="AK225" i="18"/>
  <c r="AJ229" i="18"/>
  <c r="AK229" i="18"/>
  <c r="AJ241" i="18"/>
  <c r="AK241" i="18"/>
  <c r="AJ218" i="18"/>
  <c r="AK218" i="18"/>
  <c r="AJ294" i="18"/>
  <c r="AK294" i="18"/>
  <c r="AJ220" i="18"/>
  <c r="AK220" i="18"/>
  <c r="AJ228" i="18"/>
  <c r="AK228" i="18"/>
  <c r="AJ214" i="18"/>
  <c r="AK214" i="18"/>
  <c r="AJ258" i="18"/>
  <c r="AK258" i="18"/>
  <c r="AJ230" i="18"/>
  <c r="AK230" i="18"/>
  <c r="AJ304" i="18"/>
  <c r="AK304" i="18"/>
  <c r="AJ262" i="18"/>
  <c r="AK262" i="18"/>
  <c r="AJ276" i="18"/>
  <c r="AK276" i="18"/>
  <c r="AJ292" i="18"/>
  <c r="AK292" i="18"/>
  <c r="AJ289" i="18"/>
  <c r="AK289" i="18"/>
  <c r="AJ240" i="18"/>
  <c r="AK240" i="18"/>
  <c r="AJ307" i="18"/>
  <c r="AK307" i="18"/>
  <c r="AJ278" i="18"/>
  <c r="AK278" i="18"/>
  <c r="AJ217" i="18"/>
  <c r="AK217" i="18"/>
  <c r="AJ194" i="18"/>
  <c r="AK194" i="18"/>
  <c r="AJ235" i="18"/>
  <c r="AK235" i="18"/>
  <c r="AJ281" i="18"/>
  <c r="AK281" i="18"/>
  <c r="AJ268" i="18"/>
  <c r="AK268" i="18"/>
  <c r="AJ274" i="18"/>
  <c r="AK274" i="18"/>
  <c r="AJ231" i="18"/>
  <c r="AK231" i="18"/>
  <c r="AJ227" i="18"/>
  <c r="AK227" i="18"/>
  <c r="AJ267" i="18"/>
  <c r="AK267" i="18"/>
  <c r="AJ221" i="18"/>
  <c r="AK221" i="18"/>
  <c r="AJ277" i="18"/>
  <c r="AK277" i="18"/>
  <c r="AJ284" i="18"/>
  <c r="AK284" i="18"/>
  <c r="AJ250" i="18"/>
  <c r="AK250" i="18"/>
  <c r="AJ204" i="18"/>
  <c r="AK204" i="18"/>
  <c r="AJ256" i="18"/>
  <c r="AK256" i="18"/>
  <c r="AJ234" i="18"/>
  <c r="AK234" i="18"/>
  <c r="AJ253" i="18"/>
  <c r="AK253" i="18"/>
  <c r="AJ288" i="18"/>
  <c r="AK288" i="18"/>
  <c r="AJ239" i="18"/>
  <c r="AK239" i="18"/>
  <c r="AJ198" i="18"/>
  <c r="AK198" i="18"/>
  <c r="AJ264" i="18"/>
  <c r="AK264" i="18"/>
  <c r="AJ237" i="18"/>
  <c r="AK237" i="18"/>
  <c r="AJ242" i="18"/>
  <c r="AK242" i="18"/>
  <c r="AJ299" i="18"/>
  <c r="AK299" i="18"/>
  <c r="AJ203" i="18"/>
  <c r="AK203" i="18"/>
  <c r="AJ301" i="18"/>
  <c r="AK301" i="18"/>
  <c r="AJ223" i="18"/>
  <c r="AK223" i="18"/>
  <c r="AJ266" i="18"/>
  <c r="AK266" i="18"/>
  <c r="AJ271" i="18"/>
  <c r="AK271" i="18"/>
  <c r="AJ280" i="18"/>
  <c r="AK280" i="18"/>
  <c r="AJ263" i="18"/>
  <c r="AK263" i="18"/>
  <c r="AJ293" i="18"/>
  <c r="AK293" i="18"/>
  <c r="AJ219" i="18"/>
  <c r="AK219" i="18"/>
  <c r="AJ251" i="18"/>
  <c r="AK251" i="18"/>
  <c r="AJ195" i="18"/>
  <c r="AK195" i="18"/>
  <c r="AJ212" i="18"/>
  <c r="AK212" i="18"/>
  <c r="AJ260" i="18"/>
  <c r="AK260" i="18"/>
  <c r="AJ303" i="18"/>
  <c r="AK303" i="18"/>
  <c r="AJ209" i="18"/>
  <c r="AK209" i="18"/>
  <c r="AJ269" i="18"/>
  <c r="AK269" i="18"/>
  <c r="AJ233" i="18"/>
  <c r="AK233" i="18"/>
  <c r="AJ238" i="18"/>
  <c r="AK238" i="18"/>
  <c r="AJ285" i="18"/>
  <c r="AK285" i="18"/>
  <c r="AJ243" i="18"/>
  <c r="AK243" i="18"/>
  <c r="AJ309" i="18"/>
  <c r="AK309" i="18"/>
  <c r="AJ224" i="18"/>
  <c r="AK224" i="18"/>
  <c r="AJ252" i="18"/>
  <c r="AK252" i="18"/>
  <c r="AJ272" i="18"/>
  <c r="AK272" i="18"/>
  <c r="AJ245" i="18"/>
  <c r="AK245" i="18"/>
  <c r="AJ295" i="18"/>
  <c r="AK295" i="18"/>
  <c r="AJ291" i="18"/>
  <c r="AK291" i="18"/>
  <c r="AJ205" i="18"/>
  <c r="AK205" i="18"/>
  <c r="AJ213" i="18"/>
  <c r="AK213" i="18"/>
  <c r="AJ282" i="18"/>
  <c r="AK282" i="18"/>
  <c r="AJ290" i="18"/>
  <c r="AK290" i="18"/>
  <c r="AJ248" i="18"/>
  <c r="AK248" i="18"/>
  <c r="AJ265" i="18"/>
  <c r="AK265" i="18"/>
  <c r="AJ222" i="18"/>
  <c r="AK222" i="18"/>
  <c r="AJ270" i="18"/>
  <c r="AK270" i="18"/>
  <c r="AJ308" i="18"/>
  <c r="AK308" i="18"/>
  <c r="AJ246" i="18"/>
  <c r="AK246" i="18"/>
  <c r="AJ287" i="18"/>
  <c r="AK287" i="18"/>
  <c r="AJ208" i="18"/>
  <c r="AK208" i="18"/>
  <c r="AJ255" i="18"/>
  <c r="AK255" i="18"/>
  <c r="AJ257" i="18"/>
  <c r="AK257" i="18"/>
  <c r="AJ279" i="18"/>
  <c r="AK279" i="18"/>
  <c r="AJ210" i="18"/>
  <c r="AK210" i="18"/>
  <c r="AJ297" i="18"/>
  <c r="AK297" i="18"/>
  <c r="AJ247" i="18"/>
  <c r="AK247" i="18"/>
  <c r="AJ302" i="18"/>
  <c r="AK302" i="18"/>
  <c r="AJ273" i="18"/>
  <c r="AK273" i="18"/>
  <c r="AJ249" i="18"/>
  <c r="AK249" i="18"/>
  <c r="AJ201" i="18"/>
  <c r="AK201" i="18"/>
  <c r="AJ232" i="18"/>
  <c r="AK232" i="18"/>
  <c r="AJ275" i="18"/>
  <c r="AK275" i="18"/>
  <c r="AJ283" i="18"/>
  <c r="AK283" i="18"/>
  <c r="AJ211" i="18"/>
  <c r="AK211" i="18"/>
  <c r="AJ226" i="18"/>
  <c r="AK226" i="18"/>
  <c r="AJ236" i="18"/>
  <c r="AK236" i="18"/>
  <c r="AJ216" i="18"/>
  <c r="AK216" i="18"/>
  <c r="AJ215" i="18"/>
  <c r="AK215" i="18"/>
  <c r="AJ193" i="18"/>
  <c r="AJ186" i="18"/>
  <c r="AJ184" i="18"/>
  <c r="AJ202" i="18"/>
  <c r="AJ199" i="18"/>
  <c r="AJ188" i="18"/>
  <c r="AJ55" i="18"/>
  <c r="AJ187" i="18"/>
  <c r="AJ190" i="18"/>
  <c r="AJ142" i="18"/>
  <c r="AJ185" i="18"/>
  <c r="AJ189" i="18"/>
  <c r="AJ181" i="18"/>
  <c r="AJ182" i="18"/>
  <c r="AJ192" i="18"/>
  <c r="AJ183" i="18"/>
  <c r="Q106" i="18"/>
  <c r="B535" i="18"/>
  <c r="H535" i="18" a="1"/>
  <c r="H535" i="18" s="1"/>
  <c r="H452" i="18" a="1"/>
  <c r="H452" i="18" s="1"/>
  <c r="B452" i="18"/>
  <c r="H501" i="18" a="1"/>
  <c r="H501" i="18" s="1"/>
  <c r="B501" i="18"/>
  <c r="B360" i="18"/>
  <c r="H360" i="18" a="1"/>
  <c r="H360" i="18" s="1"/>
  <c r="H487" i="18" a="1"/>
  <c r="H487" i="18" s="1"/>
  <c r="B487" i="18"/>
  <c r="B526" i="18"/>
  <c r="Q526" i="18" s="1"/>
  <c r="H526" i="18" a="1"/>
  <c r="H526" i="18" s="1"/>
  <c r="B438" i="18"/>
  <c r="L438" i="18" s="1"/>
  <c r="H438" i="18" a="1"/>
  <c r="H438" i="18" s="1"/>
  <c r="B496" i="18"/>
  <c r="H496" i="18" a="1"/>
  <c r="H496" i="18" s="1"/>
  <c r="B478" i="18"/>
  <c r="O478" i="18" s="1"/>
  <c r="H478" i="18" a="1"/>
  <c r="H478" i="18" s="1"/>
  <c r="N506" i="18"/>
  <c r="R506" i="18"/>
  <c r="N382" i="18"/>
  <c r="R382" i="18"/>
  <c r="K382" i="18"/>
  <c r="M333" i="18"/>
  <c r="R333" i="18"/>
  <c r="P333" i="18"/>
  <c r="B345" i="18"/>
  <c r="H345" i="18" a="1"/>
  <c r="H345" i="18" s="1"/>
  <c r="B423" i="18"/>
  <c r="H423" i="18" a="1"/>
  <c r="H423" i="18" s="1"/>
  <c r="B369" i="18"/>
  <c r="H369" i="18" a="1"/>
  <c r="H369" i="18" s="1"/>
  <c r="B400" i="18"/>
  <c r="H400" i="18" a="1"/>
  <c r="H400" i="18" s="1"/>
  <c r="R525" i="18"/>
  <c r="P525" i="18"/>
  <c r="O525" i="18"/>
  <c r="N525" i="18"/>
  <c r="M525" i="18"/>
  <c r="K525" i="18"/>
  <c r="L525" i="18"/>
  <c r="B366" i="18"/>
  <c r="P366" i="18" s="1"/>
  <c r="H366" i="18" a="1"/>
  <c r="H366" i="18" s="1"/>
  <c r="B332" i="18"/>
  <c r="H332" i="18" a="1"/>
  <c r="H332" i="18" s="1"/>
  <c r="B448" i="18"/>
  <c r="H448" i="18" a="1"/>
  <c r="H448" i="18" s="1"/>
  <c r="Q391" i="18"/>
  <c r="R391" i="18"/>
  <c r="B529" i="18"/>
  <c r="H529" i="18" a="1"/>
  <c r="H529" i="18" s="1"/>
  <c r="Q381" i="18"/>
  <c r="R381" i="18"/>
  <c r="P381" i="18"/>
  <c r="K381" i="18"/>
  <c r="H514" i="18" a="1"/>
  <c r="H514" i="18" s="1"/>
  <c r="B514" i="18"/>
  <c r="Q514" i="18" s="1"/>
  <c r="Q367" i="18"/>
  <c r="R367" i="18"/>
  <c r="K367" i="18"/>
  <c r="L367" i="18"/>
  <c r="B530" i="18"/>
  <c r="R530" i="18" s="1"/>
  <c r="H530" i="18" a="1"/>
  <c r="H530" i="18" s="1"/>
  <c r="B357" i="18"/>
  <c r="H357" i="18" a="1"/>
  <c r="H357" i="18" s="1"/>
  <c r="N343" i="18"/>
  <c r="R343" i="18"/>
  <c r="H384" i="18" a="1"/>
  <c r="H384" i="18" s="1"/>
  <c r="B384" i="18"/>
  <c r="P384" i="18" s="1"/>
  <c r="B404" i="18"/>
  <c r="R404" i="18" s="1"/>
  <c r="H404" i="18" a="1"/>
  <c r="H404" i="18" s="1"/>
  <c r="B355" i="18"/>
  <c r="H355" i="18" a="1"/>
  <c r="H355" i="18" s="1"/>
  <c r="B520" i="18"/>
  <c r="H520" i="18" a="1"/>
  <c r="H520" i="18" s="1"/>
  <c r="B399" i="18"/>
  <c r="R399" i="18" s="1"/>
  <c r="H399" i="18" a="1"/>
  <c r="H399" i="18" s="1"/>
  <c r="H321" i="18" a="1"/>
  <c r="H321" i="18" s="1"/>
  <c r="B321" i="18"/>
  <c r="R321" i="18" s="1"/>
  <c r="B463" i="18"/>
  <c r="Q463" i="18" s="1"/>
  <c r="H463" i="18" a="1"/>
  <c r="H463" i="18" s="1"/>
  <c r="H502" i="18" a="1"/>
  <c r="H502" i="18" s="1"/>
  <c r="B502" i="18"/>
  <c r="Q502" i="18" s="1"/>
  <c r="B453" i="18"/>
  <c r="Q453" i="18" s="1"/>
  <c r="H453" i="18" a="1"/>
  <c r="H453" i="18" s="1"/>
  <c r="B414" i="18"/>
  <c r="Q414" i="18" s="1"/>
  <c r="H414" i="18" a="1"/>
  <c r="H414" i="18" s="1"/>
  <c r="R312" i="18"/>
  <c r="L312" i="18"/>
  <c r="N312" i="18"/>
  <c r="P312" i="18"/>
  <c r="K312" i="18"/>
  <c r="M312" i="18"/>
  <c r="O312" i="18"/>
  <c r="R331" i="18"/>
  <c r="O331" i="18"/>
  <c r="P331" i="18"/>
  <c r="B375" i="18"/>
  <c r="H375" i="18" a="1"/>
  <c r="H375" i="18" s="1"/>
  <c r="R439" i="18"/>
  <c r="M439" i="18"/>
  <c r="K439" i="18"/>
  <c r="O439" i="18"/>
  <c r="P439" i="18"/>
  <c r="N439" i="18"/>
  <c r="L439" i="18"/>
  <c r="B527" i="18"/>
  <c r="H527" i="18" a="1"/>
  <c r="H527" i="18" s="1"/>
  <c r="B390" i="18"/>
  <c r="H390" i="18" a="1"/>
  <c r="H390" i="18" s="1"/>
  <c r="B472" i="18"/>
  <c r="H472" i="18" a="1"/>
  <c r="H472" i="18" s="1"/>
  <c r="P454" i="18"/>
  <c r="R454" i="18"/>
  <c r="K454" i="18"/>
  <c r="N454" i="18"/>
  <c r="M454" i="18"/>
  <c r="L454" i="18"/>
  <c r="M376" i="18"/>
  <c r="R376" i="18"/>
  <c r="N376" i="18"/>
  <c r="B317" i="18"/>
  <c r="Q317" i="18" s="1"/>
  <c r="H317" i="18" a="1"/>
  <c r="H317" i="18" s="1"/>
  <c r="B356" i="18"/>
  <c r="Q356" i="18" s="1"/>
  <c r="H356" i="18" a="1"/>
  <c r="H356" i="18" s="1"/>
  <c r="B351" i="18"/>
  <c r="H351" i="18" a="1"/>
  <c r="H351" i="18" s="1"/>
  <c r="B503" i="18"/>
  <c r="H503" i="18" a="1"/>
  <c r="H503" i="18" s="1"/>
  <c r="R405" i="18"/>
  <c r="L405" i="18"/>
  <c r="M405" i="18"/>
  <c r="O405" i="18"/>
  <c r="N405" i="18"/>
  <c r="B327" i="18"/>
  <c r="H327" i="18" a="1"/>
  <c r="H327" i="18" s="1"/>
  <c r="B538" i="18"/>
  <c r="Q538" i="18" s="1"/>
  <c r="H538" i="18" a="1"/>
  <c r="H538" i="18" s="1"/>
  <c r="B479" i="18"/>
  <c r="H479" i="18" a="1"/>
  <c r="H479" i="18" s="1"/>
  <c r="B430" i="18"/>
  <c r="Q430" i="18" s="1"/>
  <c r="H430" i="18" a="1"/>
  <c r="H430" i="18" s="1"/>
  <c r="R342" i="18"/>
  <c r="N342" i="18"/>
  <c r="P342" i="18"/>
  <c r="O342" i="18"/>
  <c r="M342" i="18"/>
  <c r="L342" i="18"/>
  <c r="B424" i="18"/>
  <c r="H424" i="18" a="1"/>
  <c r="H424" i="18" s="1"/>
  <c r="R539" i="18"/>
  <c r="M539" i="18"/>
  <c r="L539" i="18"/>
  <c r="K539" i="18"/>
  <c r="B486" i="18"/>
  <c r="H486" i="18" a="1"/>
  <c r="H486" i="18" s="1"/>
  <c r="B403" i="18"/>
  <c r="R403" i="18" s="1"/>
  <c r="H403" i="18" a="1"/>
  <c r="H403" i="18" s="1"/>
  <c r="B447" i="18"/>
  <c r="H447" i="18" a="1"/>
  <c r="H447" i="18" s="1"/>
  <c r="B462" i="18"/>
  <c r="H462" i="18" a="1"/>
  <c r="H462" i="18" s="1"/>
  <c r="B379" i="18"/>
  <c r="H379" i="18" a="1"/>
  <c r="H379" i="18" s="1"/>
  <c r="B455" i="18"/>
  <c r="H455" i="18" a="1"/>
  <c r="H455" i="18" s="1"/>
  <c r="B406" i="18"/>
  <c r="H406" i="18" a="1"/>
  <c r="H406" i="18" s="1"/>
  <c r="B318" i="18"/>
  <c r="R318" i="18" s="1"/>
  <c r="H318" i="18" a="1"/>
  <c r="H318" i="18" s="1"/>
  <c r="Q490" i="18"/>
  <c r="R490" i="18"/>
  <c r="R428" i="18"/>
  <c r="N428" i="18"/>
  <c r="L428" i="18"/>
  <c r="O428" i="18"/>
  <c r="K428" i="18"/>
  <c r="P428" i="18"/>
  <c r="M428" i="18"/>
  <c r="H477" i="18" a="1"/>
  <c r="H477" i="18" s="1"/>
  <c r="B477" i="18"/>
  <c r="L477" i="18" s="1"/>
  <c r="O481" i="18"/>
  <c r="R481" i="18"/>
  <c r="P481" i="18"/>
  <c r="AJ493" i="18"/>
  <c r="AK493" i="18"/>
  <c r="AJ638" i="18"/>
  <c r="AK638" i="18"/>
  <c r="AJ475" i="18"/>
  <c r="AK475" i="18"/>
  <c r="H428" i="18" a="1"/>
  <c r="H428" i="18" s="1"/>
  <c r="M621" i="18"/>
  <c r="R621" i="18"/>
  <c r="H525" i="18" a="1"/>
  <c r="H525" i="18" s="1"/>
  <c r="B380" i="18"/>
  <c r="R541" i="18"/>
  <c r="K541" i="18"/>
  <c r="P541" i="18"/>
  <c r="M541" i="18"/>
  <c r="H312" i="18" a="1"/>
  <c r="H312" i="18" s="1"/>
  <c r="R640" i="18"/>
  <c r="K640" i="18"/>
  <c r="L640" i="18"/>
  <c r="P640" i="18"/>
  <c r="M640" i="18"/>
  <c r="AJ525" i="18"/>
  <c r="AK525" i="18"/>
  <c r="B518" i="18"/>
  <c r="H518" i="18" a="1"/>
  <c r="H518" i="18" s="1"/>
  <c r="B493" i="18"/>
  <c r="R493" i="18" s="1"/>
  <c r="H493" i="18" a="1"/>
  <c r="H493" i="18" s="1"/>
  <c r="B444" i="18"/>
  <c r="H444" i="18" a="1"/>
  <c r="H444" i="18" s="1"/>
  <c r="R419" i="18"/>
  <c r="O419" i="18"/>
  <c r="P419" i="18"/>
  <c r="N419" i="18"/>
  <c r="M419" i="18"/>
  <c r="O394" i="18"/>
  <c r="R394" i="18"/>
  <c r="L394" i="18"/>
  <c r="K394" i="18"/>
  <c r="N394" i="18"/>
  <c r="M394" i="18"/>
  <c r="P394" i="18"/>
  <c r="B410" i="18"/>
  <c r="K410" i="18" s="1"/>
  <c r="H410" i="18" a="1"/>
  <c r="H410" i="18" s="1"/>
  <c r="B385" i="18"/>
  <c r="H385" i="18" a="1"/>
  <c r="H385" i="18" s="1"/>
  <c r="H335" i="18" a="1"/>
  <c r="H335" i="18" s="1"/>
  <c r="B335" i="18"/>
  <c r="B536" i="18"/>
  <c r="H536" i="18" a="1"/>
  <c r="H536" i="18" s="1"/>
  <c r="L362" i="18"/>
  <c r="R494" i="18"/>
  <c r="K494" i="18"/>
  <c r="R469" i="18"/>
  <c r="P469" i="18"/>
  <c r="M469" i="18"/>
  <c r="L469" i="18"/>
  <c r="K469" i="18"/>
  <c r="O469" i="18"/>
  <c r="N469" i="18"/>
  <c r="B420" i="18"/>
  <c r="H420" i="18" a="1"/>
  <c r="H420" i="18" s="1"/>
  <c r="B395" i="18"/>
  <c r="L395" i="18" s="1"/>
  <c r="H395" i="18" a="1"/>
  <c r="H395" i="18" s="1"/>
  <c r="Q370" i="18"/>
  <c r="R370" i="18"/>
  <c r="B460" i="18"/>
  <c r="R460" i="18" s="1"/>
  <c r="H460" i="18" a="1"/>
  <c r="H460" i="18" s="1"/>
  <c r="B386" i="18"/>
  <c r="H386" i="18" a="1"/>
  <c r="H386" i="18" s="1"/>
  <c r="Q361" i="18"/>
  <c r="R361" i="18"/>
  <c r="N361" i="18"/>
  <c r="K361" i="18"/>
  <c r="L361" i="18"/>
  <c r="O361" i="18"/>
  <c r="M361" i="18"/>
  <c r="P361" i="18"/>
  <c r="B311" i="18"/>
  <c r="O311" i="18" s="1"/>
  <c r="H311" i="18" a="1"/>
  <c r="H311" i="18" s="1"/>
  <c r="B464" i="18"/>
  <c r="H464" i="18" a="1"/>
  <c r="H464" i="18" s="1"/>
  <c r="M393" i="18"/>
  <c r="R393" i="18"/>
  <c r="B470" i="18"/>
  <c r="H470" i="18" a="1"/>
  <c r="H470" i="18" s="1"/>
  <c r="AJ646" i="18"/>
  <c r="AK646" i="18"/>
  <c r="AJ612" i="18"/>
  <c r="AK612" i="18"/>
  <c r="AJ619" i="18"/>
  <c r="AK619" i="18"/>
  <c r="R656" i="18"/>
  <c r="N656" i="18"/>
  <c r="L656" i="18"/>
  <c r="AJ542" i="18"/>
  <c r="AK542" i="18"/>
  <c r="AJ423" i="18"/>
  <c r="AK423" i="18"/>
  <c r="AJ632" i="18"/>
  <c r="AK632" i="18"/>
  <c r="AJ459" i="18"/>
  <c r="AK459" i="18"/>
  <c r="AJ663" i="18"/>
  <c r="AK663" i="18"/>
  <c r="AJ443" i="18"/>
  <c r="AK443" i="18"/>
  <c r="AJ636" i="18"/>
  <c r="AK636" i="18"/>
  <c r="AJ413" i="18"/>
  <c r="AK413" i="18"/>
  <c r="AJ591" i="18"/>
  <c r="AK591" i="18"/>
  <c r="AJ486" i="18"/>
  <c r="AK486" i="18"/>
  <c r="AJ409" i="18"/>
  <c r="AK409" i="18"/>
  <c r="AJ581" i="18"/>
  <c r="AK581" i="18"/>
  <c r="AJ565" i="18"/>
  <c r="AK565" i="18"/>
  <c r="AJ521" i="18"/>
  <c r="AK521" i="18"/>
  <c r="AJ411" i="18"/>
  <c r="AK411" i="18"/>
  <c r="Q484" i="18"/>
  <c r="R484" i="18"/>
  <c r="R436" i="18"/>
  <c r="P436" i="18"/>
  <c r="O436" i="18"/>
  <c r="K436" i="18"/>
  <c r="L436" i="18"/>
  <c r="N436" i="18"/>
  <c r="AJ477" i="18"/>
  <c r="AK477" i="18"/>
  <c r="AJ531" i="18"/>
  <c r="AK531" i="18"/>
  <c r="AJ315" i="18"/>
  <c r="AK315" i="18"/>
  <c r="AJ456" i="18"/>
  <c r="AK456" i="18"/>
  <c r="AJ471" i="18"/>
  <c r="AK471" i="18"/>
  <c r="AJ616" i="18"/>
  <c r="AK616" i="18"/>
  <c r="AJ479" i="18"/>
  <c r="AK479" i="18"/>
  <c r="AJ499" i="18"/>
  <c r="AK499" i="18"/>
  <c r="AJ506" i="18"/>
  <c r="AK506" i="18"/>
  <c r="AK450" i="18"/>
  <c r="AJ450" i="18"/>
  <c r="R557" i="18"/>
  <c r="M557" i="18"/>
  <c r="L557" i="18"/>
  <c r="P557" i="18"/>
  <c r="N557" i="18"/>
  <c r="K557" i="18"/>
  <c r="O557" i="18"/>
  <c r="AJ523" i="18"/>
  <c r="AK523" i="18"/>
  <c r="AJ414" i="18"/>
  <c r="AK414" i="18"/>
  <c r="L541" i="18"/>
  <c r="R362" i="18"/>
  <c r="AJ511" i="18"/>
  <c r="AK511" i="18"/>
  <c r="AJ590" i="18"/>
  <c r="AK590" i="18"/>
  <c r="AJ480" i="18"/>
  <c r="AK480" i="18"/>
  <c r="AJ527" i="18"/>
  <c r="AK527" i="18"/>
  <c r="H454" i="18" a="1"/>
  <c r="H454" i="18" s="1"/>
  <c r="AJ405" i="18"/>
  <c r="AK405" i="18"/>
  <c r="AJ644" i="18"/>
  <c r="AK644" i="18"/>
  <c r="AJ407" i="18"/>
  <c r="AK407" i="18"/>
  <c r="Q359" i="18"/>
  <c r="R359" i="18"/>
  <c r="L359" i="18"/>
  <c r="K359" i="18"/>
  <c r="M359" i="18"/>
  <c r="N359" i="18"/>
  <c r="O359" i="18"/>
  <c r="AJ624" i="18"/>
  <c r="AK624" i="18"/>
  <c r="AJ314" i="18"/>
  <c r="AK314" i="18"/>
  <c r="AJ513" i="18"/>
  <c r="AK513" i="18"/>
  <c r="AJ519" i="18"/>
  <c r="AK519" i="18"/>
  <c r="AJ391" i="18"/>
  <c r="AK391" i="18"/>
  <c r="AJ375" i="18"/>
  <c r="AK375" i="18"/>
  <c r="AJ630" i="18"/>
  <c r="AK630" i="18"/>
  <c r="AJ377" i="18"/>
  <c r="AK377" i="18"/>
  <c r="O541" i="18"/>
  <c r="H331" i="18" a="1"/>
  <c r="H331" i="18" s="1"/>
  <c r="AJ392" i="18"/>
  <c r="AK392" i="18"/>
  <c r="AJ500" i="18"/>
  <c r="AK500" i="18"/>
  <c r="AJ355" i="18"/>
  <c r="AK355" i="18"/>
  <c r="AJ627" i="18"/>
  <c r="AK627" i="18"/>
  <c r="AJ382" i="18"/>
  <c r="AK382" i="18"/>
  <c r="AJ466" i="18"/>
  <c r="AK466" i="18"/>
  <c r="AJ658" i="18"/>
  <c r="AK658" i="18"/>
  <c r="AJ444" i="18"/>
  <c r="AK444" i="18"/>
  <c r="AJ643" i="18"/>
  <c r="AK643" i="18"/>
  <c r="N541" i="18"/>
  <c r="AJ592" i="18"/>
  <c r="AK592" i="18"/>
  <c r="AJ404" i="18"/>
  <c r="AK404" i="18"/>
  <c r="AJ467" i="18"/>
  <c r="AK467" i="18"/>
  <c r="Q607" i="18"/>
  <c r="R607" i="18"/>
  <c r="M607" i="18"/>
  <c r="N607" i="18"/>
  <c r="L607" i="18"/>
  <c r="K607" i="18"/>
  <c r="O607" i="18"/>
  <c r="P607" i="18"/>
  <c r="AJ584" i="18"/>
  <c r="AK584" i="18"/>
  <c r="AJ503" i="18"/>
  <c r="AK503" i="18"/>
  <c r="AJ535" i="18"/>
  <c r="AK535" i="18"/>
  <c r="AJ420" i="18"/>
  <c r="AK420" i="18"/>
  <c r="AJ664" i="18"/>
  <c r="AK664" i="18"/>
  <c r="AJ569" i="18"/>
  <c r="AK569" i="18"/>
  <c r="AJ426" i="18"/>
  <c r="AK426" i="18"/>
  <c r="AJ577" i="18"/>
  <c r="AK577" i="18"/>
  <c r="AJ455" i="18"/>
  <c r="AK455" i="18"/>
  <c r="AJ483" i="18"/>
  <c r="AK483" i="18"/>
  <c r="AJ647" i="18"/>
  <c r="AK647" i="18"/>
  <c r="AJ415" i="18"/>
  <c r="AK415" i="18"/>
  <c r="AJ434" i="18"/>
  <c r="AK434" i="18"/>
  <c r="AJ323" i="18"/>
  <c r="AK323" i="18"/>
  <c r="AJ494" i="18"/>
  <c r="AK494" i="18"/>
  <c r="AJ457" i="18"/>
  <c r="AK457" i="18"/>
  <c r="N457" i="18"/>
  <c r="R457" i="18"/>
  <c r="P629" i="18"/>
  <c r="R629" i="18"/>
  <c r="B319" i="18"/>
  <c r="H319" i="18" a="1"/>
  <c r="H319" i="18" s="1"/>
  <c r="Q492" i="18"/>
  <c r="R492" i="18"/>
  <c r="N492" i="18"/>
  <c r="AJ381" i="18"/>
  <c r="AK381" i="18"/>
  <c r="AJ453" i="18"/>
  <c r="AK453" i="18"/>
  <c r="R652" i="18"/>
  <c r="O652" i="18"/>
  <c r="P652" i="18"/>
  <c r="N652" i="18"/>
  <c r="L652" i="18"/>
  <c r="L338" i="18"/>
  <c r="R542" i="18"/>
  <c r="L542" i="18"/>
  <c r="R468" i="18"/>
  <c r="K468" i="18"/>
  <c r="O468" i="18"/>
  <c r="N468" i="18"/>
  <c r="P468" i="18"/>
  <c r="M468" i="18"/>
  <c r="L468" i="18"/>
  <c r="B434" i="18"/>
  <c r="Q434" i="18" s="1"/>
  <c r="H434" i="18" a="1"/>
  <c r="H434" i="18" s="1"/>
  <c r="AJ332" i="18"/>
  <c r="AK332" i="18"/>
  <c r="AJ468" i="18"/>
  <c r="AK468" i="18"/>
  <c r="AJ368" i="18"/>
  <c r="AK368" i="18"/>
  <c r="K407" i="18"/>
  <c r="R662" i="18"/>
  <c r="O662" i="18"/>
  <c r="K662" i="18"/>
  <c r="AJ324" i="18"/>
  <c r="AK324" i="18"/>
  <c r="AJ316" i="18"/>
  <c r="AK316" i="18"/>
  <c r="AJ445" i="18"/>
  <c r="AK445" i="18"/>
  <c r="AJ563" i="18"/>
  <c r="AK563" i="18"/>
  <c r="AJ373" i="18"/>
  <c r="AK373" i="18"/>
  <c r="AJ331" i="18"/>
  <c r="AK331" i="18"/>
  <c r="AJ645" i="18"/>
  <c r="AK645" i="18"/>
  <c r="AJ428" i="18"/>
  <c r="AK428" i="18"/>
  <c r="AJ396" i="18"/>
  <c r="AK396" i="18"/>
  <c r="AJ473" i="18"/>
  <c r="AK473" i="18"/>
  <c r="AJ335" i="18"/>
  <c r="AK335" i="18"/>
  <c r="AJ328" i="18"/>
  <c r="AK328" i="18"/>
  <c r="AJ582" i="18"/>
  <c r="AK582" i="18"/>
  <c r="AJ557" i="18"/>
  <c r="AK557" i="18"/>
  <c r="AJ349" i="18"/>
  <c r="AK349" i="18"/>
  <c r="AJ603" i="18"/>
  <c r="AK603" i="18"/>
  <c r="AJ611" i="18"/>
  <c r="AK611" i="18"/>
  <c r="AJ403" i="18"/>
  <c r="AK403" i="18"/>
  <c r="AJ356" i="18"/>
  <c r="AK356" i="18"/>
  <c r="N407" i="18"/>
  <c r="R524" i="18"/>
  <c r="P524" i="18"/>
  <c r="N524" i="18"/>
  <c r="M524" i="18"/>
  <c r="L507" i="18"/>
  <c r="AJ660" i="18"/>
  <c r="AK660" i="18"/>
  <c r="AJ504" i="18"/>
  <c r="AK504" i="18"/>
  <c r="AJ454" i="18"/>
  <c r="AK454" i="18"/>
  <c r="AJ360" i="18"/>
  <c r="AK360" i="18"/>
  <c r="AJ451" i="18"/>
  <c r="AK451" i="18"/>
  <c r="AJ550" i="18"/>
  <c r="AK550" i="18"/>
  <c r="AJ343" i="18"/>
  <c r="AK343" i="18"/>
  <c r="AJ476" i="18"/>
  <c r="AK476" i="18"/>
  <c r="AJ438" i="18"/>
  <c r="AK438" i="18"/>
  <c r="AJ327" i="18"/>
  <c r="AK327" i="18"/>
  <c r="AJ418" i="18"/>
  <c r="AK418" i="18"/>
  <c r="AJ389" i="18"/>
  <c r="AK389" i="18"/>
  <c r="K542" i="18"/>
  <c r="O339" i="18"/>
  <c r="Q489" i="18"/>
  <c r="R489" i="18"/>
  <c r="H419" i="18" a="1"/>
  <c r="H419" i="18" s="1"/>
  <c r="N620" i="18"/>
  <c r="R620" i="18"/>
  <c r="AJ351" i="18"/>
  <c r="AK351" i="18"/>
  <c r="R521" i="18"/>
  <c r="M521" i="18"/>
  <c r="L521" i="18"/>
  <c r="N521" i="18"/>
  <c r="K521" i="18"/>
  <c r="R396" i="18"/>
  <c r="N396" i="18"/>
  <c r="L396" i="18"/>
  <c r="O396" i="18"/>
  <c r="M396" i="18"/>
  <c r="K396" i="18"/>
  <c r="P396" i="18"/>
  <c r="N371" i="18"/>
  <c r="R371" i="18"/>
  <c r="R337" i="18"/>
  <c r="O337" i="18"/>
  <c r="M337" i="18"/>
  <c r="L337" i="18"/>
  <c r="B522" i="18"/>
  <c r="R522" i="18" s="1"/>
  <c r="H522" i="18" a="1"/>
  <c r="H522" i="18" s="1"/>
  <c r="Q601" i="18"/>
  <c r="R601" i="18"/>
  <c r="R569" i="18"/>
  <c r="K569" i="18"/>
  <c r="B497" i="18"/>
  <c r="H497" i="18" a="1"/>
  <c r="H497" i="18" s="1"/>
  <c r="R446" i="18"/>
  <c r="P446" i="18"/>
  <c r="K446" i="18"/>
  <c r="O446" i="18"/>
  <c r="L446" i="18"/>
  <c r="B372" i="18"/>
  <c r="H372" i="18" a="1"/>
  <c r="H372" i="18" s="1"/>
  <c r="R347" i="18"/>
  <c r="N347" i="18"/>
  <c r="M347" i="18"/>
  <c r="R322" i="18"/>
  <c r="N322" i="18"/>
  <c r="M322" i="18"/>
  <c r="L322" i="18"/>
  <c r="B412" i="18"/>
  <c r="Q412" i="18" s="1"/>
  <c r="H412" i="18" a="1"/>
  <c r="H412" i="18" s="1"/>
  <c r="B363" i="18"/>
  <c r="H363" i="18" a="1"/>
  <c r="H363" i="18" s="1"/>
  <c r="H313" i="18" a="1"/>
  <c r="H313" i="18" s="1"/>
  <c r="B313" i="18"/>
  <c r="O313" i="18" s="1"/>
  <c r="B533" i="18"/>
  <c r="H533" i="18" a="1"/>
  <c r="H533" i="18" s="1"/>
  <c r="B498" i="18"/>
  <c r="H498" i="18" a="1"/>
  <c r="H498" i="18" s="1"/>
  <c r="M476" i="18"/>
  <c r="R476" i="18"/>
  <c r="R633" i="18"/>
  <c r="K633" i="18"/>
  <c r="Q605" i="18"/>
  <c r="R605" i="18"/>
  <c r="P605" i="18"/>
  <c r="O605" i="18"/>
  <c r="L605" i="18"/>
  <c r="R397" i="18"/>
  <c r="M397" i="18"/>
  <c r="N397" i="18"/>
  <c r="L397" i="18"/>
  <c r="B323" i="18"/>
  <c r="R323" i="18" s="1"/>
  <c r="H323" i="18" a="1"/>
  <c r="H323" i="18" s="1"/>
  <c r="Q388" i="18"/>
  <c r="R388" i="18"/>
  <c r="O388" i="18"/>
  <c r="P388" i="18"/>
  <c r="K388" i="18"/>
  <c r="R314" i="18"/>
  <c r="K314" i="18"/>
  <c r="O314" i="18"/>
  <c r="Q474" i="18"/>
  <c r="R474" i="18"/>
  <c r="P474" i="18"/>
  <c r="O474" i="18"/>
  <c r="B440" i="18"/>
  <c r="H440" i="18" a="1"/>
  <c r="H440" i="18" s="1"/>
  <c r="AJ401" i="18"/>
  <c r="AK401" i="18"/>
  <c r="AJ424" i="18"/>
  <c r="AK424" i="18"/>
  <c r="AJ446" i="18"/>
  <c r="AK446" i="18"/>
  <c r="AJ313" i="18"/>
  <c r="AK313" i="18"/>
  <c r="AJ507" i="18"/>
  <c r="AK507" i="18"/>
  <c r="AJ462" i="18"/>
  <c r="AK462" i="18"/>
  <c r="AJ470" i="18"/>
  <c r="AK470" i="18"/>
  <c r="K507" i="18"/>
  <c r="N542" i="18"/>
  <c r="P516" i="18"/>
  <c r="R516" i="18"/>
  <c r="R571" i="18"/>
  <c r="N571" i="18"/>
  <c r="O398" i="18"/>
  <c r="R398" i="18"/>
  <c r="Q373" i="18"/>
  <c r="R373" i="18"/>
  <c r="Q364" i="18"/>
  <c r="R364" i="18"/>
  <c r="Q392" i="18"/>
  <c r="R392" i="18"/>
  <c r="AJ385" i="18"/>
  <c r="AK385" i="18"/>
  <c r="AJ461" i="18"/>
  <c r="AK461" i="18"/>
  <c r="AJ469" i="18"/>
  <c r="AK469" i="18"/>
  <c r="AJ400" i="18"/>
  <c r="AK400" i="18"/>
  <c r="AJ478" i="18"/>
  <c r="AK478" i="18"/>
  <c r="AJ447" i="18"/>
  <c r="AK447" i="18"/>
  <c r="AJ361" i="18"/>
  <c r="AK361" i="18"/>
  <c r="AJ339" i="18"/>
  <c r="AK339" i="18"/>
  <c r="O542" i="18"/>
  <c r="Q374" i="18"/>
  <c r="R374" i="18"/>
  <c r="L426" i="18"/>
  <c r="R426" i="18"/>
  <c r="R416" i="18"/>
  <c r="K416" i="18"/>
  <c r="AJ598" i="18"/>
  <c r="AK598" i="18"/>
  <c r="AJ572" i="18"/>
  <c r="AK572" i="18"/>
  <c r="AJ622" i="18"/>
  <c r="AK622" i="18"/>
  <c r="O433" i="18"/>
  <c r="R433" i="18"/>
  <c r="O407" i="18"/>
  <c r="M458" i="18"/>
  <c r="R458" i="18"/>
  <c r="K458" i="18"/>
  <c r="N458" i="18"/>
  <c r="O458" i="18"/>
  <c r="B443" i="18"/>
  <c r="H443" i="18" a="1"/>
  <c r="H443" i="18" s="1"/>
  <c r="AJ659" i="18"/>
  <c r="AK659" i="18"/>
  <c r="AJ363" i="18"/>
  <c r="AK363" i="18"/>
  <c r="AJ318" i="18"/>
  <c r="AK318" i="18"/>
  <c r="AJ448" i="18"/>
  <c r="AK448" i="18"/>
  <c r="AJ614" i="18"/>
  <c r="AK614" i="18"/>
  <c r="AJ376" i="18"/>
  <c r="AK376" i="18"/>
  <c r="AJ669" i="18"/>
  <c r="AK669" i="18"/>
  <c r="Q600" i="18"/>
  <c r="R600" i="18"/>
  <c r="O437" i="18"/>
  <c r="R437" i="18"/>
  <c r="AJ439" i="18"/>
  <c r="AK439" i="18"/>
  <c r="R401" i="18"/>
  <c r="K401" i="18"/>
  <c r="B316" i="18"/>
  <c r="H316" i="18" a="1"/>
  <c r="H316" i="18" s="1"/>
  <c r="B344" i="18"/>
  <c r="Q344" i="18" s="1"/>
  <c r="H344" i="18" a="1"/>
  <c r="H344" i="18" s="1"/>
  <c r="R407" i="18"/>
  <c r="M407" i="18"/>
  <c r="L407" i="18"/>
  <c r="AJ554" i="18"/>
  <c r="AK554" i="18"/>
  <c r="AJ342" i="18"/>
  <c r="AK342" i="18"/>
  <c r="AJ536" i="18"/>
  <c r="AK536" i="18"/>
  <c r="P542" i="18"/>
  <c r="AJ359" i="18"/>
  <c r="AK359" i="18"/>
  <c r="Q491" i="18"/>
  <c r="R491" i="18"/>
  <c r="Q473" i="18"/>
  <c r="R473" i="18"/>
  <c r="AJ353" i="18"/>
  <c r="AK353" i="18"/>
  <c r="Q377" i="18"/>
  <c r="R377" i="18"/>
  <c r="R413" i="18"/>
  <c r="N413" i="18"/>
  <c r="L413" i="18"/>
  <c r="K413" i="18"/>
  <c r="B480" i="18"/>
  <c r="H480" i="18" a="1"/>
  <c r="H480" i="18" s="1"/>
  <c r="R499" i="18"/>
  <c r="O499" i="18"/>
  <c r="M499" i="18"/>
  <c r="L499" i="18"/>
  <c r="Q378" i="18"/>
  <c r="R378" i="18"/>
  <c r="K378" i="18"/>
  <c r="R465" i="18"/>
  <c r="N465" i="18"/>
  <c r="P465" i="18"/>
  <c r="K465" i="18"/>
  <c r="L465" i="18"/>
  <c r="R572" i="18"/>
  <c r="L572" i="18"/>
  <c r="K572" i="18"/>
  <c r="N572" i="18"/>
  <c r="O572" i="18"/>
  <c r="M572" i="18"/>
  <c r="R507" i="18"/>
  <c r="M507" i="18"/>
  <c r="P507" i="18"/>
  <c r="O507" i="18"/>
  <c r="AJ408" i="18"/>
  <c r="AK408" i="18"/>
  <c r="AJ540" i="18"/>
  <c r="AK540" i="18"/>
  <c r="B409" i="18"/>
  <c r="Q409" i="18" s="1"/>
  <c r="H409" i="18" a="1"/>
  <c r="H409" i="18" s="1"/>
  <c r="AJ458" i="18"/>
  <c r="AK458" i="18"/>
  <c r="AJ395" i="18"/>
  <c r="AK395" i="18"/>
  <c r="AJ650" i="18"/>
  <c r="AK650" i="18"/>
  <c r="AJ344" i="18"/>
  <c r="AK344" i="18"/>
  <c r="AJ661" i="18"/>
  <c r="AK661" i="18"/>
  <c r="AJ496" i="18"/>
  <c r="AK496" i="18"/>
  <c r="AJ623" i="18"/>
  <c r="AK623" i="18"/>
  <c r="AJ533" i="18"/>
  <c r="AK533" i="18"/>
  <c r="AJ352" i="18"/>
  <c r="AK352" i="18"/>
  <c r="Q353" i="18"/>
  <c r="R353" i="18"/>
  <c r="Q475" i="18"/>
  <c r="R475" i="18"/>
  <c r="O475" i="18"/>
  <c r="K475" i="18"/>
  <c r="N475" i="18"/>
  <c r="L475" i="18"/>
  <c r="Q354" i="18"/>
  <c r="R354" i="18"/>
  <c r="R519" i="18"/>
  <c r="M519" i="18"/>
  <c r="O519" i="18"/>
  <c r="N519" i="18"/>
  <c r="K519" i="18"/>
  <c r="P519" i="18"/>
  <c r="L519" i="18"/>
  <c r="R441" i="18"/>
  <c r="N441" i="18"/>
  <c r="L441" i="18"/>
  <c r="K441" i="18"/>
  <c r="B482" i="18"/>
  <c r="H482" i="18" a="1"/>
  <c r="H482" i="18" s="1"/>
  <c r="AJ620" i="18"/>
  <c r="AK620" i="18"/>
  <c r="AJ516" i="18"/>
  <c r="AK516" i="18"/>
  <c r="Q615" i="18"/>
  <c r="R615" i="18"/>
  <c r="M615" i="18"/>
  <c r="P615" i="18"/>
  <c r="O615" i="18"/>
  <c r="N615" i="18"/>
  <c r="K615" i="18"/>
  <c r="AJ641" i="18"/>
  <c r="AK641" i="18"/>
  <c r="B442" i="18"/>
  <c r="Q442" i="18" s="1"/>
  <c r="H442" i="18" a="1"/>
  <c r="H442" i="18" s="1"/>
  <c r="AJ399" i="18"/>
  <c r="AK399" i="18"/>
  <c r="AJ510" i="18"/>
  <c r="AK510" i="18"/>
  <c r="AJ601" i="18"/>
  <c r="AK601" i="18"/>
  <c r="AJ337" i="18"/>
  <c r="AK337" i="18"/>
  <c r="AJ673" i="18"/>
  <c r="AK673" i="18"/>
  <c r="AJ464" i="18"/>
  <c r="AK464" i="18"/>
  <c r="AJ370" i="18"/>
  <c r="AK370" i="18"/>
  <c r="AJ573" i="18"/>
  <c r="AK573" i="18"/>
  <c r="AJ357" i="18"/>
  <c r="AK357" i="18"/>
  <c r="AJ595" i="18"/>
  <c r="AK595" i="18"/>
  <c r="AJ541" i="18"/>
  <c r="AK541" i="18"/>
  <c r="AJ610" i="18"/>
  <c r="AK610" i="18"/>
  <c r="AJ371" i="18"/>
  <c r="AK371" i="18"/>
  <c r="AJ347" i="18"/>
  <c r="AK347" i="18"/>
  <c r="AJ393" i="18"/>
  <c r="AK393" i="18"/>
  <c r="K571" i="18"/>
  <c r="M558" i="18"/>
  <c r="AJ463" i="18"/>
  <c r="AK463" i="18"/>
  <c r="Q365" i="18"/>
  <c r="R365" i="18"/>
  <c r="P365" i="18"/>
  <c r="K365" i="18"/>
  <c r="O365" i="18"/>
  <c r="L365" i="18"/>
  <c r="N365" i="18"/>
  <c r="M365" i="18"/>
  <c r="R432" i="18"/>
  <c r="P432" i="18"/>
  <c r="O432" i="18"/>
  <c r="R451" i="18"/>
  <c r="M451" i="18"/>
  <c r="L451" i="18"/>
  <c r="K451" i="18"/>
  <c r="R330" i="18"/>
  <c r="O330" i="18"/>
  <c r="L330" i="18"/>
  <c r="N330" i="18"/>
  <c r="K330" i="18"/>
  <c r="P330" i="18"/>
  <c r="M330" i="18"/>
  <c r="R417" i="18"/>
  <c r="M417" i="18"/>
  <c r="P417" i="18"/>
  <c r="O417" i="18"/>
  <c r="AJ345" i="18"/>
  <c r="AK345" i="18"/>
  <c r="AJ497" i="18"/>
  <c r="AK497" i="18"/>
  <c r="R467" i="18"/>
  <c r="O467" i="18"/>
  <c r="N467" i="18"/>
  <c r="M467" i="18"/>
  <c r="L467" i="18"/>
  <c r="P467" i="18"/>
  <c r="K467" i="18"/>
  <c r="B532" i="18"/>
  <c r="H532" i="18" a="1"/>
  <c r="H532" i="18" s="1"/>
  <c r="H383" i="18" a="1"/>
  <c r="H383" i="18" s="1"/>
  <c r="B383" i="18"/>
  <c r="L383" i="18" s="1"/>
  <c r="R328" i="18"/>
  <c r="L328" i="18"/>
  <c r="P328" i="18"/>
  <c r="K328" i="18"/>
  <c r="N328" i="18"/>
  <c r="O328" i="18"/>
  <c r="M328" i="18"/>
  <c r="AJ637" i="18"/>
  <c r="AK637" i="18"/>
  <c r="AJ435" i="18"/>
  <c r="AK435" i="18"/>
  <c r="AJ553" i="18"/>
  <c r="AK553" i="18"/>
  <c r="B517" i="18"/>
  <c r="R517" i="18" s="1"/>
  <c r="H517" i="18" a="1"/>
  <c r="H517" i="18" s="1"/>
  <c r="AJ526" i="18"/>
  <c r="AK526" i="18"/>
  <c r="AJ491" i="18"/>
  <c r="AK491" i="18"/>
  <c r="AJ585" i="18"/>
  <c r="AK585" i="18"/>
  <c r="AJ489" i="18"/>
  <c r="AK489" i="18"/>
  <c r="AJ341" i="18"/>
  <c r="AK341" i="18"/>
  <c r="R563" i="18"/>
  <c r="O563" i="18"/>
  <c r="M563" i="18"/>
  <c r="AJ649" i="18"/>
  <c r="AK649" i="18"/>
  <c r="AJ615" i="18"/>
  <c r="AK615" i="18"/>
  <c r="AJ599" i="18"/>
  <c r="AK599" i="18"/>
  <c r="AJ365" i="18"/>
  <c r="AK365" i="18"/>
  <c r="AJ449" i="18"/>
  <c r="AK449" i="18"/>
  <c r="AJ374" i="18"/>
  <c r="AK374" i="18"/>
  <c r="AJ587" i="18"/>
  <c r="AK587" i="18"/>
  <c r="AJ546" i="18"/>
  <c r="AK546" i="18"/>
  <c r="P572" i="18"/>
  <c r="M542" i="18"/>
  <c r="N558" i="18"/>
  <c r="K432" i="18"/>
  <c r="P421" i="18"/>
  <c r="AJ665" i="18"/>
  <c r="AK665" i="18"/>
  <c r="N341" i="18"/>
  <c r="R341" i="18"/>
  <c r="AJ397" i="18"/>
  <c r="AK397" i="18"/>
  <c r="AJ517" i="18"/>
  <c r="AK517" i="18"/>
  <c r="AJ354" i="18"/>
  <c r="AK354" i="18"/>
  <c r="AJ656" i="18"/>
  <c r="AK656" i="18"/>
  <c r="AJ367" i="18"/>
  <c r="AK367" i="18"/>
  <c r="AJ419" i="18"/>
  <c r="AK419" i="18"/>
  <c r="AJ427" i="18"/>
  <c r="AK427" i="18"/>
  <c r="AJ524" i="18"/>
  <c r="AK524" i="18"/>
  <c r="AJ330" i="18"/>
  <c r="AK330" i="18"/>
  <c r="AJ518" i="18"/>
  <c r="AK518" i="18"/>
  <c r="AJ321" i="18"/>
  <c r="AK321" i="18"/>
  <c r="AJ548" i="18"/>
  <c r="AK548" i="18"/>
  <c r="AJ317" i="18"/>
  <c r="AK317" i="18"/>
  <c r="H441" i="18" a="1"/>
  <c r="H441" i="18" s="1"/>
  <c r="B534" i="18"/>
  <c r="R534" i="18" s="1"/>
  <c r="H371" i="18" a="1"/>
  <c r="H371" i="18" s="1"/>
  <c r="AJ593" i="18"/>
  <c r="AK593" i="18"/>
  <c r="AJ378" i="18"/>
  <c r="AK378" i="18"/>
  <c r="AJ552" i="18"/>
  <c r="AK552" i="18"/>
  <c r="AJ406" i="18"/>
  <c r="AK406" i="18"/>
  <c r="AJ626" i="18"/>
  <c r="AK626" i="18"/>
  <c r="AJ430" i="18"/>
  <c r="AK430" i="18"/>
  <c r="AJ635" i="18"/>
  <c r="AK635" i="18"/>
  <c r="AJ379" i="18"/>
  <c r="AK379" i="18"/>
  <c r="AJ416" i="18"/>
  <c r="AK416" i="18"/>
  <c r="AJ539" i="18"/>
  <c r="AK539" i="18"/>
  <c r="AJ568" i="18"/>
  <c r="AK568" i="18"/>
  <c r="AJ338" i="18"/>
  <c r="AK338" i="18"/>
  <c r="AJ325" i="18"/>
  <c r="AK325" i="18"/>
  <c r="AJ465" i="18"/>
  <c r="AK465" i="18"/>
  <c r="AJ369" i="18"/>
  <c r="AK369" i="18"/>
  <c r="AJ570" i="18"/>
  <c r="AK570" i="18"/>
  <c r="L555" i="18"/>
  <c r="K655" i="18"/>
  <c r="M554" i="18"/>
  <c r="H397" i="18" a="1"/>
  <c r="H397" i="18" s="1"/>
  <c r="P666" i="18"/>
  <c r="R666" i="18"/>
  <c r="B340" i="18"/>
  <c r="K340" i="18" s="1"/>
  <c r="AJ578" i="18"/>
  <c r="AK578" i="18"/>
  <c r="AJ602" i="18"/>
  <c r="AK602" i="18"/>
  <c r="AJ482" i="18"/>
  <c r="AK482" i="18"/>
  <c r="AJ639" i="18"/>
  <c r="AK639" i="18"/>
  <c r="AJ537" i="18"/>
  <c r="AK537" i="18"/>
  <c r="AJ422" i="18"/>
  <c r="AK422" i="18"/>
  <c r="AJ608" i="18"/>
  <c r="AK608" i="18"/>
  <c r="AJ390" i="18"/>
  <c r="AK390" i="18"/>
  <c r="AJ340" i="18"/>
  <c r="AK340" i="18"/>
  <c r="O655" i="18"/>
  <c r="H339" i="18" a="1"/>
  <c r="H339" i="18" s="1"/>
  <c r="L594" i="18"/>
  <c r="R594" i="18"/>
  <c r="B488" i="18"/>
  <c r="B456" i="18"/>
  <c r="R456" i="18" s="1"/>
  <c r="AJ387" i="18"/>
  <c r="AK387" i="18"/>
  <c r="H465" i="18" a="1"/>
  <c r="H465" i="18" s="1"/>
  <c r="H475" i="18" a="1"/>
  <c r="H475" i="18" s="1"/>
  <c r="B402" i="18"/>
  <c r="R402" i="18" s="1"/>
  <c r="B504" i="18"/>
  <c r="AJ617" i="18"/>
  <c r="AK617" i="18"/>
  <c r="B523" i="18"/>
  <c r="Q523" i="18" s="1"/>
  <c r="N593" i="18"/>
  <c r="R593" i="18"/>
  <c r="AJ583" i="18"/>
  <c r="AK583" i="18"/>
  <c r="AJ662" i="18"/>
  <c r="AK662" i="18"/>
  <c r="AJ431" i="18"/>
  <c r="AK431" i="18"/>
  <c r="AJ398" i="18"/>
  <c r="AK398" i="18"/>
  <c r="P655" i="18"/>
  <c r="AJ670" i="18"/>
  <c r="AK670" i="18"/>
  <c r="AJ437" i="18"/>
  <c r="AK437" i="18"/>
  <c r="AJ319" i="18"/>
  <c r="AK319" i="18"/>
  <c r="AJ609" i="18"/>
  <c r="AK609" i="18"/>
  <c r="AJ571" i="18"/>
  <c r="AK571" i="18"/>
  <c r="AJ412" i="18"/>
  <c r="AK412" i="18"/>
  <c r="AJ667" i="18"/>
  <c r="AK667" i="18"/>
  <c r="AJ322" i="18"/>
  <c r="AK322" i="18"/>
  <c r="AJ566" i="18"/>
  <c r="AK566" i="18"/>
  <c r="AJ402" i="18"/>
  <c r="AK402" i="18"/>
  <c r="AJ534" i="18"/>
  <c r="AK534" i="18"/>
  <c r="AJ326" i="18"/>
  <c r="AK326" i="18"/>
  <c r="AJ666" i="18"/>
  <c r="AK666" i="18"/>
  <c r="AJ425" i="18"/>
  <c r="AK425" i="18"/>
  <c r="H510" i="18" a="1"/>
  <c r="H510" i="18" s="1"/>
  <c r="H474" i="18" a="1"/>
  <c r="H474" i="18" s="1"/>
  <c r="AJ487" i="18"/>
  <c r="AK487" i="18"/>
  <c r="H337" i="18" a="1"/>
  <c r="H337" i="18" s="1"/>
  <c r="AJ472" i="18"/>
  <c r="AK472" i="18"/>
  <c r="AJ579" i="18"/>
  <c r="AK579" i="18"/>
  <c r="AJ567" i="18"/>
  <c r="AK567" i="18"/>
  <c r="AJ333" i="18"/>
  <c r="AK333" i="18"/>
  <c r="AJ589" i="18"/>
  <c r="AK589" i="18"/>
  <c r="H451" i="18" a="1"/>
  <c r="H451" i="18" s="1"/>
  <c r="AJ502" i="18"/>
  <c r="AK502" i="18"/>
  <c r="AJ655" i="18"/>
  <c r="AK655" i="18"/>
  <c r="AJ551" i="18"/>
  <c r="AK551" i="18"/>
  <c r="AJ514" i="18"/>
  <c r="AK514" i="18"/>
  <c r="AJ672" i="18"/>
  <c r="AK672" i="18"/>
  <c r="AJ488" i="18"/>
  <c r="AK488" i="18"/>
  <c r="AJ346" i="18"/>
  <c r="AK346" i="18"/>
  <c r="AJ545" i="18"/>
  <c r="AK545" i="18"/>
  <c r="AJ575" i="18"/>
  <c r="AK575" i="18"/>
  <c r="AJ530" i="18"/>
  <c r="AK530" i="18"/>
  <c r="AJ671" i="18"/>
  <c r="AK671" i="18"/>
  <c r="AJ492" i="18"/>
  <c r="AK492" i="18"/>
  <c r="AJ429" i="18"/>
  <c r="AK429" i="18"/>
  <c r="AJ364" i="18"/>
  <c r="AK364" i="18"/>
  <c r="AJ452" i="18"/>
  <c r="AK452" i="18"/>
  <c r="AJ358" i="18"/>
  <c r="AK358" i="18"/>
  <c r="AJ562" i="18"/>
  <c r="AK562" i="18"/>
  <c r="AJ440" i="18"/>
  <c r="AK440" i="18"/>
  <c r="AJ621" i="18"/>
  <c r="AK621" i="18"/>
  <c r="AJ509" i="18"/>
  <c r="AK509" i="18"/>
  <c r="AJ574" i="18"/>
  <c r="AK574" i="18"/>
  <c r="AJ501" i="18"/>
  <c r="AK501" i="18"/>
  <c r="AJ653" i="18"/>
  <c r="AK653" i="18"/>
  <c r="AJ549" i="18"/>
  <c r="AK549" i="18"/>
  <c r="AJ555" i="18"/>
  <c r="AK555" i="18"/>
  <c r="AJ441" i="18"/>
  <c r="AK441" i="18"/>
  <c r="AJ366" i="18"/>
  <c r="AK366" i="18"/>
  <c r="AJ529" i="18"/>
  <c r="AK529" i="18"/>
  <c r="AJ633" i="18"/>
  <c r="AK633" i="18"/>
  <c r="H353" i="18" a="1"/>
  <c r="H353" i="18" s="1"/>
  <c r="H354" i="18" a="1"/>
  <c r="H354" i="18" s="1"/>
  <c r="M570" i="18"/>
  <c r="R570" i="18"/>
  <c r="Q627" i="18"/>
  <c r="R627" i="18"/>
  <c r="AJ606" i="18"/>
  <c r="AK606" i="18"/>
  <c r="AJ329" i="18"/>
  <c r="AK329" i="18"/>
  <c r="AJ558" i="18"/>
  <c r="AK558" i="18"/>
  <c r="AJ640" i="18"/>
  <c r="AK640" i="18"/>
  <c r="AJ605" i="18"/>
  <c r="AK605" i="18"/>
  <c r="AJ613" i="18"/>
  <c r="AK613" i="18"/>
  <c r="AJ312" i="18"/>
  <c r="AK312" i="18"/>
  <c r="AJ520" i="18"/>
  <c r="AK520" i="18"/>
  <c r="AJ505" i="18"/>
  <c r="AK505" i="18"/>
  <c r="H365" i="18" a="1"/>
  <c r="H365" i="18" s="1"/>
  <c r="H417" i="18" a="1"/>
  <c r="H417" i="18" s="1"/>
  <c r="AJ383" i="18"/>
  <c r="AK383" i="18"/>
  <c r="Q604" i="18"/>
  <c r="R604" i="18"/>
  <c r="AJ657" i="18"/>
  <c r="AK657" i="18"/>
  <c r="AJ547" i="18"/>
  <c r="AK547" i="18"/>
  <c r="AJ600" i="18"/>
  <c r="AK600" i="18"/>
  <c r="AJ648" i="18"/>
  <c r="AK648" i="18"/>
  <c r="AJ654" i="18"/>
  <c r="AK654" i="18"/>
  <c r="AJ576" i="18"/>
  <c r="AK576" i="18"/>
  <c r="AJ528" i="18"/>
  <c r="AK528" i="18"/>
  <c r="AJ651" i="18"/>
  <c r="AK651" i="18"/>
  <c r="AJ634" i="18"/>
  <c r="AK634" i="18"/>
  <c r="AJ596" i="18"/>
  <c r="AK596" i="18"/>
  <c r="AJ421" i="18"/>
  <c r="AK421" i="18"/>
  <c r="AJ642" i="18"/>
  <c r="AK642" i="18"/>
  <c r="AJ559" i="18"/>
  <c r="AK559" i="18"/>
  <c r="P587" i="18"/>
  <c r="R587" i="18"/>
  <c r="AJ515" i="18"/>
  <c r="AK515" i="18"/>
  <c r="AJ417" i="18"/>
  <c r="AK417" i="18"/>
  <c r="AJ334" i="18"/>
  <c r="AK334" i="18"/>
  <c r="AJ625" i="18"/>
  <c r="AK625" i="18"/>
  <c r="AJ629" i="18"/>
  <c r="AK629" i="18"/>
  <c r="AJ560" i="18"/>
  <c r="AK560" i="18"/>
  <c r="AJ380" i="18"/>
  <c r="AK380" i="18"/>
  <c r="AJ561" i="18"/>
  <c r="AK561" i="18"/>
  <c r="AJ485" i="18"/>
  <c r="AK485" i="18"/>
  <c r="AJ310" i="18"/>
  <c r="AK310" i="18"/>
  <c r="AJ433" i="18"/>
  <c r="AK433" i="18"/>
  <c r="AJ481" i="18"/>
  <c r="AK481" i="18"/>
  <c r="AJ597" i="18"/>
  <c r="AK597" i="18"/>
  <c r="AJ384" i="18"/>
  <c r="AK384" i="18"/>
  <c r="AJ668" i="18"/>
  <c r="AK668" i="18"/>
  <c r="AJ607" i="18"/>
  <c r="AK607" i="18"/>
  <c r="AJ631" i="18"/>
  <c r="AK631" i="18"/>
  <c r="AJ432" i="18"/>
  <c r="AK432" i="18"/>
  <c r="AJ618" i="18"/>
  <c r="AK618" i="18"/>
  <c r="AJ544" i="18"/>
  <c r="AK544" i="18"/>
  <c r="AJ490" i="18"/>
  <c r="AK490" i="18"/>
  <c r="AJ498" i="18"/>
  <c r="AK498" i="18"/>
  <c r="AJ522" i="18"/>
  <c r="AK522" i="18"/>
  <c r="AJ372" i="18"/>
  <c r="AK372" i="18"/>
  <c r="AJ594" i="18"/>
  <c r="AK594" i="18"/>
  <c r="AJ564" i="18"/>
  <c r="AK564" i="18"/>
  <c r="AJ512" i="18"/>
  <c r="AK512" i="18"/>
  <c r="M648" i="18"/>
  <c r="R114" i="18"/>
  <c r="K114" i="18"/>
  <c r="L82" i="18"/>
  <c r="R82" i="18"/>
  <c r="M263" i="18"/>
  <c r="R263" i="18"/>
  <c r="Q151" i="18"/>
  <c r="R151" i="18"/>
  <c r="Q233" i="18"/>
  <c r="R233" i="18"/>
  <c r="M309" i="18"/>
  <c r="R309" i="18"/>
  <c r="L309" i="18"/>
  <c r="P309" i="18"/>
  <c r="N309" i="18"/>
  <c r="O309" i="18"/>
  <c r="K309" i="18"/>
  <c r="O246" i="18"/>
  <c r="R246" i="18"/>
  <c r="N246" i="18"/>
  <c r="K246" i="18"/>
  <c r="L246" i="18"/>
  <c r="P246" i="18"/>
  <c r="N127" i="18"/>
  <c r="R127" i="18"/>
  <c r="O127" i="18"/>
  <c r="K127" i="18"/>
  <c r="M127" i="18"/>
  <c r="L127" i="18"/>
  <c r="R264" i="18"/>
  <c r="L264" i="18"/>
  <c r="N264" i="18"/>
  <c r="M264" i="18"/>
  <c r="Q167" i="18"/>
  <c r="R167" i="18"/>
  <c r="R42" i="18"/>
  <c r="L42" i="18"/>
  <c r="K42" i="18"/>
  <c r="M42" i="18"/>
  <c r="P42" i="18"/>
  <c r="R40" i="18"/>
  <c r="P40" i="18"/>
  <c r="Q92" i="18"/>
  <c r="R92" i="18"/>
  <c r="R6" i="18"/>
  <c r="N6" i="18"/>
  <c r="P6" i="18"/>
  <c r="O6" i="18"/>
  <c r="O128" i="18"/>
  <c r="R128" i="18"/>
  <c r="N128" i="18"/>
  <c r="L128" i="18"/>
  <c r="P128" i="18"/>
  <c r="K128" i="18"/>
  <c r="O294" i="18"/>
  <c r="R294" i="18"/>
  <c r="Q214" i="18"/>
  <c r="R214" i="18"/>
  <c r="Q131" i="18"/>
  <c r="R131" i="18"/>
  <c r="N89" i="18"/>
  <c r="O154" i="18"/>
  <c r="R154" i="18"/>
  <c r="N241" i="18"/>
  <c r="N185" i="18"/>
  <c r="M259" i="18"/>
  <c r="P259" i="18"/>
  <c r="O213" i="18"/>
  <c r="O248" i="18"/>
  <c r="M236" i="18"/>
  <c r="K268" i="18"/>
  <c r="L186" i="18"/>
  <c r="M126" i="18"/>
  <c r="O87" i="18"/>
  <c r="M59" i="18"/>
  <c r="K50" i="18"/>
  <c r="P16" i="18"/>
  <c r="H59" i="18" a="1"/>
  <c r="H59" i="18" s="1"/>
  <c r="H167" i="18" a="1"/>
  <c r="H167" i="18" s="1"/>
  <c r="H106" i="18" a="1"/>
  <c r="H106" i="18" s="1"/>
  <c r="H122" i="18" a="1"/>
  <c r="H122" i="18" s="1"/>
  <c r="H189" i="18" a="1"/>
  <c r="H189" i="18" s="1"/>
  <c r="N143" i="18"/>
  <c r="R143" i="18"/>
  <c r="M217" i="18"/>
  <c r="R217" i="18"/>
  <c r="H92" i="18" a="1"/>
  <c r="H92" i="18" s="1"/>
  <c r="Q137" i="18"/>
  <c r="R137" i="18"/>
  <c r="P310" i="18"/>
  <c r="M261" i="18"/>
  <c r="N164" i="18"/>
  <c r="K131" i="18"/>
  <c r="M109" i="18"/>
  <c r="P93" i="18"/>
  <c r="L66" i="18"/>
  <c r="H11" i="18" a="1"/>
  <c r="H11" i="18" s="1"/>
  <c r="B56" i="18"/>
  <c r="R56" i="18" s="1"/>
  <c r="B113" i="18"/>
  <c r="R113" i="18" s="1"/>
  <c r="B188" i="18"/>
  <c r="R188" i="18" s="1"/>
  <c r="B116" i="18"/>
  <c r="Q116" i="18" s="1"/>
  <c r="O229" i="18"/>
  <c r="R229" i="18"/>
  <c r="Q171" i="18"/>
  <c r="R171" i="18"/>
  <c r="Q224" i="18"/>
  <c r="R224" i="18"/>
  <c r="Q105" i="18"/>
  <c r="R105" i="18"/>
  <c r="L89" i="18"/>
  <c r="K60" i="18"/>
  <c r="R60" i="18"/>
  <c r="P201" i="18"/>
  <c r="K253" i="18"/>
  <c r="R253" i="18"/>
  <c r="H36" i="18" a="1"/>
  <c r="H36" i="18" s="1"/>
  <c r="N306" i="18"/>
  <c r="R306" i="18"/>
  <c r="B227" i="18"/>
  <c r="K227" i="18" s="1"/>
  <c r="H264" i="18" a="1"/>
  <c r="H264" i="18" s="1"/>
  <c r="H42" i="18" a="1"/>
  <c r="H42" i="18" s="1"/>
  <c r="H130" i="18" a="1"/>
  <c r="H130" i="18" s="1"/>
  <c r="P205" i="18"/>
  <c r="R205" i="18"/>
  <c r="Q180" i="18"/>
  <c r="R180" i="18"/>
  <c r="N156" i="18"/>
  <c r="R156" i="18"/>
  <c r="P172" i="18"/>
  <c r="R172" i="18"/>
  <c r="M98" i="18"/>
  <c r="R98" i="18"/>
  <c r="P49" i="18"/>
  <c r="R49" i="18"/>
  <c r="Q225" i="18"/>
  <c r="R225" i="18"/>
  <c r="K41" i="18"/>
  <c r="R41" i="18"/>
  <c r="P31" i="18"/>
  <c r="L138" i="18"/>
  <c r="R138" i="18"/>
  <c r="Q208" i="18"/>
  <c r="R208" i="18"/>
  <c r="Q238" i="18"/>
  <c r="R238" i="18"/>
  <c r="K270" i="18"/>
  <c r="H304" i="18" a="1"/>
  <c r="H304" i="18" s="1"/>
  <c r="Q170" i="18"/>
  <c r="R170" i="18"/>
  <c r="H214" i="18" a="1"/>
  <c r="H214" i="18" s="1"/>
  <c r="Q142" i="18"/>
  <c r="R142" i="18"/>
  <c r="M193" i="18"/>
  <c r="K142" i="18"/>
  <c r="L310" i="18"/>
  <c r="P213" i="18"/>
  <c r="N276" i="18"/>
  <c r="R276" i="18"/>
  <c r="K70" i="18"/>
  <c r="R70" i="18"/>
  <c r="P238" i="18"/>
  <c r="N131" i="18"/>
  <c r="H142" i="18" a="1"/>
  <c r="H142" i="18" s="1"/>
  <c r="B90" i="18"/>
  <c r="K90" i="18" s="1"/>
  <c r="Q218" i="18"/>
  <c r="R218" i="18"/>
  <c r="O261" i="18"/>
  <c r="M164" i="18"/>
  <c r="L109" i="18"/>
  <c r="Q228" i="18"/>
  <c r="R228" i="18"/>
  <c r="Q145" i="18"/>
  <c r="R145" i="18"/>
  <c r="M280" i="18"/>
  <c r="K176" i="18"/>
  <c r="O170" i="18"/>
  <c r="L201" i="18"/>
  <c r="K208" i="18"/>
  <c r="P241" i="18"/>
  <c r="L176" i="18"/>
  <c r="P170" i="18"/>
  <c r="L261" i="18"/>
  <c r="K218" i="18"/>
  <c r="L198" i="18"/>
  <c r="O164" i="18"/>
  <c r="L131" i="18"/>
  <c r="N109" i="18"/>
  <c r="K93" i="18"/>
  <c r="O85" i="18"/>
  <c r="M72" i="18"/>
  <c r="M66" i="18"/>
  <c r="M208" i="18"/>
  <c r="M241" i="18"/>
  <c r="M176" i="18"/>
  <c r="K286" i="18"/>
  <c r="K261" i="18"/>
  <c r="P218" i="18"/>
  <c r="M198" i="18"/>
  <c r="P164" i="18"/>
  <c r="M138" i="18"/>
  <c r="M131" i="18"/>
  <c r="O109" i="18"/>
  <c r="P85" i="18"/>
  <c r="N72" i="18"/>
  <c r="N66" i="18"/>
  <c r="P88" i="18"/>
  <c r="R88" i="18"/>
  <c r="H128" i="18" a="1"/>
  <c r="H128" i="18" s="1"/>
  <c r="H20" i="18" a="1"/>
  <c r="H20" i="18" s="1"/>
  <c r="Q103" i="18"/>
  <c r="R103" i="18"/>
  <c r="H265" i="18" a="1"/>
  <c r="H265" i="18" s="1"/>
  <c r="O255" i="18"/>
  <c r="R255" i="18"/>
  <c r="L230" i="18"/>
  <c r="R230" i="18"/>
  <c r="Q157" i="18"/>
  <c r="R157" i="18"/>
  <c r="Q132" i="18"/>
  <c r="R132" i="18"/>
  <c r="Q221" i="18"/>
  <c r="R221" i="18"/>
  <c r="M173" i="18"/>
  <c r="R173" i="18"/>
  <c r="K148" i="18"/>
  <c r="R148" i="18"/>
  <c r="L74" i="18"/>
  <c r="R74" i="18"/>
  <c r="N25" i="18"/>
  <c r="R25" i="18"/>
  <c r="K294" i="18"/>
  <c r="N259" i="18"/>
  <c r="H225" i="18" a="1"/>
  <c r="H225" i="18" s="1"/>
  <c r="M162" i="18"/>
  <c r="R162" i="18"/>
  <c r="Q222" i="18"/>
  <c r="R222" i="18"/>
  <c r="Q130" i="18"/>
  <c r="R130" i="18"/>
  <c r="P89" i="18"/>
  <c r="L51" i="18"/>
  <c r="B27" i="18"/>
  <c r="R27" i="18" s="1"/>
  <c r="N236" i="18"/>
  <c r="H236" i="18" a="1"/>
  <c r="H236" i="18" s="1"/>
  <c r="L259" i="18"/>
  <c r="O236" i="18"/>
  <c r="H71" i="18" a="1"/>
  <c r="H71" i="18" s="1"/>
  <c r="K236" i="18"/>
  <c r="O16" i="18"/>
  <c r="H198" i="18" a="1"/>
  <c r="H198" i="18" s="1"/>
  <c r="H211" i="18" a="1"/>
  <c r="H211" i="18" s="1"/>
  <c r="Q93" i="18"/>
  <c r="R93" i="18"/>
  <c r="K310" i="18"/>
  <c r="H215" i="18" a="1"/>
  <c r="H215" i="18" s="1"/>
  <c r="H31" i="18" a="1"/>
  <c r="H31" i="18" s="1"/>
  <c r="P10" i="18"/>
  <c r="Q94" i="18"/>
  <c r="R94" i="18"/>
  <c r="H8" i="18" a="1"/>
  <c r="H8" i="18" s="1"/>
  <c r="H127" i="18" a="1"/>
  <c r="H127" i="18" s="1"/>
  <c r="H40" i="18" a="1"/>
  <c r="H40" i="18" s="1"/>
  <c r="K85" i="18"/>
  <c r="N277" i="18"/>
  <c r="N261" i="18"/>
  <c r="M218" i="18"/>
  <c r="N198" i="18"/>
  <c r="P138" i="18"/>
  <c r="O131" i="18"/>
  <c r="P109" i="18"/>
  <c r="P72" i="18"/>
  <c r="O66" i="18"/>
  <c r="L46" i="18"/>
  <c r="L238" i="18"/>
  <c r="H151" i="18" a="1"/>
  <c r="H151" i="18" s="1"/>
  <c r="H310" i="18" a="1"/>
  <c r="H310" i="18" s="1"/>
  <c r="H241" i="18" a="1"/>
  <c r="H241" i="18" s="1"/>
  <c r="H286" i="18" a="1"/>
  <c r="H286" i="18" s="1"/>
  <c r="H280" i="18" a="1"/>
  <c r="H280" i="18" s="1"/>
  <c r="N231" i="18"/>
  <c r="R231" i="18"/>
  <c r="Q206" i="18"/>
  <c r="R206" i="18"/>
  <c r="Q158" i="18"/>
  <c r="R158" i="18"/>
  <c r="Q133" i="18"/>
  <c r="R133" i="18"/>
  <c r="Q149" i="18"/>
  <c r="R149" i="18"/>
  <c r="Q100" i="18"/>
  <c r="R100" i="18"/>
  <c r="Q235" i="18"/>
  <c r="P68" i="18"/>
  <c r="R68" i="18"/>
  <c r="L177" i="18"/>
  <c r="R177" i="18"/>
  <c r="Q164" i="18"/>
  <c r="R164" i="18"/>
  <c r="M270" i="18"/>
  <c r="L217" i="18"/>
  <c r="B308" i="18"/>
  <c r="H109" i="18" a="1"/>
  <c r="H109" i="18" s="1"/>
  <c r="Q211" i="18"/>
  <c r="R211" i="18"/>
  <c r="N239" i="18"/>
  <c r="R239" i="18"/>
  <c r="B35" i="18"/>
  <c r="R35" i="18" s="1"/>
  <c r="Q226" i="18"/>
  <c r="R226" i="18"/>
  <c r="P59" i="18"/>
  <c r="K45" i="18"/>
  <c r="R45" i="18"/>
  <c r="P193" i="18"/>
  <c r="N201" i="18"/>
  <c r="N142" i="18"/>
  <c r="M93" i="18"/>
  <c r="Q243" i="18"/>
  <c r="R243" i="18"/>
  <c r="Q169" i="18"/>
  <c r="R169" i="18"/>
  <c r="N243" i="18"/>
  <c r="L170" i="18"/>
  <c r="N218" i="18"/>
  <c r="P131" i="18"/>
  <c r="N93" i="18"/>
  <c r="L236" i="18"/>
  <c r="Q219" i="18"/>
  <c r="R219" i="18"/>
  <c r="P198" i="18"/>
  <c r="N106" i="18"/>
  <c r="P66" i="18"/>
  <c r="M13" i="18"/>
  <c r="O238" i="18"/>
  <c r="H117" i="18" a="1"/>
  <c r="H117" i="18" s="1"/>
  <c r="H17" i="18" a="1"/>
  <c r="H17" i="18" s="1"/>
  <c r="B200" i="18"/>
  <c r="Q200" i="18" s="1"/>
  <c r="H246" i="18" a="1"/>
  <c r="H246" i="18" s="1"/>
  <c r="K225" i="18"/>
  <c r="L207" i="18"/>
  <c r="R207" i="18"/>
  <c r="L182" i="18"/>
  <c r="R182" i="18"/>
  <c r="Q101" i="18"/>
  <c r="R101" i="18"/>
  <c r="L76" i="18"/>
  <c r="R76" i="18"/>
  <c r="Q91" i="18"/>
  <c r="R91" i="18"/>
  <c r="N237" i="18"/>
  <c r="R237" i="18"/>
  <c r="L15" i="18"/>
  <c r="R15" i="18"/>
  <c r="M65" i="18"/>
  <c r="R65" i="18"/>
  <c r="M71" i="18"/>
  <c r="N223" i="18"/>
  <c r="R223" i="18"/>
  <c r="N162" i="18"/>
  <c r="P225" i="18"/>
  <c r="Q140" i="18"/>
  <c r="R140" i="18"/>
  <c r="L53" i="18"/>
  <c r="R53" i="18"/>
  <c r="N225" i="18"/>
  <c r="Q213" i="18"/>
  <c r="R213" i="18"/>
  <c r="Q166" i="18"/>
  <c r="R166" i="18"/>
  <c r="O11" i="18"/>
  <c r="L189" i="18"/>
  <c r="P287" i="18"/>
  <c r="R287" i="18"/>
  <c r="P208" i="18"/>
  <c r="K259" i="18"/>
  <c r="M108" i="18"/>
  <c r="R108" i="18"/>
  <c r="P185" i="18"/>
  <c r="K89" i="18"/>
  <c r="L175" i="18"/>
  <c r="R175" i="18"/>
  <c r="H164" i="18" a="1"/>
  <c r="H164" i="18" s="1"/>
  <c r="Q96" i="18"/>
  <c r="R96" i="18"/>
  <c r="M310" i="18"/>
  <c r="N170" i="18"/>
  <c r="K46" i="18"/>
  <c r="R46" i="18"/>
  <c r="B115" i="18"/>
  <c r="N115" i="18" s="1"/>
  <c r="Q97" i="18"/>
  <c r="R97" i="18"/>
  <c r="Q176" i="18"/>
  <c r="R176" i="18"/>
  <c r="L298" i="18"/>
  <c r="P176" i="18"/>
  <c r="K277" i="18"/>
  <c r="P261" i="18"/>
  <c r="K215" i="18"/>
  <c r="P130" i="18"/>
  <c r="K72" i="18"/>
  <c r="K170" i="18"/>
  <c r="M214" i="18"/>
  <c r="O144" i="18"/>
  <c r="L277" i="18"/>
  <c r="M215" i="18"/>
  <c r="K198" i="18"/>
  <c r="N138" i="18"/>
  <c r="K130" i="18"/>
  <c r="L122" i="18"/>
  <c r="O106" i="18"/>
  <c r="L72" i="18"/>
  <c r="K66" i="18"/>
  <c r="P46" i="18"/>
  <c r="O13" i="18"/>
  <c r="K16" i="18"/>
  <c r="B303" i="18"/>
  <c r="Q303" i="18" s="1"/>
  <c r="H6" i="18" a="1"/>
  <c r="H6" i="18" s="1"/>
  <c r="H7" i="18" a="1"/>
  <c r="H7" i="18" s="1"/>
  <c r="H176" i="18" a="1"/>
  <c r="H176" i="18" s="1"/>
  <c r="H160" i="18" a="1"/>
  <c r="H160" i="18" s="1"/>
  <c r="B146" i="18"/>
  <c r="L146" i="18" s="1"/>
  <c r="Q210" i="18"/>
  <c r="R210" i="18"/>
  <c r="Q159" i="18"/>
  <c r="R159" i="18"/>
  <c r="Q102" i="18"/>
  <c r="R102" i="18"/>
  <c r="L52" i="18"/>
  <c r="R52" i="18"/>
  <c r="O134" i="18"/>
  <c r="R134" i="18"/>
  <c r="M89" i="18"/>
  <c r="H16" i="18" a="1"/>
  <c r="H16" i="18" s="1"/>
  <c r="Q241" i="18"/>
  <c r="R241" i="18"/>
  <c r="K217" i="18"/>
  <c r="K59" i="18"/>
  <c r="Q141" i="18"/>
  <c r="R141" i="18"/>
  <c r="N16" i="18"/>
  <c r="M294" i="18"/>
  <c r="N213" i="18"/>
  <c r="L59" i="18"/>
  <c r="M238" i="18"/>
  <c r="M213" i="18"/>
  <c r="Q161" i="18"/>
  <c r="R161" i="18"/>
  <c r="K21" i="18"/>
  <c r="R21" i="18"/>
  <c r="K109" i="18"/>
  <c r="O302" i="18"/>
  <c r="R302" i="18"/>
  <c r="K238" i="18"/>
  <c r="H217" i="18" a="1"/>
  <c r="H217" i="18" s="1"/>
  <c r="B284" i="18"/>
  <c r="R284" i="18" s="1"/>
  <c r="K194" i="18"/>
  <c r="R194" i="18"/>
  <c r="K22" i="18"/>
  <c r="R22" i="18"/>
  <c r="L93" i="18"/>
  <c r="K214" i="18"/>
  <c r="O277" i="18"/>
  <c r="O198" i="18"/>
  <c r="M130" i="18"/>
  <c r="M122" i="18"/>
  <c r="L106" i="18"/>
  <c r="O72" i="18"/>
  <c r="K64" i="18"/>
  <c r="M46" i="18"/>
  <c r="P13" i="18"/>
  <c r="H82" i="18" a="1"/>
  <c r="H82" i="18" s="1"/>
  <c r="H309" i="18" a="1"/>
  <c r="H309" i="18" s="1"/>
  <c r="H263" i="18" a="1"/>
  <c r="H263" i="18" s="1"/>
  <c r="H170" i="18" a="1"/>
  <c r="H170" i="18" s="1"/>
  <c r="H138" i="18" a="1"/>
  <c r="H138" i="18" s="1"/>
  <c r="Q160" i="18"/>
  <c r="R160" i="18"/>
  <c r="Q135" i="18"/>
  <c r="R135" i="18"/>
  <c r="Q232" i="18"/>
  <c r="R232" i="18"/>
  <c r="Q240" i="18"/>
  <c r="R240" i="18"/>
  <c r="O187" i="18"/>
  <c r="R187" i="18"/>
  <c r="M235" i="18"/>
  <c r="P71" i="18"/>
  <c r="Q212" i="18"/>
  <c r="R212" i="18"/>
  <c r="H89" i="18" a="1"/>
  <c r="H89" i="18" s="1"/>
  <c r="N214" i="18"/>
  <c r="Q215" i="18"/>
  <c r="R215" i="18"/>
  <c r="M170" i="18"/>
  <c r="M201" i="18"/>
  <c r="L16" i="18"/>
  <c r="N168" i="18"/>
  <c r="R168" i="18"/>
  <c r="N238" i="18"/>
  <c r="M142" i="18"/>
  <c r="Q144" i="18"/>
  <c r="R144" i="18"/>
  <c r="L213" i="18"/>
  <c r="K164" i="18"/>
  <c r="N310" i="18"/>
  <c r="O142" i="18"/>
  <c r="P217" i="18"/>
  <c r="O292" i="18"/>
  <c r="R292" i="18"/>
  <c r="N208" i="18"/>
  <c r="P298" i="18"/>
  <c r="L211" i="18"/>
  <c r="M88" i="18"/>
  <c r="M211" i="18"/>
  <c r="M277" i="18"/>
  <c r="M253" i="18"/>
  <c r="O215" i="18"/>
  <c r="N160" i="18"/>
  <c r="M135" i="18"/>
  <c r="N130" i="18"/>
  <c r="K122" i="18"/>
  <c r="M106" i="18"/>
  <c r="K71" i="18"/>
  <c r="L64" i="18"/>
  <c r="N46" i="18"/>
  <c r="K31" i="18"/>
  <c r="K13" i="18"/>
  <c r="B285" i="18"/>
  <c r="L285" i="18" s="1"/>
  <c r="B107" i="18"/>
  <c r="N107" i="18" s="1"/>
  <c r="H131" i="18" a="1"/>
  <c r="H131" i="18" s="1"/>
  <c r="N271" i="18"/>
  <c r="L142" i="18"/>
  <c r="Q163" i="18"/>
  <c r="R163" i="18"/>
  <c r="N99" i="18"/>
  <c r="R99" i="18"/>
  <c r="R178" i="18"/>
  <c r="Q89" i="18"/>
  <c r="R89" i="18"/>
  <c r="Q95" i="18"/>
  <c r="R95" i="18"/>
  <c r="N31" i="18"/>
  <c r="N256" i="18"/>
  <c r="R256" i="18"/>
  <c r="O31" i="18"/>
  <c r="K121" i="18"/>
  <c r="R121" i="18"/>
  <c r="Q236" i="18"/>
  <c r="R236" i="18"/>
  <c r="M225" i="18"/>
  <c r="P234" i="18"/>
  <c r="N217" i="18"/>
  <c r="O51" i="18"/>
  <c r="L280" i="18"/>
  <c r="O225" i="18"/>
  <c r="N59" i="18"/>
  <c r="H259" i="18" a="1"/>
  <c r="H259" i="18" s="1"/>
  <c r="H61" i="18" a="1"/>
  <c r="H61" i="18" s="1"/>
  <c r="O259" i="18"/>
  <c r="L225" i="18"/>
  <c r="O59" i="18"/>
  <c r="P84" i="18"/>
  <c r="R84" i="18"/>
  <c r="M16" i="18"/>
  <c r="H10" i="18" a="1"/>
  <c r="H10" i="18" s="1"/>
  <c r="O193" i="18"/>
  <c r="O201" i="18"/>
  <c r="K302" i="18"/>
  <c r="H66" i="18" a="1"/>
  <c r="H66" i="18" s="1"/>
  <c r="Q244" i="18"/>
  <c r="R244" i="18"/>
  <c r="O138" i="18"/>
  <c r="O169" i="18"/>
  <c r="O211" i="18"/>
  <c r="P277" i="18"/>
  <c r="L239" i="18"/>
  <c r="P215" i="18"/>
  <c r="K179" i="18"/>
  <c r="O160" i="18"/>
  <c r="P135" i="18"/>
  <c r="O130" i="18"/>
  <c r="N122" i="18"/>
  <c r="P106" i="18"/>
  <c r="L71" i="18"/>
  <c r="M62" i="18"/>
  <c r="L31" i="18"/>
  <c r="K11" i="18"/>
  <c r="O36" i="18"/>
  <c r="Q104" i="18"/>
  <c r="R104" i="18"/>
  <c r="O310" i="18"/>
  <c r="H93" i="18" a="1"/>
  <c r="H93" i="18" s="1"/>
  <c r="H65" i="18" a="1"/>
  <c r="H65" i="18" s="1"/>
  <c r="O139" i="18"/>
  <c r="R139" i="18"/>
  <c r="P112" i="18"/>
  <c r="R112" i="18"/>
  <c r="AJ81" i="18"/>
  <c r="AK81" i="18"/>
  <c r="AJ168" i="18"/>
  <c r="AK168" i="18"/>
  <c r="AJ139" i="18"/>
  <c r="AK139" i="18"/>
  <c r="AJ120" i="18"/>
  <c r="AK120" i="18"/>
  <c r="AJ128" i="18"/>
  <c r="AK128" i="18"/>
  <c r="AJ129" i="18"/>
  <c r="AK129" i="18"/>
  <c r="AJ105" i="18"/>
  <c r="AK105" i="18"/>
  <c r="AJ136" i="18"/>
  <c r="AK136" i="18"/>
  <c r="AJ141" i="18"/>
  <c r="AK141" i="18"/>
  <c r="AJ75" i="18"/>
  <c r="AK75" i="18"/>
  <c r="AJ83" i="18"/>
  <c r="AK83" i="18"/>
  <c r="AJ159" i="18"/>
  <c r="AK159" i="18"/>
  <c r="AJ170" i="18"/>
  <c r="AK170" i="18"/>
  <c r="AJ94" i="18"/>
  <c r="AK94" i="18"/>
  <c r="AJ171" i="18"/>
  <c r="AK171" i="18"/>
  <c r="AJ127" i="18"/>
  <c r="AK127" i="18"/>
  <c r="AJ146" i="18"/>
  <c r="AK146" i="18"/>
  <c r="AJ150" i="18"/>
  <c r="AK150" i="18"/>
  <c r="AJ134" i="18"/>
  <c r="AK134" i="18"/>
  <c r="AJ69" i="18"/>
  <c r="AK69" i="18"/>
  <c r="AJ82" i="18"/>
  <c r="AK82" i="18"/>
  <c r="AJ108" i="18"/>
  <c r="AK108" i="18"/>
  <c r="AJ173" i="18"/>
  <c r="AK173" i="18"/>
  <c r="AJ103" i="18"/>
  <c r="AK103" i="18"/>
  <c r="AJ151" i="18"/>
  <c r="AK151" i="18"/>
  <c r="AJ72" i="18"/>
  <c r="AK72" i="18"/>
  <c r="AJ161" i="18"/>
  <c r="AK161" i="18"/>
  <c r="AJ155" i="18"/>
  <c r="AK155" i="18"/>
  <c r="AJ132" i="18"/>
  <c r="AK132" i="18"/>
  <c r="AJ101" i="18"/>
  <c r="AK101" i="18"/>
  <c r="AJ122" i="18"/>
  <c r="AK122" i="18"/>
  <c r="AJ88" i="18"/>
  <c r="AK88" i="18"/>
  <c r="AJ70" i="18"/>
  <c r="AK70" i="18"/>
  <c r="AJ106" i="18"/>
  <c r="AK106" i="18"/>
  <c r="AJ130" i="18"/>
  <c r="AK130" i="18"/>
  <c r="AJ144" i="18"/>
  <c r="AK144" i="18"/>
  <c r="AJ152" i="18"/>
  <c r="AK152" i="18"/>
  <c r="AJ153" i="18"/>
  <c r="AK153" i="18"/>
  <c r="AJ125" i="18"/>
  <c r="AK125" i="18"/>
  <c r="AJ115" i="18"/>
  <c r="AK115" i="18"/>
  <c r="AJ180" i="18"/>
  <c r="AK180" i="18"/>
  <c r="AJ163" i="18"/>
  <c r="AK163" i="18"/>
  <c r="AJ157" i="18"/>
  <c r="AK157" i="18"/>
  <c r="AJ179" i="18"/>
  <c r="AK179" i="18"/>
  <c r="AJ95" i="18"/>
  <c r="AK95" i="18"/>
  <c r="AJ165" i="18"/>
  <c r="AK165" i="18"/>
  <c r="AJ135" i="18"/>
  <c r="AK135" i="18"/>
  <c r="AJ74" i="18"/>
  <c r="AK74" i="18"/>
  <c r="AJ162" i="18"/>
  <c r="AK162" i="18"/>
  <c r="AJ131" i="18"/>
  <c r="AK131" i="18"/>
  <c r="AJ71" i="18"/>
  <c r="AK71" i="18"/>
  <c r="AJ118" i="18"/>
  <c r="AK118" i="18"/>
  <c r="AJ98" i="18"/>
  <c r="AK98" i="18"/>
  <c r="AJ178" i="18"/>
  <c r="AK178" i="18"/>
  <c r="AJ145" i="18"/>
  <c r="AK145" i="18"/>
  <c r="AJ156" i="18"/>
  <c r="AK156" i="18"/>
  <c r="AJ119" i="18"/>
  <c r="AK119" i="18"/>
  <c r="AJ91" i="18"/>
  <c r="AK91" i="18"/>
  <c r="AJ116" i="18"/>
  <c r="AK116" i="18"/>
  <c r="AJ143" i="18"/>
  <c r="AK143" i="18"/>
  <c r="AJ149" i="18"/>
  <c r="AK149" i="18"/>
  <c r="AJ174" i="18"/>
  <c r="AK174" i="18"/>
  <c r="AJ89" i="18"/>
  <c r="AK89" i="18"/>
  <c r="AJ104" i="18"/>
  <c r="AK104" i="18"/>
  <c r="AJ166" i="18"/>
  <c r="AK166" i="18"/>
  <c r="AJ121" i="18"/>
  <c r="AK121" i="18"/>
  <c r="AJ87" i="18"/>
  <c r="AK87" i="18"/>
  <c r="AJ169" i="18"/>
  <c r="AK169" i="18"/>
  <c r="AJ100" i="18"/>
  <c r="AK100" i="18"/>
  <c r="AJ102" i="18"/>
  <c r="AK102" i="18"/>
  <c r="AJ138" i="18"/>
  <c r="AK138" i="18"/>
  <c r="AJ92" i="18"/>
  <c r="AK92" i="18"/>
  <c r="AJ77" i="18"/>
  <c r="AK77" i="18"/>
  <c r="AJ123" i="18"/>
  <c r="AK123" i="18"/>
  <c r="AJ114" i="18"/>
  <c r="AK114" i="18"/>
  <c r="AJ154" i="18"/>
  <c r="AK154" i="18"/>
  <c r="AJ140" i="18"/>
  <c r="AK140" i="18"/>
  <c r="AJ124" i="18"/>
  <c r="AK124" i="18"/>
  <c r="AJ68" i="18"/>
  <c r="AK68" i="18"/>
  <c r="AJ137" i="18"/>
  <c r="AK137" i="18"/>
  <c r="AJ110" i="18"/>
  <c r="AK110" i="18"/>
  <c r="AJ160" i="18"/>
  <c r="AK160" i="18"/>
  <c r="AJ78" i="18"/>
  <c r="AK78" i="18"/>
  <c r="AJ111" i="18"/>
  <c r="AK111" i="18"/>
  <c r="AJ73" i="18"/>
  <c r="AK73" i="18"/>
  <c r="AJ167" i="18"/>
  <c r="AK167" i="18"/>
  <c r="AJ107" i="18"/>
  <c r="AK107" i="18"/>
  <c r="AJ80" i="18"/>
  <c r="AK80" i="18"/>
  <c r="AJ97" i="18"/>
  <c r="AK97" i="18"/>
  <c r="AJ85" i="18"/>
  <c r="AK85" i="18"/>
  <c r="AJ158" i="18"/>
  <c r="AK158" i="18"/>
  <c r="AJ177" i="18"/>
  <c r="AK177" i="18"/>
  <c r="AJ93" i="18"/>
  <c r="AK93" i="18"/>
  <c r="AJ175" i="18"/>
  <c r="AK175" i="18"/>
  <c r="AJ117" i="18"/>
  <c r="AK117" i="18"/>
  <c r="AJ90" i="18"/>
  <c r="AK90" i="18"/>
  <c r="AJ147" i="18"/>
  <c r="AK147" i="18"/>
  <c r="AJ164" i="18"/>
  <c r="AK164" i="18"/>
  <c r="AJ86" i="18"/>
  <c r="AK86" i="18"/>
  <c r="AJ112" i="18"/>
  <c r="AK112" i="18"/>
  <c r="AJ76" i="18"/>
  <c r="AK76" i="18"/>
  <c r="AJ113" i="18"/>
  <c r="AK113" i="18"/>
  <c r="AJ84" i="18"/>
  <c r="AK84" i="18"/>
  <c r="AJ109" i="18"/>
  <c r="AK109" i="18"/>
  <c r="AJ67" i="18"/>
  <c r="AK67" i="18"/>
  <c r="AJ126" i="18"/>
  <c r="AK126" i="18"/>
  <c r="AJ99" i="18"/>
  <c r="AK99" i="18"/>
  <c r="Q582" i="18"/>
  <c r="Q190" i="18"/>
  <c r="Q588" i="18"/>
  <c r="Q557" i="18"/>
  <c r="Q565" i="18"/>
  <c r="Q563" i="18"/>
  <c r="Q335" i="18"/>
  <c r="Q348" i="18"/>
  <c r="Q573" i="18"/>
  <c r="Q346" i="18"/>
  <c r="Q347" i="18"/>
  <c r="Q338" i="18"/>
  <c r="Q628" i="18"/>
  <c r="Q342" i="18"/>
  <c r="Q622" i="18"/>
  <c r="Q331" i="18"/>
  <c r="Q345" i="18"/>
  <c r="Q452" i="18"/>
  <c r="Q438" i="18"/>
  <c r="Q334" i="18"/>
  <c r="Q249" i="18"/>
  <c r="AJ65" i="18"/>
  <c r="AJ54" i="18"/>
  <c r="Q597" i="18"/>
  <c r="Q421" i="18"/>
  <c r="Q322" i="18"/>
  <c r="Q422" i="18"/>
  <c r="Q589" i="18"/>
  <c r="Q579" i="18"/>
  <c r="Q284" i="18"/>
  <c r="Q669" i="18"/>
  <c r="Q581" i="18"/>
  <c r="Q264" i="18"/>
  <c r="Q419" i="18"/>
  <c r="Q423" i="18"/>
  <c r="Q405" i="18"/>
  <c r="Q576" i="18"/>
  <c r="Q509" i="18"/>
  <c r="Q500" i="18"/>
  <c r="Q435" i="18"/>
  <c r="Q286" i="18"/>
  <c r="Q529" i="18"/>
  <c r="Q329" i="18"/>
  <c r="Q406" i="18"/>
  <c r="Q400" i="18"/>
  <c r="Q662" i="18"/>
  <c r="Q494" i="18"/>
  <c r="Q653" i="18"/>
  <c r="Q558" i="18"/>
  <c r="Q418" i="18"/>
  <c r="AJ48" i="18"/>
  <c r="Q554" i="18"/>
  <c r="Q564" i="18"/>
  <c r="Q568" i="18"/>
  <c r="Q428" i="18"/>
  <c r="Q350" i="18"/>
  <c r="Q619" i="18"/>
  <c r="Q623" i="18"/>
  <c r="Q330" i="18"/>
  <c r="Q625" i="18"/>
  <c r="Q684" i="18"/>
  <c r="Q626" i="18"/>
  <c r="Q336" i="18"/>
  <c r="AJ47" i="18"/>
  <c r="Q566" i="18"/>
  <c r="AJ53" i="18"/>
  <c r="Q624" i="18"/>
  <c r="Q572" i="18"/>
  <c r="Q505" i="18"/>
  <c r="Q650" i="18"/>
  <c r="Q595" i="18"/>
  <c r="Q583" i="18"/>
  <c r="Q569" i="18"/>
  <c r="Q559" i="18"/>
  <c r="Q571" i="18"/>
  <c r="Q271" i="18"/>
  <c r="Q269" i="18"/>
  <c r="Q424" i="18"/>
  <c r="Q567" i="18"/>
  <c r="Q649" i="18"/>
  <c r="Q574" i="18"/>
  <c r="AJ52" i="18"/>
  <c r="AJ62" i="18"/>
  <c r="Q425" i="18"/>
  <c r="Q300" i="18"/>
  <c r="Q267" i="18"/>
  <c r="AJ61" i="18"/>
  <c r="Q553" i="18"/>
  <c r="Q441" i="18"/>
  <c r="AJ64" i="18"/>
  <c r="AJ63" i="18"/>
  <c r="Q274" i="18"/>
  <c r="Q665" i="18"/>
  <c r="AJ60" i="18"/>
  <c r="AJ50" i="18"/>
  <c r="AJ49" i="18"/>
  <c r="Q672" i="18"/>
  <c r="Q429" i="18"/>
  <c r="Q288" i="18"/>
  <c r="Q273" i="18"/>
  <c r="Q659" i="18"/>
  <c r="Q675" i="18"/>
  <c r="AJ59" i="18"/>
  <c r="Q440" i="18"/>
  <c r="Q642" i="18"/>
  <c r="Q651" i="18"/>
  <c r="Q415" i="18"/>
  <c r="Q503" i="18"/>
  <c r="Q283" i="18"/>
  <c r="Q281" i="18"/>
  <c r="Q560" i="18"/>
  <c r="Q676" i="18"/>
  <c r="Q555" i="18"/>
  <c r="Q539" i="18"/>
  <c r="Q540" i="18"/>
  <c r="Q549" i="18"/>
  <c r="AJ57" i="18"/>
  <c r="AJ46" i="18"/>
  <c r="Q541" i="18"/>
  <c r="Q542" i="18"/>
  <c r="AJ66" i="18"/>
  <c r="AJ56" i="18"/>
  <c r="AJ58" i="18"/>
  <c r="AJ51" i="18"/>
  <c r="Q497" i="18"/>
  <c r="Q446" i="18"/>
  <c r="Q652" i="18"/>
  <c r="Q465" i="18"/>
  <c r="Q519" i="18"/>
  <c r="Q451" i="18"/>
  <c r="Q408" i="18"/>
  <c r="Q655" i="18"/>
  <c r="Q535" i="18"/>
  <c r="Q511" i="18"/>
  <c r="Q462" i="18"/>
  <c r="Q504" i="18"/>
  <c r="Q648" i="18"/>
  <c r="Q439" i="18"/>
  <c r="Q654" i="18"/>
  <c r="Q202" i="18"/>
  <c r="Q259" i="18"/>
  <c r="Q467" i="18"/>
  <c r="Q261" i="18"/>
  <c r="Q328" i="18"/>
  <c r="Q468" i="18"/>
  <c r="Q443" i="18"/>
  <c r="Q508" i="18"/>
  <c r="Q459" i="18"/>
  <c r="Q310" i="18"/>
  <c r="Q198" i="18"/>
  <c r="Q193" i="18"/>
  <c r="Q469" i="18"/>
  <c r="Q464" i="18"/>
  <c r="Q656" i="18"/>
  <c r="Q521" i="18"/>
  <c r="Q470" i="18"/>
  <c r="Q445" i="18"/>
  <c r="Q396" i="18"/>
  <c r="Q337" i="18"/>
  <c r="Q533" i="18"/>
  <c r="Q543" i="18"/>
  <c r="Q527" i="18"/>
  <c r="Q397" i="18"/>
  <c r="Q339" i="18"/>
  <c r="Q314" i="18"/>
  <c r="Q550" i="18"/>
  <c r="Q548" i="18"/>
  <c r="Q524" i="18"/>
  <c r="Q436" i="18"/>
  <c r="Q251" i="18"/>
  <c r="Q461" i="18"/>
  <c r="Q528" i="18"/>
  <c r="Q416" i="18"/>
  <c r="Q513" i="18"/>
  <c r="Q552" i="18"/>
  <c r="Q664" i="18"/>
  <c r="Q109" i="18"/>
  <c r="Q647" i="18"/>
  <c r="Q561" i="18"/>
  <c r="Q420" i="18"/>
  <c r="Q411" i="18"/>
  <c r="Q189" i="18"/>
  <c r="Q562" i="18"/>
  <c r="Q678" i="18"/>
  <c r="Q575" i="18"/>
  <c r="Q677" i="18"/>
  <c r="Q413" i="18"/>
  <c r="Q499" i="18"/>
  <c r="Q580" i="18"/>
  <c r="Q432" i="18"/>
  <c r="Q495" i="18"/>
  <c r="Q417" i="18"/>
  <c r="Q584" i="18"/>
  <c r="Q510" i="18"/>
  <c r="Q590" i="18"/>
  <c r="Q117" i="18"/>
  <c r="Q657" i="18"/>
  <c r="Q201" i="18"/>
  <c r="Q660" i="18"/>
  <c r="Q185" i="18"/>
  <c r="Q663" i="18"/>
  <c r="Q265" i="18"/>
  <c r="Q525" i="18"/>
  <c r="Q282" i="18"/>
  <c r="Q447" i="18"/>
  <c r="Q671" i="18"/>
  <c r="Q183" i="18"/>
  <c r="Q673" i="18"/>
  <c r="AJ45" i="18"/>
  <c r="AJ32" i="18"/>
  <c r="AJ43" i="18"/>
  <c r="Q186" i="18"/>
  <c r="Q247" i="18"/>
  <c r="Q312" i="18"/>
  <c r="Q297" i="18"/>
  <c r="Q674" i="18"/>
  <c r="Q631" i="18"/>
  <c r="Q632" i="18"/>
  <c r="Q635" i="18"/>
  <c r="Q515" i="18"/>
  <c r="Q658" i="18"/>
  <c r="Q551" i="18"/>
  <c r="Q585" i="18"/>
  <c r="Q507" i="18"/>
  <c r="Q407" i="18"/>
  <c r="Q270" i="18"/>
  <c r="Q544" i="18"/>
  <c r="Q586" i="18"/>
  <c r="Q191" i="18"/>
  <c r="Q184" i="18"/>
  <c r="Q449" i="18"/>
  <c r="Q324" i="18"/>
  <c r="Q266" i="18"/>
  <c r="Q512" i="18"/>
  <c r="Q537" i="18"/>
  <c r="Q250" i="18"/>
  <c r="Q401" i="18"/>
  <c r="Q325" i="18"/>
  <c r="Q316" i="18"/>
  <c r="Q248" i="18"/>
  <c r="AJ40" i="18"/>
  <c r="AJ25" i="18"/>
  <c r="AJ42" i="18"/>
  <c r="Q636" i="18"/>
  <c r="Q298" i="18"/>
  <c r="AJ176" i="18"/>
  <c r="Q272" i="18"/>
  <c r="Q638" i="18"/>
  <c r="AJ35" i="18"/>
  <c r="AJ26" i="18"/>
  <c r="Q634" i="18"/>
  <c r="AJ36" i="18"/>
  <c r="Q639" i="18"/>
  <c r="AJ37" i="18"/>
  <c r="Q630" i="18"/>
  <c r="Q304" i="18"/>
  <c r="Q641" i="18"/>
  <c r="AJ33" i="18"/>
  <c r="Q280" i="18"/>
  <c r="Q643" i="18"/>
  <c r="Q308" i="18"/>
  <c r="Q644" i="18"/>
  <c r="Q679" i="18"/>
  <c r="Q591" i="18"/>
  <c r="AJ44" i="18"/>
  <c r="Q295" i="18"/>
  <c r="Q645" i="18"/>
  <c r="Q680" i="18"/>
  <c r="Q592" i="18"/>
  <c r="AJ27" i="18"/>
  <c r="AJ38" i="18"/>
  <c r="AJ196" i="18"/>
  <c r="Q681" i="18"/>
  <c r="Q596" i="18"/>
  <c r="AJ200" i="18"/>
  <c r="Q289" i="18"/>
  <c r="Q545" i="18"/>
  <c r="AJ197" i="18"/>
  <c r="Q682" i="18"/>
  <c r="Q577" i="18"/>
  <c r="AJ29" i="18"/>
  <c r="AJ30" i="18"/>
  <c r="AJ191" i="18"/>
  <c r="Q299" i="18"/>
  <c r="Q290" i="18"/>
  <c r="Q547" i="18"/>
  <c r="Q683" i="18"/>
  <c r="Q277" i="18"/>
  <c r="Q268" i="18"/>
  <c r="Q685" i="18"/>
  <c r="Q296" i="18"/>
  <c r="AJ41" i="18"/>
  <c r="AJ34" i="18"/>
  <c r="Q667" i="18"/>
  <c r="AJ39" i="18"/>
  <c r="Q640" i="18"/>
  <c r="Q668" i="18"/>
  <c r="AJ28" i="18"/>
  <c r="Q637" i="18"/>
  <c r="Q633" i="18"/>
  <c r="Q126" i="18"/>
  <c r="Q114" i="18"/>
  <c r="Q122" i="18"/>
  <c r="Q118" i="18"/>
  <c r="Q119" i="18"/>
  <c r="Q110" i="18"/>
  <c r="Q125" i="18"/>
  <c r="Q120" i="18"/>
  <c r="Q111" i="18"/>
  <c r="Q450" i="18"/>
  <c r="L450" i="18"/>
  <c r="P450" i="18"/>
  <c r="O450" i="18"/>
  <c r="N450" i="18"/>
  <c r="M450" i="18"/>
  <c r="Q242" i="18"/>
  <c r="O242" i="18"/>
  <c r="N242" i="18"/>
  <c r="M242" i="18"/>
  <c r="Q349" i="18"/>
  <c r="N349" i="18"/>
  <c r="M349" i="18"/>
  <c r="K349" i="18"/>
  <c r="P349" i="18"/>
  <c r="O349" i="18"/>
  <c r="K669" i="18"/>
  <c r="M669" i="18"/>
  <c r="L416" i="18"/>
  <c r="K144" i="18"/>
  <c r="L161" i="18"/>
  <c r="L21" i="18"/>
  <c r="O512" i="18"/>
  <c r="H528" i="18" a="1"/>
  <c r="H528" i="18" s="1"/>
  <c r="H266" i="18" a="1"/>
  <c r="H266" i="18" s="1"/>
  <c r="L144" i="18"/>
  <c r="M161" i="18"/>
  <c r="M21" i="18"/>
  <c r="Q168" i="18"/>
  <c r="L398" i="18"/>
  <c r="N144" i="18"/>
  <c r="L94" i="18"/>
  <c r="N21" i="18"/>
  <c r="B485" i="18"/>
  <c r="R485" i="18" s="1"/>
  <c r="B192" i="18"/>
  <c r="P192" i="18" s="1"/>
  <c r="H168" i="18" a="1"/>
  <c r="H168" i="18" s="1"/>
  <c r="B315" i="18"/>
  <c r="R315" i="18" s="1"/>
  <c r="K398" i="18"/>
  <c r="P117" i="18"/>
  <c r="O137" i="18"/>
  <c r="M94" i="18"/>
  <c r="O21" i="18"/>
  <c r="B275" i="18"/>
  <c r="R275" i="18" s="1"/>
  <c r="N364" i="18"/>
  <c r="H513" i="18" a="1"/>
  <c r="H513" i="18" s="1"/>
  <c r="O392" i="18"/>
  <c r="P398" i="18"/>
  <c r="K117" i="18"/>
  <c r="O267" i="18"/>
  <c r="K137" i="18"/>
  <c r="P94" i="18"/>
  <c r="P21" i="18"/>
  <c r="H364" i="18" a="1"/>
  <c r="H364" i="18" s="1"/>
  <c r="H449" i="18" a="1"/>
  <c r="H449" i="18" s="1"/>
  <c r="H84" i="18" a="1"/>
  <c r="H84" i="18" s="1"/>
  <c r="L300" i="18"/>
  <c r="P266" i="18"/>
  <c r="L299" i="18"/>
  <c r="N300" i="18"/>
  <c r="P167" i="18"/>
  <c r="O373" i="18"/>
  <c r="P267" i="18"/>
  <c r="P137" i="18"/>
  <c r="N94" i="18"/>
  <c r="O300" i="18"/>
  <c r="K300" i="18"/>
  <c r="P373" i="18"/>
  <c r="K267" i="18"/>
  <c r="N137" i="18"/>
  <c r="O94" i="18"/>
  <c r="P70" i="18"/>
  <c r="H299" i="18" a="1"/>
  <c r="H299" i="18" s="1"/>
  <c r="H392" i="18" a="1"/>
  <c r="H392" i="18" s="1"/>
  <c r="H242" i="18" a="1"/>
  <c r="H242" i="18" s="1"/>
  <c r="M300" i="18"/>
  <c r="K373" i="18"/>
  <c r="M267" i="18"/>
  <c r="L168" i="18"/>
  <c r="L137" i="18"/>
  <c r="K94" i="18"/>
  <c r="M70" i="18"/>
  <c r="K512" i="18"/>
  <c r="H94" i="18" a="1"/>
  <c r="H94" i="18" s="1"/>
  <c r="H426" i="18" a="1"/>
  <c r="H426" i="18" s="1"/>
  <c r="P161" i="18"/>
  <c r="K553" i="18"/>
  <c r="P300" i="18"/>
  <c r="P223" i="18"/>
  <c r="L373" i="18"/>
  <c r="O168" i="18"/>
  <c r="M137" i="18"/>
  <c r="N70" i="18"/>
  <c r="H144" i="18" a="1"/>
  <c r="H144" i="18" s="1"/>
  <c r="H373" i="18" a="1"/>
  <c r="H373" i="18" s="1"/>
  <c r="M373" i="18"/>
  <c r="P168" i="18"/>
  <c r="L45" i="18"/>
  <c r="H161" i="18" a="1"/>
  <c r="H161" i="18" s="1"/>
  <c r="O70" i="18"/>
  <c r="N373" i="18"/>
  <c r="K168" i="18"/>
  <c r="M45" i="18"/>
  <c r="H512" i="18" a="1"/>
  <c r="H512" i="18" s="1"/>
  <c r="H70" i="18" a="1"/>
  <c r="H70" i="18" s="1"/>
  <c r="P392" i="18"/>
  <c r="K528" i="18"/>
  <c r="M168" i="18"/>
  <c r="L60" i="18"/>
  <c r="N45" i="18"/>
  <c r="H300" i="18" a="1"/>
  <c r="H300" i="18" s="1"/>
  <c r="Q426" i="18"/>
  <c r="M528" i="18"/>
  <c r="O117" i="18"/>
  <c r="M60" i="18"/>
  <c r="O45" i="18"/>
  <c r="N266" i="18"/>
  <c r="L528" i="18"/>
  <c r="P461" i="18"/>
  <c r="O426" i="18"/>
  <c r="K84" i="18"/>
  <c r="N60" i="18"/>
  <c r="P45" i="18"/>
  <c r="H21" i="18" a="1"/>
  <c r="H21" i="18" s="1"/>
  <c r="H276" i="18" a="1"/>
  <c r="H276" i="18" s="1"/>
  <c r="O528" i="18"/>
  <c r="K461" i="18"/>
  <c r="M299" i="18"/>
  <c r="M426" i="18"/>
  <c r="M84" i="18"/>
  <c r="O60" i="18"/>
  <c r="H461" i="18" a="1"/>
  <c r="H461" i="18" s="1"/>
  <c r="P528" i="18"/>
  <c r="L461" i="18"/>
  <c r="N299" i="18"/>
  <c r="K426" i="18"/>
  <c r="O84" i="18"/>
  <c r="P60" i="18"/>
  <c r="H349" i="18" a="1"/>
  <c r="H349" i="18" s="1"/>
  <c r="H537" i="18" a="1"/>
  <c r="H537" i="18" s="1"/>
  <c r="N528" i="18"/>
  <c r="L537" i="18"/>
  <c r="M398" i="18"/>
  <c r="N461" i="18"/>
  <c r="P320" i="18"/>
  <c r="K299" i="18"/>
  <c r="N426" i="18"/>
  <c r="L84" i="18"/>
  <c r="Q229" i="18"/>
  <c r="K392" i="18"/>
  <c r="M537" i="18"/>
  <c r="M364" i="18"/>
  <c r="M461" i="18"/>
  <c r="K320" i="18"/>
  <c r="P299" i="18"/>
  <c r="P426" i="18"/>
  <c r="N84" i="18"/>
  <c r="B291" i="18"/>
  <c r="P512" i="18"/>
  <c r="L392" i="18"/>
  <c r="N537" i="18"/>
  <c r="L364" i="18"/>
  <c r="K266" i="18"/>
  <c r="O461" i="18"/>
  <c r="O299" i="18"/>
  <c r="H137" i="18" a="1"/>
  <c r="H137" i="18" s="1"/>
  <c r="L512" i="18"/>
  <c r="M392" i="18"/>
  <c r="K537" i="18"/>
  <c r="K364" i="18"/>
  <c r="M266" i="18"/>
  <c r="M117" i="18"/>
  <c r="M416" i="18"/>
  <c r="M82" i="18"/>
  <c r="H251" i="18" a="1"/>
  <c r="H251" i="18" s="1"/>
  <c r="B216" i="18"/>
  <c r="N216" i="18" s="1"/>
  <c r="H446" i="18" a="1"/>
  <c r="H446" i="18" s="1"/>
  <c r="L70" i="18"/>
  <c r="H467" i="18" a="1"/>
  <c r="H467" i="18" s="1"/>
  <c r="N392" i="18"/>
  <c r="O537" i="18"/>
  <c r="O364" i="18"/>
  <c r="L266" i="18"/>
  <c r="O416" i="18"/>
  <c r="K161" i="18"/>
  <c r="H425" i="18" a="1"/>
  <c r="H425" i="18" s="1"/>
  <c r="H175" i="18" a="1"/>
  <c r="H175" i="18" s="1"/>
  <c r="N512" i="18"/>
  <c r="M512" i="18"/>
  <c r="P537" i="18"/>
  <c r="P364" i="18"/>
  <c r="O266" i="18"/>
  <c r="L232" i="18"/>
  <c r="P416" i="18"/>
  <c r="M144" i="18"/>
  <c r="K331" i="18"/>
  <c r="N161" i="18"/>
  <c r="N126" i="18"/>
  <c r="H416" i="18" a="1"/>
  <c r="H416" i="18" s="1"/>
  <c r="H60" i="18" a="1"/>
  <c r="H60" i="18" s="1"/>
  <c r="K252" i="18"/>
  <c r="N252" i="18"/>
  <c r="L252" i="18"/>
  <c r="Q252" i="18"/>
  <c r="P301" i="18"/>
  <c r="Q301" i="18"/>
  <c r="M301" i="18"/>
  <c r="K301" i="18"/>
  <c r="O301" i="18"/>
  <c r="N199" i="18"/>
  <c r="Q199" i="18"/>
  <c r="N254" i="18"/>
  <c r="Q254" i="18"/>
  <c r="K254" i="18"/>
  <c r="O254" i="18"/>
  <c r="M254" i="18"/>
  <c r="L254" i="18"/>
  <c r="P254" i="18"/>
  <c r="Q196" i="18"/>
  <c r="P196" i="18"/>
  <c r="O129" i="18"/>
  <c r="Q129" i="18"/>
  <c r="K123" i="18"/>
  <c r="L123" i="18"/>
  <c r="Q123" i="18"/>
  <c r="Q471" i="18"/>
  <c r="K471" i="18"/>
  <c r="P471" i="18"/>
  <c r="O9" i="18"/>
  <c r="L9" i="18"/>
  <c r="N9" i="18"/>
  <c r="M9" i="18"/>
  <c r="N258" i="18"/>
  <c r="Q258" i="18"/>
  <c r="P531" i="18"/>
  <c r="Q531" i="18"/>
  <c r="N8" i="18"/>
  <c r="P8" i="18"/>
  <c r="P47" i="18"/>
  <c r="O47" i="18"/>
  <c r="L47" i="18"/>
  <c r="K47" i="18"/>
  <c r="Q260" i="18"/>
  <c r="N260" i="18"/>
  <c r="L260" i="18"/>
  <c r="K260" i="18"/>
  <c r="M260" i="18"/>
  <c r="P260" i="18"/>
  <c r="O260" i="18"/>
  <c r="N481" i="18"/>
  <c r="M559" i="18"/>
  <c r="P369" i="18"/>
  <c r="O376" i="18"/>
  <c r="P253" i="18"/>
  <c r="P187" i="18"/>
  <c r="K177" i="18"/>
  <c r="P148" i="18"/>
  <c r="P25" i="18"/>
  <c r="H382" i="18" a="1"/>
  <c r="H382" i="18" s="1"/>
  <c r="H133" i="18" a="1"/>
  <c r="H133" i="18" s="1"/>
  <c r="H156" i="18" a="1"/>
  <c r="H156" i="18" s="1"/>
  <c r="L243" i="18"/>
  <c r="Q302" i="18"/>
  <c r="Q629" i="18"/>
  <c r="Q369" i="18"/>
  <c r="Q620" i="18"/>
  <c r="Q139" i="18"/>
  <c r="Q594" i="18"/>
  <c r="O621" i="18"/>
  <c r="M627" i="18"/>
  <c r="N559" i="18"/>
  <c r="O194" i="18"/>
  <c r="K271" i="18"/>
  <c r="P376" i="18"/>
  <c r="K292" i="18"/>
  <c r="K240" i="18"/>
  <c r="N187" i="18"/>
  <c r="L148" i="18"/>
  <c r="K341" i="18"/>
  <c r="N446" i="18"/>
  <c r="O510" i="18"/>
  <c r="Q230" i="18"/>
  <c r="Q276" i="18"/>
  <c r="Q371" i="18"/>
  <c r="Q621" i="18"/>
  <c r="Q458" i="18"/>
  <c r="Q341" i="18"/>
  <c r="P621" i="18"/>
  <c r="K559" i="18"/>
  <c r="P271" i="18"/>
  <c r="K272" i="18"/>
  <c r="N292" i="18"/>
  <c r="O240" i="18"/>
  <c r="M148" i="18"/>
  <c r="L481" i="18"/>
  <c r="H81" i="18" a="1"/>
  <c r="H81" i="18" s="1"/>
  <c r="M341" i="18"/>
  <c r="H25" i="18" a="1"/>
  <c r="H25" i="18" s="1"/>
  <c r="H469" i="18" a="1"/>
  <c r="H469" i="18" s="1"/>
  <c r="L149" i="18"/>
  <c r="H55" i="18" a="1"/>
  <c r="H55" i="18" s="1"/>
  <c r="Q231" i="18"/>
  <c r="Q172" i="18"/>
  <c r="Q138" i="18"/>
  <c r="M506" i="18"/>
  <c r="L621" i="18"/>
  <c r="M529" i="18"/>
  <c r="O559" i="18"/>
  <c r="M271" i="18"/>
  <c r="N272" i="18"/>
  <c r="L292" i="18"/>
  <c r="N148" i="18"/>
  <c r="L271" i="18"/>
  <c r="H540" i="18" a="1"/>
  <c r="H540" i="18" s="1"/>
  <c r="H187" i="18" a="1"/>
  <c r="H187" i="18" s="1"/>
  <c r="H132" i="18" a="1"/>
  <c r="H132" i="18" s="1"/>
  <c r="Q173" i="18"/>
  <c r="Q108" i="18"/>
  <c r="Q253" i="18"/>
  <c r="Q666" i="18"/>
  <c r="K506" i="18"/>
  <c r="N621" i="18"/>
  <c r="P559" i="18"/>
  <c r="K594" i="18"/>
  <c r="P272" i="18"/>
  <c r="P292" i="18"/>
  <c r="H22" i="18" a="1"/>
  <c r="H22" i="18" s="1"/>
  <c r="H377" i="18" a="1"/>
  <c r="H377" i="18" s="1"/>
  <c r="N194" i="18"/>
  <c r="Q217" i="18"/>
  <c r="O564" i="18"/>
  <c r="L506" i="18"/>
  <c r="K621" i="18"/>
  <c r="K219" i="18"/>
  <c r="M272" i="18"/>
  <c r="K377" i="18"/>
  <c r="P156" i="18"/>
  <c r="M292" i="18"/>
  <c r="P228" i="18"/>
  <c r="K147" i="18"/>
  <c r="L49" i="18"/>
  <c r="H343" i="18" a="1"/>
  <c r="H343" i="18" s="1"/>
  <c r="H253" i="18" a="1"/>
  <c r="H253" i="18" s="1"/>
  <c r="B431" i="18"/>
  <c r="R431" i="18" s="1"/>
  <c r="Q234" i="18"/>
  <c r="Q570" i="18"/>
  <c r="Q88" i="18"/>
  <c r="Q393" i="18"/>
  <c r="L272" i="18"/>
  <c r="M377" i="18"/>
  <c r="H48" i="18" a="1"/>
  <c r="H48" i="18" s="1"/>
  <c r="H272" i="18" a="1"/>
  <c r="H272" i="18" s="1"/>
  <c r="Q306" i="18"/>
  <c r="Q255" i="18"/>
  <c r="Q501" i="18"/>
  <c r="O506" i="18"/>
  <c r="P506" i="18"/>
  <c r="K666" i="18"/>
  <c r="P437" i="18"/>
  <c r="L570" i="18"/>
  <c r="N529" i="18"/>
  <c r="P219" i="18"/>
  <c r="O272" i="18"/>
  <c r="L377" i="18"/>
  <c r="L88" i="18"/>
  <c r="M228" i="18"/>
  <c r="K173" i="18"/>
  <c r="P237" i="18"/>
  <c r="K172" i="18"/>
  <c r="N49" i="18"/>
  <c r="H123" i="18" a="1"/>
  <c r="H123" i="18" s="1"/>
  <c r="H112" i="18" a="1"/>
  <c r="H112" i="18" s="1"/>
  <c r="H495" i="18" a="1"/>
  <c r="H495" i="18" s="1"/>
  <c r="Q319" i="18"/>
  <c r="Q237" i="18"/>
  <c r="Q488" i="18"/>
  <c r="Q90" i="18"/>
  <c r="Q256" i="18"/>
  <c r="Q127" i="18"/>
  <c r="Q343" i="18"/>
  <c r="Q498" i="18"/>
  <c r="Q205" i="18"/>
  <c r="L666" i="18"/>
  <c r="M437" i="18"/>
  <c r="P194" i="18"/>
  <c r="N377" i="18"/>
  <c r="L173" i="18"/>
  <c r="L237" i="18"/>
  <c r="O172" i="18"/>
  <c r="O49" i="18"/>
  <c r="H333" i="18" a="1"/>
  <c r="H333" i="18" s="1"/>
  <c r="B279" i="18"/>
  <c r="R279" i="18" s="1"/>
  <c r="H499" i="18" a="1"/>
  <c r="H499" i="18" s="1"/>
  <c r="H12" i="18" a="1"/>
  <c r="H12" i="18" s="1"/>
  <c r="O465" i="18"/>
  <c r="N147" i="18"/>
  <c r="Q433" i="18"/>
  <c r="Q143" i="18"/>
  <c r="Q593" i="18"/>
  <c r="O333" i="18"/>
  <c r="N167" i="18"/>
  <c r="O377" i="18"/>
  <c r="K298" i="18"/>
  <c r="N227" i="18"/>
  <c r="L121" i="18"/>
  <c r="H255" i="18" a="1"/>
  <c r="H255" i="18" s="1"/>
  <c r="H408" i="18" a="1"/>
  <c r="H408" i="18" s="1"/>
  <c r="H177" i="18" a="1"/>
  <c r="H177" i="18" s="1"/>
  <c r="Q239" i="18"/>
  <c r="Q437" i="18"/>
  <c r="Q175" i="18"/>
  <c r="Q394" i="18"/>
  <c r="Q457" i="18"/>
  <c r="N333" i="18"/>
  <c r="L294" i="18"/>
  <c r="Q177" i="18"/>
  <c r="Q398" i="18"/>
  <c r="Q128" i="18"/>
  <c r="Q187" i="18"/>
  <c r="Q207" i="18"/>
  <c r="K68" i="18"/>
  <c r="H68" i="18" a="1"/>
  <c r="H68" i="18" s="1"/>
  <c r="Q292" i="18"/>
  <c r="L382" i="18"/>
  <c r="K333" i="18"/>
  <c r="P227" i="18"/>
  <c r="L68" i="18"/>
  <c r="H221" i="18" a="1"/>
  <c r="H221" i="18" s="1"/>
  <c r="Q376" i="18"/>
  <c r="Q287" i="18"/>
  <c r="Q516" i="18"/>
  <c r="L333" i="18"/>
  <c r="M68" i="18"/>
  <c r="M382" i="18"/>
  <c r="Q476" i="18"/>
  <c r="Q263" i="18"/>
  <c r="Q506" i="18"/>
  <c r="N68" i="18"/>
  <c r="Q477" i="18"/>
  <c r="O382" i="18"/>
  <c r="K343" i="18"/>
  <c r="O68" i="18"/>
  <c r="H490" i="18" a="1"/>
  <c r="H490" i="18" s="1"/>
  <c r="H294" i="18" a="1"/>
  <c r="H294" i="18" s="1"/>
  <c r="M194" i="18"/>
  <c r="Q182" i="18"/>
  <c r="Q380" i="18"/>
  <c r="Q99" i="18"/>
  <c r="Q587" i="18"/>
  <c r="M343" i="18"/>
  <c r="H531" i="18" a="1"/>
  <c r="H531" i="18" s="1"/>
  <c r="M219" i="18"/>
  <c r="K228" i="18"/>
  <c r="H376" i="18" a="1"/>
  <c r="H376" i="18" s="1"/>
  <c r="H413" i="18" a="1"/>
  <c r="H413" i="18" s="1"/>
  <c r="Q294" i="18"/>
  <c r="P382" i="18"/>
  <c r="O343" i="18"/>
  <c r="O244" i="18"/>
  <c r="O74" i="18"/>
  <c r="K221" i="18"/>
  <c r="K205" i="18"/>
  <c r="N132" i="18"/>
  <c r="H252" i="18" a="1"/>
  <c r="H252" i="18" s="1"/>
  <c r="N294" i="18"/>
  <c r="H260" i="18" a="1"/>
  <c r="H260" i="18" s="1"/>
  <c r="H254" i="18" a="1"/>
  <c r="H254" i="18" s="1"/>
  <c r="H494" i="18" a="1"/>
  <c r="H494" i="18" s="1"/>
  <c r="H432" i="18" a="1"/>
  <c r="H432" i="18" s="1"/>
  <c r="H91" i="18" a="1"/>
  <c r="H91" i="18" s="1"/>
  <c r="Q382" i="18"/>
  <c r="Q98" i="18"/>
  <c r="Q112" i="18"/>
  <c r="P343" i="18"/>
  <c r="P244" i="18"/>
  <c r="L221" i="18"/>
  <c r="L205" i="18"/>
  <c r="M132" i="18"/>
  <c r="K25" i="18"/>
  <c r="H322" i="18" a="1"/>
  <c r="H322" i="18" s="1"/>
  <c r="L228" i="18"/>
  <c r="Q309" i="18"/>
  <c r="Q481" i="18"/>
  <c r="Q148" i="18"/>
  <c r="Q333" i="18"/>
  <c r="L343" i="18"/>
  <c r="L253" i="18"/>
  <c r="M177" i="18"/>
  <c r="H194" i="18" a="1"/>
  <c r="H194" i="18" s="1"/>
  <c r="H301" i="18" a="1"/>
  <c r="H301" i="18" s="1"/>
  <c r="N98" i="18"/>
  <c r="H74" i="18" a="1"/>
  <c r="H74" i="18" s="1"/>
  <c r="Q162" i="18"/>
  <c r="Q194" i="18"/>
  <c r="K457" i="18"/>
  <c r="L376" i="18"/>
  <c r="O253" i="18"/>
  <c r="L187" i="18"/>
  <c r="O177" i="18"/>
  <c r="M154" i="18"/>
  <c r="H205" i="18" a="1"/>
  <c r="H205" i="18" s="1"/>
  <c r="H329" i="18" a="1"/>
  <c r="H329" i="18" s="1"/>
  <c r="M74" i="18"/>
  <c r="K481" i="18"/>
  <c r="L457" i="18"/>
  <c r="K369" i="18"/>
  <c r="K376" i="18"/>
  <c r="N253" i="18"/>
  <c r="M187" i="18"/>
  <c r="P177" i="18"/>
  <c r="N154" i="18"/>
  <c r="O98" i="18"/>
  <c r="M25" i="18"/>
  <c r="H49" i="18" a="1"/>
  <c r="H49" i="18" s="1"/>
  <c r="H47" i="18" a="1"/>
  <c r="H47" i="18" s="1"/>
  <c r="N219" i="18"/>
  <c r="H149" i="18" a="1"/>
  <c r="H149" i="18" s="1"/>
  <c r="H199" i="18" a="1"/>
  <c r="H199" i="18" s="1"/>
  <c r="H79" i="18" a="1"/>
  <c r="H79" i="18" s="1"/>
  <c r="M481" i="18"/>
  <c r="Q154" i="18"/>
  <c r="Q246" i="18"/>
  <c r="Q134" i="18"/>
  <c r="H41" i="18" a="1"/>
  <c r="H41" i="18" s="1"/>
  <c r="P294" i="18"/>
  <c r="B326" i="18"/>
  <c r="R326" i="18" s="1"/>
  <c r="H72" i="18" a="1"/>
  <c r="H72" i="18" s="1"/>
  <c r="Q156" i="18"/>
  <c r="Q520" i="18"/>
  <c r="Q121" i="18"/>
  <c r="Q454" i="18"/>
  <c r="Q76" i="18"/>
  <c r="Q75" i="18"/>
  <c r="Q72" i="18"/>
  <c r="Q71" i="18"/>
  <c r="Q70" i="18"/>
  <c r="Q69" i="18"/>
  <c r="Q68" i="18"/>
  <c r="Q67" i="18"/>
  <c r="Q87" i="18"/>
  <c r="Q86" i="18"/>
  <c r="Q85" i="18"/>
  <c r="Q83" i="18"/>
  <c r="Q80" i="18"/>
  <c r="Q84" i="18"/>
  <c r="Q82" i="18"/>
  <c r="Q81" i="18"/>
  <c r="Q79" i="18"/>
  <c r="Q74" i="18"/>
  <c r="Q78" i="18"/>
  <c r="Q77" i="18"/>
  <c r="Q53" i="18"/>
  <c r="Q51" i="18"/>
  <c r="Q50" i="18"/>
  <c r="Q48" i="18"/>
  <c r="Q47" i="18"/>
  <c r="Q46" i="18"/>
  <c r="Q66" i="18"/>
  <c r="Q65" i="18"/>
  <c r="Q64" i="18"/>
  <c r="Q63" i="18"/>
  <c r="Q62" i="18"/>
  <c r="Q59" i="18"/>
  <c r="Q61" i="18"/>
  <c r="Q58" i="18"/>
  <c r="Q60" i="18"/>
  <c r="Q55" i="18"/>
  <c r="Q54" i="18"/>
  <c r="Q52" i="18"/>
  <c r="Q49" i="18"/>
  <c r="Q25" i="18"/>
  <c r="Q26" i="18"/>
  <c r="Q32" i="18"/>
  <c r="Q45" i="18"/>
  <c r="Q42" i="18"/>
  <c r="Q41" i="18"/>
  <c r="Q43" i="18"/>
  <c r="Q40" i="18"/>
  <c r="Q39" i="18"/>
  <c r="Q38" i="18"/>
  <c r="Q37" i="18"/>
  <c r="Q36" i="18"/>
  <c r="Q33" i="18"/>
  <c r="Q31" i="18"/>
  <c r="Q28" i="18"/>
  <c r="Q30" i="18"/>
  <c r="Q29" i="18"/>
  <c r="AJ21" i="18"/>
  <c r="AJ19" i="18"/>
  <c r="AJ18" i="18"/>
  <c r="AJ17" i="18"/>
  <c r="AJ16" i="18"/>
  <c r="Q24" i="18"/>
  <c r="Q18" i="18"/>
  <c r="AJ15" i="18"/>
  <c r="Q8" i="18"/>
  <c r="AJ14" i="18"/>
  <c r="Q22" i="18"/>
  <c r="AJ13" i="18"/>
  <c r="Q21" i="18"/>
  <c r="Q16" i="18"/>
  <c r="AJ12" i="18"/>
  <c r="Q20" i="18"/>
  <c r="AJ11" i="18"/>
  <c r="AJ10" i="18"/>
  <c r="Q17" i="18"/>
  <c r="AJ9" i="18"/>
  <c r="AJ8" i="18"/>
  <c r="AJ7" i="18"/>
  <c r="Q15" i="18"/>
  <c r="Q14" i="18"/>
  <c r="AJ6" i="18"/>
  <c r="AJ5" i="18"/>
  <c r="Q13" i="18"/>
  <c r="AJ4" i="18"/>
  <c r="Q12" i="18"/>
  <c r="Q11" i="18"/>
  <c r="Q10" i="18"/>
  <c r="Q9" i="18"/>
  <c r="AJ24" i="18"/>
  <c r="AJ23" i="18"/>
  <c r="Q7" i="18"/>
  <c r="AJ20" i="18"/>
  <c r="AJ22" i="18"/>
  <c r="Q6" i="18"/>
  <c r="Q5" i="18"/>
  <c r="N325" i="18"/>
  <c r="M325" i="18"/>
  <c r="P325" i="18"/>
  <c r="O325" i="18"/>
  <c r="L325" i="18"/>
  <c r="K325" i="18"/>
  <c r="O435" i="18"/>
  <c r="N435" i="18"/>
  <c r="M435" i="18"/>
  <c r="L435" i="18"/>
  <c r="K435" i="18"/>
  <c r="M336" i="18"/>
  <c r="K336" i="18"/>
  <c r="O336" i="18"/>
  <c r="L336" i="18"/>
  <c r="N336" i="18"/>
  <c r="P336" i="18"/>
  <c r="N511" i="18"/>
  <c r="K511" i="18"/>
  <c r="P171" i="18"/>
  <c r="N159" i="18"/>
  <c r="K159" i="18"/>
  <c r="P159" i="18"/>
  <c r="L159" i="18"/>
  <c r="O159" i="18"/>
  <c r="N505" i="18"/>
  <c r="M505" i="18"/>
  <c r="K505" i="18"/>
  <c r="P505" i="18"/>
  <c r="L505" i="18"/>
  <c r="O505" i="18"/>
  <c r="N120" i="18"/>
  <c r="P120" i="18"/>
  <c r="M120" i="18"/>
  <c r="M95" i="18"/>
  <c r="K95" i="18"/>
  <c r="L95" i="18"/>
  <c r="N95" i="18"/>
  <c r="O95" i="18"/>
  <c r="P95" i="18"/>
  <c r="L370" i="18"/>
  <c r="K370" i="18"/>
  <c r="O370" i="18"/>
  <c r="N370" i="18"/>
  <c r="M370" i="18"/>
  <c r="P370" i="18"/>
  <c r="O97" i="18"/>
  <c r="M97" i="18"/>
  <c r="K289" i="18"/>
  <c r="N289" i="18"/>
  <c r="O289" i="18"/>
  <c r="L289" i="18"/>
  <c r="M289" i="18"/>
  <c r="P289" i="18"/>
  <c r="N83" i="18"/>
  <c r="M83" i="18"/>
  <c r="L83" i="18"/>
  <c r="P83" i="18"/>
  <c r="M290" i="18"/>
  <c r="L290" i="18"/>
  <c r="O290" i="18"/>
  <c r="K290" i="18"/>
  <c r="N290" i="18"/>
  <c r="P290" i="18"/>
  <c r="L39" i="18"/>
  <c r="P39" i="18"/>
  <c r="N39" i="18"/>
  <c r="P445" i="18"/>
  <c r="O445" i="18"/>
  <c r="N445" i="18"/>
  <c r="M445" i="18"/>
  <c r="K445" i="18"/>
  <c r="L445" i="18"/>
  <c r="M212" i="18"/>
  <c r="K212" i="18"/>
  <c r="P212" i="18"/>
  <c r="O212" i="18"/>
  <c r="L212" i="18"/>
  <c r="P102" i="18"/>
  <c r="L102" i="18"/>
  <c r="K429" i="18"/>
  <c r="P429" i="18"/>
  <c r="O429" i="18"/>
  <c r="N429" i="18"/>
  <c r="M429" i="18"/>
  <c r="N486" i="18"/>
  <c r="M604" i="18"/>
  <c r="P263" i="18"/>
  <c r="O162" i="18"/>
  <c r="O371" i="18"/>
  <c r="K186" i="18"/>
  <c r="M182" i="18"/>
  <c r="P108" i="18"/>
  <c r="O78" i="18"/>
  <c r="H381" i="18" a="1"/>
  <c r="H381" i="18" s="1"/>
  <c r="H459" i="18" a="1"/>
  <c r="H459" i="18" s="1"/>
  <c r="H391" i="18" a="1"/>
  <c r="H391" i="18" s="1"/>
  <c r="B427" i="18"/>
  <c r="M666" i="18"/>
  <c r="M498" i="18"/>
  <c r="O656" i="18"/>
  <c r="L487" i="18"/>
  <c r="L669" i="18"/>
  <c r="N498" i="18"/>
  <c r="M656" i="18"/>
  <c r="K502" i="18"/>
  <c r="K648" i="18"/>
  <c r="N604" i="18"/>
  <c r="P433" i="18"/>
  <c r="P458" i="18"/>
  <c r="K495" i="18"/>
  <c r="N539" i="18"/>
  <c r="P162" i="18"/>
  <c r="P371" i="18"/>
  <c r="L267" i="18"/>
  <c r="P186" i="18"/>
  <c r="N182" i="18"/>
  <c r="P199" i="18"/>
  <c r="P495" i="18"/>
  <c r="P568" i="18"/>
  <c r="M487" i="18"/>
  <c r="N186" i="18"/>
  <c r="K182" i="18"/>
  <c r="P121" i="18"/>
  <c r="N669" i="18"/>
  <c r="P490" i="18"/>
  <c r="K568" i="18"/>
  <c r="P502" i="18"/>
  <c r="P604" i="18"/>
  <c r="P488" i="18"/>
  <c r="O495" i="18"/>
  <c r="P539" i="18"/>
  <c r="L242" i="18"/>
  <c r="K162" i="18"/>
  <c r="N267" i="18"/>
  <c r="O76" i="18"/>
  <c r="L13" i="18"/>
  <c r="H76" i="18" a="1"/>
  <c r="H76" i="18" s="1"/>
  <c r="H182" i="18" a="1"/>
  <c r="H182" i="18" s="1"/>
  <c r="P581" i="18"/>
  <c r="M186" i="18"/>
  <c r="M180" i="18"/>
  <c r="N41" i="18"/>
  <c r="P242" i="18"/>
  <c r="O180" i="18"/>
  <c r="L41" i="18"/>
  <c r="N642" i="18"/>
  <c r="N501" i="18"/>
  <c r="L415" i="18"/>
  <c r="M581" i="18"/>
  <c r="O531" i="18"/>
  <c r="M367" i="18"/>
  <c r="P482" i="18"/>
  <c r="K405" i="18"/>
  <c r="P302" i="18"/>
  <c r="N193" i="18"/>
  <c r="M246" i="18"/>
  <c r="O381" i="18"/>
  <c r="N286" i="18"/>
  <c r="P180" i="18"/>
  <c r="L119" i="18"/>
  <c r="M112" i="18"/>
  <c r="M41" i="18"/>
  <c r="M28" i="18"/>
  <c r="N13" i="18"/>
  <c r="K433" i="18"/>
  <c r="H515" i="18" a="1"/>
  <c r="H515" i="18" s="1"/>
  <c r="B245" i="18"/>
  <c r="L245" i="18" s="1"/>
  <c r="H289" i="18" a="1"/>
  <c r="H289" i="18" s="1"/>
  <c r="H120" i="18" a="1"/>
  <c r="H120" i="18" s="1"/>
  <c r="H99" i="18" a="1"/>
  <c r="H99" i="18" s="1"/>
  <c r="H111" i="18" a="1"/>
  <c r="H111" i="18" s="1"/>
  <c r="K193" i="18"/>
  <c r="H282" i="18" a="1"/>
  <c r="H282" i="18" s="1"/>
  <c r="K581" i="18"/>
  <c r="O581" i="18"/>
  <c r="M587" i="18"/>
  <c r="N549" i="18"/>
  <c r="M642" i="18"/>
  <c r="L501" i="18"/>
  <c r="M593" i="18"/>
  <c r="O454" i="18"/>
  <c r="M415" i="18"/>
  <c r="L374" i="18"/>
  <c r="M531" i="18"/>
  <c r="L380" i="18"/>
  <c r="O367" i="18"/>
  <c r="O348" i="18"/>
  <c r="K482" i="18"/>
  <c r="P405" i="18"/>
  <c r="O276" i="18"/>
  <c r="L193" i="18"/>
  <c r="M395" i="18"/>
  <c r="N381" i="18"/>
  <c r="O286" i="18"/>
  <c r="M239" i="18"/>
  <c r="K180" i="18"/>
  <c r="P119" i="18"/>
  <c r="L112" i="18"/>
  <c r="O41" i="18"/>
  <c r="N28" i="18"/>
  <c r="H239" i="18" a="1"/>
  <c r="H239" i="18" s="1"/>
  <c r="H370" i="18" a="1"/>
  <c r="H370" i="18" s="1"/>
  <c r="H325" i="18" a="1"/>
  <c r="H325" i="18" s="1"/>
  <c r="H102" i="18" a="1"/>
  <c r="H102" i="18" s="1"/>
  <c r="H270" i="18" a="1"/>
  <c r="H270" i="18" s="1"/>
  <c r="H287" i="18" a="1"/>
  <c r="H287" i="18" s="1"/>
  <c r="H415" i="18" a="1"/>
  <c r="H415" i="18" s="1"/>
  <c r="H268" i="18" a="1"/>
  <c r="P415" i="18"/>
  <c r="O539" i="18"/>
  <c r="H180" i="18" a="1"/>
  <c r="H180" i="18" s="1"/>
  <c r="P549" i="18"/>
  <c r="O642" i="18"/>
  <c r="N415" i="18"/>
  <c r="M374" i="18"/>
  <c r="N476" i="18"/>
  <c r="L425" i="18"/>
  <c r="K380" i="18"/>
  <c r="M605" i="18"/>
  <c r="P169" i="18"/>
  <c r="P367" i="18"/>
  <c r="L348" i="18"/>
  <c r="L482" i="18"/>
  <c r="L276" i="18"/>
  <c r="N395" i="18"/>
  <c r="K239" i="18"/>
  <c r="L180" i="18"/>
  <c r="P154" i="18"/>
  <c r="K119" i="18"/>
  <c r="O28" i="18"/>
  <c r="H228" i="18" a="1"/>
  <c r="H228" i="18" s="1"/>
  <c r="N433" i="18"/>
  <c r="M231" i="18"/>
  <c r="K342" i="18"/>
  <c r="H401" i="18" a="1"/>
  <c r="H401" i="18" s="1"/>
  <c r="H78" i="18" a="1"/>
  <c r="H78" i="18" s="1"/>
  <c r="H230" i="18" a="1"/>
  <c r="H230" i="18" s="1"/>
  <c r="H45" i="18" a="1"/>
  <c r="H45" i="18" s="1"/>
  <c r="H13" i="18" a="1"/>
  <c r="H95" i="18" a="1"/>
  <c r="H95" i="18" s="1"/>
  <c r="H119" i="18" a="1"/>
  <c r="H290" i="18" a="1"/>
  <c r="H290" i="18" s="1"/>
  <c r="H505" i="18" a="1"/>
  <c r="H505" i="18" s="1"/>
  <c r="H210" i="18" a="1"/>
  <c r="H210" i="18" s="1"/>
  <c r="K587" i="18"/>
  <c r="O415" i="18"/>
  <c r="K476" i="18"/>
  <c r="M119" i="18"/>
  <c r="L587" i="18"/>
  <c r="K549" i="18"/>
  <c r="L520" i="18"/>
  <c r="K513" i="18"/>
  <c r="M637" i="18"/>
  <c r="K415" i="18"/>
  <c r="P374" i="18"/>
  <c r="O476" i="18"/>
  <c r="K620" i="18"/>
  <c r="K425" i="18"/>
  <c r="P380" i="18"/>
  <c r="K605" i="18"/>
  <c r="N367" i="18"/>
  <c r="N466" i="18"/>
  <c r="K348" i="18"/>
  <c r="M223" i="18"/>
  <c r="K276" i="18"/>
  <c r="L269" i="18"/>
  <c r="P207" i="18"/>
  <c r="L381" i="18"/>
  <c r="L286" i="18"/>
  <c r="L270" i="18"/>
  <c r="L179" i="18"/>
  <c r="K154" i="18"/>
  <c r="O140" i="18"/>
  <c r="N119" i="18"/>
  <c r="O111" i="18"/>
  <c r="N65" i="18"/>
  <c r="P28" i="18"/>
  <c r="H334" i="18" a="1"/>
  <c r="H334" i="18" s="1"/>
  <c r="B352" i="18"/>
  <c r="L352" i="18" s="1"/>
  <c r="H157" i="18" a="1"/>
  <c r="H157" i="18" s="1"/>
  <c r="H52" i="18" a="1"/>
  <c r="H52" i="18" s="1"/>
  <c r="M433" i="18"/>
  <c r="H367" i="18" a="1"/>
  <c r="P642" i="18"/>
  <c r="N374" i="18"/>
  <c r="N348" i="18"/>
  <c r="M286" i="18"/>
  <c r="O587" i="18"/>
  <c r="M549" i="18"/>
  <c r="M520" i="18"/>
  <c r="L513" i="18"/>
  <c r="P637" i="18"/>
  <c r="L559" i="18"/>
  <c r="P476" i="18"/>
  <c r="O486" i="18"/>
  <c r="N425" i="18"/>
  <c r="N605" i="18"/>
  <c r="M348" i="18"/>
  <c r="L169" i="18"/>
  <c r="P224" i="18"/>
  <c r="M276" i="18"/>
  <c r="K264" i="18"/>
  <c r="M269" i="18"/>
  <c r="M381" i="18"/>
  <c r="P286" i="18"/>
  <c r="N270" i="18"/>
  <c r="O237" i="18"/>
  <c r="L154" i="18"/>
  <c r="P140" i="18"/>
  <c r="M134" i="18"/>
  <c r="O119" i="18"/>
  <c r="K111" i="18"/>
  <c r="P65" i="18"/>
  <c r="K28" i="18"/>
  <c r="H193" i="18" a="1"/>
  <c r="H342" i="18" a="1"/>
  <c r="H342" i="18" s="1"/>
  <c r="H429" i="18" a="1"/>
  <c r="H429" i="18" s="1"/>
  <c r="H100" i="18" a="1"/>
  <c r="H100" i="18" s="1"/>
  <c r="H336" i="18" a="1"/>
  <c r="H336" i="18" s="1"/>
  <c r="H171" i="18" a="1"/>
  <c r="H171" i="18" s="1"/>
  <c r="K374" i="18"/>
  <c r="O520" i="18"/>
  <c r="N421" i="18"/>
  <c r="O513" i="18"/>
  <c r="O459" i="18"/>
  <c r="L476" i="18"/>
  <c r="L486" i="18"/>
  <c r="O425" i="18"/>
  <c r="K393" i="18"/>
  <c r="P348" i="18"/>
  <c r="M358" i="18"/>
  <c r="K224" i="18"/>
  <c r="P264" i="18"/>
  <c r="K223" i="18"/>
  <c r="P276" i="18"/>
  <c r="O264" i="18"/>
  <c r="N269" i="18"/>
  <c r="M207" i="18"/>
  <c r="L282" i="18"/>
  <c r="O270" i="18"/>
  <c r="P179" i="18"/>
  <c r="K140" i="18"/>
  <c r="P134" i="18"/>
  <c r="L111" i="18"/>
  <c r="H186" i="18" a="1"/>
  <c r="H186" i="18" s="1"/>
  <c r="M169" i="18"/>
  <c r="H224" i="18" a="1"/>
  <c r="H224" i="18" s="1"/>
  <c r="P231" i="18"/>
  <c r="H97" i="18" a="1"/>
  <c r="H97" i="18" s="1"/>
  <c r="H83" i="18" a="1"/>
  <c r="H83" i="18" s="1"/>
  <c r="H206" i="18" a="1"/>
  <c r="H145" i="18" a="1"/>
  <c r="H145" i="18" s="1"/>
  <c r="H374" i="18" a="1"/>
  <c r="H374" i="18" s="1"/>
  <c r="K229" i="18"/>
  <c r="H378" i="18" a="1"/>
  <c r="H378" i="18" s="1"/>
  <c r="B262" i="18"/>
  <c r="O307" i="18"/>
  <c r="O588" i="18"/>
  <c r="K490" i="18"/>
  <c r="P513" i="18"/>
  <c r="M346" i="18"/>
  <c r="N393" i="18"/>
  <c r="L224" i="18"/>
  <c r="O223" i="18"/>
  <c r="P269" i="18"/>
  <c r="K282" i="18"/>
  <c r="P270" i="18"/>
  <c r="M140" i="18"/>
  <c r="O118" i="18"/>
  <c r="O65" i="18"/>
  <c r="H435" i="18" a="1"/>
  <c r="H435" i="18" s="1"/>
  <c r="H267" i="18" a="1"/>
  <c r="H267" i="18" s="1"/>
  <c r="H350" i="18" a="1"/>
  <c r="H350" i="18" s="1"/>
  <c r="H346" i="18" a="1"/>
  <c r="H346" i="18" s="1"/>
  <c r="K134" i="18"/>
  <c r="P118" i="18"/>
  <c r="H140" i="18" a="1"/>
  <c r="H140" i="18" s="1"/>
  <c r="K520" i="18"/>
  <c r="K129" i="18"/>
  <c r="L553" i="18"/>
  <c r="L490" i="18"/>
  <c r="N513" i="18"/>
  <c r="P346" i="18"/>
  <c r="O393" i="18"/>
  <c r="L129" i="18"/>
  <c r="N224" i="18"/>
  <c r="L223" i="18"/>
  <c r="K103" i="18"/>
  <c r="K269" i="18"/>
  <c r="M282" i="18"/>
  <c r="M513" i="18"/>
  <c r="M490" i="18"/>
  <c r="P486" i="18"/>
  <c r="M401" i="18"/>
  <c r="P393" i="18"/>
  <c r="M129" i="18"/>
  <c r="L258" i="18"/>
  <c r="N345" i="18"/>
  <c r="O282" i="18"/>
  <c r="L140" i="18"/>
  <c r="L118" i="18"/>
  <c r="L78" i="18"/>
  <c r="H231" i="18" a="1"/>
  <c r="H231" i="18" s="1"/>
  <c r="H348" i="18" a="1"/>
  <c r="H348" i="18" s="1"/>
  <c r="B305" i="18"/>
  <c r="H118" i="18" a="1"/>
  <c r="H118" i="18" s="1"/>
  <c r="N180" i="18"/>
  <c r="N346" i="18"/>
  <c r="L393" i="18"/>
  <c r="P477" i="18"/>
  <c r="M459" i="18"/>
  <c r="K516" i="18"/>
  <c r="O401" i="18"/>
  <c r="O346" i="18"/>
  <c r="N129" i="18"/>
  <c r="M224" i="18"/>
  <c r="M199" i="18"/>
  <c r="M345" i="18"/>
  <c r="P282" i="18"/>
  <c r="M118" i="18"/>
  <c r="M78" i="18"/>
  <c r="H481" i="18" a="1"/>
  <c r="H481" i="18" s="1"/>
  <c r="H163" i="18" a="1"/>
  <c r="H163" i="18" s="1"/>
  <c r="H511" i="18" a="1"/>
  <c r="H511" i="18" s="1"/>
  <c r="H159" i="18" a="1"/>
  <c r="H159" i="18" s="1"/>
  <c r="H506" i="18" a="1"/>
  <c r="H15" i="18" a="1"/>
  <c r="H15" i="18" s="1"/>
  <c r="L65" i="18"/>
  <c r="H405" i="18" a="1"/>
  <c r="H405" i="18" s="1"/>
  <c r="H292" i="18" a="1"/>
  <c r="H292" i="18" s="1"/>
  <c r="H87" i="18" a="1"/>
  <c r="H87" i="18" s="1"/>
  <c r="O186" i="18"/>
  <c r="P553" i="18"/>
  <c r="K588" i="18"/>
  <c r="M477" i="18"/>
  <c r="N459" i="18"/>
  <c r="L516" i="18"/>
  <c r="P401" i="18"/>
  <c r="K346" i="18"/>
  <c r="N146" i="18"/>
  <c r="N282" i="18"/>
  <c r="N118" i="18"/>
  <c r="N78" i="18"/>
  <c r="H212" i="18" a="1"/>
  <c r="H212" i="18" s="1"/>
  <c r="B124" i="18"/>
  <c r="L124" i="18" s="1"/>
  <c r="H445" i="18" a="1"/>
  <c r="H445" i="18" s="1"/>
  <c r="O269" i="18"/>
  <c r="L588" i="18"/>
  <c r="N487" i="18"/>
  <c r="K627" i="18"/>
  <c r="L459" i="18"/>
  <c r="M516" i="18"/>
  <c r="N401" i="18"/>
  <c r="L346" i="18"/>
  <c r="O199" i="18"/>
  <c r="L345" i="18"/>
  <c r="K371" i="18"/>
  <c r="O182" i="18"/>
  <c r="K118" i="18"/>
  <c r="P78" i="18"/>
  <c r="H96" i="18" a="1"/>
  <c r="H96" i="18" s="1"/>
  <c r="B209" i="18"/>
  <c r="O231" i="18"/>
  <c r="M540" i="18"/>
  <c r="P588" i="18"/>
  <c r="O487" i="18"/>
  <c r="K604" i="18"/>
  <c r="M371" i="18"/>
  <c r="P182" i="18"/>
  <c r="H28" i="18" a="1"/>
  <c r="H411" i="18" a="1"/>
  <c r="H411" i="18" s="1"/>
  <c r="K65" i="18"/>
  <c r="B293" i="18"/>
  <c r="N293" i="18" s="1"/>
  <c r="P459" i="18"/>
  <c r="M568" i="18"/>
  <c r="M502" i="18"/>
  <c r="L199" i="18"/>
  <c r="O601" i="18"/>
  <c r="K487" i="18"/>
  <c r="L604" i="18"/>
  <c r="M628" i="18"/>
  <c r="L495" i="18"/>
  <c r="O374" i="18"/>
  <c r="P345" i="18"/>
  <c r="K78" i="18"/>
  <c r="H324" i="18" a="1"/>
  <c r="H324" i="18" s="1"/>
  <c r="H539" i="18" a="1"/>
  <c r="H539" i="18" s="1"/>
  <c r="P41" i="18"/>
  <c r="N169" i="18"/>
  <c r="P422" i="18"/>
  <c r="K422" i="18"/>
  <c r="O422" i="18"/>
  <c r="N422" i="18"/>
  <c r="O515" i="18"/>
  <c r="P515" i="18"/>
  <c r="M515" i="18"/>
  <c r="N158" i="18"/>
  <c r="M158" i="18"/>
  <c r="L158" i="18"/>
  <c r="K158" i="18"/>
  <c r="K323" i="18"/>
  <c r="K17" i="18"/>
  <c r="AA580" i="18"/>
  <c r="AA350" i="18"/>
  <c r="N207" i="18"/>
  <c r="O207" i="18"/>
  <c r="O110" i="18"/>
  <c r="L531" i="18"/>
  <c r="M17" i="18"/>
  <c r="N52" i="18"/>
  <c r="K175" i="18"/>
  <c r="N63" i="18"/>
  <c r="P52" i="18"/>
  <c r="O17" i="18"/>
  <c r="L92" i="18"/>
  <c r="M145" i="18"/>
  <c r="AA197" i="18"/>
  <c r="AA142" i="18"/>
  <c r="P252" i="18"/>
  <c r="K166" i="18"/>
  <c r="L97" i="18"/>
  <c r="K52" i="18"/>
  <c r="AA79" i="18"/>
  <c r="AA133" i="18"/>
  <c r="K629" i="18"/>
  <c r="O166" i="18"/>
  <c r="P97" i="18"/>
  <c r="H207" i="18" a="1"/>
  <c r="AA556" i="18"/>
  <c r="N234" i="18"/>
  <c r="K263" i="18"/>
  <c r="P166" i="18"/>
  <c r="K97" i="18"/>
  <c r="AA532" i="18"/>
  <c r="M53" i="18"/>
  <c r="N398" i="18"/>
  <c r="L234" i="18"/>
  <c r="L263" i="18"/>
  <c r="K39" i="18"/>
  <c r="N77" i="18"/>
  <c r="N121" i="18"/>
  <c r="AA286" i="18"/>
  <c r="M511" i="18"/>
  <c r="M234" i="18"/>
  <c r="N263" i="18"/>
  <c r="K15" i="18"/>
  <c r="L114" i="18"/>
  <c r="AA196" i="18"/>
  <c r="AA31" i="18"/>
  <c r="AA7" i="18"/>
  <c r="AA254" i="18"/>
  <c r="O511" i="18"/>
  <c r="O234" i="18"/>
  <c r="K421" i="18"/>
  <c r="AA348" i="18"/>
  <c r="AA495" i="18"/>
  <c r="AA388" i="18"/>
  <c r="AA474" i="18"/>
  <c r="B44" i="18"/>
  <c r="H44" i="18" a="1"/>
  <c r="H44" i="18" s="1"/>
  <c r="P511" i="18"/>
  <c r="O369" i="18"/>
  <c r="N298" i="18"/>
  <c r="L371" i="18"/>
  <c r="M39" i="18"/>
  <c r="P9" i="18"/>
  <c r="L152" i="18"/>
  <c r="L421" i="18"/>
  <c r="H341" i="18" a="1"/>
  <c r="H341" i="18" s="1"/>
  <c r="K287" i="18"/>
  <c r="H98" i="18" a="1"/>
  <c r="AA362" i="18"/>
  <c r="K202" i="18"/>
  <c r="M64" i="18"/>
  <c r="AA336" i="18"/>
  <c r="AA386" i="18"/>
  <c r="M421" i="18"/>
  <c r="H439" i="18" a="1"/>
  <c r="H439" i="18" s="1"/>
  <c r="B203" i="18"/>
  <c r="H203" i="18" a="1"/>
  <c r="H203" i="18" s="1"/>
  <c r="AA55" i="18"/>
  <c r="N338" i="18"/>
  <c r="M237" i="18"/>
  <c r="K206" i="18"/>
  <c r="P127" i="18"/>
  <c r="M256" i="18"/>
  <c r="M206" i="18"/>
  <c r="B483" i="18"/>
  <c r="H483" i="18" a="1"/>
  <c r="H483" i="18" s="1"/>
  <c r="K26" i="18"/>
  <c r="L167" i="18"/>
  <c r="L235" i="18"/>
  <c r="AA436" i="18"/>
  <c r="P98" i="18"/>
  <c r="O241" i="18"/>
  <c r="N53" i="18"/>
  <c r="AA410" i="18"/>
  <c r="AA206" i="18"/>
  <c r="K108" i="18"/>
  <c r="O53" i="18"/>
  <c r="AA538" i="18"/>
  <c r="M649" i="18"/>
  <c r="K531" i="18"/>
  <c r="K167" i="18"/>
  <c r="K222" i="18"/>
  <c r="P235" i="18"/>
  <c r="O120" i="18"/>
  <c r="O108" i="18"/>
  <c r="P53" i="18"/>
  <c r="H398" i="18" a="1"/>
  <c r="H398" i="18" s="1"/>
  <c r="H421" i="18" a="1"/>
  <c r="H421" i="18" s="1"/>
  <c r="AA259" i="18"/>
  <c r="P649" i="18"/>
  <c r="K235" i="18"/>
  <c r="O64" i="18"/>
  <c r="N295" i="18"/>
  <c r="AA460" i="18"/>
  <c r="B181" i="18"/>
  <c r="H181" i="18" a="1"/>
  <c r="H181" i="18" s="1"/>
  <c r="B387" i="18"/>
  <c r="H387" i="18" a="1"/>
  <c r="H387" i="18" s="1"/>
  <c r="AA96" i="18"/>
  <c r="M517" i="18"/>
  <c r="N531" i="18"/>
  <c r="M252" i="18"/>
  <c r="N235" i="18"/>
  <c r="N108" i="18"/>
  <c r="P64" i="18"/>
  <c r="K53" i="18"/>
  <c r="N37" i="18"/>
  <c r="AA604" i="18"/>
  <c r="K281" i="18"/>
  <c r="P111" i="18"/>
  <c r="B278" i="18"/>
  <c r="M149" i="18"/>
  <c r="M63" i="18"/>
  <c r="K624" i="18"/>
  <c r="L571" i="18"/>
  <c r="M574" i="18"/>
  <c r="O206" i="18"/>
  <c r="P158" i="18"/>
  <c r="L24" i="18"/>
  <c r="L18" i="18"/>
  <c r="P18" i="18"/>
  <c r="M624" i="18"/>
  <c r="M571" i="18"/>
  <c r="P574" i="18"/>
  <c r="P206" i="18"/>
  <c r="O86" i="18"/>
  <c r="O24" i="18"/>
  <c r="P624" i="18"/>
  <c r="O571" i="18"/>
  <c r="N226" i="18"/>
  <c r="P86" i="18"/>
  <c r="L108" i="18"/>
  <c r="M86" i="18"/>
  <c r="K12" i="18"/>
  <c r="N637" i="18"/>
  <c r="O624" i="18"/>
  <c r="K440" i="18"/>
  <c r="O438" i="18"/>
  <c r="M404" i="18"/>
  <c r="K637" i="18"/>
  <c r="N624" i="18"/>
  <c r="L440" i="18"/>
  <c r="O92" i="18"/>
  <c r="O226" i="18"/>
  <c r="O158" i="18"/>
  <c r="M114" i="18"/>
  <c r="L86" i="18"/>
  <c r="L629" i="18"/>
  <c r="O637" i="18"/>
  <c r="P92" i="18"/>
  <c r="K226" i="18"/>
  <c r="N233" i="18"/>
  <c r="O157" i="18"/>
  <c r="P114" i="18"/>
  <c r="N86" i="18"/>
  <c r="L515" i="18"/>
  <c r="M629" i="18"/>
  <c r="N438" i="18"/>
  <c r="P265" i="18"/>
  <c r="O233" i="18"/>
  <c r="L157" i="18"/>
  <c r="O39" i="18"/>
  <c r="N629" i="18"/>
  <c r="L265" i="18"/>
  <c r="K233" i="18"/>
  <c r="M157" i="18"/>
  <c r="N471" i="18"/>
  <c r="O265" i="18"/>
  <c r="P157" i="18"/>
  <c r="N26" i="18"/>
  <c r="M26" i="18"/>
  <c r="L202" i="18"/>
  <c r="L527" i="18"/>
  <c r="N515" i="18"/>
  <c r="M662" i="18"/>
  <c r="L471" i="18"/>
  <c r="O344" i="18"/>
  <c r="O202" i="18"/>
  <c r="N175" i="18"/>
  <c r="K145" i="18"/>
  <c r="K515" i="18"/>
  <c r="N662" i="18"/>
  <c r="M471" i="18"/>
  <c r="L458" i="18"/>
  <c r="K344" i="18"/>
  <c r="O456" i="18"/>
  <c r="P175" i="18"/>
  <c r="K9" i="18"/>
  <c r="O471" i="18"/>
  <c r="L344" i="18"/>
  <c r="M484" i="18"/>
  <c r="K63" i="18"/>
  <c r="N628" i="18"/>
  <c r="M620" i="18"/>
  <c r="O208" i="18"/>
  <c r="O308" i="18"/>
  <c r="O256" i="18"/>
  <c r="N100" i="18"/>
  <c r="P308" i="18"/>
  <c r="K100" i="18"/>
  <c r="O628" i="18"/>
  <c r="P628" i="18"/>
  <c r="O517" i="18"/>
  <c r="L620" i="18"/>
  <c r="L356" i="18"/>
  <c r="P256" i="18"/>
  <c r="N152" i="18"/>
  <c r="L100" i="18"/>
  <c r="K308" i="18"/>
  <c r="L256" i="18"/>
  <c r="P100" i="18"/>
  <c r="K500" i="18"/>
  <c r="L500" i="18"/>
  <c r="O620" i="18"/>
  <c r="P356" i="18"/>
  <c r="L308" i="18"/>
  <c r="N319" i="18"/>
  <c r="M331" i="18"/>
  <c r="M52" i="18"/>
  <c r="K517" i="18"/>
  <c r="N500" i="18"/>
  <c r="P620" i="18"/>
  <c r="O319" i="18"/>
  <c r="K141" i="18"/>
  <c r="N331" i="18"/>
  <c r="M18" i="18"/>
  <c r="P500" i="18"/>
  <c r="P319" i="18"/>
  <c r="M141" i="18"/>
  <c r="M329" i="18"/>
  <c r="K329" i="18"/>
  <c r="P517" i="18"/>
  <c r="M265" i="18"/>
  <c r="O399" i="18"/>
  <c r="P141" i="18"/>
  <c r="L329" i="18"/>
  <c r="M204" i="18"/>
  <c r="M166" i="18"/>
  <c r="K86" i="18"/>
  <c r="L17" i="18"/>
  <c r="K199" i="18"/>
  <c r="O627" i="18"/>
  <c r="N265" i="18"/>
  <c r="M319" i="18"/>
  <c r="N329" i="18"/>
  <c r="N204" i="18"/>
  <c r="H547" i="18"/>
  <c r="O329" i="18"/>
  <c r="K399" i="18"/>
  <c r="P329" i="18"/>
  <c r="K265" i="18"/>
  <c r="L399" i="18"/>
  <c r="M399" i="18"/>
  <c r="L324" i="18"/>
  <c r="N399" i="18"/>
  <c r="N324" i="18"/>
  <c r="M522" i="18"/>
  <c r="M594" i="18"/>
  <c r="P399" i="18"/>
  <c r="O324" i="18"/>
  <c r="L113" i="18"/>
  <c r="N594" i="18"/>
  <c r="O594" i="18"/>
  <c r="L12" i="18"/>
  <c r="M12" i="18"/>
  <c r="K628" i="18"/>
  <c r="K419" i="18"/>
  <c r="N302" i="18"/>
  <c r="K120" i="18"/>
  <c r="O12" i="18"/>
  <c r="L628" i="18"/>
  <c r="P594" i="18"/>
  <c r="K256" i="18"/>
  <c r="P233" i="18"/>
  <c r="P145" i="18"/>
  <c r="L120" i="18"/>
  <c r="P15" i="18"/>
  <c r="P12" i="18"/>
  <c r="N627" i="18"/>
  <c r="O350" i="18"/>
  <c r="K402" i="18"/>
  <c r="L240" i="18"/>
  <c r="O26" i="18"/>
  <c r="P627" i="18"/>
  <c r="M500" i="18"/>
  <c r="L349" i="18"/>
  <c r="N117" i="18"/>
  <c r="L301" i="18"/>
  <c r="O235" i="18"/>
  <c r="K152" i="18"/>
  <c r="P26" i="18"/>
  <c r="P344" i="18"/>
  <c r="L141" i="18"/>
  <c r="L402" i="18"/>
  <c r="M240" i="18"/>
  <c r="P152" i="18"/>
  <c r="L117" i="18"/>
  <c r="M258" i="18"/>
  <c r="N301" i="18"/>
  <c r="N240" i="18"/>
  <c r="N166" i="18"/>
  <c r="O457" i="18"/>
  <c r="L233" i="18"/>
  <c r="P457" i="18"/>
  <c r="M318" i="18"/>
  <c r="N516" i="18"/>
  <c r="O252" i="18"/>
  <c r="M298" i="18"/>
  <c r="M123" i="18"/>
  <c r="P37" i="18"/>
  <c r="K24" i="18"/>
  <c r="M15" i="18"/>
  <c r="O516" i="18"/>
  <c r="O298" i="18"/>
  <c r="M233" i="18"/>
  <c r="M24" i="18"/>
  <c r="N15" i="18"/>
  <c r="M47" i="18"/>
  <c r="O167" i="18"/>
  <c r="K319" i="18"/>
  <c r="M167" i="18"/>
  <c r="O141" i="18"/>
  <c r="N402" i="18"/>
  <c r="L627" i="18"/>
  <c r="N141" i="18"/>
  <c r="K249" i="18"/>
  <c r="L26" i="18"/>
  <c r="AF475" i="18"/>
  <c r="AE475" i="18"/>
  <c r="AD475" i="18"/>
  <c r="AG475" i="18"/>
  <c r="AI475" i="18"/>
  <c r="AH475" i="18"/>
  <c r="AF523" i="18"/>
  <c r="AE523" i="18"/>
  <c r="AD523" i="18"/>
  <c r="AH523" i="18"/>
  <c r="AI523" i="18"/>
  <c r="AG523" i="18"/>
  <c r="AG415" i="18"/>
  <c r="AF415" i="18"/>
  <c r="AD415" i="18"/>
  <c r="AI415" i="18"/>
  <c r="AH415" i="18"/>
  <c r="AE415" i="18"/>
  <c r="AG391" i="18"/>
  <c r="AF391" i="18"/>
  <c r="AH391" i="18"/>
  <c r="AI391" i="18"/>
  <c r="AD391" i="18"/>
  <c r="AE391" i="18"/>
  <c r="AE434" i="18"/>
  <c r="AD434" i="18"/>
  <c r="AF434" i="18"/>
  <c r="AH434" i="18"/>
  <c r="AG434" i="18"/>
  <c r="AI434" i="18"/>
  <c r="AH323" i="18"/>
  <c r="AG323" i="18"/>
  <c r="AI323" i="18"/>
  <c r="AF323" i="18"/>
  <c r="AE323" i="18"/>
  <c r="AD323" i="18"/>
  <c r="AI565" i="18"/>
  <c r="AH565" i="18"/>
  <c r="AG565" i="18"/>
  <c r="AF565" i="18"/>
  <c r="AE565" i="18"/>
  <c r="AD565" i="18"/>
  <c r="AG444" i="18"/>
  <c r="AF444" i="18"/>
  <c r="AE444" i="18"/>
  <c r="AI444" i="18"/>
  <c r="AH444" i="18"/>
  <c r="AD444" i="18"/>
  <c r="AF619" i="18"/>
  <c r="AE619" i="18"/>
  <c r="AD619" i="18"/>
  <c r="AH619" i="18"/>
  <c r="AI619" i="18"/>
  <c r="AG619" i="18"/>
  <c r="AE521" i="18"/>
  <c r="AI521" i="18"/>
  <c r="AH521" i="18"/>
  <c r="AG521" i="18"/>
  <c r="AF521" i="18"/>
  <c r="AD521" i="18"/>
  <c r="AD375" i="18"/>
  <c r="AI375" i="18"/>
  <c r="AH375" i="18"/>
  <c r="AG375" i="18"/>
  <c r="AF375" i="18"/>
  <c r="AE375" i="18"/>
  <c r="AF494" i="18"/>
  <c r="AE494" i="18"/>
  <c r="AI494" i="18"/>
  <c r="AH494" i="18"/>
  <c r="AG494" i="18"/>
  <c r="AD494" i="18"/>
  <c r="AI237" i="18"/>
  <c r="AD237" i="18"/>
  <c r="AH237" i="18"/>
  <c r="AG237" i="18"/>
  <c r="AF237" i="18"/>
  <c r="AE237" i="18"/>
  <c r="AD151" i="18"/>
  <c r="AI151" i="18"/>
  <c r="AE151" i="18"/>
  <c r="AG151" i="18"/>
  <c r="AH151" i="18"/>
  <c r="AF151" i="18"/>
  <c r="AH242" i="18"/>
  <c r="AD242" i="18"/>
  <c r="AG242" i="18"/>
  <c r="AF242" i="18"/>
  <c r="AI242" i="18"/>
  <c r="AE242" i="18"/>
  <c r="AI13" i="18"/>
  <c r="AH13" i="18"/>
  <c r="AG13" i="18"/>
  <c r="AF13" i="18"/>
  <c r="AE13" i="18"/>
  <c r="AD13" i="18"/>
  <c r="AF72" i="18"/>
  <c r="AE72" i="18"/>
  <c r="AD72" i="18"/>
  <c r="AI72" i="18"/>
  <c r="AH72" i="18"/>
  <c r="AG72" i="18"/>
  <c r="AD86" i="18"/>
  <c r="AG86" i="18"/>
  <c r="AF86" i="18"/>
  <c r="AE86" i="18"/>
  <c r="AI86" i="18"/>
  <c r="AH86" i="18"/>
  <c r="AH457" i="18"/>
  <c r="AG457" i="18"/>
  <c r="AF457" i="18"/>
  <c r="AD457" i="18"/>
  <c r="AE457" i="18"/>
  <c r="AI457" i="18"/>
  <c r="AH299" i="18"/>
  <c r="AG299" i="18"/>
  <c r="AF299" i="18"/>
  <c r="AE299" i="18"/>
  <c r="AI299" i="18"/>
  <c r="AD299" i="18"/>
  <c r="AG411" i="18"/>
  <c r="AE411" i="18"/>
  <c r="AF411" i="18"/>
  <c r="AI411" i="18"/>
  <c r="AH411" i="18"/>
  <c r="AD411" i="18"/>
  <c r="AF161" i="18"/>
  <c r="AD161" i="18"/>
  <c r="AI161" i="18"/>
  <c r="AH161" i="18"/>
  <c r="AG161" i="18"/>
  <c r="AE161" i="18"/>
  <c r="AF102" i="18"/>
  <c r="AE102" i="18"/>
  <c r="AI102" i="18"/>
  <c r="AH102" i="18"/>
  <c r="AG102" i="18"/>
  <c r="AD102" i="18"/>
  <c r="AD12" i="18"/>
  <c r="AF12" i="18"/>
  <c r="AE12" i="18"/>
  <c r="AI12" i="18"/>
  <c r="AH12" i="18"/>
  <c r="AG12" i="18"/>
  <c r="AG155" i="18"/>
  <c r="AI155" i="18"/>
  <c r="AH155" i="18"/>
  <c r="AF155" i="18"/>
  <c r="AE155" i="18"/>
  <c r="AD155" i="18"/>
  <c r="AH414" i="18"/>
  <c r="AF414" i="18"/>
  <c r="AI414" i="18"/>
  <c r="AG414" i="18"/>
  <c r="AE414" i="18"/>
  <c r="AD414" i="18"/>
  <c r="AI630" i="18"/>
  <c r="AH630" i="18"/>
  <c r="AG630" i="18"/>
  <c r="AF630" i="18"/>
  <c r="AE630" i="18"/>
  <c r="AD630" i="18"/>
  <c r="AI503" i="18"/>
  <c r="AG503" i="18"/>
  <c r="AH503" i="18"/>
  <c r="AF503" i="18"/>
  <c r="AE503" i="18"/>
  <c r="AD503" i="18"/>
  <c r="AI48" i="18"/>
  <c r="AH48" i="18"/>
  <c r="AG48" i="18"/>
  <c r="AF48" i="18"/>
  <c r="AE48" i="18"/>
  <c r="AD48" i="18"/>
  <c r="AE112" i="18"/>
  <c r="AF112" i="18"/>
  <c r="AI112" i="18"/>
  <c r="AH112" i="18"/>
  <c r="AG112" i="18"/>
  <c r="AD112" i="18"/>
  <c r="AG203" i="18"/>
  <c r="AE203" i="18"/>
  <c r="AH203" i="18"/>
  <c r="AD203" i="18"/>
  <c r="AI203" i="18"/>
  <c r="AF203" i="18"/>
  <c r="AI377" i="18"/>
  <c r="AE377" i="18"/>
  <c r="AG377" i="18"/>
  <c r="AD377" i="18"/>
  <c r="AH377" i="18"/>
  <c r="AF377" i="18"/>
  <c r="AI18" i="18"/>
  <c r="AE18" i="18"/>
  <c r="AH18" i="18"/>
  <c r="AG18" i="18"/>
  <c r="AF18" i="18"/>
  <c r="AD18" i="18"/>
  <c r="AG76" i="18"/>
  <c r="AI76" i="18"/>
  <c r="AH76" i="18"/>
  <c r="AF76" i="18"/>
  <c r="AE76" i="18"/>
  <c r="AD76" i="18"/>
  <c r="AI138" i="18"/>
  <c r="AH138" i="18"/>
  <c r="AG138" i="18"/>
  <c r="AF138" i="18"/>
  <c r="AE138" i="18"/>
  <c r="AD138" i="18"/>
  <c r="AH239" i="18"/>
  <c r="AD239" i="18"/>
  <c r="AI239" i="18"/>
  <c r="AG239" i="18"/>
  <c r="AF239" i="18"/>
  <c r="AE239" i="18"/>
  <c r="H507" i="18"/>
  <c r="P530" i="18"/>
  <c r="P582" i="18"/>
  <c r="O104" i="18"/>
  <c r="AH345" i="18"/>
  <c r="AI345" i="18"/>
  <c r="AF345" i="18"/>
  <c r="AE345" i="18"/>
  <c r="AD345" i="18"/>
  <c r="AG345" i="18"/>
  <c r="AF385" i="18"/>
  <c r="AE385" i="18"/>
  <c r="AH385" i="18"/>
  <c r="AD385" i="18"/>
  <c r="AI385" i="18"/>
  <c r="AG385" i="18"/>
  <c r="AH461" i="18"/>
  <c r="AG461" i="18"/>
  <c r="AF461" i="18"/>
  <c r="AD461" i="18"/>
  <c r="AI461" i="18"/>
  <c r="AE461" i="18"/>
  <c r="AH510" i="18"/>
  <c r="AF510" i="18"/>
  <c r="AD510" i="18"/>
  <c r="AI510" i="18"/>
  <c r="AE510" i="18"/>
  <c r="AG510" i="18"/>
  <c r="AI469" i="18"/>
  <c r="AG469" i="18"/>
  <c r="AE469" i="18"/>
  <c r="AH469" i="18"/>
  <c r="AF469" i="18"/>
  <c r="AD469" i="18"/>
  <c r="AI601" i="18"/>
  <c r="AH601" i="18"/>
  <c r="AG601" i="18"/>
  <c r="AF601" i="18"/>
  <c r="AE601" i="18"/>
  <c r="AD601" i="18"/>
  <c r="AH69" i="18"/>
  <c r="AF69" i="18"/>
  <c r="AE69" i="18"/>
  <c r="AD69" i="18"/>
  <c r="AI69" i="18"/>
  <c r="AG69" i="18"/>
  <c r="AG101" i="18"/>
  <c r="AI101" i="18"/>
  <c r="AH101" i="18"/>
  <c r="AF101" i="18"/>
  <c r="AE101" i="18"/>
  <c r="AD101" i="18"/>
  <c r="AG122" i="18"/>
  <c r="AE122" i="18"/>
  <c r="AI122" i="18"/>
  <c r="AH122" i="18"/>
  <c r="AF122" i="18"/>
  <c r="AD122" i="18"/>
  <c r="AF271" i="18"/>
  <c r="AI271" i="18"/>
  <c r="AH271" i="18"/>
  <c r="AD271" i="18"/>
  <c r="AG271" i="18"/>
  <c r="AE271" i="18"/>
  <c r="AF337" i="18"/>
  <c r="AE337" i="18"/>
  <c r="AD337" i="18"/>
  <c r="AI337" i="18"/>
  <c r="AH337" i="18"/>
  <c r="AG337" i="18"/>
  <c r="AH553" i="18"/>
  <c r="AG553" i="18"/>
  <c r="AF553" i="18"/>
  <c r="AE553" i="18"/>
  <c r="AD553" i="18"/>
  <c r="AI553" i="18"/>
  <c r="AH400" i="18"/>
  <c r="AF400" i="18"/>
  <c r="AE400" i="18"/>
  <c r="AG400" i="18"/>
  <c r="AD400" i="18"/>
  <c r="AI400" i="18"/>
  <c r="AF70" i="18"/>
  <c r="AE70" i="18"/>
  <c r="AI70" i="18"/>
  <c r="AH70" i="18"/>
  <c r="AG70" i="18"/>
  <c r="AD70" i="18"/>
  <c r="AE34" i="18"/>
  <c r="AH34" i="18"/>
  <c r="AG34" i="18"/>
  <c r="AF34" i="18"/>
  <c r="AD34" i="18"/>
  <c r="AI34" i="18"/>
  <c r="H639" i="18"/>
  <c r="H580" i="18"/>
  <c r="AI132" i="18"/>
  <c r="AG132" i="18"/>
  <c r="AF132" i="18"/>
  <c r="AE132" i="18"/>
  <c r="AH132" i="18"/>
  <c r="AD132" i="18"/>
  <c r="AI399" i="18"/>
  <c r="AH399" i="18"/>
  <c r="AF399" i="18"/>
  <c r="AE399" i="18"/>
  <c r="AD399" i="18"/>
  <c r="AG399" i="18"/>
  <c r="AE342" i="18"/>
  <c r="AD342" i="18"/>
  <c r="AF342" i="18"/>
  <c r="AI342" i="18"/>
  <c r="AH342" i="18"/>
  <c r="AG342" i="18"/>
  <c r="AH61" i="18"/>
  <c r="AE61" i="18"/>
  <c r="AD61" i="18"/>
  <c r="AG61" i="18"/>
  <c r="AF61" i="18"/>
  <c r="AI61" i="18"/>
  <c r="AD41" i="18"/>
  <c r="AI41" i="18"/>
  <c r="AH41" i="18"/>
  <c r="AG41" i="18"/>
  <c r="AF41" i="18"/>
  <c r="AE41" i="18"/>
  <c r="AG435" i="18"/>
  <c r="AE435" i="18"/>
  <c r="AD435" i="18"/>
  <c r="AI435" i="18"/>
  <c r="AH435" i="18"/>
  <c r="AF435" i="18"/>
  <c r="AH266" i="18"/>
  <c r="AF266" i="18"/>
  <c r="AI266" i="18"/>
  <c r="AG266" i="18"/>
  <c r="AE266" i="18"/>
  <c r="AD266" i="18"/>
  <c r="AE453" i="18"/>
  <c r="AD453" i="18"/>
  <c r="AI453" i="18"/>
  <c r="AH453" i="18"/>
  <c r="AG453" i="18"/>
  <c r="AF453" i="18"/>
  <c r="AG280" i="18"/>
  <c r="AI280" i="18"/>
  <c r="AF280" i="18"/>
  <c r="AE280" i="18"/>
  <c r="AD280" i="18"/>
  <c r="AH280" i="18"/>
  <c r="AI526" i="18"/>
  <c r="AH526" i="18"/>
  <c r="AG526" i="18"/>
  <c r="AE526" i="18"/>
  <c r="AD526" i="18"/>
  <c r="AF526" i="18"/>
  <c r="AI478" i="18"/>
  <c r="AH478" i="18"/>
  <c r="AG478" i="18"/>
  <c r="AE478" i="18"/>
  <c r="AD478" i="18"/>
  <c r="AF478" i="18"/>
  <c r="AI673" i="18"/>
  <c r="AH673" i="18"/>
  <c r="AG673" i="18"/>
  <c r="AF673" i="18"/>
  <c r="AE673" i="18"/>
  <c r="AD673" i="18"/>
  <c r="AE458" i="18"/>
  <c r="AD458" i="18"/>
  <c r="AI458" i="18"/>
  <c r="AF458" i="18"/>
  <c r="AH458" i="18"/>
  <c r="AG458" i="18"/>
  <c r="AH332" i="18"/>
  <c r="AI332" i="18"/>
  <c r="AF332" i="18"/>
  <c r="AE332" i="18"/>
  <c r="AD332" i="18"/>
  <c r="AG332" i="18"/>
  <c r="AI491" i="18"/>
  <c r="AH491" i="18"/>
  <c r="AD491" i="18"/>
  <c r="AE491" i="18"/>
  <c r="AG491" i="18"/>
  <c r="AF491" i="18"/>
  <c r="AI464" i="18"/>
  <c r="AG464" i="18"/>
  <c r="AF464" i="18"/>
  <c r="AE464" i="18"/>
  <c r="AD464" i="18"/>
  <c r="AH464" i="18"/>
  <c r="AI585" i="18"/>
  <c r="AD585" i="18"/>
  <c r="AH585" i="18"/>
  <c r="AG585" i="18"/>
  <c r="AF585" i="18"/>
  <c r="AE585" i="18"/>
  <c r="AF370" i="18"/>
  <c r="AG370" i="18"/>
  <c r="AH370" i="18"/>
  <c r="AE370" i="18"/>
  <c r="AD370" i="18"/>
  <c r="AI370" i="18"/>
  <c r="AH308" i="18"/>
  <c r="AE308" i="18"/>
  <c r="AF308" i="18"/>
  <c r="AI308" i="18"/>
  <c r="AG308" i="18"/>
  <c r="AD308" i="18"/>
  <c r="AI447" i="18"/>
  <c r="AH447" i="18"/>
  <c r="AF447" i="18"/>
  <c r="AE447" i="18"/>
  <c r="AD447" i="18"/>
  <c r="AG447" i="18"/>
  <c r="AG468" i="18"/>
  <c r="AF468" i="18"/>
  <c r="AE468" i="18"/>
  <c r="AH468" i="18"/>
  <c r="AD468" i="18"/>
  <c r="AI468" i="18"/>
  <c r="AI573" i="18"/>
  <c r="AE573" i="18"/>
  <c r="AD573" i="18"/>
  <c r="AH573" i="18"/>
  <c r="AG573" i="18"/>
  <c r="AF573" i="18"/>
  <c r="AI489" i="18"/>
  <c r="AD489" i="18"/>
  <c r="AH489" i="18"/>
  <c r="AE489" i="18"/>
  <c r="AF489" i="18"/>
  <c r="AG489" i="18"/>
  <c r="AH106" i="18"/>
  <c r="AG106" i="18"/>
  <c r="AF106" i="18"/>
  <c r="AE106" i="18"/>
  <c r="AD106" i="18"/>
  <c r="AI106" i="18"/>
  <c r="AD187" i="18"/>
  <c r="AI187" i="18"/>
  <c r="AH187" i="18"/>
  <c r="AG187" i="18"/>
  <c r="AF187" i="18"/>
  <c r="AE187" i="18"/>
  <c r="AE368" i="18"/>
  <c r="AD368" i="18"/>
  <c r="AF368" i="18"/>
  <c r="AI368" i="18"/>
  <c r="AH368" i="18"/>
  <c r="AG368" i="18"/>
  <c r="AH276" i="18"/>
  <c r="AF276" i="18"/>
  <c r="AE276" i="18"/>
  <c r="AD276" i="18"/>
  <c r="AG276" i="18"/>
  <c r="AI276" i="18"/>
  <c r="AI536" i="18"/>
  <c r="AG536" i="18"/>
  <c r="AF536" i="18"/>
  <c r="AE536" i="18"/>
  <c r="AD536" i="18"/>
  <c r="AH536" i="18"/>
  <c r="AE130" i="18"/>
  <c r="AF130" i="18"/>
  <c r="AD130" i="18"/>
  <c r="AH130" i="18"/>
  <c r="AG130" i="18"/>
  <c r="AI130" i="18"/>
  <c r="AH195" i="18"/>
  <c r="AF195" i="18"/>
  <c r="AI195" i="18"/>
  <c r="AG195" i="18"/>
  <c r="AE195" i="18"/>
  <c r="AD195" i="18"/>
  <c r="AG341" i="18"/>
  <c r="AE341" i="18"/>
  <c r="AD341" i="18"/>
  <c r="AH341" i="18"/>
  <c r="AI341" i="18"/>
  <c r="AF341" i="18"/>
  <c r="AE144" i="18"/>
  <c r="AI144" i="18"/>
  <c r="AH144" i="18"/>
  <c r="AG144" i="18"/>
  <c r="AF144" i="18"/>
  <c r="AD144" i="18"/>
  <c r="L206" i="18"/>
  <c r="M90" i="18"/>
  <c r="N17" i="18"/>
  <c r="L581" i="18"/>
  <c r="N103" i="18"/>
  <c r="AI622" i="18"/>
  <c r="AH622" i="18"/>
  <c r="AG622" i="18"/>
  <c r="AF622" i="18"/>
  <c r="AE622" i="18"/>
  <c r="AD622" i="18"/>
  <c r="AI637" i="18"/>
  <c r="AH637" i="18"/>
  <c r="AG637" i="18"/>
  <c r="AF637" i="18"/>
  <c r="AE637" i="18"/>
  <c r="AD637" i="18"/>
  <c r="AG540" i="18"/>
  <c r="AF540" i="18"/>
  <c r="AE540" i="18"/>
  <c r="AI540" i="18"/>
  <c r="AH540" i="18"/>
  <c r="AD540" i="18"/>
  <c r="AD223" i="18"/>
  <c r="AI223" i="18"/>
  <c r="AG223" i="18"/>
  <c r="AH223" i="18"/>
  <c r="AF223" i="18"/>
  <c r="AE223" i="18"/>
  <c r="AE88" i="18"/>
  <c r="AI88" i="18"/>
  <c r="AH88" i="18"/>
  <c r="AG88" i="18"/>
  <c r="AF88" i="18"/>
  <c r="AD88" i="18"/>
  <c r="AI316" i="18"/>
  <c r="AH316" i="18"/>
  <c r="AD316" i="18"/>
  <c r="AE316" i="18"/>
  <c r="AG316" i="18"/>
  <c r="AF316" i="18"/>
  <c r="AI445" i="18"/>
  <c r="AG445" i="18"/>
  <c r="AE445" i="18"/>
  <c r="AF445" i="18"/>
  <c r="AH445" i="18"/>
  <c r="AD445" i="18"/>
  <c r="AI563" i="18"/>
  <c r="AH563" i="18"/>
  <c r="AG563" i="18"/>
  <c r="AF563" i="18"/>
  <c r="AE563" i="18"/>
  <c r="AD563" i="18"/>
  <c r="AD373" i="18"/>
  <c r="AI373" i="18"/>
  <c r="AH373" i="18"/>
  <c r="AF373" i="18"/>
  <c r="AE373" i="18"/>
  <c r="AG373" i="18"/>
  <c r="AG331" i="18"/>
  <c r="AH331" i="18"/>
  <c r="AF331" i="18"/>
  <c r="AD331" i="18"/>
  <c r="AI331" i="18"/>
  <c r="AE331" i="18"/>
  <c r="AI645" i="18"/>
  <c r="AE645" i="18"/>
  <c r="AD645" i="18"/>
  <c r="AH645" i="18"/>
  <c r="AG645" i="18"/>
  <c r="AF645" i="18"/>
  <c r="AH428" i="18"/>
  <c r="AF428" i="18"/>
  <c r="AD428" i="18"/>
  <c r="AI428" i="18"/>
  <c r="AG428" i="18"/>
  <c r="AE428" i="18"/>
  <c r="AG396" i="18"/>
  <c r="AF396" i="18"/>
  <c r="AE396" i="18"/>
  <c r="AD396" i="18"/>
  <c r="AI396" i="18"/>
  <c r="AH396" i="18"/>
  <c r="AE473" i="18"/>
  <c r="AI473" i="18"/>
  <c r="AH473" i="18"/>
  <c r="AG473" i="18"/>
  <c r="AF473" i="18"/>
  <c r="AD473" i="18"/>
  <c r="AF335" i="18"/>
  <c r="AI335" i="18"/>
  <c r="AH335" i="18"/>
  <c r="AG335" i="18"/>
  <c r="AE335" i="18"/>
  <c r="AD335" i="18"/>
  <c r="AG328" i="18"/>
  <c r="AF328" i="18"/>
  <c r="AD328" i="18"/>
  <c r="AI328" i="18"/>
  <c r="AE328" i="18"/>
  <c r="AH328" i="18"/>
  <c r="AF198" i="18"/>
  <c r="AI198" i="18"/>
  <c r="AG198" i="18"/>
  <c r="AH198" i="18"/>
  <c r="AE198" i="18"/>
  <c r="AD198" i="18"/>
  <c r="AD95" i="18"/>
  <c r="AE95" i="18"/>
  <c r="AI95" i="18"/>
  <c r="AH95" i="18"/>
  <c r="AG95" i="18"/>
  <c r="AF95" i="18"/>
  <c r="AI165" i="18"/>
  <c r="AG165" i="18"/>
  <c r="AF165" i="18"/>
  <c r="AH165" i="18"/>
  <c r="AE165" i="18"/>
  <c r="AD165" i="18"/>
  <c r="AI582" i="18"/>
  <c r="AH582" i="18"/>
  <c r="AG582" i="18"/>
  <c r="AF582" i="18"/>
  <c r="AD582" i="18"/>
  <c r="AE582" i="18"/>
  <c r="AH557" i="18"/>
  <c r="AG557" i="18"/>
  <c r="AF557" i="18"/>
  <c r="AE557" i="18"/>
  <c r="AD557" i="18"/>
  <c r="AI557" i="18"/>
  <c r="AG135" i="18"/>
  <c r="AF135" i="18"/>
  <c r="AI135" i="18"/>
  <c r="AH135" i="18"/>
  <c r="AE135" i="18"/>
  <c r="AD135" i="18"/>
  <c r="AI283" i="18"/>
  <c r="AD283" i="18"/>
  <c r="AG283" i="18"/>
  <c r="AH283" i="18"/>
  <c r="AF283" i="18"/>
  <c r="AE283" i="18"/>
  <c r="AD349" i="18"/>
  <c r="AI349" i="18"/>
  <c r="AH349" i="18"/>
  <c r="AG349" i="18"/>
  <c r="AF349" i="18"/>
  <c r="AE349" i="18"/>
  <c r="AF265" i="18"/>
  <c r="AE265" i="18"/>
  <c r="AG265" i="18"/>
  <c r="AI265" i="18"/>
  <c r="AH265" i="18"/>
  <c r="AD265" i="18"/>
  <c r="AG603" i="18"/>
  <c r="AF603" i="18"/>
  <c r="AE603" i="18"/>
  <c r="AD603" i="18"/>
  <c r="AI603" i="18"/>
  <c r="AH603" i="18"/>
  <c r="AI74" i="18"/>
  <c r="AG74" i="18"/>
  <c r="AF74" i="18"/>
  <c r="AE74" i="18"/>
  <c r="AH74" i="18"/>
  <c r="AD74" i="18"/>
  <c r="AI611" i="18"/>
  <c r="AH611" i="18"/>
  <c r="AG611" i="18"/>
  <c r="AD611" i="18"/>
  <c r="AE611" i="18"/>
  <c r="AF611" i="18"/>
  <c r="AI293" i="18"/>
  <c r="AG293" i="18"/>
  <c r="AF293" i="18"/>
  <c r="AE293" i="18"/>
  <c r="AD293" i="18"/>
  <c r="AH293" i="18"/>
  <c r="AF403" i="18"/>
  <c r="AE403" i="18"/>
  <c r="AD403" i="18"/>
  <c r="AI403" i="18"/>
  <c r="AG403" i="18"/>
  <c r="AH403" i="18"/>
  <c r="AH356" i="18"/>
  <c r="AG356" i="18"/>
  <c r="AF356" i="18"/>
  <c r="AE356" i="18"/>
  <c r="AI356" i="18"/>
  <c r="AD356" i="18"/>
  <c r="AG28" i="18"/>
  <c r="AI28" i="18"/>
  <c r="AH28" i="18"/>
  <c r="AF28" i="18"/>
  <c r="AE28" i="18"/>
  <c r="AD28" i="18"/>
  <c r="AF162" i="18"/>
  <c r="AD162" i="18"/>
  <c r="AI162" i="18"/>
  <c r="AH162" i="18"/>
  <c r="AG162" i="18"/>
  <c r="AE162" i="18"/>
  <c r="AI131" i="18"/>
  <c r="AH131" i="18"/>
  <c r="AD131" i="18"/>
  <c r="AG131" i="18"/>
  <c r="AF131" i="18"/>
  <c r="AE131" i="18"/>
  <c r="AH219" i="18"/>
  <c r="AG219" i="18"/>
  <c r="AI219" i="18"/>
  <c r="AF219" i="18"/>
  <c r="AE219" i="18"/>
  <c r="AD219" i="18"/>
  <c r="AG71" i="18"/>
  <c r="AF71" i="18"/>
  <c r="AD71" i="18"/>
  <c r="AI71" i="18"/>
  <c r="AH71" i="18"/>
  <c r="AE71" i="18"/>
  <c r="AH251" i="18"/>
  <c r="AG251" i="18"/>
  <c r="AE251" i="18"/>
  <c r="AF251" i="18"/>
  <c r="AI251" i="18"/>
  <c r="AD251" i="18"/>
  <c r="P90" i="18"/>
  <c r="P17" i="18"/>
  <c r="H672" i="18"/>
  <c r="K8" i="18"/>
  <c r="AD504" i="18"/>
  <c r="AH504" i="18"/>
  <c r="AG504" i="18"/>
  <c r="AE504" i="18"/>
  <c r="AI504" i="18"/>
  <c r="AF504" i="18"/>
  <c r="AH360" i="18"/>
  <c r="AD360" i="18"/>
  <c r="AF360" i="18"/>
  <c r="AE360" i="18"/>
  <c r="AI360" i="18"/>
  <c r="AG360" i="18"/>
  <c r="AF222" i="18"/>
  <c r="AI222" i="18"/>
  <c r="AD222" i="18"/>
  <c r="AH222" i="18"/>
  <c r="AE222" i="18"/>
  <c r="AG222" i="18"/>
  <c r="AI550" i="18"/>
  <c r="AH550" i="18"/>
  <c r="AG550" i="18"/>
  <c r="AE550" i="18"/>
  <c r="AD550" i="18"/>
  <c r="AF550" i="18"/>
  <c r="AD327" i="18"/>
  <c r="AF327" i="18"/>
  <c r="AI327" i="18"/>
  <c r="AG327" i="18"/>
  <c r="AE327" i="18"/>
  <c r="AH327" i="18"/>
  <c r="K56" i="18"/>
  <c r="N650" i="18"/>
  <c r="M597" i="18"/>
  <c r="M422" i="18"/>
  <c r="L488" i="18"/>
  <c r="M128" i="18"/>
  <c r="AE554" i="18"/>
  <c r="AD554" i="18"/>
  <c r="AH554" i="18"/>
  <c r="AG554" i="18"/>
  <c r="AF554" i="18"/>
  <c r="AI554" i="18"/>
  <c r="AG660" i="18"/>
  <c r="AF660" i="18"/>
  <c r="AE660" i="18"/>
  <c r="AD660" i="18"/>
  <c r="AI660" i="18"/>
  <c r="AH660" i="18"/>
  <c r="AI212" i="18"/>
  <c r="AD212" i="18"/>
  <c r="AG212" i="18"/>
  <c r="AE212" i="18"/>
  <c r="AH212" i="18"/>
  <c r="AF212" i="18"/>
  <c r="AF418" i="18"/>
  <c r="AD418" i="18"/>
  <c r="AI418" i="18"/>
  <c r="AE418" i="18"/>
  <c r="AH418" i="18"/>
  <c r="AG418" i="18"/>
  <c r="AI397" i="18"/>
  <c r="AG397" i="18"/>
  <c r="AE397" i="18"/>
  <c r="AH397" i="18"/>
  <c r="AD397" i="18"/>
  <c r="AF397" i="18"/>
  <c r="AI517" i="18"/>
  <c r="AG517" i="18"/>
  <c r="AE517" i="18"/>
  <c r="AH517" i="18"/>
  <c r="AD517" i="18"/>
  <c r="AF517" i="18"/>
  <c r="AG354" i="18"/>
  <c r="AF354" i="18"/>
  <c r="AH354" i="18"/>
  <c r="AD354" i="18"/>
  <c r="AI354" i="18"/>
  <c r="AE354" i="18"/>
  <c r="AI656" i="18"/>
  <c r="AH656" i="18"/>
  <c r="AG656" i="18"/>
  <c r="AF656" i="18"/>
  <c r="AE656" i="18"/>
  <c r="AD656" i="18"/>
  <c r="AG367" i="18"/>
  <c r="AF367" i="18"/>
  <c r="AD367" i="18"/>
  <c r="AE367" i="18"/>
  <c r="AI367" i="18"/>
  <c r="AH367" i="18"/>
  <c r="AD303" i="18"/>
  <c r="AF303" i="18"/>
  <c r="AI303" i="18"/>
  <c r="AG303" i="18"/>
  <c r="AE303" i="18"/>
  <c r="AH303" i="18"/>
  <c r="AF209" i="18"/>
  <c r="AI209" i="18"/>
  <c r="AD209" i="18"/>
  <c r="AG209" i="18"/>
  <c r="AE209" i="18"/>
  <c r="AH209" i="18"/>
  <c r="AH64" i="18"/>
  <c r="AG64" i="18"/>
  <c r="AE64" i="18"/>
  <c r="AD64" i="18"/>
  <c r="AI64" i="18"/>
  <c r="AF64" i="18"/>
  <c r="AF427" i="18"/>
  <c r="AE427" i="18"/>
  <c r="AD427" i="18"/>
  <c r="AI427" i="18"/>
  <c r="AH427" i="18"/>
  <c r="AG427" i="18"/>
  <c r="AH524" i="18"/>
  <c r="AF524" i="18"/>
  <c r="AD524" i="18"/>
  <c r="AI524" i="18"/>
  <c r="AG524" i="18"/>
  <c r="AE524" i="18"/>
  <c r="AG330" i="18"/>
  <c r="AF330" i="18"/>
  <c r="AI330" i="18"/>
  <c r="AH330" i="18"/>
  <c r="AE330" i="18"/>
  <c r="AD330" i="18"/>
  <c r="AF518" i="18"/>
  <c r="AE518" i="18"/>
  <c r="AI518" i="18"/>
  <c r="AH518" i="18"/>
  <c r="AG518" i="18"/>
  <c r="AD518" i="18"/>
  <c r="AF269" i="18"/>
  <c r="AG269" i="18"/>
  <c r="AH269" i="18"/>
  <c r="AI269" i="18"/>
  <c r="AE269" i="18"/>
  <c r="AD269" i="18"/>
  <c r="AH321" i="18"/>
  <c r="AI321" i="18"/>
  <c r="AF321" i="18"/>
  <c r="AD321" i="18"/>
  <c r="AG321" i="18"/>
  <c r="AE321" i="18"/>
  <c r="AF233" i="18"/>
  <c r="AI233" i="18"/>
  <c r="AG233" i="18"/>
  <c r="AE233" i="18"/>
  <c r="AD233" i="18"/>
  <c r="AH233" i="18"/>
  <c r="AH548" i="18"/>
  <c r="AF548" i="18"/>
  <c r="AD548" i="18"/>
  <c r="AI548" i="18"/>
  <c r="AG548" i="18"/>
  <c r="AE548" i="18"/>
  <c r="AE77" i="18"/>
  <c r="AD77" i="18"/>
  <c r="AI77" i="18"/>
  <c r="AH77" i="18"/>
  <c r="AG77" i="18"/>
  <c r="AF77" i="18"/>
  <c r="AD60" i="18"/>
  <c r="AI60" i="18"/>
  <c r="AH60" i="18"/>
  <c r="AG60" i="18"/>
  <c r="AF60" i="18"/>
  <c r="AE60" i="18"/>
  <c r="AD113" i="18"/>
  <c r="AE113" i="18"/>
  <c r="AI113" i="18"/>
  <c r="AH113" i="18"/>
  <c r="AG113" i="18"/>
  <c r="AF113" i="18"/>
  <c r="AF238" i="18"/>
  <c r="AD238" i="18"/>
  <c r="AI238" i="18"/>
  <c r="AH238" i="18"/>
  <c r="AG238" i="18"/>
  <c r="AE238" i="18"/>
  <c r="AI285" i="18"/>
  <c r="AE285" i="18"/>
  <c r="AD285" i="18"/>
  <c r="AG285" i="18"/>
  <c r="AF285" i="18"/>
  <c r="AH285" i="18"/>
  <c r="AI243" i="18"/>
  <c r="AH243" i="18"/>
  <c r="AG243" i="18"/>
  <c r="AF243" i="18"/>
  <c r="AE243" i="18"/>
  <c r="AD243" i="18"/>
  <c r="AI309" i="18"/>
  <c r="AE309" i="18"/>
  <c r="AG309" i="18"/>
  <c r="AD309" i="18"/>
  <c r="AH309" i="18"/>
  <c r="AF309" i="18"/>
  <c r="AH317" i="18"/>
  <c r="AG317" i="18"/>
  <c r="AF317" i="18"/>
  <c r="AD317" i="18"/>
  <c r="AI317" i="18"/>
  <c r="AE317" i="18"/>
  <c r="AF11" i="18"/>
  <c r="AI11" i="18"/>
  <c r="AH11" i="18"/>
  <c r="AG11" i="18"/>
  <c r="AE11" i="18"/>
  <c r="AD11" i="18"/>
  <c r="AF123" i="18"/>
  <c r="AH123" i="18"/>
  <c r="AI123" i="18"/>
  <c r="AG123" i="18"/>
  <c r="AE123" i="18"/>
  <c r="AD123" i="18"/>
  <c r="AI114" i="18"/>
  <c r="AF114" i="18"/>
  <c r="AE114" i="18"/>
  <c r="AH114" i="18"/>
  <c r="AG114" i="18"/>
  <c r="AD114" i="18"/>
  <c r="AG63" i="18"/>
  <c r="AF63" i="18"/>
  <c r="AI63" i="18"/>
  <c r="AH63" i="18"/>
  <c r="AE63" i="18"/>
  <c r="AD63" i="18"/>
  <c r="AH149" i="18"/>
  <c r="AE149" i="18"/>
  <c r="AD149" i="18"/>
  <c r="AG149" i="18"/>
  <c r="AF149" i="18"/>
  <c r="AI149" i="18"/>
  <c r="AG535" i="18"/>
  <c r="AF535" i="18"/>
  <c r="AE535" i="18"/>
  <c r="AD535" i="18"/>
  <c r="AI535" i="18"/>
  <c r="AH535" i="18"/>
  <c r="AG463" i="18"/>
  <c r="AF463" i="18"/>
  <c r="AH463" i="18"/>
  <c r="AE463" i="18"/>
  <c r="AI463" i="18"/>
  <c r="AD463" i="18"/>
  <c r="AH224" i="18"/>
  <c r="AD224" i="18"/>
  <c r="AI224" i="18"/>
  <c r="AG224" i="18"/>
  <c r="AF224" i="18"/>
  <c r="AE224" i="18"/>
  <c r="AG307" i="18"/>
  <c r="AH307" i="18"/>
  <c r="AF307" i="18"/>
  <c r="AD307" i="18"/>
  <c r="AI307" i="18"/>
  <c r="AE307" i="18"/>
  <c r="H659" i="18"/>
  <c r="AH620" i="18"/>
  <c r="AG620" i="18"/>
  <c r="AF620" i="18"/>
  <c r="AE620" i="18"/>
  <c r="AD620" i="18"/>
  <c r="AI620" i="18"/>
  <c r="AG516" i="18"/>
  <c r="AF516" i="18"/>
  <c r="AE516" i="18"/>
  <c r="AH516" i="18"/>
  <c r="AD516" i="18"/>
  <c r="AI516" i="18"/>
  <c r="AI381" i="18"/>
  <c r="AE381" i="18"/>
  <c r="AD381" i="18"/>
  <c r="AH381" i="18"/>
  <c r="AG381" i="18"/>
  <c r="AF381" i="18"/>
  <c r="AI454" i="18"/>
  <c r="AH454" i="18"/>
  <c r="AG454" i="18"/>
  <c r="AE454" i="18"/>
  <c r="AD454" i="18"/>
  <c r="AF454" i="18"/>
  <c r="AF451" i="18"/>
  <c r="AE451" i="18"/>
  <c r="AD451" i="18"/>
  <c r="AI451" i="18"/>
  <c r="AH451" i="18"/>
  <c r="AG451" i="18"/>
  <c r="AG343" i="18"/>
  <c r="AH343" i="18"/>
  <c r="AI343" i="18"/>
  <c r="AF343" i="18"/>
  <c r="AE343" i="18"/>
  <c r="AD343" i="18"/>
  <c r="AH476" i="18"/>
  <c r="AF476" i="18"/>
  <c r="AD476" i="18"/>
  <c r="AE476" i="18"/>
  <c r="AI476" i="18"/>
  <c r="AG476" i="18"/>
  <c r="AH438" i="18"/>
  <c r="AF438" i="18"/>
  <c r="AE438" i="18"/>
  <c r="AD438" i="18"/>
  <c r="AG438" i="18"/>
  <c r="AI438" i="18"/>
  <c r="AE252" i="18"/>
  <c r="AI252" i="18"/>
  <c r="AH252" i="18"/>
  <c r="AF252" i="18"/>
  <c r="AD252" i="18"/>
  <c r="AG252" i="18"/>
  <c r="AH91" i="18"/>
  <c r="AG91" i="18"/>
  <c r="AF91" i="18"/>
  <c r="AI91" i="18"/>
  <c r="AE91" i="18"/>
  <c r="AD91" i="18"/>
  <c r="AG116" i="18"/>
  <c r="AI116" i="18"/>
  <c r="AD116" i="18"/>
  <c r="AH116" i="18"/>
  <c r="AF116" i="18"/>
  <c r="AE116" i="18"/>
  <c r="AH260" i="18"/>
  <c r="AI260" i="18"/>
  <c r="AF260" i="18"/>
  <c r="AE260" i="18"/>
  <c r="AD260" i="18"/>
  <c r="AG260" i="18"/>
  <c r="AH389" i="18"/>
  <c r="AG389" i="18"/>
  <c r="AF389" i="18"/>
  <c r="AD389" i="18"/>
  <c r="AI389" i="18"/>
  <c r="AE389" i="18"/>
  <c r="AI419" i="18"/>
  <c r="AH419" i="18"/>
  <c r="AE419" i="18"/>
  <c r="AD419" i="18"/>
  <c r="AF419" i="18"/>
  <c r="AG419" i="18"/>
  <c r="AD552" i="18"/>
  <c r="AH552" i="18"/>
  <c r="AG552" i="18"/>
  <c r="AE552" i="18"/>
  <c r="AI552" i="18"/>
  <c r="AF552" i="18"/>
  <c r="AI406" i="18"/>
  <c r="AH406" i="18"/>
  <c r="AG406" i="18"/>
  <c r="AE406" i="18"/>
  <c r="AD406" i="18"/>
  <c r="AF406" i="18"/>
  <c r="AE626" i="18"/>
  <c r="AD626" i="18"/>
  <c r="AI626" i="18"/>
  <c r="AG626" i="18"/>
  <c r="AF626" i="18"/>
  <c r="AH626" i="18"/>
  <c r="AI430" i="18"/>
  <c r="AH430" i="18"/>
  <c r="AG430" i="18"/>
  <c r="AE430" i="18"/>
  <c r="AD430" i="18"/>
  <c r="AF430" i="18"/>
  <c r="AI635" i="18"/>
  <c r="AH635" i="18"/>
  <c r="AG635" i="18"/>
  <c r="AE635" i="18"/>
  <c r="AD635" i="18"/>
  <c r="AF635" i="18"/>
  <c r="AE379" i="18"/>
  <c r="AI379" i="18"/>
  <c r="AH379" i="18"/>
  <c r="AG379" i="18"/>
  <c r="AF379" i="18"/>
  <c r="AD379" i="18"/>
  <c r="AI416" i="18"/>
  <c r="AG416" i="18"/>
  <c r="AF416" i="18"/>
  <c r="AE416" i="18"/>
  <c r="AD416" i="18"/>
  <c r="AH416" i="18"/>
  <c r="AI539" i="18"/>
  <c r="AH539" i="18"/>
  <c r="AF539" i="18"/>
  <c r="AE539" i="18"/>
  <c r="AD539" i="18"/>
  <c r="AG539" i="18"/>
  <c r="AI568" i="18"/>
  <c r="AH568" i="18"/>
  <c r="AD568" i="18"/>
  <c r="AE568" i="18"/>
  <c r="AG568" i="18"/>
  <c r="AF568" i="18"/>
  <c r="AI338" i="18"/>
  <c r="AH338" i="18"/>
  <c r="AG338" i="18"/>
  <c r="AF338" i="18"/>
  <c r="AE338" i="18"/>
  <c r="AD338" i="18"/>
  <c r="AD325" i="18"/>
  <c r="AI325" i="18"/>
  <c r="AE325" i="18"/>
  <c r="AH325" i="18"/>
  <c r="AG325" i="18"/>
  <c r="AF325" i="18"/>
  <c r="AI465" i="18"/>
  <c r="AD465" i="18"/>
  <c r="AH465" i="18"/>
  <c r="AG465" i="18"/>
  <c r="AF465" i="18"/>
  <c r="AE465" i="18"/>
  <c r="AH369" i="18"/>
  <c r="AG369" i="18"/>
  <c r="AE369" i="18"/>
  <c r="AD369" i="18"/>
  <c r="AI369" i="18"/>
  <c r="AF369" i="18"/>
  <c r="AG154" i="18"/>
  <c r="AH154" i="18"/>
  <c r="AE154" i="18"/>
  <c r="AF154" i="18"/>
  <c r="AI154" i="18"/>
  <c r="AD154" i="18"/>
  <c r="AI140" i="18"/>
  <c r="AG140" i="18"/>
  <c r="AE140" i="18"/>
  <c r="AH140" i="18"/>
  <c r="AF140" i="18"/>
  <c r="AD140" i="18"/>
  <c r="AF124" i="18"/>
  <c r="AE124" i="18"/>
  <c r="AI124" i="18"/>
  <c r="AH124" i="18"/>
  <c r="AG124" i="18"/>
  <c r="AD124" i="18"/>
  <c r="AI570" i="18"/>
  <c r="AH570" i="18"/>
  <c r="AG570" i="18"/>
  <c r="AF570" i="18"/>
  <c r="AD570" i="18"/>
  <c r="AE570" i="18"/>
  <c r="AG68" i="18"/>
  <c r="AD68" i="18"/>
  <c r="AI68" i="18"/>
  <c r="AH68" i="18"/>
  <c r="AF68" i="18"/>
  <c r="AE68" i="18"/>
  <c r="N206" i="18"/>
  <c r="H602" i="18"/>
  <c r="AI92" i="18"/>
  <c r="AH92" i="18"/>
  <c r="AF92" i="18"/>
  <c r="AE92" i="18"/>
  <c r="AD92" i="18"/>
  <c r="AG92" i="18"/>
  <c r="AG507" i="18"/>
  <c r="AE507" i="18"/>
  <c r="AI507" i="18"/>
  <c r="AH507" i="18"/>
  <c r="AF507" i="18"/>
  <c r="AD507" i="18"/>
  <c r="H654" i="18"/>
  <c r="AI659" i="18"/>
  <c r="AH659" i="18"/>
  <c r="AG659" i="18"/>
  <c r="AD659" i="18"/>
  <c r="AE659" i="18"/>
  <c r="AF659" i="18"/>
  <c r="AE401" i="18"/>
  <c r="AI401" i="18"/>
  <c r="AH401" i="18"/>
  <c r="AD401" i="18"/>
  <c r="AG401" i="18"/>
  <c r="AF401" i="18"/>
  <c r="AI245" i="18"/>
  <c r="AG245" i="18"/>
  <c r="AF245" i="18"/>
  <c r="AE245" i="18"/>
  <c r="AH245" i="18"/>
  <c r="AD245" i="18"/>
  <c r="AF190" i="18"/>
  <c r="AE190" i="18"/>
  <c r="AI190" i="18"/>
  <c r="AH190" i="18"/>
  <c r="AG190" i="18"/>
  <c r="AD190" i="18"/>
  <c r="AI50" i="18"/>
  <c r="AG50" i="18"/>
  <c r="AF50" i="18"/>
  <c r="AE50" i="18"/>
  <c r="AD50" i="18"/>
  <c r="AH50" i="18"/>
  <c r="AH424" i="18"/>
  <c r="AE424" i="18"/>
  <c r="AI424" i="18"/>
  <c r="AG424" i="18"/>
  <c r="AF424" i="18"/>
  <c r="AD424" i="18"/>
  <c r="AF446" i="18"/>
  <c r="AE446" i="18"/>
  <c r="AH446" i="18"/>
  <c r="AG446" i="18"/>
  <c r="AD446" i="18"/>
  <c r="AI446" i="18"/>
  <c r="AG291" i="18"/>
  <c r="AH291" i="18"/>
  <c r="AI291" i="18"/>
  <c r="AE291" i="18"/>
  <c r="AD291" i="18"/>
  <c r="AF291" i="18"/>
  <c r="AH45" i="18"/>
  <c r="AI45" i="18"/>
  <c r="AG45" i="18"/>
  <c r="AF45" i="18"/>
  <c r="AE45" i="18"/>
  <c r="AD45" i="18"/>
  <c r="AH462" i="18"/>
  <c r="AF462" i="18"/>
  <c r="AD462" i="18"/>
  <c r="AE462" i="18"/>
  <c r="AI462" i="18"/>
  <c r="AG462" i="18"/>
  <c r="AH32" i="18"/>
  <c r="AG32" i="18"/>
  <c r="AI32" i="18"/>
  <c r="AF32" i="18"/>
  <c r="AE32" i="18"/>
  <c r="AD32" i="18"/>
  <c r="AH43" i="18"/>
  <c r="AF43" i="18"/>
  <c r="AI43" i="18"/>
  <c r="AG43" i="18"/>
  <c r="AE43" i="18"/>
  <c r="AD43" i="18"/>
  <c r="AF470" i="18"/>
  <c r="AE470" i="18"/>
  <c r="AH470" i="18"/>
  <c r="AD470" i="18"/>
  <c r="AI470" i="18"/>
  <c r="AG470" i="18"/>
  <c r="AH110" i="18"/>
  <c r="AG110" i="18"/>
  <c r="AE110" i="18"/>
  <c r="AD110" i="18"/>
  <c r="AI110" i="18"/>
  <c r="AF110" i="18"/>
  <c r="AI213" i="18"/>
  <c r="AG213" i="18"/>
  <c r="AE213" i="18"/>
  <c r="AH213" i="18"/>
  <c r="AF213" i="18"/>
  <c r="AD213" i="18"/>
  <c r="AG282" i="18"/>
  <c r="AF282" i="18"/>
  <c r="AI282" i="18"/>
  <c r="AE282" i="18"/>
  <c r="AD282" i="18"/>
  <c r="AH282" i="18"/>
  <c r="AI290" i="18"/>
  <c r="AE290" i="18"/>
  <c r="AD290" i="18"/>
  <c r="AH290" i="18"/>
  <c r="AF290" i="18"/>
  <c r="AG290" i="18"/>
  <c r="AG78" i="18"/>
  <c r="AF78" i="18"/>
  <c r="AD78" i="18"/>
  <c r="AI78" i="18"/>
  <c r="AH78" i="18"/>
  <c r="AE78" i="18"/>
  <c r="AI49" i="18"/>
  <c r="AH49" i="18"/>
  <c r="AD49" i="18"/>
  <c r="AG49" i="18"/>
  <c r="AF49" i="18"/>
  <c r="AE49" i="18"/>
  <c r="AI73" i="18"/>
  <c r="AH73" i="18"/>
  <c r="AD73" i="18"/>
  <c r="AG73" i="18"/>
  <c r="AF73" i="18"/>
  <c r="AE73" i="18"/>
  <c r="AI649" i="18"/>
  <c r="AH649" i="18"/>
  <c r="AG649" i="18"/>
  <c r="AF649" i="18"/>
  <c r="AE649" i="18"/>
  <c r="AD649" i="18"/>
  <c r="AF610" i="18"/>
  <c r="AE610" i="18"/>
  <c r="AD610" i="18"/>
  <c r="AI610" i="18"/>
  <c r="AH610" i="18"/>
  <c r="AG610" i="18"/>
  <c r="AI615" i="18"/>
  <c r="AH615" i="18"/>
  <c r="AG615" i="18"/>
  <c r="AF615" i="18"/>
  <c r="AE615" i="18"/>
  <c r="AD615" i="18"/>
  <c r="AE650" i="18"/>
  <c r="AD650" i="18"/>
  <c r="AF650" i="18"/>
  <c r="AI650" i="18"/>
  <c r="AH650" i="18"/>
  <c r="AG650" i="18"/>
  <c r="AI599" i="18"/>
  <c r="AH599" i="18"/>
  <c r="AG599" i="18"/>
  <c r="AF599" i="18"/>
  <c r="AD599" i="18"/>
  <c r="AE599" i="18"/>
  <c r="AH371" i="18"/>
  <c r="AG371" i="18"/>
  <c r="AF371" i="18"/>
  <c r="AE371" i="18"/>
  <c r="AD371" i="18"/>
  <c r="AI371" i="18"/>
  <c r="AE344" i="18"/>
  <c r="AD344" i="18"/>
  <c r="AH344" i="18"/>
  <c r="AI344" i="18"/>
  <c r="AG344" i="18"/>
  <c r="AF344" i="18"/>
  <c r="AI661" i="18"/>
  <c r="AH661" i="18"/>
  <c r="AG661" i="18"/>
  <c r="AF661" i="18"/>
  <c r="AE661" i="18"/>
  <c r="AD661" i="18"/>
  <c r="AE449" i="18"/>
  <c r="AI449" i="18"/>
  <c r="AH449" i="18"/>
  <c r="AF449" i="18"/>
  <c r="AD449" i="18"/>
  <c r="AG449" i="18"/>
  <c r="AF361" i="18"/>
  <c r="AE361" i="18"/>
  <c r="AD361" i="18"/>
  <c r="AI361" i="18"/>
  <c r="AH361" i="18"/>
  <c r="AG361" i="18"/>
  <c r="AI193" i="18"/>
  <c r="AE193" i="18"/>
  <c r="AF193" i="18"/>
  <c r="AH193" i="18"/>
  <c r="AD193" i="18"/>
  <c r="AG193" i="18"/>
  <c r="AI84" i="18"/>
  <c r="AF84" i="18"/>
  <c r="AE84" i="18"/>
  <c r="AH84" i="18"/>
  <c r="AG84" i="18"/>
  <c r="AD84" i="18"/>
  <c r="AG211" i="18"/>
  <c r="AI211" i="18"/>
  <c r="AE211" i="18"/>
  <c r="AD211" i="18"/>
  <c r="AH211" i="18"/>
  <c r="AF211" i="18"/>
  <c r="AE235" i="18"/>
  <c r="AI235" i="18"/>
  <c r="AG235" i="18"/>
  <c r="AF235" i="18"/>
  <c r="AD235" i="18"/>
  <c r="AH235" i="18"/>
  <c r="AG339" i="18"/>
  <c r="AE339" i="18"/>
  <c r="AH339" i="18"/>
  <c r="AI339" i="18"/>
  <c r="AF339" i="18"/>
  <c r="AD339" i="18"/>
  <c r="P56" i="18"/>
  <c r="P20" i="18"/>
  <c r="AG167" i="18"/>
  <c r="AI167" i="18"/>
  <c r="AF167" i="18"/>
  <c r="AE167" i="18"/>
  <c r="AD167" i="18"/>
  <c r="AH167" i="18"/>
  <c r="AD301" i="18"/>
  <c r="AI301" i="18"/>
  <c r="AE301" i="18"/>
  <c r="AH301" i="18"/>
  <c r="AG301" i="18"/>
  <c r="AF301" i="18"/>
  <c r="AI395" i="18"/>
  <c r="AH395" i="18"/>
  <c r="AG395" i="18"/>
  <c r="AF395" i="18"/>
  <c r="AE395" i="18"/>
  <c r="AD395" i="18"/>
  <c r="AF595" i="18"/>
  <c r="AE595" i="18"/>
  <c r="AD595" i="18"/>
  <c r="AG595" i="18"/>
  <c r="AI595" i="18"/>
  <c r="AH595" i="18"/>
  <c r="AI541" i="18"/>
  <c r="AG541" i="18"/>
  <c r="AE541" i="18"/>
  <c r="AH541" i="18"/>
  <c r="AF541" i="18"/>
  <c r="AD541" i="18"/>
  <c r="AF359" i="18"/>
  <c r="AG359" i="18"/>
  <c r="AE359" i="18"/>
  <c r="AI359" i="18"/>
  <c r="AH359" i="18"/>
  <c r="AD359" i="18"/>
  <c r="AG295" i="18"/>
  <c r="AI295" i="18"/>
  <c r="AD295" i="18"/>
  <c r="AH295" i="18"/>
  <c r="AF295" i="18"/>
  <c r="AE295" i="18"/>
  <c r="AF137" i="18"/>
  <c r="AD137" i="18"/>
  <c r="AH137" i="18"/>
  <c r="AI137" i="18"/>
  <c r="AG137" i="18"/>
  <c r="AE137" i="18"/>
  <c r="AF313" i="18"/>
  <c r="AE313" i="18"/>
  <c r="AG313" i="18"/>
  <c r="AI313" i="18"/>
  <c r="AH313" i="18"/>
  <c r="AD313" i="18"/>
  <c r="AE205" i="18"/>
  <c r="AG205" i="18"/>
  <c r="AF205" i="18"/>
  <c r="AI205" i="18"/>
  <c r="AH205" i="18"/>
  <c r="AD205" i="18"/>
  <c r="AH160" i="18"/>
  <c r="AG160" i="18"/>
  <c r="AE160" i="18"/>
  <c r="AD160" i="18"/>
  <c r="AI160" i="18"/>
  <c r="AF160" i="18"/>
  <c r="AD111" i="18"/>
  <c r="AI111" i="18"/>
  <c r="AH111" i="18"/>
  <c r="AG111" i="18"/>
  <c r="AF111" i="18"/>
  <c r="AE111" i="18"/>
  <c r="AG23" i="18"/>
  <c r="AF23" i="18"/>
  <c r="AD23" i="18"/>
  <c r="AI23" i="18"/>
  <c r="AH23" i="18"/>
  <c r="AE23" i="18"/>
  <c r="AF365" i="18"/>
  <c r="AE365" i="18"/>
  <c r="AH365" i="18"/>
  <c r="AG365" i="18"/>
  <c r="AI365" i="18"/>
  <c r="AD365" i="18"/>
  <c r="AF374" i="18"/>
  <c r="AI374" i="18"/>
  <c r="AH374" i="18"/>
  <c r="AD374" i="18"/>
  <c r="AG374" i="18"/>
  <c r="AE374" i="18"/>
  <c r="AH496" i="18"/>
  <c r="AI496" i="18"/>
  <c r="AF496" i="18"/>
  <c r="AE496" i="18"/>
  <c r="AD496" i="18"/>
  <c r="AG496" i="18"/>
  <c r="AH347" i="18"/>
  <c r="AG347" i="18"/>
  <c r="AD347" i="18"/>
  <c r="AF347" i="18"/>
  <c r="AE347" i="18"/>
  <c r="AI347" i="18"/>
  <c r="AI244" i="18"/>
  <c r="AH244" i="18"/>
  <c r="AG244" i="18"/>
  <c r="AE244" i="18"/>
  <c r="AD244" i="18"/>
  <c r="AF244" i="18"/>
  <c r="AI623" i="18"/>
  <c r="AH623" i="18"/>
  <c r="AG623" i="18"/>
  <c r="AF623" i="18"/>
  <c r="AE623" i="18"/>
  <c r="AD623" i="18"/>
  <c r="AI587" i="18"/>
  <c r="AH587" i="18"/>
  <c r="AG587" i="18"/>
  <c r="AF587" i="18"/>
  <c r="AE587" i="18"/>
  <c r="AD587" i="18"/>
  <c r="AH533" i="18"/>
  <c r="AG533" i="18"/>
  <c r="AF533" i="18"/>
  <c r="AD533" i="18"/>
  <c r="AE533" i="18"/>
  <c r="AI533" i="18"/>
  <c r="AF246" i="18"/>
  <c r="AI246" i="18"/>
  <c r="AG246" i="18"/>
  <c r="AD246" i="18"/>
  <c r="AH246" i="18"/>
  <c r="AE246" i="18"/>
  <c r="AI546" i="18"/>
  <c r="AH546" i="18"/>
  <c r="AG546" i="18"/>
  <c r="AF546" i="18"/>
  <c r="AD546" i="18"/>
  <c r="AE546" i="18"/>
  <c r="AG109" i="18"/>
  <c r="AF109" i="18"/>
  <c r="AD109" i="18"/>
  <c r="AI109" i="18"/>
  <c r="AH109" i="18"/>
  <c r="AE109" i="18"/>
  <c r="AH184" i="18"/>
  <c r="AI184" i="18"/>
  <c r="AF184" i="18"/>
  <c r="AE184" i="18"/>
  <c r="AD184" i="18"/>
  <c r="AG184" i="18"/>
  <c r="AF287" i="18"/>
  <c r="AE287" i="18"/>
  <c r="AD287" i="18"/>
  <c r="AI287" i="18"/>
  <c r="AH287" i="18"/>
  <c r="AG287" i="18"/>
  <c r="AH67" i="18"/>
  <c r="AG67" i="18"/>
  <c r="AF67" i="18"/>
  <c r="AI67" i="18"/>
  <c r="AE67" i="18"/>
  <c r="AD67" i="18"/>
  <c r="AE53" i="18"/>
  <c r="AD53" i="18"/>
  <c r="AI53" i="18"/>
  <c r="AH53" i="18"/>
  <c r="AG53" i="18"/>
  <c r="AF53" i="18"/>
  <c r="AD36" i="18"/>
  <c r="AI36" i="18"/>
  <c r="AG36" i="18"/>
  <c r="AH36" i="18"/>
  <c r="AF36" i="18"/>
  <c r="AE36" i="18"/>
  <c r="AI126" i="18"/>
  <c r="AD126" i="18"/>
  <c r="AH126" i="18"/>
  <c r="AG126" i="18"/>
  <c r="AF126" i="18"/>
  <c r="AE126" i="18"/>
  <c r="AG363" i="18"/>
  <c r="AI363" i="18"/>
  <c r="AD363" i="18"/>
  <c r="AF363" i="18"/>
  <c r="AH363" i="18"/>
  <c r="AE363" i="18"/>
  <c r="AG352" i="18"/>
  <c r="AE352" i="18"/>
  <c r="AI352" i="18"/>
  <c r="AF352" i="18"/>
  <c r="AD352" i="18"/>
  <c r="AH352" i="18"/>
  <c r="AI261" i="18"/>
  <c r="AF261" i="18"/>
  <c r="AD261" i="18"/>
  <c r="AE261" i="18"/>
  <c r="AH261" i="18"/>
  <c r="AG261" i="18"/>
  <c r="AI393" i="18"/>
  <c r="AD393" i="18"/>
  <c r="AH393" i="18"/>
  <c r="AG393" i="18"/>
  <c r="AF393" i="18"/>
  <c r="AE393" i="18"/>
  <c r="AH208" i="18"/>
  <c r="AF208" i="18"/>
  <c r="AD208" i="18"/>
  <c r="AE208" i="18"/>
  <c r="AI208" i="18"/>
  <c r="AG208" i="18"/>
  <c r="AD255" i="18"/>
  <c r="AE255" i="18"/>
  <c r="AG255" i="18"/>
  <c r="AI255" i="18"/>
  <c r="AH255" i="18"/>
  <c r="AF255" i="18"/>
  <c r="AF186" i="18"/>
  <c r="AI186" i="18"/>
  <c r="AD186" i="18"/>
  <c r="AH186" i="18"/>
  <c r="AG186" i="18"/>
  <c r="AE186" i="18"/>
  <c r="AG306" i="18"/>
  <c r="AF306" i="18"/>
  <c r="AH306" i="18"/>
  <c r="AE306" i="18"/>
  <c r="AD306" i="18"/>
  <c r="AI306" i="18"/>
  <c r="AE318" i="18"/>
  <c r="AG318" i="18"/>
  <c r="AI318" i="18"/>
  <c r="AH318" i="18"/>
  <c r="AF318" i="18"/>
  <c r="AD318" i="18"/>
  <c r="AH448" i="18"/>
  <c r="AI448" i="18"/>
  <c r="AG448" i="18"/>
  <c r="AE448" i="18"/>
  <c r="AD448" i="18"/>
  <c r="AF448" i="18"/>
  <c r="AF614" i="18"/>
  <c r="AE614" i="18"/>
  <c r="AI614" i="18"/>
  <c r="AH614" i="18"/>
  <c r="AD614" i="18"/>
  <c r="AG614" i="18"/>
  <c r="AG376" i="18"/>
  <c r="AI376" i="18"/>
  <c r="AD376" i="18"/>
  <c r="AH376" i="18"/>
  <c r="AF376" i="18"/>
  <c r="AE376" i="18"/>
  <c r="AI99" i="18"/>
  <c r="AG99" i="18"/>
  <c r="AF99" i="18"/>
  <c r="AE99" i="18"/>
  <c r="AH99" i="18"/>
  <c r="AD99" i="18"/>
  <c r="AI669" i="18"/>
  <c r="AE669" i="18"/>
  <c r="AD669" i="18"/>
  <c r="AH669" i="18"/>
  <c r="AG669" i="18"/>
  <c r="AF669" i="18"/>
  <c r="AG257" i="18"/>
  <c r="AF257" i="18"/>
  <c r="AD257" i="18"/>
  <c r="AI257" i="18"/>
  <c r="AH257" i="18"/>
  <c r="AE257" i="18"/>
  <c r="AG207" i="18"/>
  <c r="AD207" i="18"/>
  <c r="AI207" i="18"/>
  <c r="AH207" i="18"/>
  <c r="AF207" i="18"/>
  <c r="AE207" i="18"/>
  <c r="AD279" i="18"/>
  <c r="AH279" i="18"/>
  <c r="AG279" i="18"/>
  <c r="AE279" i="18"/>
  <c r="AI279" i="18"/>
  <c r="AF279" i="18"/>
  <c r="AI14" i="18"/>
  <c r="AD14" i="18"/>
  <c r="AH14" i="18"/>
  <c r="AG14" i="18"/>
  <c r="AF14" i="18"/>
  <c r="AE14" i="18"/>
  <c r="AG39" i="18"/>
  <c r="AF39" i="18"/>
  <c r="AH39" i="18"/>
  <c r="AE39" i="18"/>
  <c r="AD39" i="18"/>
  <c r="AI39" i="18"/>
  <c r="AG47" i="18"/>
  <c r="AF47" i="18"/>
  <c r="AD47" i="18"/>
  <c r="AI47" i="18"/>
  <c r="AH47" i="18"/>
  <c r="AE47" i="18"/>
  <c r="AF27" i="18"/>
  <c r="AD27" i="18"/>
  <c r="AI27" i="18"/>
  <c r="AH27" i="18"/>
  <c r="AG27" i="18"/>
  <c r="AE27" i="18"/>
  <c r="AF35" i="18"/>
  <c r="AI35" i="18"/>
  <c r="AH35" i="18"/>
  <c r="AG35" i="18"/>
  <c r="AE35" i="18"/>
  <c r="AD35" i="18"/>
  <c r="AF210" i="18"/>
  <c r="AD210" i="18"/>
  <c r="AH210" i="18"/>
  <c r="AG210" i="18"/>
  <c r="AE210" i="18"/>
  <c r="AI210" i="18"/>
  <c r="AF59" i="18"/>
  <c r="AI59" i="18"/>
  <c r="AH59" i="18"/>
  <c r="AG59" i="18"/>
  <c r="AE59" i="18"/>
  <c r="AD59" i="18"/>
  <c r="O100" i="18"/>
  <c r="H663" i="18"/>
  <c r="AE617" i="18"/>
  <c r="AD617" i="18"/>
  <c r="AI617" i="18"/>
  <c r="AH617" i="18"/>
  <c r="AF617" i="18"/>
  <c r="AG617" i="18"/>
  <c r="AE641" i="18"/>
  <c r="AD641" i="18"/>
  <c r="AI641" i="18"/>
  <c r="AH641" i="18"/>
  <c r="AF641" i="18"/>
  <c r="AG641" i="18"/>
  <c r="AH572" i="18"/>
  <c r="AG572" i="18"/>
  <c r="AF572" i="18"/>
  <c r="AE572" i="18"/>
  <c r="AD572" i="18"/>
  <c r="AI572" i="18"/>
  <c r="AE602" i="18"/>
  <c r="AD602" i="18"/>
  <c r="AF602" i="18"/>
  <c r="AH602" i="18"/>
  <c r="AG602" i="18"/>
  <c r="AI602" i="18"/>
  <c r="AI537" i="18"/>
  <c r="AD537" i="18"/>
  <c r="AH537" i="18"/>
  <c r="AG537" i="18"/>
  <c r="AF537" i="18"/>
  <c r="AE537" i="18"/>
  <c r="AF422" i="18"/>
  <c r="AE422" i="18"/>
  <c r="AI422" i="18"/>
  <c r="AG422" i="18"/>
  <c r="AD422" i="18"/>
  <c r="AH422" i="18"/>
  <c r="AH390" i="18"/>
  <c r="AF390" i="18"/>
  <c r="AG390" i="18"/>
  <c r="AD390" i="18"/>
  <c r="AI390" i="18"/>
  <c r="AE390" i="18"/>
  <c r="AI340" i="18"/>
  <c r="AH340" i="18"/>
  <c r="AD340" i="18"/>
  <c r="AE340" i="18"/>
  <c r="AG340" i="18"/>
  <c r="AF340" i="18"/>
  <c r="H657" i="18"/>
  <c r="AG487" i="18"/>
  <c r="AF487" i="18"/>
  <c r="AE487" i="18"/>
  <c r="AD487" i="18"/>
  <c r="AI487" i="18"/>
  <c r="AH487" i="18"/>
  <c r="L81" i="18"/>
  <c r="L648" i="18"/>
  <c r="AE578" i="18"/>
  <c r="AD578" i="18"/>
  <c r="AI578" i="18"/>
  <c r="AH578" i="18"/>
  <c r="AG578" i="18"/>
  <c r="AF578" i="18"/>
  <c r="AE482" i="18"/>
  <c r="AD482" i="18"/>
  <c r="AH482" i="18"/>
  <c r="AG482" i="18"/>
  <c r="AF482" i="18"/>
  <c r="AI482" i="18"/>
  <c r="AI639" i="18"/>
  <c r="AH639" i="18"/>
  <c r="AG639" i="18"/>
  <c r="AF639" i="18"/>
  <c r="AE639" i="18"/>
  <c r="AD639" i="18"/>
  <c r="AG270" i="18"/>
  <c r="AI270" i="18"/>
  <c r="AH270" i="18"/>
  <c r="AF270" i="18"/>
  <c r="AE270" i="18"/>
  <c r="AD270" i="18"/>
  <c r="AI608" i="18"/>
  <c r="AH608" i="18"/>
  <c r="AG608" i="18"/>
  <c r="AF608" i="18"/>
  <c r="AE608" i="18"/>
  <c r="AD608" i="18"/>
  <c r="AI153" i="18"/>
  <c r="AG153" i="18"/>
  <c r="AH153" i="18"/>
  <c r="AF153" i="18"/>
  <c r="AD153" i="18"/>
  <c r="AE153" i="18"/>
  <c r="AH472" i="18"/>
  <c r="AE472" i="18"/>
  <c r="AD472" i="18"/>
  <c r="AG472" i="18"/>
  <c r="AI472" i="18"/>
  <c r="AF472" i="18"/>
  <c r="AF662" i="18"/>
  <c r="AE662" i="18"/>
  <c r="AH662" i="18"/>
  <c r="AG662" i="18"/>
  <c r="AD662" i="18"/>
  <c r="AI662" i="18"/>
  <c r="AI606" i="18"/>
  <c r="AH606" i="18"/>
  <c r="AG606" i="18"/>
  <c r="AF606" i="18"/>
  <c r="AE606" i="18"/>
  <c r="AD606" i="18"/>
  <c r="AG579" i="18"/>
  <c r="AF579" i="18"/>
  <c r="AE579" i="18"/>
  <c r="AD579" i="18"/>
  <c r="AH579" i="18"/>
  <c r="AI579" i="18"/>
  <c r="AI431" i="18"/>
  <c r="AG431" i="18"/>
  <c r="AH431" i="18"/>
  <c r="AE431" i="18"/>
  <c r="AD431" i="18"/>
  <c r="AF431" i="18"/>
  <c r="AE545" i="18"/>
  <c r="AI545" i="18"/>
  <c r="AH545" i="18"/>
  <c r="AG545" i="18"/>
  <c r="AD545" i="18"/>
  <c r="AF545" i="18"/>
  <c r="AI567" i="18"/>
  <c r="AH567" i="18"/>
  <c r="AG567" i="18"/>
  <c r="AF567" i="18"/>
  <c r="AE567" i="18"/>
  <c r="AD567" i="18"/>
  <c r="AH8" i="18"/>
  <c r="AG8" i="18"/>
  <c r="AD8" i="18"/>
  <c r="AI8" i="18"/>
  <c r="AF8" i="18"/>
  <c r="AE8" i="18"/>
  <c r="AH19" i="18"/>
  <c r="AF19" i="18"/>
  <c r="AD19" i="18"/>
  <c r="AI19" i="18"/>
  <c r="AG19" i="18"/>
  <c r="AE19" i="18"/>
  <c r="AE5" i="18"/>
  <c r="AD5" i="18"/>
  <c r="AI5" i="18"/>
  <c r="AH5" i="18"/>
  <c r="AG5" i="18"/>
  <c r="AF5" i="18"/>
  <c r="AH16" i="18"/>
  <c r="AG16" i="18"/>
  <c r="AE16" i="18"/>
  <c r="AI16" i="18"/>
  <c r="AF16" i="18"/>
  <c r="AD16" i="18"/>
  <c r="AH297" i="18"/>
  <c r="AI297" i="18"/>
  <c r="AG297" i="18"/>
  <c r="AF297" i="18"/>
  <c r="AE297" i="18"/>
  <c r="AD297" i="18"/>
  <c r="AI333" i="18"/>
  <c r="AE333" i="18"/>
  <c r="AG333" i="18"/>
  <c r="AD333" i="18"/>
  <c r="AH333" i="18"/>
  <c r="AF333" i="18"/>
  <c r="AG247" i="18"/>
  <c r="AF247" i="18"/>
  <c r="AI247" i="18"/>
  <c r="AH247" i="18"/>
  <c r="AD247" i="18"/>
  <c r="AE247" i="18"/>
  <c r="AF302" i="18"/>
  <c r="AG302" i="18"/>
  <c r="AD302" i="18"/>
  <c r="AE302" i="18"/>
  <c r="AI302" i="18"/>
  <c r="AH302" i="18"/>
  <c r="AH97" i="18"/>
  <c r="AG97" i="18"/>
  <c r="AF97" i="18"/>
  <c r="AE97" i="18"/>
  <c r="AD97" i="18"/>
  <c r="AI97" i="18"/>
  <c r="AI150" i="18"/>
  <c r="AG150" i="18"/>
  <c r="AH150" i="18"/>
  <c r="AF150" i="18"/>
  <c r="AE150" i="18"/>
  <c r="AD150" i="18"/>
  <c r="AE273" i="18"/>
  <c r="AI273" i="18"/>
  <c r="AG273" i="18"/>
  <c r="AD273" i="18"/>
  <c r="AH273" i="18"/>
  <c r="AF273" i="18"/>
  <c r="AG249" i="18"/>
  <c r="AE249" i="18"/>
  <c r="AD249" i="18"/>
  <c r="AI249" i="18"/>
  <c r="AH249" i="18"/>
  <c r="AF249" i="18"/>
  <c r="AF398" i="18"/>
  <c r="AE398" i="18"/>
  <c r="AH398" i="18"/>
  <c r="AI398" i="18"/>
  <c r="AD398" i="18"/>
  <c r="AG398" i="18"/>
  <c r="AI589" i="18"/>
  <c r="AH589" i="18"/>
  <c r="AG589" i="18"/>
  <c r="AF589" i="18"/>
  <c r="AE589" i="18"/>
  <c r="AD589" i="18"/>
  <c r="AI329" i="18"/>
  <c r="AE329" i="18"/>
  <c r="AD329" i="18"/>
  <c r="AH329" i="18"/>
  <c r="AG329" i="18"/>
  <c r="AF329" i="18"/>
  <c r="AH40" i="18"/>
  <c r="AG40" i="18"/>
  <c r="AE40" i="18"/>
  <c r="AI40" i="18"/>
  <c r="AF40" i="18"/>
  <c r="AD40" i="18"/>
  <c r="AI201" i="18"/>
  <c r="AH201" i="18"/>
  <c r="AG201" i="18"/>
  <c r="AF201" i="18"/>
  <c r="AE201" i="18"/>
  <c r="AD201" i="18"/>
  <c r="AG107" i="18"/>
  <c r="AD107" i="18"/>
  <c r="AI107" i="18"/>
  <c r="AH107" i="18"/>
  <c r="AF107" i="18"/>
  <c r="AE107" i="18"/>
  <c r="AF174" i="18"/>
  <c r="AG174" i="18"/>
  <c r="AI174" i="18"/>
  <c r="AH174" i="18"/>
  <c r="AE174" i="18"/>
  <c r="AD174" i="18"/>
  <c r="AH232" i="18"/>
  <c r="AD232" i="18"/>
  <c r="AG232" i="18"/>
  <c r="AF232" i="18"/>
  <c r="AI232" i="18"/>
  <c r="AE232" i="18"/>
  <c r="AI558" i="18"/>
  <c r="AH558" i="18"/>
  <c r="AG558" i="18"/>
  <c r="AF558" i="18"/>
  <c r="AE558" i="18"/>
  <c r="AD558" i="18"/>
  <c r="AI25" i="18"/>
  <c r="AH25" i="18"/>
  <c r="AD25" i="18"/>
  <c r="AG25" i="18"/>
  <c r="AF25" i="18"/>
  <c r="AE25" i="18"/>
  <c r="AH275" i="18"/>
  <c r="AG275" i="18"/>
  <c r="AF275" i="18"/>
  <c r="AE275" i="18"/>
  <c r="AD275" i="18"/>
  <c r="AI275" i="18"/>
  <c r="AE10" i="18"/>
  <c r="AD10" i="18"/>
  <c r="AG10" i="18"/>
  <c r="AF10" i="18"/>
  <c r="AI10" i="18"/>
  <c r="AH10" i="18"/>
  <c r="AG82" i="18"/>
  <c r="AD82" i="18"/>
  <c r="AI82" i="18"/>
  <c r="AH82" i="18"/>
  <c r="AF82" i="18"/>
  <c r="AE82" i="18"/>
  <c r="AI42" i="18"/>
  <c r="AE42" i="18"/>
  <c r="AD42" i="18"/>
  <c r="AH42" i="18"/>
  <c r="AG42" i="18"/>
  <c r="AF42" i="18"/>
  <c r="H609" i="18"/>
  <c r="AH288" i="18"/>
  <c r="AD288" i="18"/>
  <c r="AE288" i="18"/>
  <c r="AI288" i="18"/>
  <c r="AF288" i="18"/>
  <c r="AG288" i="18"/>
  <c r="M92" i="18"/>
  <c r="L295" i="18"/>
  <c r="M121" i="18"/>
  <c r="AE497" i="18"/>
  <c r="AI497" i="18"/>
  <c r="AH497" i="18"/>
  <c r="AF497" i="18"/>
  <c r="AD497" i="18"/>
  <c r="AG497" i="18"/>
  <c r="AI515" i="18"/>
  <c r="AH515" i="18"/>
  <c r="AG515" i="18"/>
  <c r="AE515" i="18"/>
  <c r="AD515" i="18"/>
  <c r="AF515" i="18"/>
  <c r="AG492" i="18"/>
  <c r="AF492" i="18"/>
  <c r="AE492" i="18"/>
  <c r="AI492" i="18"/>
  <c r="AH492" i="18"/>
  <c r="AD492" i="18"/>
  <c r="AI551" i="18"/>
  <c r="AG551" i="18"/>
  <c r="AH551" i="18"/>
  <c r="AD551" i="18"/>
  <c r="AF551" i="18"/>
  <c r="AE551" i="18"/>
  <c r="AG226" i="18"/>
  <c r="AH226" i="18"/>
  <c r="AE226" i="18"/>
  <c r="AI226" i="18"/>
  <c r="AF226" i="18"/>
  <c r="AD226" i="18"/>
  <c r="AE216" i="18"/>
  <c r="AH216" i="18"/>
  <c r="AI216" i="18"/>
  <c r="AG216" i="18"/>
  <c r="AD216" i="18"/>
  <c r="AF216" i="18"/>
  <c r="AI657" i="18"/>
  <c r="AD657" i="18"/>
  <c r="AG657" i="18"/>
  <c r="AH657" i="18"/>
  <c r="AF657" i="18"/>
  <c r="AE657" i="18"/>
  <c r="AF547" i="18"/>
  <c r="AE547" i="18"/>
  <c r="AD547" i="18"/>
  <c r="AI547" i="18"/>
  <c r="AH547" i="18"/>
  <c r="AG547" i="18"/>
  <c r="AI609" i="18"/>
  <c r="AD609" i="18"/>
  <c r="AG609" i="18"/>
  <c r="AF609" i="18"/>
  <c r="AE609" i="18"/>
  <c r="AH609" i="18"/>
  <c r="AF571" i="18"/>
  <c r="AE571" i="18"/>
  <c r="AD571" i="18"/>
  <c r="AH571" i="18"/>
  <c r="AG571" i="18"/>
  <c r="AI571" i="18"/>
  <c r="AI412" i="18"/>
  <c r="AD412" i="18"/>
  <c r="AH412" i="18"/>
  <c r="AG412" i="18"/>
  <c r="AE412" i="18"/>
  <c r="AF412" i="18"/>
  <c r="AF667" i="18"/>
  <c r="AE667" i="18"/>
  <c r="AD667" i="18"/>
  <c r="AI667" i="18"/>
  <c r="AH667" i="18"/>
  <c r="AG667" i="18"/>
  <c r="AG98" i="18"/>
  <c r="AI98" i="18"/>
  <c r="AH98" i="18"/>
  <c r="AF98" i="18"/>
  <c r="AE98" i="18"/>
  <c r="AD98" i="18"/>
  <c r="AF322" i="18"/>
  <c r="AI322" i="18"/>
  <c r="AE322" i="18"/>
  <c r="AH322" i="18"/>
  <c r="AG322" i="18"/>
  <c r="AD322" i="18"/>
  <c r="AH85" i="18"/>
  <c r="AG85" i="18"/>
  <c r="AE85" i="18"/>
  <c r="AD85" i="18"/>
  <c r="AI85" i="18"/>
  <c r="AF85" i="18"/>
  <c r="AF566" i="18"/>
  <c r="AE566" i="18"/>
  <c r="AI566" i="18"/>
  <c r="AH566" i="18"/>
  <c r="AG566" i="18"/>
  <c r="AD566" i="18"/>
  <c r="AI402" i="18"/>
  <c r="AH402" i="18"/>
  <c r="AG402" i="18"/>
  <c r="AE402" i="18"/>
  <c r="AD402" i="18"/>
  <c r="AF402" i="18"/>
  <c r="AF185" i="18"/>
  <c r="AI185" i="18"/>
  <c r="AG185" i="18"/>
  <c r="AH185" i="18"/>
  <c r="AE185" i="18"/>
  <c r="AD185" i="18"/>
  <c r="AI305" i="18"/>
  <c r="AE305" i="18"/>
  <c r="AG305" i="18"/>
  <c r="AD305" i="18"/>
  <c r="AH305" i="18"/>
  <c r="AF305" i="18"/>
  <c r="AI225" i="18"/>
  <c r="AE225" i="18"/>
  <c r="AF225" i="18"/>
  <c r="AH225" i="18"/>
  <c r="AG225" i="18"/>
  <c r="AD225" i="18"/>
  <c r="AI189" i="18"/>
  <c r="AG189" i="18"/>
  <c r="AD189" i="18"/>
  <c r="AH189" i="18"/>
  <c r="AF189" i="18"/>
  <c r="AE189" i="18"/>
  <c r="AE229" i="18"/>
  <c r="AH229" i="18"/>
  <c r="AD229" i="18"/>
  <c r="AI229" i="18"/>
  <c r="AG229" i="18"/>
  <c r="AF229" i="18"/>
  <c r="AF241" i="18"/>
  <c r="AE241" i="18"/>
  <c r="AI241" i="18"/>
  <c r="AH241" i="18"/>
  <c r="AG241" i="18"/>
  <c r="AD241" i="18"/>
  <c r="AH534" i="18"/>
  <c r="AF534" i="18"/>
  <c r="AI534" i="18"/>
  <c r="AE534" i="18"/>
  <c r="AD534" i="18"/>
  <c r="AG534" i="18"/>
  <c r="AF326" i="18"/>
  <c r="AE326" i="18"/>
  <c r="AG326" i="18"/>
  <c r="AI326" i="18"/>
  <c r="AH326" i="18"/>
  <c r="AD326" i="18"/>
  <c r="AI26" i="18"/>
  <c r="AG26" i="18"/>
  <c r="AE26" i="18"/>
  <c r="AH26" i="18"/>
  <c r="AF26" i="18"/>
  <c r="AD26" i="18"/>
  <c r="AI666" i="18"/>
  <c r="AH666" i="18"/>
  <c r="AG666" i="18"/>
  <c r="AF666" i="18"/>
  <c r="AD666" i="18"/>
  <c r="AE666" i="18"/>
  <c r="AD65" i="18"/>
  <c r="AI65" i="18"/>
  <c r="AH65" i="18"/>
  <c r="AG65" i="18"/>
  <c r="AF65" i="18"/>
  <c r="AE65" i="18"/>
  <c r="AH166" i="18"/>
  <c r="AD166" i="18"/>
  <c r="AG166" i="18"/>
  <c r="AF166" i="18"/>
  <c r="AI166" i="18"/>
  <c r="AE166" i="18"/>
  <c r="AF218" i="18"/>
  <c r="AD218" i="18"/>
  <c r="AI218" i="18"/>
  <c r="AH218" i="18"/>
  <c r="AG218" i="18"/>
  <c r="AE218" i="18"/>
  <c r="AE425" i="18"/>
  <c r="AI425" i="18"/>
  <c r="AH425" i="18"/>
  <c r="AG425" i="18"/>
  <c r="AF425" i="18"/>
  <c r="AD425" i="18"/>
  <c r="AF22" i="18"/>
  <c r="AE22" i="18"/>
  <c r="AI22" i="18"/>
  <c r="AH22" i="18"/>
  <c r="AG22" i="18"/>
  <c r="AD22" i="18"/>
  <c r="AF24" i="18"/>
  <c r="AE24" i="18"/>
  <c r="AD24" i="18"/>
  <c r="AG24" i="18"/>
  <c r="AI24" i="18"/>
  <c r="AH24" i="18"/>
  <c r="AG125" i="18"/>
  <c r="AF125" i="18"/>
  <c r="AD125" i="18"/>
  <c r="AI125" i="18"/>
  <c r="AH125" i="18"/>
  <c r="AE125" i="18"/>
  <c r="AI54" i="18"/>
  <c r="AF54" i="18"/>
  <c r="AE54" i="18"/>
  <c r="AH54" i="18"/>
  <c r="AG54" i="18"/>
  <c r="AD54" i="18"/>
  <c r="O90" i="18"/>
  <c r="AG215" i="18"/>
  <c r="AD215" i="18"/>
  <c r="AI215" i="18"/>
  <c r="AH215" i="18"/>
  <c r="AF215" i="18"/>
  <c r="AE215" i="18"/>
  <c r="AE665" i="18"/>
  <c r="AD665" i="18"/>
  <c r="AI665" i="18"/>
  <c r="AH665" i="18"/>
  <c r="AG665" i="18"/>
  <c r="AF665" i="18"/>
  <c r="AI502" i="18"/>
  <c r="AH502" i="18"/>
  <c r="AG502" i="18"/>
  <c r="AE502" i="18"/>
  <c r="AD502" i="18"/>
  <c r="AF502" i="18"/>
  <c r="AE530" i="18"/>
  <c r="AD530" i="18"/>
  <c r="AG530" i="18"/>
  <c r="AH530" i="18"/>
  <c r="AF530" i="18"/>
  <c r="AI530" i="18"/>
  <c r="AG655" i="18"/>
  <c r="AF655" i="18"/>
  <c r="AE655" i="18"/>
  <c r="AD655" i="18"/>
  <c r="AH655" i="18"/>
  <c r="AI655" i="18"/>
  <c r="AI671" i="18"/>
  <c r="AH671" i="18"/>
  <c r="AG671" i="18"/>
  <c r="AF671" i="18"/>
  <c r="AD671" i="18"/>
  <c r="AE671" i="18"/>
  <c r="AH437" i="18"/>
  <c r="AG437" i="18"/>
  <c r="AF437" i="18"/>
  <c r="AD437" i="18"/>
  <c r="AI437" i="18"/>
  <c r="AE437" i="18"/>
  <c r="AI417" i="18"/>
  <c r="AD417" i="18"/>
  <c r="AH417" i="18"/>
  <c r="AE417" i="18"/>
  <c r="AF417" i="18"/>
  <c r="AG417" i="18"/>
  <c r="AG319" i="18"/>
  <c r="AI319" i="18"/>
  <c r="AF319" i="18"/>
  <c r="AE319" i="18"/>
  <c r="AD319" i="18"/>
  <c r="AH319" i="18"/>
  <c r="AG118" i="18"/>
  <c r="AD118" i="18"/>
  <c r="AF118" i="18"/>
  <c r="AE118" i="18"/>
  <c r="AI118" i="18"/>
  <c r="AH118" i="18"/>
  <c r="AF236" i="18"/>
  <c r="AI236" i="18"/>
  <c r="AD236" i="18"/>
  <c r="AH236" i="18"/>
  <c r="AG236" i="18"/>
  <c r="AE236" i="18"/>
  <c r="AD600" i="18"/>
  <c r="AH600" i="18"/>
  <c r="AG600" i="18"/>
  <c r="AF600" i="18"/>
  <c r="AE600" i="18"/>
  <c r="AI600" i="18"/>
  <c r="AH334" i="18"/>
  <c r="AF334" i="18"/>
  <c r="AD334" i="18"/>
  <c r="AI334" i="18"/>
  <c r="AG334" i="18"/>
  <c r="AE334" i="18"/>
  <c r="AD648" i="18"/>
  <c r="AH648" i="18"/>
  <c r="AG648" i="18"/>
  <c r="AI648" i="18"/>
  <c r="AE648" i="18"/>
  <c r="AF648" i="18"/>
  <c r="AI625" i="18"/>
  <c r="AH625" i="18"/>
  <c r="AG625" i="18"/>
  <c r="AF625" i="18"/>
  <c r="AE625" i="18"/>
  <c r="AD625" i="18"/>
  <c r="AI654" i="18"/>
  <c r="AH654" i="18"/>
  <c r="AG654" i="18"/>
  <c r="AF654" i="18"/>
  <c r="AE654" i="18"/>
  <c r="AD654" i="18"/>
  <c r="AE429" i="18"/>
  <c r="AD429" i="18"/>
  <c r="AI429" i="18"/>
  <c r="AF429" i="18"/>
  <c r="AH429" i="18"/>
  <c r="AG429" i="18"/>
  <c r="AF514" i="18"/>
  <c r="AD514" i="18"/>
  <c r="AI514" i="18"/>
  <c r="AE514" i="18"/>
  <c r="AG514" i="18"/>
  <c r="AH514" i="18"/>
  <c r="AI364" i="18"/>
  <c r="AH364" i="18"/>
  <c r="AD364" i="18"/>
  <c r="AG364" i="18"/>
  <c r="AF364" i="18"/>
  <c r="AE364" i="18"/>
  <c r="AH452" i="18"/>
  <c r="AF452" i="18"/>
  <c r="AD452" i="18"/>
  <c r="AI452" i="18"/>
  <c r="AG452" i="18"/>
  <c r="AE452" i="18"/>
  <c r="AD672" i="18"/>
  <c r="AH672" i="18"/>
  <c r="AG672" i="18"/>
  <c r="AI672" i="18"/>
  <c r="AE672" i="18"/>
  <c r="AF672" i="18"/>
  <c r="AH220" i="18"/>
  <c r="AF220" i="18"/>
  <c r="AD220" i="18"/>
  <c r="AI220" i="18"/>
  <c r="AG220" i="18"/>
  <c r="AE220" i="18"/>
  <c r="AI358" i="18"/>
  <c r="AG358" i="18"/>
  <c r="AF358" i="18"/>
  <c r="AE358" i="18"/>
  <c r="AH358" i="18"/>
  <c r="AD358" i="18"/>
  <c r="AF81" i="18"/>
  <c r="AH81" i="18"/>
  <c r="AG81" i="18"/>
  <c r="AE81" i="18"/>
  <c r="AI81" i="18"/>
  <c r="AD81" i="18"/>
  <c r="AE168" i="18"/>
  <c r="AH168" i="18"/>
  <c r="AG168" i="18"/>
  <c r="AF168" i="18"/>
  <c r="AD168" i="18"/>
  <c r="AI168" i="18"/>
  <c r="AI488" i="18"/>
  <c r="AG488" i="18"/>
  <c r="AF488" i="18"/>
  <c r="AE488" i="18"/>
  <c r="AH488" i="18"/>
  <c r="AD488" i="18"/>
  <c r="AD228" i="18"/>
  <c r="AH228" i="18"/>
  <c r="AG228" i="18"/>
  <c r="AE228" i="18"/>
  <c r="AI228" i="18"/>
  <c r="AF228" i="18"/>
  <c r="AE294" i="18"/>
  <c r="AG294" i="18"/>
  <c r="AI294" i="18"/>
  <c r="AH294" i="18"/>
  <c r="AF294" i="18"/>
  <c r="AD294" i="18"/>
  <c r="AF562" i="18"/>
  <c r="AE562" i="18"/>
  <c r="AD562" i="18"/>
  <c r="AI562" i="18"/>
  <c r="AG562" i="18"/>
  <c r="AH562" i="18"/>
  <c r="AH139" i="18"/>
  <c r="AG139" i="18"/>
  <c r="AF139" i="18"/>
  <c r="AD139" i="18"/>
  <c r="AI139" i="18"/>
  <c r="AE139" i="18"/>
  <c r="AF346" i="18"/>
  <c r="AG346" i="18"/>
  <c r="AH346" i="18"/>
  <c r="AD346" i="18"/>
  <c r="AI346" i="18"/>
  <c r="AE346" i="18"/>
  <c r="AH120" i="18"/>
  <c r="AG120" i="18"/>
  <c r="AI120" i="18"/>
  <c r="AF120" i="18"/>
  <c r="AE120" i="18"/>
  <c r="AD120" i="18"/>
  <c r="O175" i="18"/>
  <c r="H647" i="18"/>
  <c r="L573" i="18"/>
  <c r="AG191" i="18"/>
  <c r="AI191" i="18"/>
  <c r="AD191" i="18"/>
  <c r="AH191" i="18"/>
  <c r="AF191" i="18"/>
  <c r="AE191" i="18"/>
  <c r="AI353" i="18"/>
  <c r="AE353" i="18"/>
  <c r="AD353" i="18"/>
  <c r="AH353" i="18"/>
  <c r="AG353" i="18"/>
  <c r="AF353" i="18"/>
  <c r="H521" i="18"/>
  <c r="AE549" i="18"/>
  <c r="AD549" i="18"/>
  <c r="AI549" i="18"/>
  <c r="AH549" i="18"/>
  <c r="AF549" i="18"/>
  <c r="AG549" i="18"/>
  <c r="AI57" i="18"/>
  <c r="AH57" i="18"/>
  <c r="AF57" i="18"/>
  <c r="AE57" i="18"/>
  <c r="AD57" i="18"/>
  <c r="AG57" i="18"/>
  <c r="AI441" i="18"/>
  <c r="AD441" i="18"/>
  <c r="AH441" i="18"/>
  <c r="AF441" i="18"/>
  <c r="AE441" i="18"/>
  <c r="AG441" i="18"/>
  <c r="AF214" i="18"/>
  <c r="AE214" i="18"/>
  <c r="AI214" i="18"/>
  <c r="AH214" i="18"/>
  <c r="AG214" i="18"/>
  <c r="AD214" i="18"/>
  <c r="AG258" i="18"/>
  <c r="AF258" i="18"/>
  <c r="AD258" i="18"/>
  <c r="AI258" i="18"/>
  <c r="AH258" i="18"/>
  <c r="AE258" i="18"/>
  <c r="AF105" i="18"/>
  <c r="AI105" i="18"/>
  <c r="AD105" i="18"/>
  <c r="AH105" i="18"/>
  <c r="AG105" i="18"/>
  <c r="AE105" i="18"/>
  <c r="AE136" i="18"/>
  <c r="AI136" i="18"/>
  <c r="AH136" i="18"/>
  <c r="AF136" i="18"/>
  <c r="AD136" i="18"/>
  <c r="AG136" i="18"/>
  <c r="AH230" i="18"/>
  <c r="AF230" i="18"/>
  <c r="AG230" i="18"/>
  <c r="AI230" i="18"/>
  <c r="AE230" i="18"/>
  <c r="AD230" i="18"/>
  <c r="AG304" i="18"/>
  <c r="AH304" i="18"/>
  <c r="AD304" i="18"/>
  <c r="AI304" i="18"/>
  <c r="AF304" i="18"/>
  <c r="AE304" i="18"/>
  <c r="AI262" i="18"/>
  <c r="AH262" i="18"/>
  <c r="AF262" i="18"/>
  <c r="AD262" i="18"/>
  <c r="AE262" i="18"/>
  <c r="AG262" i="18"/>
  <c r="AH83" i="18"/>
  <c r="AF83" i="18"/>
  <c r="AE83" i="18"/>
  <c r="AD83" i="18"/>
  <c r="AI83" i="18"/>
  <c r="AG83" i="18"/>
  <c r="AI575" i="18"/>
  <c r="AH575" i="18"/>
  <c r="AG575" i="18"/>
  <c r="AF575" i="18"/>
  <c r="AE575" i="18"/>
  <c r="AD575" i="18"/>
  <c r="AI440" i="18"/>
  <c r="AG440" i="18"/>
  <c r="AF440" i="18"/>
  <c r="AE440" i="18"/>
  <c r="AD440" i="18"/>
  <c r="AH440" i="18"/>
  <c r="AI621" i="18"/>
  <c r="AE621" i="18"/>
  <c r="AD621" i="18"/>
  <c r="AH621" i="18"/>
  <c r="AG621" i="18"/>
  <c r="AF621" i="18"/>
  <c r="AH509" i="18"/>
  <c r="AG509" i="18"/>
  <c r="AF509" i="18"/>
  <c r="AD509" i="18"/>
  <c r="AI509" i="18"/>
  <c r="AE509" i="18"/>
  <c r="AI574" i="18"/>
  <c r="AH574" i="18"/>
  <c r="AG574" i="18"/>
  <c r="AF574" i="18"/>
  <c r="AE574" i="18"/>
  <c r="AD574" i="18"/>
  <c r="AE501" i="18"/>
  <c r="AD501" i="18"/>
  <c r="AG501" i="18"/>
  <c r="AF501" i="18"/>
  <c r="AI501" i="18"/>
  <c r="AH501" i="18"/>
  <c r="AH653" i="18"/>
  <c r="AG653" i="18"/>
  <c r="AF653" i="18"/>
  <c r="AE653" i="18"/>
  <c r="AD653" i="18"/>
  <c r="AI653" i="18"/>
  <c r="AF129" i="18"/>
  <c r="AI129" i="18"/>
  <c r="AE129" i="18"/>
  <c r="AD129" i="18"/>
  <c r="AH129" i="18"/>
  <c r="AG129" i="18"/>
  <c r="AG555" i="18"/>
  <c r="AF555" i="18"/>
  <c r="AE555" i="18"/>
  <c r="AD555" i="18"/>
  <c r="AI555" i="18"/>
  <c r="AH555" i="18"/>
  <c r="AE366" i="18"/>
  <c r="AD366" i="18"/>
  <c r="AI366" i="18"/>
  <c r="AH366" i="18"/>
  <c r="AF366" i="18"/>
  <c r="AG366" i="18"/>
  <c r="AE181" i="18"/>
  <c r="AH181" i="18"/>
  <c r="AF181" i="18"/>
  <c r="AG181" i="18"/>
  <c r="AD181" i="18"/>
  <c r="AI181" i="18"/>
  <c r="AH529" i="18"/>
  <c r="AG529" i="18"/>
  <c r="AF529" i="18"/>
  <c r="AD529" i="18"/>
  <c r="AI529" i="18"/>
  <c r="AE529" i="18"/>
  <c r="AH182" i="18"/>
  <c r="AD182" i="18"/>
  <c r="AI182" i="18"/>
  <c r="AG182" i="18"/>
  <c r="AF182" i="18"/>
  <c r="AE182" i="18"/>
  <c r="AI633" i="18"/>
  <c r="AD633" i="18"/>
  <c r="AH633" i="18"/>
  <c r="AG633" i="18"/>
  <c r="AF633" i="18"/>
  <c r="AE633" i="18"/>
  <c r="AH37" i="18"/>
  <c r="AE37" i="18"/>
  <c r="AD37" i="18"/>
  <c r="AF37" i="18"/>
  <c r="AI37" i="18"/>
  <c r="AG37" i="18"/>
  <c r="AH141" i="18"/>
  <c r="AE141" i="18"/>
  <c r="AD141" i="18"/>
  <c r="AI141" i="18"/>
  <c r="AG141" i="18"/>
  <c r="AF141" i="18"/>
  <c r="AF75" i="18"/>
  <c r="AE75" i="18"/>
  <c r="AD75" i="18"/>
  <c r="AI75" i="18"/>
  <c r="AG75" i="18"/>
  <c r="AH75" i="18"/>
  <c r="AF46" i="18"/>
  <c r="AE46" i="18"/>
  <c r="AI46" i="18"/>
  <c r="AH46" i="18"/>
  <c r="AG46" i="18"/>
  <c r="AD46" i="18"/>
  <c r="AD576" i="18"/>
  <c r="AH576" i="18"/>
  <c r="AG576" i="18"/>
  <c r="AI576" i="18"/>
  <c r="AF576" i="18"/>
  <c r="AE576" i="18"/>
  <c r="AD528" i="18"/>
  <c r="AH528" i="18"/>
  <c r="AG528" i="18"/>
  <c r="AI528" i="18"/>
  <c r="AF528" i="18"/>
  <c r="AE528" i="18"/>
  <c r="AG651" i="18"/>
  <c r="AF651" i="18"/>
  <c r="AE651" i="18"/>
  <c r="AD651" i="18"/>
  <c r="AI651" i="18"/>
  <c r="AH651" i="18"/>
  <c r="AF634" i="18"/>
  <c r="AE634" i="18"/>
  <c r="AD634" i="18"/>
  <c r="AI634" i="18"/>
  <c r="AG634" i="18"/>
  <c r="AH634" i="18"/>
  <c r="AH596" i="18"/>
  <c r="AG596" i="18"/>
  <c r="AF596" i="18"/>
  <c r="AE596" i="18"/>
  <c r="AD596" i="18"/>
  <c r="AI596" i="18"/>
  <c r="AI421" i="18"/>
  <c r="AG421" i="18"/>
  <c r="AE421" i="18"/>
  <c r="AF421" i="18"/>
  <c r="AD421" i="18"/>
  <c r="AH421" i="18"/>
  <c r="AH629" i="18"/>
  <c r="AG629" i="18"/>
  <c r="AF629" i="18"/>
  <c r="AE629" i="18"/>
  <c r="AD629" i="18"/>
  <c r="AI629" i="18"/>
  <c r="AI281" i="18"/>
  <c r="AE281" i="18"/>
  <c r="AG281" i="18"/>
  <c r="AD281" i="18"/>
  <c r="AH281" i="18"/>
  <c r="AF281" i="18"/>
  <c r="AI560" i="18"/>
  <c r="AH560" i="18"/>
  <c r="AG560" i="18"/>
  <c r="AF560" i="18"/>
  <c r="AE560" i="18"/>
  <c r="AD560" i="18"/>
  <c r="AH380" i="18"/>
  <c r="AF380" i="18"/>
  <c r="AD380" i="18"/>
  <c r="AE380" i="18"/>
  <c r="AI380" i="18"/>
  <c r="AG380" i="18"/>
  <c r="AH605" i="18"/>
  <c r="AG605" i="18"/>
  <c r="AF605" i="18"/>
  <c r="AE605" i="18"/>
  <c r="AD605" i="18"/>
  <c r="AI605" i="18"/>
  <c r="AI613" i="18"/>
  <c r="AH613" i="18"/>
  <c r="AG613" i="18"/>
  <c r="AF613" i="18"/>
  <c r="AE613" i="18"/>
  <c r="AD613" i="18"/>
  <c r="AI268" i="18"/>
  <c r="AH268" i="18"/>
  <c r="AG268" i="18"/>
  <c r="AE268" i="18"/>
  <c r="AD268" i="18"/>
  <c r="AF268" i="18"/>
  <c r="AI33" i="18"/>
  <c r="AH33" i="18"/>
  <c r="AF33" i="18"/>
  <c r="AD33" i="18"/>
  <c r="AG33" i="18"/>
  <c r="AE33" i="18"/>
  <c r="AD250" i="18"/>
  <c r="AF250" i="18"/>
  <c r="AH250" i="18"/>
  <c r="AE250" i="18"/>
  <c r="AG250" i="18"/>
  <c r="AI250" i="18"/>
  <c r="AE192" i="18"/>
  <c r="AH192" i="18"/>
  <c r="AI192" i="18"/>
  <c r="AG192" i="18"/>
  <c r="AF192" i="18"/>
  <c r="AD192" i="18"/>
  <c r="AF274" i="18"/>
  <c r="AG274" i="18"/>
  <c r="AH274" i="18"/>
  <c r="AE274" i="18"/>
  <c r="AD274" i="18"/>
  <c r="AI274" i="18"/>
  <c r="AH312" i="18"/>
  <c r="AD312" i="18"/>
  <c r="AI312" i="18"/>
  <c r="AG312" i="18"/>
  <c r="AF312" i="18"/>
  <c r="AE312" i="18"/>
  <c r="AH520" i="18"/>
  <c r="AG520" i="18"/>
  <c r="AF520" i="18"/>
  <c r="AD520" i="18"/>
  <c r="AI520" i="18"/>
  <c r="AE520" i="18"/>
  <c r="AD204" i="18"/>
  <c r="AH204" i="18"/>
  <c r="AI204" i="18"/>
  <c r="AG204" i="18"/>
  <c r="AF204" i="18"/>
  <c r="AE204" i="18"/>
  <c r="AH505" i="18"/>
  <c r="AG505" i="18"/>
  <c r="AF505" i="18"/>
  <c r="AI505" i="18"/>
  <c r="AE505" i="18"/>
  <c r="AD505" i="18"/>
  <c r="AG20" i="18"/>
  <c r="AD20" i="18"/>
  <c r="AI20" i="18"/>
  <c r="AH20" i="18"/>
  <c r="AF20" i="18"/>
  <c r="AE20" i="18"/>
  <c r="K37" i="18"/>
  <c r="AE272" i="18"/>
  <c r="AD272" i="18"/>
  <c r="AH272" i="18"/>
  <c r="AF272" i="18"/>
  <c r="AI272" i="18"/>
  <c r="AG272" i="18"/>
  <c r="AG263" i="18"/>
  <c r="AF263" i="18"/>
  <c r="AI263" i="18"/>
  <c r="AH263" i="18"/>
  <c r="AE263" i="18"/>
  <c r="AD263" i="18"/>
  <c r="AI642" i="18"/>
  <c r="AH642" i="18"/>
  <c r="AG642" i="18"/>
  <c r="AF642" i="18"/>
  <c r="AE642" i="18"/>
  <c r="AD642" i="18"/>
  <c r="AH433" i="18"/>
  <c r="AG433" i="18"/>
  <c r="AF433" i="18"/>
  <c r="AI433" i="18"/>
  <c r="AE433" i="18"/>
  <c r="AD433" i="18"/>
  <c r="AF170" i="18"/>
  <c r="AE170" i="18"/>
  <c r="AI170" i="18"/>
  <c r="AH170" i="18"/>
  <c r="AG170" i="18"/>
  <c r="AD170" i="18"/>
  <c r="AH171" i="18"/>
  <c r="AE171" i="18"/>
  <c r="AD171" i="18"/>
  <c r="AI171" i="18"/>
  <c r="AG171" i="18"/>
  <c r="AF171" i="18"/>
  <c r="AE221" i="18"/>
  <c r="AI221" i="18"/>
  <c r="AG221" i="18"/>
  <c r="AH221" i="18"/>
  <c r="AF221" i="18"/>
  <c r="AD221" i="18"/>
  <c r="M175" i="18"/>
  <c r="O121" i="18"/>
  <c r="M102" i="18"/>
  <c r="N73" i="18"/>
  <c r="K62" i="18"/>
  <c r="O15" i="18"/>
  <c r="N12" i="18"/>
  <c r="AE248" i="18"/>
  <c r="AD248" i="18"/>
  <c r="AG248" i="18"/>
  <c r="AH248" i="18"/>
  <c r="AI248" i="18"/>
  <c r="AF248" i="18"/>
  <c r="AD408" i="18"/>
  <c r="AH408" i="18"/>
  <c r="AG408" i="18"/>
  <c r="AI408" i="18"/>
  <c r="AF408" i="18"/>
  <c r="AE408" i="18"/>
  <c r="AI640" i="18"/>
  <c r="AH640" i="18"/>
  <c r="AG640" i="18"/>
  <c r="AF640" i="18"/>
  <c r="AE640" i="18"/>
  <c r="AD640" i="18"/>
  <c r="AI561" i="18"/>
  <c r="AD561" i="18"/>
  <c r="AH561" i="18"/>
  <c r="AF561" i="18"/>
  <c r="AE561" i="18"/>
  <c r="AG561" i="18"/>
  <c r="AH485" i="18"/>
  <c r="AG485" i="18"/>
  <c r="AF485" i="18"/>
  <c r="AD485" i="18"/>
  <c r="AI485" i="18"/>
  <c r="AE485" i="18"/>
  <c r="AD310" i="18"/>
  <c r="AI310" i="18"/>
  <c r="AH310" i="18"/>
  <c r="AG310" i="18"/>
  <c r="AE310" i="18"/>
  <c r="AF310" i="18"/>
  <c r="AH9" i="18"/>
  <c r="AG9" i="18"/>
  <c r="AF9" i="18"/>
  <c r="AE9" i="18"/>
  <c r="AD9" i="18"/>
  <c r="AI9" i="18"/>
  <c r="AI292" i="18"/>
  <c r="AH292" i="18"/>
  <c r="AD292" i="18"/>
  <c r="AG292" i="18"/>
  <c r="AE292" i="18"/>
  <c r="AF292" i="18"/>
  <c r="AG231" i="18"/>
  <c r="AF231" i="18"/>
  <c r="AD231" i="18"/>
  <c r="AH231" i="18"/>
  <c r="AI231" i="18"/>
  <c r="AE231" i="18"/>
  <c r="AE159" i="18"/>
  <c r="AF159" i="18"/>
  <c r="AI159" i="18"/>
  <c r="AH159" i="18"/>
  <c r="AG159" i="18"/>
  <c r="AD159" i="18"/>
  <c r="AF94" i="18"/>
  <c r="AH94" i="18"/>
  <c r="AG94" i="18"/>
  <c r="AE94" i="18"/>
  <c r="AD94" i="18"/>
  <c r="AI94" i="18"/>
  <c r="AI4" i="18"/>
  <c r="AH4" i="18"/>
  <c r="AG4" i="18"/>
  <c r="AF4" i="18"/>
  <c r="AE4" i="18"/>
  <c r="AD4" i="18"/>
  <c r="AG183" i="18"/>
  <c r="AF183" i="18"/>
  <c r="AE183" i="18"/>
  <c r="AI183" i="18"/>
  <c r="AH183" i="18"/>
  <c r="AD183" i="18"/>
  <c r="AG227" i="18"/>
  <c r="AE227" i="18"/>
  <c r="AH227" i="18"/>
  <c r="AI227" i="18"/>
  <c r="AF227" i="18"/>
  <c r="AD227" i="18"/>
  <c r="AD199" i="18"/>
  <c r="AI199" i="18"/>
  <c r="AG199" i="18"/>
  <c r="AE199" i="18"/>
  <c r="AH199" i="18"/>
  <c r="AF199" i="18"/>
  <c r="AH481" i="18"/>
  <c r="AG481" i="18"/>
  <c r="AF481" i="18"/>
  <c r="AI481" i="18"/>
  <c r="AE481" i="18"/>
  <c r="AD481" i="18"/>
  <c r="AI597" i="18"/>
  <c r="AE597" i="18"/>
  <c r="AD597" i="18"/>
  <c r="AG597" i="18"/>
  <c r="AF597" i="18"/>
  <c r="AH597" i="18"/>
  <c r="AF127" i="18"/>
  <c r="AD127" i="18"/>
  <c r="AI127" i="18"/>
  <c r="AH127" i="18"/>
  <c r="AG127" i="18"/>
  <c r="AE127" i="18"/>
  <c r="AG146" i="18"/>
  <c r="AD146" i="18"/>
  <c r="AI146" i="18"/>
  <c r="AH146" i="18"/>
  <c r="AF146" i="18"/>
  <c r="AE146" i="18"/>
  <c r="AG267" i="18"/>
  <c r="AF267" i="18"/>
  <c r="AH267" i="18"/>
  <c r="AD267" i="18"/>
  <c r="AI267" i="18"/>
  <c r="AE267" i="18"/>
  <c r="AI66" i="18"/>
  <c r="AE66" i="18"/>
  <c r="AG66" i="18"/>
  <c r="AF66" i="18"/>
  <c r="AD66" i="18"/>
  <c r="AH66" i="18"/>
  <c r="AG15" i="18"/>
  <c r="AF15" i="18"/>
  <c r="AI15" i="18"/>
  <c r="AH15" i="18"/>
  <c r="AE15" i="18"/>
  <c r="AD15" i="18"/>
  <c r="AH384" i="18"/>
  <c r="AD384" i="18"/>
  <c r="AI384" i="18"/>
  <c r="AF384" i="18"/>
  <c r="AE384" i="18"/>
  <c r="AG384" i="18"/>
  <c r="AH668" i="18"/>
  <c r="AG668" i="18"/>
  <c r="AF668" i="18"/>
  <c r="AE668" i="18"/>
  <c r="AD668" i="18"/>
  <c r="AI668" i="18"/>
  <c r="AG607" i="18"/>
  <c r="AF607" i="18"/>
  <c r="AI607" i="18"/>
  <c r="AH607" i="18"/>
  <c r="AD607" i="18"/>
  <c r="AE607" i="18"/>
  <c r="AG631" i="18"/>
  <c r="AF631" i="18"/>
  <c r="AH631" i="18"/>
  <c r="AE631" i="18"/>
  <c r="AD631" i="18"/>
  <c r="AI631" i="18"/>
  <c r="AD432" i="18"/>
  <c r="AH432" i="18"/>
  <c r="AG432" i="18"/>
  <c r="AI432" i="18"/>
  <c r="AE432" i="18"/>
  <c r="AF432" i="18"/>
  <c r="AI618" i="18"/>
  <c r="AH618" i="18"/>
  <c r="AG618" i="18"/>
  <c r="AF618" i="18"/>
  <c r="AE618" i="18"/>
  <c r="AD618" i="18"/>
  <c r="AH544" i="18"/>
  <c r="AF544" i="18"/>
  <c r="AE544" i="18"/>
  <c r="AD544" i="18"/>
  <c r="AI544" i="18"/>
  <c r="AG544" i="18"/>
  <c r="AF490" i="18"/>
  <c r="AD490" i="18"/>
  <c r="AI490" i="18"/>
  <c r="AH490" i="18"/>
  <c r="AG490" i="18"/>
  <c r="AE490" i="18"/>
  <c r="AI498" i="18"/>
  <c r="AH498" i="18"/>
  <c r="AG498" i="18"/>
  <c r="AD498" i="18"/>
  <c r="AF498" i="18"/>
  <c r="AE498" i="18"/>
  <c r="AI522" i="18"/>
  <c r="AH522" i="18"/>
  <c r="AG522" i="18"/>
  <c r="AF522" i="18"/>
  <c r="AE522" i="18"/>
  <c r="AD522" i="18"/>
  <c r="AG372" i="18"/>
  <c r="AI372" i="18"/>
  <c r="AH372" i="18"/>
  <c r="AD372" i="18"/>
  <c r="AF372" i="18"/>
  <c r="AE372" i="18"/>
  <c r="AI594" i="18"/>
  <c r="AH594" i="18"/>
  <c r="AG594" i="18"/>
  <c r="AF594" i="18"/>
  <c r="AE594" i="18"/>
  <c r="AD594" i="18"/>
  <c r="AG564" i="18"/>
  <c r="AF564" i="18"/>
  <c r="AE564" i="18"/>
  <c r="AD564" i="18"/>
  <c r="AI564" i="18"/>
  <c r="AH564" i="18"/>
  <c r="AH115" i="18"/>
  <c r="AE115" i="18"/>
  <c r="AD115" i="18"/>
  <c r="AI115" i="18"/>
  <c r="AG115" i="18"/>
  <c r="AF115" i="18"/>
  <c r="AF289" i="18"/>
  <c r="AE289" i="18"/>
  <c r="AH289" i="18"/>
  <c r="AD289" i="18"/>
  <c r="AI289" i="18"/>
  <c r="AG289" i="18"/>
  <c r="AG178" i="18"/>
  <c r="AH178" i="18"/>
  <c r="AE178" i="18"/>
  <c r="AD178" i="18"/>
  <c r="AI178" i="18"/>
  <c r="AF178" i="18"/>
  <c r="AI108" i="18"/>
  <c r="AH108" i="18"/>
  <c r="AG108" i="18"/>
  <c r="AF108" i="18"/>
  <c r="AE108" i="18"/>
  <c r="AD108" i="18"/>
  <c r="AI512" i="18"/>
  <c r="AG512" i="18"/>
  <c r="AF512" i="18"/>
  <c r="AE512" i="18"/>
  <c r="AH512" i="18"/>
  <c r="AD512" i="18"/>
  <c r="AG202" i="18"/>
  <c r="AE202" i="18"/>
  <c r="AD202" i="18"/>
  <c r="AI202" i="18"/>
  <c r="AH202" i="18"/>
  <c r="AF202" i="18"/>
  <c r="AI240" i="18"/>
  <c r="AD240" i="18"/>
  <c r="AH240" i="18"/>
  <c r="AF240" i="18"/>
  <c r="AG240" i="18"/>
  <c r="AE240" i="18"/>
  <c r="AI188" i="18"/>
  <c r="AD188" i="18"/>
  <c r="AF188" i="18"/>
  <c r="AE188" i="18"/>
  <c r="AH188" i="18"/>
  <c r="AG188" i="18"/>
  <c r="AG44" i="18"/>
  <c r="AD44" i="18"/>
  <c r="AI44" i="18"/>
  <c r="AH44" i="18"/>
  <c r="AF44" i="18"/>
  <c r="AE44" i="18"/>
  <c r="P240" i="18"/>
  <c r="N102" i="18"/>
  <c r="L62" i="18"/>
  <c r="H468" i="18"/>
  <c r="N456" i="18"/>
  <c r="AI324" i="18"/>
  <c r="AE324" i="18"/>
  <c r="AD324" i="18"/>
  <c r="AG324" i="18"/>
  <c r="AF324" i="18"/>
  <c r="AH324" i="18"/>
  <c r="O274" i="18"/>
  <c r="H174" i="18"/>
  <c r="AI357" i="18"/>
  <c r="AE357" i="18"/>
  <c r="AG357" i="18"/>
  <c r="AF357" i="18"/>
  <c r="AH357" i="18"/>
  <c r="AD357" i="18"/>
  <c r="AF643" i="18"/>
  <c r="AE643" i="18"/>
  <c r="AD643" i="18"/>
  <c r="AH643" i="18"/>
  <c r="AG643" i="18"/>
  <c r="AI643" i="18"/>
  <c r="AI670" i="18"/>
  <c r="AH670" i="18"/>
  <c r="AG670" i="18"/>
  <c r="AF670" i="18"/>
  <c r="AE670" i="18"/>
  <c r="AD670" i="18"/>
  <c r="AI392" i="18"/>
  <c r="AG392" i="18"/>
  <c r="AF392" i="18"/>
  <c r="AE392" i="18"/>
  <c r="AD392" i="18"/>
  <c r="AH392" i="18"/>
  <c r="AF542" i="18"/>
  <c r="AE542" i="18"/>
  <c r="AG542" i="18"/>
  <c r="AI542" i="18"/>
  <c r="AH542" i="18"/>
  <c r="AD542" i="18"/>
  <c r="AF590" i="18"/>
  <c r="AE590" i="18"/>
  <c r="AI590" i="18"/>
  <c r="AH590" i="18"/>
  <c r="AG590" i="18"/>
  <c r="AD590" i="18"/>
  <c r="AI493" i="18"/>
  <c r="AG493" i="18"/>
  <c r="AE493" i="18"/>
  <c r="AH493" i="18"/>
  <c r="AF493" i="18"/>
  <c r="AD493" i="18"/>
  <c r="AE477" i="18"/>
  <c r="AD477" i="18"/>
  <c r="AI477" i="18"/>
  <c r="AH477" i="18"/>
  <c r="AG477" i="18"/>
  <c r="AF477" i="18"/>
  <c r="AG420" i="18"/>
  <c r="AF420" i="18"/>
  <c r="AE420" i="18"/>
  <c r="AD420" i="18"/>
  <c r="AI420" i="18"/>
  <c r="AH420" i="18"/>
  <c r="AI664" i="18"/>
  <c r="AH664" i="18"/>
  <c r="AF664" i="18"/>
  <c r="AE664" i="18"/>
  <c r="AD664" i="18"/>
  <c r="AG664" i="18"/>
  <c r="AE569" i="18"/>
  <c r="AD569" i="18"/>
  <c r="AI569" i="18"/>
  <c r="AH569" i="18"/>
  <c r="AG569" i="18"/>
  <c r="AF569" i="18"/>
  <c r="AH56" i="18"/>
  <c r="AG56" i="18"/>
  <c r="AI56" i="18"/>
  <c r="AF56" i="18"/>
  <c r="AE56" i="18"/>
  <c r="AD56" i="18"/>
  <c r="AF278" i="18"/>
  <c r="AH278" i="18"/>
  <c r="AG278" i="18"/>
  <c r="AE278" i="18"/>
  <c r="AI278" i="18"/>
  <c r="AD278" i="18"/>
  <c r="AI217" i="18"/>
  <c r="AE217" i="18"/>
  <c r="AH217" i="18"/>
  <c r="AF217" i="18"/>
  <c r="AD217" i="18"/>
  <c r="AG217" i="18"/>
  <c r="AI134" i="18"/>
  <c r="AH134" i="18"/>
  <c r="AG134" i="18"/>
  <c r="AF134" i="18"/>
  <c r="AE134" i="18"/>
  <c r="AD134" i="18"/>
  <c r="AH145" i="18"/>
  <c r="AE145" i="18"/>
  <c r="AD145" i="18"/>
  <c r="AI145" i="18"/>
  <c r="AG145" i="18"/>
  <c r="AF145" i="18"/>
  <c r="AI38" i="18"/>
  <c r="AH38" i="18"/>
  <c r="AG38" i="18"/>
  <c r="AF38" i="18"/>
  <c r="AE38" i="18"/>
  <c r="AD38" i="18"/>
  <c r="AI80" i="18"/>
  <c r="AH80" i="18"/>
  <c r="AD80" i="18"/>
  <c r="AF80" i="18"/>
  <c r="AE80" i="18"/>
  <c r="AG80" i="18"/>
  <c r="AH500" i="18"/>
  <c r="AF500" i="18"/>
  <c r="AD500" i="18"/>
  <c r="AG500" i="18"/>
  <c r="AI500" i="18"/>
  <c r="AE500" i="18"/>
  <c r="AI121" i="18"/>
  <c r="AH121" i="18"/>
  <c r="AF121" i="18"/>
  <c r="AE121" i="18"/>
  <c r="AD121" i="18"/>
  <c r="AG121" i="18"/>
  <c r="AH194" i="18"/>
  <c r="AF194" i="18"/>
  <c r="AD194" i="18"/>
  <c r="AI194" i="18"/>
  <c r="AG194" i="18"/>
  <c r="AE194" i="18"/>
  <c r="AH158" i="18"/>
  <c r="AF158" i="18"/>
  <c r="AD158" i="18"/>
  <c r="AI158" i="18"/>
  <c r="AG158" i="18"/>
  <c r="AE158" i="18"/>
  <c r="AI177" i="18"/>
  <c r="AG177" i="18"/>
  <c r="AE177" i="18"/>
  <c r="AF177" i="18"/>
  <c r="AD177" i="18"/>
  <c r="AH177" i="18"/>
  <c r="AG459" i="18"/>
  <c r="AE459" i="18"/>
  <c r="AF459" i="18"/>
  <c r="AD459" i="18"/>
  <c r="AI459" i="18"/>
  <c r="AH459" i="18"/>
  <c r="AG531" i="18"/>
  <c r="AE531" i="18"/>
  <c r="AH531" i="18"/>
  <c r="AF531" i="18"/>
  <c r="AD531" i="18"/>
  <c r="AI531" i="18"/>
  <c r="AD17" i="18"/>
  <c r="AI17" i="18"/>
  <c r="AH17" i="18"/>
  <c r="AG17" i="18"/>
  <c r="AF17" i="18"/>
  <c r="AE17" i="18"/>
  <c r="AE93" i="18"/>
  <c r="AI93" i="18"/>
  <c r="AH93" i="18"/>
  <c r="AG93" i="18"/>
  <c r="AF93" i="18"/>
  <c r="AD93" i="18"/>
  <c r="AI87" i="18"/>
  <c r="AE87" i="18"/>
  <c r="AH87" i="18"/>
  <c r="AG87" i="18"/>
  <c r="AF87" i="18"/>
  <c r="AD87" i="18"/>
  <c r="AE173" i="18"/>
  <c r="AI173" i="18"/>
  <c r="AG173" i="18"/>
  <c r="AD173" i="18"/>
  <c r="AH173" i="18"/>
  <c r="AF173" i="18"/>
  <c r="AE58" i="18"/>
  <c r="AH58" i="18"/>
  <c r="AG58" i="18"/>
  <c r="AF58" i="18"/>
  <c r="AD58" i="18"/>
  <c r="AI58" i="18"/>
  <c r="AD175" i="18"/>
  <c r="AF175" i="18"/>
  <c r="AH175" i="18"/>
  <c r="AG175" i="18"/>
  <c r="AE175" i="18"/>
  <c r="AI175" i="18"/>
  <c r="AG315" i="18"/>
  <c r="AF315" i="18"/>
  <c r="AD315" i="18"/>
  <c r="AH315" i="18"/>
  <c r="AI315" i="18"/>
  <c r="AE315" i="18"/>
  <c r="AF51" i="18"/>
  <c r="AI51" i="18"/>
  <c r="AH51" i="18"/>
  <c r="AG51" i="18"/>
  <c r="AE51" i="18"/>
  <c r="AD51" i="18"/>
  <c r="P62" i="18"/>
  <c r="AE525" i="18"/>
  <c r="AD525" i="18"/>
  <c r="AF525" i="18"/>
  <c r="AG525" i="18"/>
  <c r="AH525" i="18"/>
  <c r="AI525" i="18"/>
  <c r="AI646" i="18"/>
  <c r="AH646" i="18"/>
  <c r="AG646" i="18"/>
  <c r="AF646" i="18"/>
  <c r="AE646" i="18"/>
  <c r="AD646" i="18"/>
  <c r="AD456" i="18"/>
  <c r="AH456" i="18"/>
  <c r="AG456" i="18"/>
  <c r="AF456" i="18"/>
  <c r="AE456" i="18"/>
  <c r="AI456" i="18"/>
  <c r="AE355" i="18"/>
  <c r="AI355" i="18"/>
  <c r="AH355" i="18"/>
  <c r="AG355" i="18"/>
  <c r="AF355" i="18"/>
  <c r="AD355" i="18"/>
  <c r="AI592" i="18"/>
  <c r="AH592" i="18"/>
  <c r="AD592" i="18"/>
  <c r="AG592" i="18"/>
  <c r="AF592" i="18"/>
  <c r="AE592" i="18"/>
  <c r="AI471" i="18"/>
  <c r="AH471" i="18"/>
  <c r="AF471" i="18"/>
  <c r="AE471" i="18"/>
  <c r="AD471" i="18"/>
  <c r="AG471" i="18"/>
  <c r="AG636" i="18"/>
  <c r="AF636" i="18"/>
  <c r="AE636" i="18"/>
  <c r="AD636" i="18"/>
  <c r="AI636" i="18"/>
  <c r="AH636" i="18"/>
  <c r="AI527" i="18"/>
  <c r="AG527" i="18"/>
  <c r="AH527" i="18"/>
  <c r="AD527" i="18"/>
  <c r="AF527" i="18"/>
  <c r="AE527" i="18"/>
  <c r="AH413" i="18"/>
  <c r="AG413" i="18"/>
  <c r="AF413" i="18"/>
  <c r="AD413" i="18"/>
  <c r="AI413" i="18"/>
  <c r="AE413" i="18"/>
  <c r="AD180" i="18"/>
  <c r="AH180" i="18"/>
  <c r="AF180" i="18"/>
  <c r="AI180" i="18"/>
  <c r="AG180" i="18"/>
  <c r="AE180" i="18"/>
  <c r="AI163" i="18"/>
  <c r="AF163" i="18"/>
  <c r="AE163" i="18"/>
  <c r="AH163" i="18"/>
  <c r="AG163" i="18"/>
  <c r="AD163" i="18"/>
  <c r="AD351" i="18"/>
  <c r="AF351" i="18"/>
  <c r="AI351" i="18"/>
  <c r="AH351" i="18"/>
  <c r="AG351" i="18"/>
  <c r="AE351" i="18"/>
  <c r="AI663" i="18"/>
  <c r="AH663" i="18"/>
  <c r="AG663" i="18"/>
  <c r="AF663" i="18"/>
  <c r="AE663" i="18"/>
  <c r="AD663" i="18"/>
  <c r="AD480" i="18"/>
  <c r="AH480" i="18"/>
  <c r="AG480" i="18"/>
  <c r="AI480" i="18"/>
  <c r="AF480" i="18"/>
  <c r="AE480" i="18"/>
  <c r="AF638" i="18"/>
  <c r="AE638" i="18"/>
  <c r="AG638" i="18"/>
  <c r="AI638" i="18"/>
  <c r="AH638" i="18"/>
  <c r="AD638" i="18"/>
  <c r="AI443" i="18"/>
  <c r="AH443" i="18"/>
  <c r="AD443" i="18"/>
  <c r="AG443" i="18"/>
  <c r="AF443" i="18"/>
  <c r="AE443" i="18"/>
  <c r="AI426" i="18"/>
  <c r="AH426" i="18"/>
  <c r="AG426" i="18"/>
  <c r="AE426" i="18"/>
  <c r="AF426" i="18"/>
  <c r="AD426" i="18"/>
  <c r="AI277" i="18"/>
  <c r="AE277" i="18"/>
  <c r="AH277" i="18"/>
  <c r="AG277" i="18"/>
  <c r="AF277" i="18"/>
  <c r="AD277" i="18"/>
  <c r="AI616" i="18"/>
  <c r="AH616" i="18"/>
  <c r="AG616" i="18"/>
  <c r="AE616" i="18"/>
  <c r="AD616" i="18"/>
  <c r="AF616" i="18"/>
  <c r="AH284" i="18"/>
  <c r="AI284" i="18"/>
  <c r="AG284" i="18"/>
  <c r="AF284" i="18"/>
  <c r="AE284" i="18"/>
  <c r="AD284" i="18"/>
  <c r="AI156" i="18"/>
  <c r="AH156" i="18"/>
  <c r="AD156" i="18"/>
  <c r="AF156" i="18"/>
  <c r="AE156" i="18"/>
  <c r="AG156" i="18"/>
  <c r="AI479" i="18"/>
  <c r="AG479" i="18"/>
  <c r="AH479" i="18"/>
  <c r="AE479" i="18"/>
  <c r="AF479" i="18"/>
  <c r="AD479" i="18"/>
  <c r="AF499" i="18"/>
  <c r="AE499" i="18"/>
  <c r="AD499" i="18"/>
  <c r="AI499" i="18"/>
  <c r="AH499" i="18"/>
  <c r="AG499" i="18"/>
  <c r="AI577" i="18"/>
  <c r="AH577" i="18"/>
  <c r="AG577" i="18"/>
  <c r="AF577" i="18"/>
  <c r="AE577" i="18"/>
  <c r="AD577" i="18"/>
  <c r="AI423" i="18"/>
  <c r="AH423" i="18"/>
  <c r="AF423" i="18"/>
  <c r="AE423" i="18"/>
  <c r="AD423" i="18"/>
  <c r="AG423" i="18"/>
  <c r="AE405" i="18"/>
  <c r="AD405" i="18"/>
  <c r="AF405" i="18"/>
  <c r="AI405" i="18"/>
  <c r="AH405" i="18"/>
  <c r="AG405" i="18"/>
  <c r="AI455" i="18"/>
  <c r="AG455" i="18"/>
  <c r="AH455" i="18"/>
  <c r="AF455" i="18"/>
  <c r="AE455" i="18"/>
  <c r="AD455" i="18"/>
  <c r="AH644" i="18"/>
  <c r="AG644" i="18"/>
  <c r="AF644" i="18"/>
  <c r="AE644" i="18"/>
  <c r="AD644" i="18"/>
  <c r="AI644" i="18"/>
  <c r="AI591" i="18"/>
  <c r="AH591" i="18"/>
  <c r="AG591" i="18"/>
  <c r="AF591" i="18"/>
  <c r="AE591" i="18"/>
  <c r="AD591" i="18"/>
  <c r="AG483" i="18"/>
  <c r="AE483" i="18"/>
  <c r="AF483" i="18"/>
  <c r="AI483" i="18"/>
  <c r="AH483" i="18"/>
  <c r="AD483" i="18"/>
  <c r="AH256" i="18"/>
  <c r="AG256" i="18"/>
  <c r="AF256" i="18"/>
  <c r="AE256" i="18"/>
  <c r="AI256" i="18"/>
  <c r="AD256" i="18"/>
  <c r="AG234" i="18"/>
  <c r="AF234" i="18"/>
  <c r="AH234" i="18"/>
  <c r="AD234" i="18"/>
  <c r="AI234" i="18"/>
  <c r="AE234" i="18"/>
  <c r="AI253" i="18"/>
  <c r="AE253" i="18"/>
  <c r="AD253" i="18"/>
  <c r="AH253" i="18"/>
  <c r="AG253" i="18"/>
  <c r="AF253" i="18"/>
  <c r="AG103" i="18"/>
  <c r="AF103" i="18"/>
  <c r="AD103" i="18"/>
  <c r="AI103" i="18"/>
  <c r="AH103" i="18"/>
  <c r="AE103" i="18"/>
  <c r="AH89" i="18"/>
  <c r="AE89" i="18"/>
  <c r="AD89" i="18"/>
  <c r="AG89" i="18"/>
  <c r="AF89" i="18"/>
  <c r="AI89" i="18"/>
  <c r="AH117" i="18"/>
  <c r="AG117" i="18"/>
  <c r="AF117" i="18"/>
  <c r="AI117" i="18"/>
  <c r="AE117" i="18"/>
  <c r="AD117" i="18"/>
  <c r="AH21" i="18"/>
  <c r="AG21" i="18"/>
  <c r="AF21" i="18"/>
  <c r="AE21" i="18"/>
  <c r="AD21" i="18"/>
  <c r="AI21" i="18"/>
  <c r="AI407" i="18"/>
  <c r="AG407" i="18"/>
  <c r="AF407" i="18"/>
  <c r="AE407" i="18"/>
  <c r="AD407" i="18"/>
  <c r="AH407" i="18"/>
  <c r="AH404" i="18"/>
  <c r="AF404" i="18"/>
  <c r="AD404" i="18"/>
  <c r="AI404" i="18"/>
  <c r="AG404" i="18"/>
  <c r="AE404" i="18"/>
  <c r="AH486" i="18"/>
  <c r="AF486" i="18"/>
  <c r="AI486" i="18"/>
  <c r="AG486" i="18"/>
  <c r="AD486" i="18"/>
  <c r="AE486" i="18"/>
  <c r="AE157" i="18"/>
  <c r="AF157" i="18"/>
  <c r="AI157" i="18"/>
  <c r="AH157" i="18"/>
  <c r="AG157" i="18"/>
  <c r="AD157" i="18"/>
  <c r="AD119" i="18"/>
  <c r="AI119" i="18"/>
  <c r="AH119" i="18"/>
  <c r="AG119" i="18"/>
  <c r="AF119" i="18"/>
  <c r="AE119" i="18"/>
  <c r="AE29" i="18"/>
  <c r="AD29" i="18"/>
  <c r="AH29" i="18"/>
  <c r="AF29" i="18"/>
  <c r="AI29" i="18"/>
  <c r="AG29" i="18"/>
  <c r="AI169" i="18"/>
  <c r="AG169" i="18"/>
  <c r="AE169" i="18"/>
  <c r="AH169" i="18"/>
  <c r="AF169" i="18"/>
  <c r="AD169" i="18"/>
  <c r="AH409" i="18"/>
  <c r="AG409" i="18"/>
  <c r="AF409" i="18"/>
  <c r="AI409" i="18"/>
  <c r="AE409" i="18"/>
  <c r="AD409" i="18"/>
  <c r="AI467" i="18"/>
  <c r="AH467" i="18"/>
  <c r="AG467" i="18"/>
  <c r="AD467" i="18"/>
  <c r="AE467" i="18"/>
  <c r="AF467" i="18"/>
  <c r="AI647" i="18"/>
  <c r="AH647" i="18"/>
  <c r="AG647" i="18"/>
  <c r="AF647" i="18"/>
  <c r="AE647" i="18"/>
  <c r="AD647" i="18"/>
  <c r="AI90" i="18"/>
  <c r="AH90" i="18"/>
  <c r="AG90" i="18"/>
  <c r="AF90" i="18"/>
  <c r="AE90" i="18"/>
  <c r="AD90" i="18"/>
  <c r="AI62" i="18"/>
  <c r="AH62" i="18"/>
  <c r="AG62" i="18"/>
  <c r="AF62" i="18"/>
  <c r="AE62" i="18"/>
  <c r="AD62" i="18"/>
  <c r="AG179" i="18"/>
  <c r="AI179" i="18"/>
  <c r="AH179" i="18"/>
  <c r="AF179" i="18"/>
  <c r="AE179" i="18"/>
  <c r="AD179" i="18"/>
  <c r="AI30" i="18"/>
  <c r="AF30" i="18"/>
  <c r="AE30" i="18"/>
  <c r="AH30" i="18"/>
  <c r="AG30" i="18"/>
  <c r="AD30" i="18"/>
  <c r="AG52" i="18"/>
  <c r="AI52" i="18"/>
  <c r="AH52" i="18"/>
  <c r="AF52" i="18"/>
  <c r="AE52" i="18"/>
  <c r="AD52" i="18"/>
  <c r="AH147" i="18"/>
  <c r="AF147" i="18"/>
  <c r="AD147" i="18"/>
  <c r="AI147" i="18"/>
  <c r="AG147" i="18"/>
  <c r="AE147" i="18"/>
  <c r="AF6" i="18"/>
  <c r="AE6" i="18"/>
  <c r="AD6" i="18"/>
  <c r="AI6" i="18"/>
  <c r="AH6" i="18"/>
  <c r="AG6" i="18"/>
  <c r="N157" i="18"/>
  <c r="K102" i="18"/>
  <c r="O18" i="18"/>
  <c r="H645" i="18"/>
  <c r="P77" i="18"/>
  <c r="H626" i="18"/>
  <c r="AH200" i="18"/>
  <c r="AD200" i="18"/>
  <c r="AE200" i="18"/>
  <c r="AI200" i="18"/>
  <c r="AG200" i="18"/>
  <c r="AF200" i="18"/>
  <c r="K40" i="18"/>
  <c r="AI598" i="18"/>
  <c r="AH598" i="18"/>
  <c r="AG598" i="18"/>
  <c r="AF598" i="18"/>
  <c r="AE598" i="18"/>
  <c r="AD598" i="18"/>
  <c r="AG627" i="18"/>
  <c r="AF627" i="18"/>
  <c r="AE627" i="18"/>
  <c r="AD627" i="18"/>
  <c r="AI627" i="18"/>
  <c r="AH627" i="18"/>
  <c r="AD624" i="18"/>
  <c r="AH624" i="18"/>
  <c r="AG624" i="18"/>
  <c r="AI624" i="18"/>
  <c r="AF624" i="18"/>
  <c r="AE624" i="18"/>
  <c r="AE506" i="18"/>
  <c r="AD506" i="18"/>
  <c r="AG506" i="18"/>
  <c r="AF506" i="18"/>
  <c r="AI506" i="18"/>
  <c r="AH506" i="18"/>
  <c r="AG612" i="18"/>
  <c r="AF612" i="18"/>
  <c r="AE612" i="18"/>
  <c r="AD612" i="18"/>
  <c r="AI612" i="18"/>
  <c r="AH612" i="18"/>
  <c r="AH382" i="18"/>
  <c r="AI382" i="18"/>
  <c r="AG382" i="18"/>
  <c r="AF382" i="18"/>
  <c r="AE382" i="18"/>
  <c r="AD382" i="18"/>
  <c r="AI632" i="18"/>
  <c r="AH632" i="18"/>
  <c r="AG632" i="18"/>
  <c r="AF632" i="18"/>
  <c r="AE632" i="18"/>
  <c r="AD632" i="18"/>
  <c r="AI314" i="18"/>
  <c r="AE314" i="18"/>
  <c r="AH314" i="18"/>
  <c r="AD314" i="18"/>
  <c r="AF314" i="18"/>
  <c r="AG314" i="18"/>
  <c r="AF466" i="18"/>
  <c r="AD466" i="18"/>
  <c r="AI466" i="18"/>
  <c r="AH466" i="18"/>
  <c r="AG466" i="18"/>
  <c r="AE466" i="18"/>
  <c r="AI450" i="18"/>
  <c r="AH450" i="18"/>
  <c r="AG450" i="18"/>
  <c r="AF450" i="18"/>
  <c r="AE450" i="18"/>
  <c r="AD450" i="18"/>
  <c r="AI584" i="18"/>
  <c r="AH584" i="18"/>
  <c r="AG584" i="18"/>
  <c r="AF584" i="18"/>
  <c r="AE584" i="18"/>
  <c r="AD584" i="18"/>
  <c r="AH581" i="18"/>
  <c r="AG581" i="18"/>
  <c r="AF581" i="18"/>
  <c r="AE581" i="18"/>
  <c r="AD581" i="18"/>
  <c r="AI581" i="18"/>
  <c r="AF658" i="18"/>
  <c r="AE658" i="18"/>
  <c r="AD658" i="18"/>
  <c r="AI658" i="18"/>
  <c r="AH658" i="18"/>
  <c r="AG658" i="18"/>
  <c r="AI513" i="18"/>
  <c r="AD513" i="18"/>
  <c r="AH513" i="18"/>
  <c r="AG513" i="18"/>
  <c r="AF513" i="18"/>
  <c r="AE513" i="18"/>
  <c r="AI519" i="18"/>
  <c r="AH519" i="18"/>
  <c r="AF519" i="18"/>
  <c r="AE519" i="18"/>
  <c r="AD519" i="18"/>
  <c r="AG519" i="18"/>
  <c r="AF100" i="18"/>
  <c r="AI100" i="18"/>
  <c r="AH100" i="18"/>
  <c r="AG100" i="18"/>
  <c r="AE100" i="18"/>
  <c r="AD100" i="18"/>
  <c r="AI164" i="18"/>
  <c r="AD164" i="18"/>
  <c r="AF164" i="18"/>
  <c r="AE164" i="18"/>
  <c r="AG164" i="18"/>
  <c r="AH164" i="18"/>
  <c r="AD264" i="18"/>
  <c r="AH264" i="18"/>
  <c r="AF264" i="18"/>
  <c r="AE264" i="18"/>
  <c r="AI264" i="18"/>
  <c r="AG264" i="18"/>
  <c r="L313" i="18"/>
  <c r="L331" i="18"/>
  <c r="K157" i="18"/>
  <c r="O102" i="18"/>
  <c r="K18" i="18"/>
  <c r="N18" i="18"/>
  <c r="H614" i="18"/>
  <c r="O222" i="18"/>
  <c r="M163" i="18"/>
  <c r="M380" i="18"/>
  <c r="N202" i="18"/>
  <c r="K220" i="18"/>
  <c r="AI104" i="18"/>
  <c r="AH104" i="18"/>
  <c r="AG104" i="18"/>
  <c r="AF104" i="18"/>
  <c r="AE104" i="18"/>
  <c r="AD104" i="18"/>
  <c r="AH176" i="18"/>
  <c r="AD176" i="18"/>
  <c r="AG176" i="18"/>
  <c r="AE176" i="18"/>
  <c r="AI176" i="18"/>
  <c r="AF176" i="18"/>
  <c r="AE593" i="18"/>
  <c r="AD593" i="18"/>
  <c r="AI593" i="18"/>
  <c r="AH593" i="18"/>
  <c r="AG593" i="18"/>
  <c r="AF593" i="18"/>
  <c r="AG378" i="18"/>
  <c r="AF378" i="18"/>
  <c r="AE378" i="18"/>
  <c r="AI378" i="18"/>
  <c r="AH378" i="18"/>
  <c r="AD378" i="18"/>
  <c r="H567" i="18"/>
  <c r="M38" i="18"/>
  <c r="AG583" i="18"/>
  <c r="AF583" i="18"/>
  <c r="AD583" i="18"/>
  <c r="AH583" i="18"/>
  <c r="AI583" i="18"/>
  <c r="AE583" i="18"/>
  <c r="AF383" i="18"/>
  <c r="AG383" i="18"/>
  <c r="AE383" i="18"/>
  <c r="AI383" i="18"/>
  <c r="AH383" i="18"/>
  <c r="AD383" i="18"/>
  <c r="AG511" i="18"/>
  <c r="AF511" i="18"/>
  <c r="AI511" i="18"/>
  <c r="AD511" i="18"/>
  <c r="AH511" i="18"/>
  <c r="AE511" i="18"/>
  <c r="O114" i="18"/>
  <c r="AD143" i="18"/>
  <c r="AH143" i="18"/>
  <c r="AI143" i="18"/>
  <c r="AG143" i="18"/>
  <c r="AF143" i="18"/>
  <c r="AE143" i="18"/>
  <c r="P324" i="18"/>
  <c r="AD128" i="18"/>
  <c r="AI128" i="18"/>
  <c r="AH128" i="18"/>
  <c r="AG128" i="18"/>
  <c r="AF128" i="18"/>
  <c r="AE128" i="18"/>
  <c r="AG559" i="18"/>
  <c r="AF559" i="18"/>
  <c r="AH559" i="18"/>
  <c r="AD559" i="18"/>
  <c r="AI559" i="18"/>
  <c r="AE559" i="18"/>
  <c r="AG387" i="18"/>
  <c r="AI387" i="18"/>
  <c r="AF387" i="18"/>
  <c r="AH387" i="18"/>
  <c r="AE387" i="18"/>
  <c r="AD387" i="18"/>
  <c r="AG439" i="18"/>
  <c r="AF439" i="18"/>
  <c r="AI439" i="18"/>
  <c r="AD439" i="18"/>
  <c r="AH439" i="18"/>
  <c r="AE439" i="18"/>
  <c r="AF152" i="18"/>
  <c r="AE152" i="18"/>
  <c r="AI152" i="18"/>
  <c r="AH152" i="18"/>
  <c r="AG152" i="18"/>
  <c r="AD152" i="18"/>
  <c r="AF300" i="18"/>
  <c r="AG300" i="18"/>
  <c r="AI300" i="18"/>
  <c r="AH300" i="18"/>
  <c r="AE300" i="18"/>
  <c r="AD300" i="18"/>
  <c r="K204" i="18"/>
  <c r="O593" i="18"/>
  <c r="N640" i="18"/>
  <c r="O640" i="18"/>
  <c r="N473" i="18"/>
  <c r="O263" i="18"/>
  <c r="O82" i="18"/>
  <c r="O63" i="18"/>
  <c r="P82" i="18"/>
  <c r="P63" i="18"/>
  <c r="O473" i="18"/>
  <c r="K82" i="18"/>
  <c r="L63" i="18"/>
  <c r="N581" i="18"/>
  <c r="M232" i="18"/>
  <c r="M103" i="18"/>
  <c r="M171" i="18"/>
  <c r="M100" i="18"/>
  <c r="N47" i="18"/>
  <c r="L37" i="18"/>
  <c r="M20" i="18"/>
  <c r="N232" i="18"/>
  <c r="N171" i="18"/>
  <c r="M37" i="18"/>
  <c r="O171" i="18"/>
  <c r="O37" i="18"/>
  <c r="L422" i="18"/>
  <c r="N42" i="18"/>
  <c r="P456" i="18"/>
  <c r="K171" i="18"/>
  <c r="N134" i="18"/>
  <c r="O42" i="18"/>
  <c r="L456" i="18"/>
  <c r="L171" i="18"/>
  <c r="M77" i="18"/>
  <c r="L489" i="18"/>
  <c r="L543" i="18"/>
  <c r="O489" i="18"/>
  <c r="K543" i="18"/>
  <c r="K295" i="18"/>
  <c r="P129" i="18"/>
  <c r="N587" i="18"/>
  <c r="P163" i="18"/>
  <c r="L134" i="18"/>
  <c r="L77" i="18"/>
  <c r="P452" i="18"/>
  <c r="O295" i="18"/>
  <c r="L145" i="18"/>
  <c r="K77" i="18"/>
  <c r="N145" i="18"/>
  <c r="O77" i="18"/>
  <c r="M436" i="18"/>
  <c r="L208" i="18"/>
  <c r="O145" i="18"/>
  <c r="M104" i="18"/>
  <c r="N40" i="18"/>
  <c r="K20" i="18"/>
  <c r="O40" i="18"/>
  <c r="L20" i="18"/>
  <c r="K650" i="18"/>
  <c r="K489" i="18"/>
  <c r="N543" i="18"/>
  <c r="P473" i="18"/>
  <c r="P296" i="18"/>
  <c r="K43" i="18"/>
  <c r="M650" i="18"/>
  <c r="P489" i="18"/>
  <c r="O543" i="18"/>
  <c r="K473" i="18"/>
  <c r="L296" i="18"/>
  <c r="K324" i="18"/>
  <c r="P202" i="18"/>
  <c r="L204" i="18"/>
  <c r="K163" i="18"/>
  <c r="L43" i="18"/>
  <c r="L40" i="18"/>
  <c r="P435" i="18"/>
  <c r="O669" i="18"/>
  <c r="K488" i="18"/>
  <c r="O103" i="18"/>
  <c r="P103" i="18"/>
  <c r="L103" i="18"/>
  <c r="L650" i="18"/>
  <c r="P543" i="18"/>
  <c r="L473" i="18"/>
  <c r="M296" i="18"/>
  <c r="K338" i="18"/>
  <c r="M324" i="18"/>
  <c r="K81" i="18"/>
  <c r="P204" i="18"/>
  <c r="N43" i="18"/>
  <c r="M40" i="18"/>
  <c r="P425" i="18"/>
  <c r="M425" i="18"/>
  <c r="P662" i="18"/>
  <c r="O196" i="18"/>
  <c r="N196" i="18"/>
  <c r="L196" i="18"/>
  <c r="M196" i="18"/>
  <c r="K196" i="18"/>
  <c r="O568" i="18"/>
  <c r="N568" i="18"/>
  <c r="O549" i="18"/>
  <c r="L549" i="18"/>
  <c r="O650" i="18"/>
  <c r="N296" i="18"/>
  <c r="M338" i="18"/>
  <c r="M202" i="18"/>
  <c r="O43" i="18"/>
  <c r="L498" i="18"/>
  <c r="K498" i="18"/>
  <c r="N666" i="18"/>
  <c r="O666" i="18"/>
  <c r="O83" i="18"/>
  <c r="K83" i="18"/>
  <c r="K652" i="18"/>
  <c r="P527" i="18"/>
  <c r="O527" i="18"/>
  <c r="N527" i="18"/>
  <c r="O582" i="18"/>
  <c r="K530" i="18"/>
  <c r="P650" i="18"/>
  <c r="O296" i="18"/>
  <c r="K251" i="18"/>
  <c r="K151" i="18"/>
  <c r="P43" i="18"/>
  <c r="K601" i="18"/>
  <c r="P601" i="18"/>
  <c r="N601" i="18"/>
  <c r="M601" i="18"/>
  <c r="L601" i="18"/>
  <c r="O553" i="18"/>
  <c r="N553" i="18"/>
  <c r="M553" i="18"/>
  <c r="K582" i="18"/>
  <c r="L530" i="18"/>
  <c r="L460" i="18"/>
  <c r="L291" i="18"/>
  <c r="P251" i="18"/>
  <c r="L151" i="18"/>
  <c r="M43" i="18"/>
  <c r="M389" i="18"/>
  <c r="L389" i="18"/>
  <c r="P306" i="18"/>
  <c r="O306" i="18"/>
  <c r="L306" i="18"/>
  <c r="M306" i="18"/>
  <c r="K306" i="18"/>
  <c r="P48" i="18"/>
  <c r="N48" i="18"/>
  <c r="L582" i="18"/>
  <c r="O530" i="18"/>
  <c r="O460" i="18"/>
  <c r="K291" i="18"/>
  <c r="N151" i="18"/>
  <c r="K96" i="18"/>
  <c r="N472" i="18"/>
  <c r="O472" i="18"/>
  <c r="P334" i="18"/>
  <c r="M6" i="18"/>
  <c r="O338" i="18"/>
  <c r="N321" i="18"/>
  <c r="M582" i="18"/>
  <c r="K508" i="18"/>
  <c r="O500" i="18"/>
  <c r="M457" i="18"/>
  <c r="K450" i="18"/>
  <c r="M81" i="18"/>
  <c r="P81" i="18"/>
  <c r="O81" i="18"/>
  <c r="N81" i="18"/>
  <c r="O163" i="18"/>
  <c r="N582" i="18"/>
  <c r="M534" i="18"/>
  <c r="L597" i="18"/>
  <c r="L508" i="18"/>
  <c r="N411" i="18"/>
  <c r="P460" i="18"/>
  <c r="O291" i="18"/>
  <c r="L251" i="18"/>
  <c r="M151" i="18"/>
  <c r="N114" i="18"/>
  <c r="L96" i="18"/>
  <c r="N90" i="18"/>
  <c r="N62" i="18"/>
  <c r="K58" i="18"/>
  <c r="O52" i="18"/>
  <c r="L8" i="18"/>
  <c r="P540" i="18"/>
  <c r="O540" i="18"/>
  <c r="N540" i="18"/>
  <c r="L540" i="18"/>
  <c r="K540" i="18"/>
  <c r="P335" i="18"/>
  <c r="M7" i="18"/>
  <c r="L7" i="18"/>
  <c r="N7" i="18"/>
  <c r="L472" i="18"/>
  <c r="K509" i="18"/>
  <c r="K534" i="18"/>
  <c r="P600" i="18"/>
  <c r="L649" i="18"/>
  <c r="O508" i="18"/>
  <c r="M411" i="18"/>
  <c r="M321" i="18"/>
  <c r="L391" i="18"/>
  <c r="P291" i="18"/>
  <c r="N188" i="18"/>
  <c r="K274" i="18"/>
  <c r="N251" i="18"/>
  <c r="O152" i="18"/>
  <c r="O62" i="18"/>
  <c r="L58" i="18"/>
  <c r="M8" i="18"/>
  <c r="N82" i="18"/>
  <c r="N485" i="18"/>
  <c r="L485" i="18"/>
  <c r="K485" i="18"/>
  <c r="P485" i="18"/>
  <c r="O380" i="18"/>
  <c r="L511" i="18"/>
  <c r="N92" i="18"/>
  <c r="K92" i="18"/>
  <c r="K296" i="18"/>
  <c r="N489" i="18"/>
  <c r="M489" i="18"/>
  <c r="M509" i="18"/>
  <c r="M600" i="18"/>
  <c r="M651" i="18"/>
  <c r="N649" i="18"/>
  <c r="N597" i="18"/>
  <c r="N550" i="18"/>
  <c r="L334" i="18"/>
  <c r="P411" i="18"/>
  <c r="L321" i="18"/>
  <c r="M460" i="18"/>
  <c r="M391" i="18"/>
  <c r="M251" i="18"/>
  <c r="M96" i="18"/>
  <c r="M58" i="18"/>
  <c r="K38" i="18"/>
  <c r="N35" i="18"/>
  <c r="P362" i="18"/>
  <c r="P571" i="18"/>
  <c r="M555" i="18"/>
  <c r="L509" i="18"/>
  <c r="L600" i="18"/>
  <c r="N651" i="18"/>
  <c r="P491" i="18"/>
  <c r="O649" i="18"/>
  <c r="O597" i="18"/>
  <c r="K550" i="18"/>
  <c r="M340" i="18"/>
  <c r="M449" i="18"/>
  <c r="M334" i="18"/>
  <c r="K411" i="18"/>
  <c r="O321" i="18"/>
  <c r="N460" i="18"/>
  <c r="O391" i="18"/>
  <c r="N274" i="18"/>
  <c r="O251" i="18"/>
  <c r="O96" i="18"/>
  <c r="N58" i="18"/>
  <c r="L38" i="18"/>
  <c r="O35" i="18"/>
  <c r="P258" i="18"/>
  <c r="K258" i="18"/>
  <c r="O258" i="18"/>
  <c r="M474" i="18"/>
  <c r="P653" i="18"/>
  <c r="N653" i="18"/>
  <c r="N163" i="18"/>
  <c r="K651" i="18"/>
  <c r="K491" i="18"/>
  <c r="P597" i="18"/>
  <c r="O550" i="18"/>
  <c r="M508" i="18"/>
  <c r="P449" i="18"/>
  <c r="K334" i="18"/>
  <c r="L411" i="18"/>
  <c r="P321" i="18"/>
  <c r="M291" i="18"/>
  <c r="P274" i="18"/>
  <c r="P96" i="18"/>
  <c r="N64" i="18"/>
  <c r="O58" i="18"/>
  <c r="M302" i="18"/>
  <c r="L302" i="18"/>
  <c r="K600" i="18"/>
  <c r="P651" i="18"/>
  <c r="L491" i="18"/>
  <c r="P595" i="18"/>
  <c r="N508" i="18"/>
  <c r="N334" i="18"/>
  <c r="P391" i="18"/>
  <c r="L403" i="18"/>
  <c r="L274" i="18"/>
  <c r="N96" i="18"/>
  <c r="P58" i="18"/>
  <c r="M48" i="18"/>
  <c r="P38" i="18"/>
  <c r="O7" i="18"/>
  <c r="O8" i="18"/>
  <c r="P226" i="18"/>
  <c r="M226" i="18"/>
  <c r="P151" i="18"/>
  <c r="O151" i="18"/>
  <c r="O600" i="18"/>
  <c r="M491" i="18"/>
  <c r="K597" i="18"/>
  <c r="L550" i="18"/>
  <c r="P508" i="18"/>
  <c r="O334" i="18"/>
  <c r="O411" i="18"/>
  <c r="L484" i="18"/>
  <c r="K321" i="18"/>
  <c r="K391" i="18"/>
  <c r="M274" i="18"/>
  <c r="K48" i="18"/>
  <c r="P7" i="18"/>
  <c r="M136" i="18"/>
  <c r="N600" i="18"/>
  <c r="L651" i="18"/>
  <c r="N595" i="18"/>
  <c r="M550" i="18"/>
  <c r="K449" i="18"/>
  <c r="P484" i="18"/>
  <c r="N391" i="18"/>
  <c r="M152" i="18"/>
  <c r="K104" i="18"/>
  <c r="L48" i="18"/>
  <c r="N38" i="18"/>
  <c r="K7" i="18"/>
  <c r="L419" i="18"/>
  <c r="N212" i="18"/>
  <c r="O651" i="18"/>
  <c r="N491" i="18"/>
  <c r="P550" i="18"/>
  <c r="L449" i="18"/>
  <c r="L249" i="18"/>
  <c r="P104" i="18"/>
  <c r="O48" i="18"/>
  <c r="O38" i="18"/>
  <c r="O123" i="18"/>
  <c r="P123" i="18"/>
  <c r="N123" i="18"/>
  <c r="L429" i="18"/>
  <c r="O185" i="18"/>
  <c r="L185" i="18"/>
  <c r="K185" i="18"/>
  <c r="P359" i="18"/>
  <c r="M250" i="18"/>
  <c r="O250" i="18"/>
  <c r="L250" i="18"/>
  <c r="P250" i="18"/>
  <c r="N250" i="18"/>
  <c r="K250" i="18"/>
  <c r="P509" i="18"/>
  <c r="O509" i="18"/>
  <c r="N509" i="18"/>
  <c r="P593" i="18"/>
  <c r="O491" i="18"/>
  <c r="K649" i="18"/>
  <c r="K595" i="18"/>
  <c r="N449" i="18"/>
  <c r="K484" i="18"/>
  <c r="P249" i="18"/>
  <c r="N564" i="18"/>
  <c r="M564" i="18"/>
  <c r="L615" i="18"/>
  <c r="L478" i="18"/>
  <c r="N478" i="18"/>
  <c r="K478" i="18"/>
  <c r="P350" i="18"/>
  <c r="N350" i="18"/>
  <c r="M350" i="18"/>
  <c r="L350" i="18"/>
  <c r="K350" i="18"/>
  <c r="N222" i="18"/>
  <c r="M222" i="18"/>
  <c r="L595" i="18"/>
  <c r="K389" i="18"/>
  <c r="O449" i="18"/>
  <c r="N484" i="18"/>
  <c r="M249" i="18"/>
  <c r="L104" i="18"/>
  <c r="P520" i="18"/>
  <c r="M159" i="18"/>
  <c r="N588" i="18"/>
  <c r="M588" i="18"/>
  <c r="P493" i="18"/>
  <c r="K593" i="18"/>
  <c r="M595" i="18"/>
  <c r="O484" i="18"/>
  <c r="L222" i="18"/>
  <c r="N249" i="18"/>
  <c r="L163" i="18"/>
  <c r="L150" i="18"/>
  <c r="N104" i="18"/>
  <c r="N97" i="18"/>
  <c r="K6" i="18"/>
  <c r="P563" i="18"/>
  <c r="P440" i="18"/>
  <c r="L166" i="18"/>
  <c r="K242" i="18"/>
  <c r="O534" i="18"/>
  <c r="M473" i="18"/>
  <c r="O20" i="18"/>
  <c r="N20" i="18"/>
  <c r="L593" i="18"/>
  <c r="M543" i="18"/>
  <c r="O595" i="18"/>
  <c r="P222" i="18"/>
  <c r="O249" i="18"/>
  <c r="L6" i="18"/>
  <c r="O629" i="18"/>
  <c r="O490" i="18"/>
  <c r="N490" i="18"/>
  <c r="K88" i="18"/>
  <c r="P633" i="18"/>
  <c r="O633" i="18"/>
  <c r="N368" i="18" l="1"/>
  <c r="O116" i="18"/>
  <c r="M368" i="18"/>
  <c r="O165" i="18"/>
  <c r="O340" i="18"/>
  <c r="K201" i="18"/>
  <c r="Q362" i="18"/>
  <c r="K313" i="18"/>
  <c r="L56" i="18"/>
  <c r="N113" i="18"/>
  <c r="P313" i="18"/>
  <c r="Q323" i="18"/>
  <c r="K368" i="18"/>
  <c r="N340" i="18"/>
  <c r="L340" i="18"/>
  <c r="M313" i="18"/>
  <c r="P340" i="18"/>
  <c r="N56" i="18"/>
  <c r="Q313" i="18"/>
  <c r="N51" i="18"/>
  <c r="L358" i="18"/>
  <c r="M113" i="18"/>
  <c r="Q56" i="18"/>
  <c r="K232" i="18"/>
  <c r="O318" i="18"/>
  <c r="P51" i="18"/>
  <c r="L318" i="18"/>
  <c r="M56" i="18"/>
  <c r="L153" i="18"/>
  <c r="Q318" i="18"/>
  <c r="L188" i="18"/>
  <c r="P232" i="18"/>
  <c r="O113" i="18"/>
  <c r="N366" i="18"/>
  <c r="R136" i="18"/>
  <c r="P188" i="18"/>
  <c r="K51" i="18"/>
  <c r="O188" i="18"/>
  <c r="N165" i="18"/>
  <c r="N27" i="18"/>
  <c r="P113" i="18"/>
  <c r="O366" i="18"/>
  <c r="M51" i="18"/>
  <c r="K188" i="18"/>
  <c r="M284" i="18"/>
  <c r="P116" i="18"/>
  <c r="O56" i="18"/>
  <c r="Q152" i="18"/>
  <c r="N220" i="18"/>
  <c r="N190" i="18"/>
  <c r="O220" i="18"/>
  <c r="K150" i="18"/>
  <c r="K190" i="18"/>
  <c r="Q368" i="18"/>
  <c r="Q155" i="18"/>
  <c r="N384" i="18"/>
  <c r="L136" i="18"/>
  <c r="O358" i="18"/>
  <c r="K165" i="18"/>
  <c r="L307" i="18"/>
  <c r="P136" i="18"/>
  <c r="N389" i="18"/>
  <c r="M190" i="18"/>
  <c r="Q73" i="18"/>
  <c r="Q410" i="18"/>
  <c r="R150" i="18"/>
  <c r="N358" i="18"/>
  <c r="L190" i="18"/>
  <c r="P389" i="18"/>
  <c r="N403" i="18"/>
  <c r="P107" i="18"/>
  <c r="L73" i="18"/>
  <c r="P358" i="18"/>
  <c r="M165" i="18"/>
  <c r="M307" i="18"/>
  <c r="Q150" i="18"/>
  <c r="O197" i="18"/>
  <c r="O190" i="18"/>
  <c r="O389" i="18"/>
  <c r="Q19" i="18"/>
  <c r="Q307" i="18"/>
  <c r="Q136" i="18"/>
  <c r="L165" i="18"/>
  <c r="M153" i="18"/>
  <c r="K358" i="18"/>
  <c r="L23" i="18"/>
  <c r="O403" i="18"/>
  <c r="P150" i="18"/>
  <c r="R358" i="18"/>
  <c r="L107" i="18"/>
  <c r="L220" i="18"/>
  <c r="M403" i="18"/>
  <c r="K73" i="18"/>
  <c r="K136" i="18"/>
  <c r="P153" i="18"/>
  <c r="R220" i="18"/>
  <c r="K307" i="18"/>
  <c r="K153" i="18"/>
  <c r="Q197" i="18"/>
  <c r="M23" i="18"/>
  <c r="M150" i="18"/>
  <c r="N307" i="18"/>
  <c r="N409" i="18"/>
  <c r="O409" i="18"/>
  <c r="O150" i="18"/>
  <c r="N303" i="18"/>
  <c r="Q23" i="18"/>
  <c r="N153" i="18"/>
  <c r="R389" i="18"/>
  <c r="R368" i="18"/>
  <c r="O107" i="18"/>
  <c r="K409" i="18"/>
  <c r="P409" i="18"/>
  <c r="R153" i="18"/>
  <c r="R165" i="18"/>
  <c r="O368" i="18"/>
  <c r="L368" i="18"/>
  <c r="P403" i="18"/>
  <c r="P190" i="18"/>
  <c r="O153" i="18"/>
  <c r="M220" i="18"/>
  <c r="P165" i="18"/>
  <c r="P307" i="18"/>
  <c r="M303" i="18"/>
  <c r="L410" i="18"/>
  <c r="M409" i="18"/>
  <c r="P220" i="18"/>
  <c r="N136" i="18"/>
  <c r="K195" i="18"/>
  <c r="Q257" i="18"/>
  <c r="M257" i="18"/>
  <c r="N257" i="18"/>
  <c r="N195" i="18"/>
  <c r="P275" i="18"/>
  <c r="Q195" i="18"/>
  <c r="K19" i="18"/>
  <c r="O34" i="18"/>
  <c r="O19" i="18"/>
  <c r="L257" i="18"/>
  <c r="P19" i="18"/>
  <c r="K275" i="18"/>
  <c r="N24" i="18"/>
  <c r="O257" i="18"/>
  <c r="L19" i="18"/>
  <c r="L195" i="18"/>
  <c r="P34" i="18"/>
  <c r="R195" i="18"/>
  <c r="P195" i="18"/>
  <c r="N19" i="18"/>
  <c r="O195" i="18"/>
  <c r="N34" i="18"/>
  <c r="Q321" i="18"/>
  <c r="M19" i="18"/>
  <c r="L466" i="18"/>
  <c r="L85" i="18"/>
  <c r="L34" i="18"/>
  <c r="N85" i="18"/>
  <c r="K362" i="18"/>
  <c r="K466" i="18"/>
  <c r="P466" i="18"/>
  <c r="Q399" i="18"/>
  <c r="M362" i="18"/>
  <c r="R191" i="18"/>
  <c r="M191" i="18"/>
  <c r="O191" i="18"/>
  <c r="K191" i="18"/>
  <c r="P191" i="18"/>
  <c r="Q188" i="18"/>
  <c r="M110" i="18"/>
  <c r="O271" i="18"/>
  <c r="R32" i="18"/>
  <c r="L32" i="18"/>
  <c r="P32" i="18"/>
  <c r="O32" i="18"/>
  <c r="N32" i="18"/>
  <c r="M32" i="18"/>
  <c r="K32" i="18"/>
  <c r="L320" i="18"/>
  <c r="L303" i="18"/>
  <c r="M456" i="18"/>
  <c r="M478" i="18"/>
  <c r="O73" i="18"/>
  <c r="Q534" i="18"/>
  <c r="Q320" i="18"/>
  <c r="R257" i="18"/>
  <c r="R29" i="18"/>
  <c r="K29" i="18"/>
  <c r="O29" i="18"/>
  <c r="P29" i="18"/>
  <c r="N29" i="18"/>
  <c r="M29" i="18"/>
  <c r="L29" i="18"/>
  <c r="R338" i="18"/>
  <c r="L35" i="18"/>
  <c r="K456" i="18"/>
  <c r="O402" i="18"/>
  <c r="N356" i="18"/>
  <c r="P395" i="18"/>
  <c r="Q34" i="18"/>
  <c r="Q395" i="18"/>
  <c r="R204" i="18"/>
  <c r="M34" i="18"/>
  <c r="L524" i="18"/>
  <c r="K524" i="18"/>
  <c r="O524" i="18"/>
  <c r="R54" i="18"/>
  <c r="N54" i="18"/>
  <c r="P54" i="18"/>
  <c r="M54" i="18"/>
  <c r="O54" i="18"/>
  <c r="L54" i="18"/>
  <c r="K54" i="18"/>
  <c r="P410" i="18"/>
  <c r="Q204" i="18"/>
  <c r="K257" i="18"/>
  <c r="O466" i="18"/>
  <c r="N320" i="18"/>
  <c r="Q456" i="18"/>
  <c r="R57" i="18"/>
  <c r="O57" i="18"/>
  <c r="N57" i="18"/>
  <c r="P57" i="18"/>
  <c r="M57" i="18"/>
  <c r="L57" i="18"/>
  <c r="K57" i="18"/>
  <c r="R248" i="18"/>
  <c r="P248" i="18"/>
  <c r="M248" i="18"/>
  <c r="L248" i="18"/>
  <c r="N248" i="18"/>
  <c r="K248" i="18"/>
  <c r="N275" i="18"/>
  <c r="R147" i="18"/>
  <c r="M73" i="18"/>
  <c r="M185" i="18"/>
  <c r="N191" i="18"/>
  <c r="N517" i="18"/>
  <c r="P73" i="18"/>
  <c r="K234" i="18"/>
  <c r="R273" i="18"/>
  <c r="L273" i="18"/>
  <c r="O273" i="18"/>
  <c r="P273" i="18"/>
  <c r="N273" i="18"/>
  <c r="K273" i="18"/>
  <c r="M273" i="18"/>
  <c r="R110" i="18"/>
  <c r="N110" i="18"/>
  <c r="L110" i="18"/>
  <c r="P110" i="18"/>
  <c r="M147" i="18"/>
  <c r="O147" i="18"/>
  <c r="L178" i="18"/>
  <c r="N178" i="18"/>
  <c r="P178" i="18"/>
  <c r="O178" i="18"/>
  <c r="K178" i="18"/>
  <c r="M178" i="18"/>
  <c r="M146" i="18"/>
  <c r="K146" i="18"/>
  <c r="M320" i="18"/>
  <c r="K216" i="18"/>
  <c r="Q466" i="18"/>
  <c r="R466" i="18"/>
  <c r="O155" i="18"/>
  <c r="P155" i="18"/>
  <c r="N155" i="18"/>
  <c r="M155" i="18"/>
  <c r="L155" i="18"/>
  <c r="K155" i="18"/>
  <c r="L147" i="18"/>
  <c r="Q402" i="18"/>
  <c r="K34" i="18"/>
  <c r="R23" i="18"/>
  <c r="P23" i="18"/>
  <c r="O23" i="18"/>
  <c r="N23" i="18"/>
  <c r="O404" i="18"/>
  <c r="O320" i="18"/>
  <c r="P402" i="18"/>
  <c r="L517" i="18"/>
  <c r="Q57" i="18"/>
  <c r="P147" i="18"/>
  <c r="P24" i="18"/>
  <c r="M85" i="18"/>
  <c r="R197" i="18"/>
  <c r="P197" i="18"/>
  <c r="N197" i="18"/>
  <c r="L197" i="18"/>
  <c r="K197" i="18"/>
  <c r="R288" i="18"/>
  <c r="L288" i="18"/>
  <c r="N288" i="18"/>
  <c r="K288" i="18"/>
  <c r="P288" i="18"/>
  <c r="O288" i="18"/>
  <c r="M288" i="18"/>
  <c r="L227" i="18"/>
  <c r="O216" i="18"/>
  <c r="M311" i="18"/>
  <c r="L216" i="18"/>
  <c r="P279" i="18"/>
  <c r="O315" i="18"/>
  <c r="P303" i="18"/>
  <c r="M227" i="18"/>
  <c r="O115" i="18"/>
  <c r="Q311" i="18"/>
  <c r="P216" i="18"/>
  <c r="K284" i="18"/>
  <c r="O284" i="18"/>
  <c r="L284" i="18"/>
  <c r="P115" i="18"/>
  <c r="K318" i="18"/>
  <c r="L115" i="18"/>
  <c r="P284" i="18"/>
  <c r="Q216" i="18"/>
  <c r="M188" i="18"/>
  <c r="K115" i="18"/>
  <c r="N318" i="18"/>
  <c r="Q115" i="18"/>
  <c r="K113" i="18"/>
  <c r="P318" i="18"/>
  <c r="Q113" i="18"/>
  <c r="K124" i="18"/>
  <c r="N284" i="18"/>
  <c r="R532" i="18"/>
  <c r="P532" i="18"/>
  <c r="O532" i="18"/>
  <c r="K532" i="18"/>
  <c r="L532" i="18"/>
  <c r="N532" i="18"/>
  <c r="M532" i="18"/>
  <c r="Q355" i="18"/>
  <c r="R355" i="18"/>
  <c r="K355" i="18"/>
  <c r="O355" i="18"/>
  <c r="N355" i="18"/>
  <c r="M355" i="18"/>
  <c r="L355" i="18"/>
  <c r="P355" i="18"/>
  <c r="N363" i="18"/>
  <c r="R363" i="18"/>
  <c r="R444" i="18"/>
  <c r="M444" i="18"/>
  <c r="P444" i="18"/>
  <c r="L444" i="18"/>
  <c r="O444" i="18"/>
  <c r="K444" i="18"/>
  <c r="N444" i="18"/>
  <c r="R406" i="18"/>
  <c r="L406" i="18"/>
  <c r="P406" i="18"/>
  <c r="K406" i="18"/>
  <c r="O406" i="18"/>
  <c r="N406" i="18"/>
  <c r="M406" i="18"/>
  <c r="R448" i="18"/>
  <c r="L448" i="18"/>
  <c r="K448" i="18"/>
  <c r="P448" i="18"/>
  <c r="O448" i="18"/>
  <c r="N448" i="18"/>
  <c r="M448" i="18"/>
  <c r="O323" i="18"/>
  <c r="R462" i="18"/>
  <c r="N462" i="18"/>
  <c r="O462" i="18"/>
  <c r="M462" i="18"/>
  <c r="L462" i="18"/>
  <c r="K462" i="18"/>
  <c r="P462" i="18"/>
  <c r="R538" i="18"/>
  <c r="N538" i="18"/>
  <c r="P538" i="18"/>
  <c r="M538" i="18"/>
  <c r="L538" i="18"/>
  <c r="O538" i="18"/>
  <c r="K538" i="18"/>
  <c r="Q478" i="18"/>
  <c r="R478" i="18"/>
  <c r="P478" i="18"/>
  <c r="Q379" i="18"/>
  <c r="R379" i="18"/>
  <c r="N379" i="18"/>
  <c r="O379" i="18"/>
  <c r="M379" i="18"/>
  <c r="K379" i="18"/>
  <c r="P379" i="18"/>
  <c r="L379" i="18"/>
  <c r="K403" i="18"/>
  <c r="Q486" i="18"/>
  <c r="R486" i="18"/>
  <c r="R527" i="18"/>
  <c r="K527" i="18"/>
  <c r="O502" i="18"/>
  <c r="R502" i="18"/>
  <c r="N502" i="18"/>
  <c r="N323" i="18"/>
  <c r="Q479" i="18"/>
  <c r="R479" i="18"/>
  <c r="L479" i="18"/>
  <c r="O479" i="18"/>
  <c r="P479" i="18"/>
  <c r="M479" i="18"/>
  <c r="N479" i="18"/>
  <c r="K479" i="18"/>
  <c r="Q444" i="18"/>
  <c r="Q522" i="18"/>
  <c r="Q472" i="18"/>
  <c r="R472" i="18"/>
  <c r="L409" i="18"/>
  <c r="R409" i="18"/>
  <c r="Q390" i="18"/>
  <c r="R390" i="18"/>
  <c r="K390" i="18"/>
  <c r="L390" i="18"/>
  <c r="P390" i="18"/>
  <c r="N390" i="18"/>
  <c r="M390" i="18"/>
  <c r="O390" i="18"/>
  <c r="Q372" i="18"/>
  <c r="R372" i="18"/>
  <c r="O372" i="18"/>
  <c r="K372" i="18"/>
  <c r="P372" i="18"/>
  <c r="M372" i="18"/>
  <c r="L372" i="18"/>
  <c r="N372" i="18"/>
  <c r="N404" i="18"/>
  <c r="Q387" i="18"/>
  <c r="R387" i="18"/>
  <c r="K366" i="18"/>
  <c r="R526" i="18"/>
  <c r="K526" i="18"/>
  <c r="P526" i="18"/>
  <c r="L526" i="18"/>
  <c r="O526" i="18"/>
  <c r="N526" i="18"/>
  <c r="M526" i="18"/>
  <c r="L534" i="18"/>
  <c r="M366" i="18"/>
  <c r="M527" i="18"/>
  <c r="L404" i="18"/>
  <c r="Q427" i="18"/>
  <c r="R427" i="18"/>
  <c r="Q530" i="18"/>
  <c r="R504" i="18"/>
  <c r="P504" i="18"/>
  <c r="L504" i="18"/>
  <c r="K504" i="18"/>
  <c r="M504" i="18"/>
  <c r="N504" i="18"/>
  <c r="O504" i="18"/>
  <c r="R440" i="18"/>
  <c r="N440" i="18"/>
  <c r="M440" i="18"/>
  <c r="O440" i="18"/>
  <c r="Q487" i="18"/>
  <c r="R487" i="18"/>
  <c r="P487" i="18"/>
  <c r="Q385" i="18"/>
  <c r="R385" i="18"/>
  <c r="P385" i="18"/>
  <c r="K385" i="18"/>
  <c r="N385" i="18"/>
  <c r="L385" i="18"/>
  <c r="M385" i="18"/>
  <c r="O385" i="18"/>
  <c r="N477" i="18"/>
  <c r="R477" i="18"/>
  <c r="P534" i="18"/>
  <c r="M438" i="18"/>
  <c r="L502" i="18"/>
  <c r="K486" i="18"/>
  <c r="Q480" i="18"/>
  <c r="R480" i="18"/>
  <c r="N480" i="18"/>
  <c r="M480" i="18"/>
  <c r="O480" i="18"/>
  <c r="P480" i="18"/>
  <c r="K480" i="18"/>
  <c r="L480" i="18"/>
  <c r="R395" i="18"/>
  <c r="O395" i="18"/>
  <c r="K395" i="18"/>
  <c r="R514" i="18"/>
  <c r="L514" i="18"/>
  <c r="M514" i="18"/>
  <c r="N514" i="18"/>
  <c r="P514" i="18"/>
  <c r="O514" i="18"/>
  <c r="K514" i="18"/>
  <c r="R400" i="18"/>
  <c r="P400" i="18"/>
  <c r="L400" i="18"/>
  <c r="K400" i="18"/>
  <c r="M400" i="18"/>
  <c r="N400" i="18"/>
  <c r="O400" i="18"/>
  <c r="R536" i="18"/>
  <c r="L536" i="18"/>
  <c r="K536" i="18"/>
  <c r="M536" i="18"/>
  <c r="N536" i="18"/>
  <c r="P536" i="18"/>
  <c r="O536" i="18"/>
  <c r="K522" i="18"/>
  <c r="M363" i="18"/>
  <c r="M486" i="18"/>
  <c r="Q460" i="18"/>
  <c r="R434" i="18"/>
  <c r="N434" i="18"/>
  <c r="K434" i="18"/>
  <c r="M434" i="18"/>
  <c r="P434" i="18"/>
  <c r="O434" i="18"/>
  <c r="L434" i="18"/>
  <c r="R503" i="18"/>
  <c r="P503" i="18"/>
  <c r="K503" i="18"/>
  <c r="L503" i="18"/>
  <c r="O503" i="18"/>
  <c r="N503" i="18"/>
  <c r="M503" i="18"/>
  <c r="R463" i="18"/>
  <c r="K463" i="18"/>
  <c r="N463" i="18"/>
  <c r="P463" i="18"/>
  <c r="O463" i="18"/>
  <c r="L463" i="18"/>
  <c r="M463" i="18"/>
  <c r="R518" i="18"/>
  <c r="P518" i="18"/>
  <c r="K518" i="18"/>
  <c r="O518" i="18"/>
  <c r="N518" i="18"/>
  <c r="M518" i="18"/>
  <c r="L518" i="18"/>
  <c r="R335" i="18"/>
  <c r="K335" i="18"/>
  <c r="N410" i="18"/>
  <c r="R410" i="18"/>
  <c r="M410" i="18"/>
  <c r="P404" i="18"/>
  <c r="R344" i="18"/>
  <c r="N344" i="18"/>
  <c r="M344" i="18"/>
  <c r="L319" i="18"/>
  <c r="R319" i="18"/>
  <c r="R470" i="18"/>
  <c r="O470" i="18"/>
  <c r="N470" i="18"/>
  <c r="P470" i="18"/>
  <c r="M470" i="18"/>
  <c r="K470" i="18"/>
  <c r="L470" i="18"/>
  <c r="R420" i="18"/>
  <c r="N420" i="18"/>
  <c r="L420" i="18"/>
  <c r="K420" i="18"/>
  <c r="P420" i="18"/>
  <c r="O420" i="18"/>
  <c r="M420" i="18"/>
  <c r="N369" i="18"/>
  <c r="R369" i="18"/>
  <c r="M369" i="18"/>
  <c r="L369" i="18"/>
  <c r="Q360" i="18"/>
  <c r="R360" i="18"/>
  <c r="N360" i="18"/>
  <c r="O360" i="18"/>
  <c r="M360" i="18"/>
  <c r="P360" i="18"/>
  <c r="L360" i="18"/>
  <c r="K360" i="18"/>
  <c r="P522" i="18"/>
  <c r="Q493" i="18"/>
  <c r="N315" i="18"/>
  <c r="R496" i="18"/>
  <c r="O496" i="18"/>
  <c r="M496" i="18"/>
  <c r="L496" i="18"/>
  <c r="K496" i="18"/>
  <c r="N496" i="18"/>
  <c r="P496" i="18"/>
  <c r="R438" i="18"/>
  <c r="P438" i="18"/>
  <c r="O335" i="18"/>
  <c r="K477" i="18"/>
  <c r="L335" i="18"/>
  <c r="K404" i="18"/>
  <c r="Q496" i="18"/>
  <c r="Q482" i="18"/>
  <c r="R482" i="18"/>
  <c r="O482" i="18"/>
  <c r="N482" i="18"/>
  <c r="M482" i="18"/>
  <c r="N380" i="18"/>
  <c r="R380" i="18"/>
  <c r="Q351" i="18"/>
  <c r="R351" i="18"/>
  <c r="K351" i="18"/>
  <c r="O351" i="18"/>
  <c r="P351" i="18"/>
  <c r="L351" i="18"/>
  <c r="N351" i="18"/>
  <c r="M351" i="18"/>
  <c r="K501" i="18"/>
  <c r="R501" i="18"/>
  <c r="M501" i="18"/>
  <c r="P501" i="18"/>
  <c r="O501" i="18"/>
  <c r="R455" i="18"/>
  <c r="N455" i="18"/>
  <c r="L455" i="18"/>
  <c r="K455" i="18"/>
  <c r="P455" i="18"/>
  <c r="M455" i="18"/>
  <c r="O455" i="18"/>
  <c r="Q483" i="18"/>
  <c r="R483" i="18"/>
  <c r="R327" i="18"/>
  <c r="M327" i="18"/>
  <c r="P327" i="18"/>
  <c r="K327" i="18"/>
  <c r="N327" i="18"/>
  <c r="O327" i="18"/>
  <c r="L327" i="18"/>
  <c r="L522" i="18"/>
  <c r="R523" i="18"/>
  <c r="P523" i="18"/>
  <c r="O523" i="18"/>
  <c r="M523" i="18"/>
  <c r="K523" i="18"/>
  <c r="N523" i="18"/>
  <c r="L523" i="18"/>
  <c r="O363" i="18"/>
  <c r="L366" i="18"/>
  <c r="K460" i="18"/>
  <c r="M335" i="18"/>
  <c r="Q518" i="18"/>
  <c r="Q517" i="18"/>
  <c r="Q455" i="18"/>
  <c r="R316" i="18"/>
  <c r="L316" i="18"/>
  <c r="K316" i="18"/>
  <c r="M316" i="18"/>
  <c r="N316" i="18"/>
  <c r="O316" i="18"/>
  <c r="P316" i="18"/>
  <c r="R443" i="18"/>
  <c r="O443" i="18"/>
  <c r="P443" i="18"/>
  <c r="K443" i="18"/>
  <c r="N443" i="18"/>
  <c r="M443" i="18"/>
  <c r="L443" i="18"/>
  <c r="P498" i="18"/>
  <c r="R498" i="18"/>
  <c r="O498" i="18"/>
  <c r="R497" i="18"/>
  <c r="O497" i="18"/>
  <c r="M497" i="18"/>
  <c r="L497" i="18"/>
  <c r="P497" i="18"/>
  <c r="K497" i="18"/>
  <c r="N497" i="18"/>
  <c r="R424" i="18"/>
  <c r="M424" i="18"/>
  <c r="O424" i="18"/>
  <c r="N424" i="18"/>
  <c r="L424" i="18"/>
  <c r="K424" i="18"/>
  <c r="P424" i="18"/>
  <c r="R423" i="18"/>
  <c r="N423" i="18"/>
  <c r="K423" i="18"/>
  <c r="O423" i="18"/>
  <c r="M423" i="18"/>
  <c r="L423" i="18"/>
  <c r="P423" i="18"/>
  <c r="Q536" i="18"/>
  <c r="R414" i="18"/>
  <c r="O414" i="18"/>
  <c r="N414" i="18"/>
  <c r="M414" i="18"/>
  <c r="L414" i="18"/>
  <c r="K414" i="18"/>
  <c r="P414" i="18"/>
  <c r="K493" i="18"/>
  <c r="P472" i="18"/>
  <c r="P363" i="18"/>
  <c r="Q327" i="18"/>
  <c r="Q340" i="18"/>
  <c r="R340" i="18"/>
  <c r="O356" i="18"/>
  <c r="R356" i="18"/>
  <c r="M356" i="18"/>
  <c r="K356" i="18"/>
  <c r="R452" i="18"/>
  <c r="M452" i="18"/>
  <c r="N452" i="18"/>
  <c r="O452" i="18"/>
  <c r="L452" i="18"/>
  <c r="K452" i="18"/>
  <c r="R412" i="18"/>
  <c r="M412" i="18"/>
  <c r="K412" i="18"/>
  <c r="N412" i="18"/>
  <c r="O412" i="18"/>
  <c r="P412" i="18"/>
  <c r="L412" i="18"/>
  <c r="Q384" i="18"/>
  <c r="R384" i="18"/>
  <c r="Q352" i="18"/>
  <c r="R352" i="18"/>
  <c r="Q332" i="18"/>
  <c r="R332" i="18"/>
  <c r="M332" i="18"/>
  <c r="N332" i="18"/>
  <c r="K332" i="18"/>
  <c r="O332" i="18"/>
  <c r="O384" i="18"/>
  <c r="K363" i="18"/>
  <c r="Q366" i="18"/>
  <c r="R366" i="18"/>
  <c r="P352" i="18"/>
  <c r="Q386" i="18"/>
  <c r="R386" i="18"/>
  <c r="M386" i="18"/>
  <c r="L386" i="18"/>
  <c r="K386" i="18"/>
  <c r="O386" i="18"/>
  <c r="P386" i="18"/>
  <c r="R447" i="18"/>
  <c r="P447" i="18"/>
  <c r="N447" i="18"/>
  <c r="M447" i="18"/>
  <c r="L447" i="18"/>
  <c r="K447" i="18"/>
  <c r="O447" i="18"/>
  <c r="L493" i="18"/>
  <c r="P332" i="18"/>
  <c r="L315" i="18"/>
  <c r="N386" i="18"/>
  <c r="Q448" i="18"/>
  <c r="M488" i="18"/>
  <c r="R488" i="18"/>
  <c r="N488" i="18"/>
  <c r="O488" i="18"/>
  <c r="Q383" i="18"/>
  <c r="R383" i="18"/>
  <c r="M383" i="18"/>
  <c r="P383" i="18"/>
  <c r="N383" i="18"/>
  <c r="O383" i="18"/>
  <c r="K383" i="18"/>
  <c r="R533" i="18"/>
  <c r="K533" i="18"/>
  <c r="M533" i="18"/>
  <c r="P533" i="18"/>
  <c r="O533" i="18"/>
  <c r="N533" i="18"/>
  <c r="L533" i="18"/>
  <c r="R464" i="18"/>
  <c r="O464" i="18"/>
  <c r="N464" i="18"/>
  <c r="P464" i="18"/>
  <c r="M464" i="18"/>
  <c r="K464" i="18"/>
  <c r="L464" i="18"/>
  <c r="R345" i="18"/>
  <c r="K345" i="18"/>
  <c r="O345" i="18"/>
  <c r="R442" i="18"/>
  <c r="L442" i="18"/>
  <c r="K442" i="18"/>
  <c r="P442" i="18"/>
  <c r="N442" i="18"/>
  <c r="O442" i="18"/>
  <c r="M442" i="18"/>
  <c r="P323" i="18"/>
  <c r="L323" i="18"/>
  <c r="Q363" i="18"/>
  <c r="N530" i="18"/>
  <c r="O522" i="18"/>
  <c r="N534" i="18"/>
  <c r="L384" i="18"/>
  <c r="N493" i="18"/>
  <c r="M493" i="18"/>
  <c r="M530" i="18"/>
  <c r="N335" i="18"/>
  <c r="L332" i="18"/>
  <c r="M323" i="18"/>
  <c r="N522" i="18"/>
  <c r="L363" i="18"/>
  <c r="Q404" i="18"/>
  <c r="N313" i="18"/>
  <c r="R313" i="18"/>
  <c r="R317" i="18"/>
  <c r="K317" i="18"/>
  <c r="P317" i="18"/>
  <c r="L317" i="18"/>
  <c r="O317" i="18"/>
  <c r="M317" i="18"/>
  <c r="N317" i="18"/>
  <c r="Q375" i="18"/>
  <c r="R375" i="18"/>
  <c r="P375" i="18"/>
  <c r="L375" i="18"/>
  <c r="K375" i="18"/>
  <c r="M375" i="18"/>
  <c r="O375" i="18"/>
  <c r="N375" i="18"/>
  <c r="N520" i="18"/>
  <c r="R520" i="18"/>
  <c r="R529" i="18"/>
  <c r="P529" i="18"/>
  <c r="O529" i="18"/>
  <c r="K529" i="18"/>
  <c r="L529" i="18"/>
  <c r="R430" i="18"/>
  <c r="P430" i="18"/>
  <c r="L430" i="18"/>
  <c r="O430" i="18"/>
  <c r="N430" i="18"/>
  <c r="M430" i="18"/>
  <c r="K430" i="18"/>
  <c r="Q357" i="18"/>
  <c r="R357" i="18"/>
  <c r="O357" i="18"/>
  <c r="M357" i="18"/>
  <c r="P357" i="18"/>
  <c r="L357" i="18"/>
  <c r="K357" i="18"/>
  <c r="N357" i="18"/>
  <c r="O493" i="18"/>
  <c r="Q532" i="18"/>
  <c r="R453" i="18"/>
  <c r="N453" i="18"/>
  <c r="M453" i="18"/>
  <c r="P453" i="18"/>
  <c r="O453" i="18"/>
  <c r="L453" i="18"/>
  <c r="K453" i="18"/>
  <c r="O477" i="18"/>
  <c r="K472" i="18"/>
  <c r="K384" i="18"/>
  <c r="M384" i="18"/>
  <c r="M352" i="18"/>
  <c r="M472" i="18"/>
  <c r="M402" i="18"/>
  <c r="K438" i="18"/>
  <c r="M431" i="18"/>
  <c r="O410" i="18"/>
  <c r="P315" i="18"/>
  <c r="Q403" i="18"/>
  <c r="R311" i="18"/>
  <c r="N311" i="18"/>
  <c r="L311" i="18"/>
  <c r="P311" i="18"/>
  <c r="K311" i="18"/>
  <c r="R535" i="18"/>
  <c r="P535" i="18"/>
  <c r="L535" i="18"/>
  <c r="N535" i="18"/>
  <c r="K535" i="18"/>
  <c r="O535" i="18"/>
  <c r="M535" i="18"/>
  <c r="M35" i="18"/>
  <c r="K107" i="18"/>
  <c r="L192" i="18"/>
  <c r="P293" i="18"/>
  <c r="Q124" i="18"/>
  <c r="R124" i="18"/>
  <c r="M107" i="18"/>
  <c r="Q278" i="18"/>
  <c r="R278" i="18"/>
  <c r="Q262" i="18"/>
  <c r="R262" i="18"/>
  <c r="O192" i="18"/>
  <c r="R116" i="18"/>
  <c r="K116" i="18"/>
  <c r="M116" i="18"/>
  <c r="N116" i="18"/>
  <c r="L116" i="18"/>
  <c r="M192" i="18"/>
  <c r="Q291" i="18"/>
  <c r="R291" i="18"/>
  <c r="K303" i="18"/>
  <c r="R303" i="18"/>
  <c r="O303" i="18"/>
  <c r="L279" i="18"/>
  <c r="N291" i="18"/>
  <c r="L90" i="18"/>
  <c r="R90" i="18"/>
  <c r="N279" i="18"/>
  <c r="R308" i="18"/>
  <c r="M308" i="18"/>
  <c r="N308" i="18"/>
  <c r="Q44" i="18"/>
  <c r="R44" i="18"/>
  <c r="Q245" i="18"/>
  <c r="R245" i="18"/>
  <c r="N192" i="18"/>
  <c r="R200" i="18"/>
  <c r="M200" i="18"/>
  <c r="L200" i="18"/>
  <c r="K200" i="18"/>
  <c r="P200" i="18"/>
  <c r="N200" i="18"/>
  <c r="O200" i="18"/>
  <c r="N124" i="18"/>
  <c r="O124" i="18"/>
  <c r="K27" i="18"/>
  <c r="Q293" i="18"/>
  <c r="R293" i="18"/>
  <c r="Q107" i="18"/>
  <c r="R107" i="18"/>
  <c r="O146" i="18"/>
  <c r="O27" i="18"/>
  <c r="K35" i="18"/>
  <c r="P146" i="18"/>
  <c r="M216" i="18"/>
  <c r="R216" i="18"/>
  <c r="P124" i="18"/>
  <c r="Q285" i="18"/>
  <c r="R285" i="18"/>
  <c r="O285" i="18"/>
  <c r="K285" i="18"/>
  <c r="P285" i="18"/>
  <c r="M285" i="18"/>
  <c r="N285" i="18"/>
  <c r="L27" i="18"/>
  <c r="P27" i="18"/>
  <c r="K192" i="18"/>
  <c r="R115" i="18"/>
  <c r="M115" i="18"/>
  <c r="Q227" i="18"/>
  <c r="R227" i="18"/>
  <c r="O227" i="18"/>
  <c r="Q209" i="18"/>
  <c r="R209" i="18"/>
  <c r="Q35" i="18"/>
  <c r="K279" i="18"/>
  <c r="Q27" i="18"/>
  <c r="Q181" i="18"/>
  <c r="R181" i="18"/>
  <c r="P35" i="18"/>
  <c r="M27" i="18"/>
  <c r="Q192" i="18"/>
  <c r="R192" i="18"/>
  <c r="Q203" i="18"/>
  <c r="R203" i="18"/>
  <c r="Q146" i="18"/>
  <c r="R146" i="18"/>
  <c r="M279" i="18"/>
  <c r="Q305" i="18"/>
  <c r="R305" i="18"/>
  <c r="Q275" i="18"/>
  <c r="O275" i="18"/>
  <c r="M275" i="18"/>
  <c r="L275" i="18"/>
  <c r="Q315" i="18"/>
  <c r="M315" i="18"/>
  <c r="K315" i="18"/>
  <c r="M485" i="18"/>
  <c r="O485" i="18"/>
  <c r="Q485" i="18"/>
  <c r="Q326" i="18"/>
  <c r="N326" i="18"/>
  <c r="K326" i="18"/>
  <c r="M326" i="18"/>
  <c r="L326" i="18"/>
  <c r="P326" i="18"/>
  <c r="O326" i="18"/>
  <c r="O279" i="18"/>
  <c r="Q279" i="18"/>
  <c r="K431" i="18"/>
  <c r="Q431" i="18"/>
  <c r="N431" i="18"/>
  <c r="P431" i="18"/>
  <c r="O431" i="18"/>
  <c r="L431" i="18"/>
  <c r="H268" i="18"/>
  <c r="H28" i="18"/>
  <c r="L305" i="18"/>
  <c r="K305" i="18"/>
  <c r="P305" i="18"/>
  <c r="N305" i="18"/>
  <c r="O305" i="18"/>
  <c r="M305" i="18"/>
  <c r="M262" i="18"/>
  <c r="L262" i="18"/>
  <c r="O262" i="18"/>
  <c r="P262" i="18"/>
  <c r="N262" i="18"/>
  <c r="K262" i="18"/>
  <c r="M124" i="18"/>
  <c r="H206" i="18"/>
  <c r="H506" i="18"/>
  <c r="H119" i="18"/>
  <c r="O245" i="18"/>
  <c r="M245" i="18"/>
  <c r="P245" i="18"/>
  <c r="N245" i="18"/>
  <c r="K245" i="18"/>
  <c r="H193" i="18"/>
  <c r="L427" i="18"/>
  <c r="K427" i="18"/>
  <c r="M427" i="18"/>
  <c r="P427" i="18"/>
  <c r="N427" i="18"/>
  <c r="O427" i="18"/>
  <c r="H367" i="18"/>
  <c r="M209" i="18"/>
  <c r="P209" i="18"/>
  <c r="K209" i="18"/>
  <c r="L209" i="18"/>
  <c r="O209" i="18"/>
  <c r="N209" i="18"/>
  <c r="K293" i="18"/>
  <c r="O293" i="18"/>
  <c r="M293" i="18"/>
  <c r="L293" i="18"/>
  <c r="H13" i="18"/>
  <c r="O352" i="18"/>
  <c r="N352" i="18"/>
  <c r="K352" i="18"/>
  <c r="H98" i="18"/>
  <c r="H207" i="18"/>
  <c r="O44" i="18"/>
  <c r="N44" i="18"/>
  <c r="M44" i="18"/>
  <c r="L44" i="18"/>
  <c r="K44" i="18"/>
  <c r="P44" i="18"/>
  <c r="P203" i="18"/>
  <c r="L203" i="18"/>
  <c r="O203" i="18"/>
  <c r="N203" i="18"/>
  <c r="M203" i="18"/>
  <c r="K203" i="18"/>
  <c r="M181" i="18"/>
  <c r="L181" i="18"/>
  <c r="N181" i="18"/>
  <c r="K181" i="18"/>
  <c r="P181" i="18"/>
  <c r="O181" i="18"/>
  <c r="M483" i="18"/>
  <c r="K483" i="18"/>
  <c r="N483" i="18"/>
  <c r="L483" i="18"/>
  <c r="P483" i="18"/>
  <c r="O483" i="18"/>
  <c r="N278" i="18"/>
  <c r="K278" i="18"/>
  <c r="O278" i="18"/>
  <c r="L278" i="18"/>
  <c r="P278" i="18"/>
  <c r="M278" i="18"/>
  <c r="N387" i="18"/>
  <c r="M387" i="18"/>
  <c r="L387" i="18"/>
  <c r="K387" i="18"/>
  <c r="P387" i="18"/>
  <c r="O387" i="18"/>
  <c r="N34" i="9" l="1"/>
  <c r="M34" i="9"/>
  <c r="J34" i="9"/>
  <c r="N32" i="9"/>
  <c r="M32" i="9"/>
  <c r="J32" i="9"/>
  <c r="A5" i="11" l="1"/>
  <c r="A6" i="11" l="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l="1"/>
  <c r="A4"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 i="27"/>
  <c r="A53" i="11" l="1"/>
  <c r="A54" i="11" s="1"/>
  <c r="B4" i="18" a="1"/>
  <c r="B4" i="18" l="1"/>
  <c r="H4" i="18" a="1"/>
  <c r="Q4" i="18" l="1"/>
  <c r="R4" i="18"/>
  <c r="H4" i="18"/>
  <c r="P4" i="18"/>
  <c r="O4" i="18"/>
  <c r="N4" i="18"/>
  <c r="M4" i="18"/>
  <c r="L4" i="18"/>
  <c r="K4" i="18"/>
  <c r="M43" i="10" l="1"/>
  <c r="J43" i="10"/>
  <c r="M42" i="10"/>
  <c r="J42" i="10"/>
  <c r="J4" i="9" l="1"/>
  <c r="N46" i="10" l="1"/>
  <c r="M46" i="10"/>
  <c r="J46" i="10"/>
  <c r="M45" i="10"/>
  <c r="J45" i="10"/>
  <c r="N40" i="10"/>
  <c r="M40" i="10"/>
  <c r="J40" i="10"/>
  <c r="M39" i="10"/>
  <c r="J39" i="10"/>
  <c r="N49" i="10"/>
  <c r="M49" i="10"/>
  <c r="J49" i="10"/>
  <c r="N37" i="10"/>
  <c r="M37" i="10"/>
  <c r="J37" i="10"/>
  <c r="M36" i="10"/>
  <c r="J36" i="10"/>
  <c r="N34" i="10"/>
  <c r="M34" i="10"/>
  <c r="J34" i="10"/>
  <c r="M33" i="10"/>
  <c r="J33" i="10"/>
  <c r="N31" i="10"/>
  <c r="M31" i="10"/>
  <c r="J31" i="10"/>
  <c r="M30" i="10"/>
  <c r="J30" i="10"/>
  <c r="N28" i="10"/>
  <c r="M28" i="10"/>
  <c r="J28" i="10"/>
  <c r="M27" i="10"/>
  <c r="J27" i="10"/>
  <c r="N22" i="10"/>
  <c r="M22" i="10"/>
  <c r="J22" i="10"/>
  <c r="M21" i="10"/>
  <c r="J21" i="10"/>
  <c r="N25" i="10"/>
  <c r="M25" i="10"/>
  <c r="J25" i="10"/>
  <c r="M24" i="10"/>
  <c r="J24" i="10"/>
  <c r="N19" i="10"/>
  <c r="M19" i="10"/>
  <c r="J19" i="10"/>
  <c r="M18" i="10"/>
  <c r="J18" i="10"/>
  <c r="M17" i="10"/>
  <c r="J17" i="10"/>
  <c r="N15" i="10"/>
  <c r="M15" i="10"/>
  <c r="J15" i="10"/>
  <c r="M14" i="10"/>
  <c r="J14" i="10"/>
  <c r="M13" i="10"/>
  <c r="J13" i="10"/>
  <c r="N11" i="10"/>
  <c r="M11" i="10"/>
  <c r="J11" i="10"/>
  <c r="N9" i="10"/>
  <c r="M9" i="10"/>
  <c r="J9" i="10"/>
  <c r="M8" i="10"/>
  <c r="J8" i="10"/>
  <c r="M6" i="10"/>
  <c r="J6" i="10"/>
  <c r="M5" i="10"/>
  <c r="J5" i="10"/>
  <c r="M4" i="10"/>
  <c r="J4" i="10"/>
  <c r="N38" i="9"/>
  <c r="M38" i="9"/>
  <c r="J38" i="9"/>
  <c r="N36" i="9"/>
  <c r="M36" i="9"/>
  <c r="J36" i="9"/>
  <c r="N30" i="9"/>
  <c r="M30" i="9"/>
  <c r="J30" i="9"/>
  <c r="N28" i="9"/>
  <c r="M28" i="9"/>
  <c r="J28" i="9"/>
  <c r="N26" i="9"/>
  <c r="M26" i="9"/>
  <c r="J26" i="9"/>
  <c r="M25" i="9"/>
  <c r="J25" i="9"/>
  <c r="N23" i="9"/>
  <c r="M23" i="9"/>
  <c r="J23" i="9"/>
  <c r="M22" i="9"/>
  <c r="J22" i="9"/>
  <c r="N20" i="9"/>
  <c r="M20" i="9"/>
  <c r="J20" i="9"/>
  <c r="M19" i="9"/>
  <c r="J19" i="9"/>
  <c r="N17" i="9"/>
  <c r="M17" i="9"/>
  <c r="J17" i="9"/>
  <c r="M16" i="9"/>
  <c r="J16" i="9"/>
  <c r="N14" i="9"/>
  <c r="M14" i="9"/>
  <c r="J14" i="9"/>
  <c r="M13" i="9"/>
  <c r="J13" i="9"/>
  <c r="N11" i="9"/>
  <c r="M11" i="9"/>
  <c r="J11" i="9"/>
  <c r="M10" i="9"/>
  <c r="J10" i="9"/>
  <c r="N8" i="9"/>
  <c r="M8" i="9"/>
  <c r="J8" i="9"/>
  <c r="M7" i="9"/>
  <c r="J7" i="9"/>
  <c r="M5" i="9"/>
  <c r="J5" i="9"/>
  <c r="M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Smith, Latasha</author>
  </authors>
  <commentList>
    <comment ref="O52" authorId="0" shapeId="0" xr:uid="{F45EF128-FC54-4037-B098-BEF3CEBAC62A}">
      <text>
        <r>
          <rPr>
            <sz val="10"/>
            <color indexed="81"/>
            <rFont val="Calibri"/>
            <family val="2"/>
          </rPr>
          <t>** Most sensitive plant HC</t>
        </r>
        <r>
          <rPr>
            <vertAlign val="subscript"/>
            <sz val="10"/>
            <color indexed="81"/>
            <rFont val="Calibri"/>
            <family val="2"/>
          </rPr>
          <t>05</t>
        </r>
        <r>
          <rPr>
            <sz val="10"/>
            <color indexed="81"/>
            <rFont val="Calibri"/>
            <family val="2"/>
          </rPr>
          <t>/HC</t>
        </r>
        <r>
          <rPr>
            <vertAlign val="subscript"/>
            <sz val="10"/>
            <color indexed="81"/>
            <rFont val="Calibri"/>
            <family val="2"/>
          </rPr>
          <t>25</t>
        </r>
        <r>
          <rPr>
            <sz val="10"/>
            <color indexed="81"/>
            <rFont val="Calibri"/>
            <family val="2"/>
          </rPr>
          <t xml:space="preserve"> or woody plant IC</t>
        </r>
        <r>
          <rPr>
            <vertAlign val="subscript"/>
            <sz val="10"/>
            <color indexed="81"/>
            <rFont val="Calibri"/>
            <family val="2"/>
          </rPr>
          <t>25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<sst xmlns="http://schemas.openxmlformats.org/spreadsheetml/2006/main" count="20730" uniqueCount="4269">
  <si>
    <t>Non-Listed Taxa</t>
  </si>
  <si>
    <t>Terrestrial and Wetland Plants</t>
  </si>
  <si>
    <t>Aquatic Plants</t>
  </si>
  <si>
    <t>MRID</t>
  </si>
  <si>
    <t>Crustacean Endpoints</t>
  </si>
  <si>
    <t>Insect Endpoints</t>
  </si>
  <si>
    <t>Mollusk Endpoints</t>
  </si>
  <si>
    <t>Benthic Invertebrates</t>
  </si>
  <si>
    <t>Enter toxicity inputs</t>
  </si>
  <si>
    <t xml:space="preserve">LC50 </t>
  </si>
  <si>
    <t>NOAEC</t>
  </si>
  <si>
    <t>LOAEC</t>
  </si>
  <si>
    <t>LC50</t>
  </si>
  <si>
    <t>Listed Individuals</t>
  </si>
  <si>
    <t>Listed Populations</t>
  </si>
  <si>
    <t xml:space="preserve">MATC </t>
  </si>
  <si>
    <t>Test species</t>
  </si>
  <si>
    <t>Daphnia magna</t>
  </si>
  <si>
    <t>Americamysis bahia</t>
  </si>
  <si>
    <t>Hyalla azteca</t>
  </si>
  <si>
    <t>Leptocheirus plumulosus</t>
  </si>
  <si>
    <t>Terrestrial Invertebrates</t>
  </si>
  <si>
    <t>Adult Bee</t>
  </si>
  <si>
    <t>Larval Bee</t>
  </si>
  <si>
    <t>LD50</t>
  </si>
  <si>
    <t>NOAEL</t>
  </si>
  <si>
    <t>LOAEL</t>
  </si>
  <si>
    <t>MATC</t>
  </si>
  <si>
    <t>Birds</t>
  </si>
  <si>
    <t>Mammals</t>
  </si>
  <si>
    <t>FW Fish</t>
  </si>
  <si>
    <t>EM Fish</t>
  </si>
  <si>
    <t>Amphibian (or Fish)</t>
  </si>
  <si>
    <t>Amphibian (or Birds)</t>
  </si>
  <si>
    <t>MATL</t>
  </si>
  <si>
    <t>Updated 10/17/2025</t>
  </si>
  <si>
    <r>
      <rPr>
        <b/>
        <sz val="10"/>
        <color theme="4" tint="0.39997558519241921"/>
        <rFont val="Calibri"/>
        <family val="2"/>
      </rPr>
      <t>Blue</t>
    </r>
    <r>
      <rPr>
        <b/>
        <sz val="10"/>
        <color theme="1"/>
        <rFont val="Calibri"/>
        <family val="2"/>
      </rPr>
      <t xml:space="preserve"> Shading = Manual entry;  </t>
    </r>
    <r>
      <rPr>
        <b/>
        <sz val="10"/>
        <color theme="9" tint="0.39997558519241921"/>
        <rFont val="Calibri"/>
        <family val="2"/>
      </rPr>
      <t>Green</t>
    </r>
    <r>
      <rPr>
        <b/>
        <sz val="10"/>
        <color theme="1"/>
        <rFont val="Calibri"/>
        <family val="2"/>
      </rPr>
      <t xml:space="preserve"> Shading = Automated; </t>
    </r>
    <r>
      <rPr>
        <b/>
        <sz val="10"/>
        <color theme="5"/>
        <rFont val="Calibri"/>
        <family val="2"/>
      </rPr>
      <t>ONLY INPUT DEFINITIVE VALUES</t>
    </r>
  </si>
  <si>
    <t>Test Species Notes:</t>
  </si>
  <si>
    <t>MRID(s)</t>
  </si>
  <si>
    <t>Listed Individuals (NE/MA/NLAA/LAA)</t>
  </si>
  <si>
    <t>Listed Populations (J/AM)</t>
  </si>
  <si>
    <t>Community-Level (as needed)</t>
  </si>
  <si>
    <t>Additional Comments:</t>
  </si>
  <si>
    <t>Operator    
= /&gt;/&lt;</t>
  </si>
  <si>
    <t>Value</t>
  </si>
  <si>
    <t>Type</t>
  </si>
  <si>
    <t>LOOKUP VALUES</t>
  </si>
  <si>
    <t>Aquatic Vertebrates</t>
  </si>
  <si>
    <r>
      <t xml:space="preserve">FW Acute
</t>
    </r>
    <r>
      <rPr>
        <sz val="10"/>
        <color theme="1"/>
        <rFont val="Calibri"/>
        <family val="2"/>
      </rPr>
      <t>(µg a.i./L)</t>
    </r>
  </si>
  <si>
    <t>Fathead minnow (Pimephales promelas)</t>
  </si>
  <si>
    <t>=</t>
  </si>
  <si>
    <r>
      <t>0.5 * LC</t>
    </r>
    <r>
      <rPr>
        <b/>
        <vertAlign val="subscript"/>
        <sz val="10"/>
        <color rgb="FF000000"/>
        <rFont val="Calibri"/>
        <family val="2"/>
      </rPr>
      <t xml:space="preserve">50 </t>
    </r>
    <r>
      <rPr>
        <b/>
        <sz val="10"/>
        <color rgb="FF000000"/>
        <rFont val="Calibri"/>
        <family val="2"/>
      </rPr>
      <t>or HC05</t>
    </r>
  </si>
  <si>
    <r>
      <t>LC</t>
    </r>
    <r>
      <rPr>
        <b/>
        <vertAlign val="subscript"/>
        <sz val="10"/>
        <color rgb="FF000000"/>
        <rFont val="Calibri"/>
        <family val="2"/>
      </rPr>
      <t xml:space="preserve">50 or </t>
    </r>
    <r>
      <rPr>
        <b/>
        <sz val="10"/>
        <color rgb="FF000000"/>
        <rFont val="Calibri"/>
        <family val="2"/>
      </rPr>
      <t>HC25</t>
    </r>
  </si>
  <si>
    <t>Operators</t>
  </si>
  <si>
    <t>Test Species &gt;</t>
  </si>
  <si>
    <t>None Available</t>
  </si>
  <si>
    <r>
      <t xml:space="preserve">FW Chronic
</t>
    </r>
    <r>
      <rPr>
        <sz val="10"/>
        <color theme="1"/>
        <rFont val="Calibri"/>
        <family val="2"/>
      </rPr>
      <t>(ug a.i./L)</t>
    </r>
  </si>
  <si>
    <t>&gt;</t>
  </si>
  <si>
    <t>Other</t>
  </si>
  <si>
    <t>Multiple - SSD</t>
  </si>
  <si>
    <t>&lt;</t>
  </si>
  <si>
    <t>Anodonta sp.</t>
  </si>
  <si>
    <t>Uca pugilator</t>
  </si>
  <si>
    <t>Aedes taeniorhynchus</t>
  </si>
  <si>
    <t>Allolobophora tuberculata</t>
  </si>
  <si>
    <t>Aphidius rhopalosiphi</t>
  </si>
  <si>
    <t>Aquatic Invertebrates</t>
  </si>
  <si>
    <t>EC/LC50</t>
  </si>
  <si>
    <t>Apis mellifera</t>
  </si>
  <si>
    <r>
      <t xml:space="preserve">Chronic Freshwater
</t>
    </r>
    <r>
      <rPr>
        <sz val="10"/>
        <rFont val="Calibri"/>
        <family val="2"/>
      </rPr>
      <t xml:space="preserve">(µg a.i./L) </t>
    </r>
  </si>
  <si>
    <t>Bombus impatiens</t>
  </si>
  <si>
    <t>Bombus terrestris</t>
  </si>
  <si>
    <t>Brachionus calyciflorus</t>
  </si>
  <si>
    <t>Callinectes sapidus</t>
  </si>
  <si>
    <t>Carcinus  maenas</t>
  </si>
  <si>
    <r>
      <t xml:space="preserve">Acute
</t>
    </r>
    <r>
      <rPr>
        <sz val="10"/>
        <color rgb="FF000000"/>
        <rFont val="Calibri"/>
        <family val="2"/>
      </rPr>
      <t xml:space="preserve">(µg a.i./L) </t>
    </r>
  </si>
  <si>
    <t>Centroptilum triangulifer</t>
  </si>
  <si>
    <r>
      <t xml:space="preserve">Chronic
</t>
    </r>
    <r>
      <rPr>
        <sz val="10"/>
        <color rgb="FF000000"/>
        <rFont val="Calibri"/>
        <family val="2"/>
      </rPr>
      <t xml:space="preserve">(µg a.i./L) </t>
    </r>
  </si>
  <si>
    <t>Chimarra atterima</t>
  </si>
  <si>
    <t>Chironomous riparius</t>
  </si>
  <si>
    <r>
      <t xml:space="preserve">Acute
</t>
    </r>
    <r>
      <rPr>
        <sz val="10"/>
        <rFont val="Calibri"/>
        <family val="2"/>
      </rPr>
      <t xml:space="preserve">(µg a.i./L) </t>
    </r>
  </si>
  <si>
    <t>Chironomus tentans</t>
  </si>
  <si>
    <r>
      <t xml:space="preserve">Chronic
</t>
    </r>
    <r>
      <rPr>
        <sz val="10"/>
        <rFont val="Calibri"/>
        <family val="2"/>
      </rPr>
      <t xml:space="preserve">(µg a.i./L) </t>
    </r>
  </si>
  <si>
    <t>Chironomus dilutus</t>
  </si>
  <si>
    <t>Chironomus kiinensis</t>
  </si>
  <si>
    <t>Mercenaria mercenaria</t>
  </si>
  <si>
    <t>Chironomus riparius</t>
  </si>
  <si>
    <t>Crangon septemspinosa</t>
  </si>
  <si>
    <t>Crassostrea gigas</t>
  </si>
  <si>
    <t>Crassostrea virginica</t>
  </si>
  <si>
    <t>Eisenia fetida</t>
  </si>
  <si>
    <t>Folsomia candida</t>
  </si>
  <si>
    <t>Gammarus pseudolimnaeus</t>
  </si>
  <si>
    <t>Gammarus pulex</t>
  </si>
  <si>
    <t>Hyalella azteca</t>
  </si>
  <si>
    <t>Laodelphax striatellus</t>
  </si>
  <si>
    <t>EC50</t>
  </si>
  <si>
    <t>NOAEC/IC05</t>
  </si>
  <si>
    <t>Non-vascular EC50 or HC05</t>
  </si>
  <si>
    <r>
      <t>EC</t>
    </r>
    <r>
      <rPr>
        <b/>
        <vertAlign val="subscript"/>
        <sz val="10"/>
        <color rgb="FF000000"/>
        <rFont val="Calibri"/>
        <family val="2"/>
      </rPr>
      <t xml:space="preserve">50 or </t>
    </r>
    <r>
      <rPr>
        <b/>
        <sz val="10"/>
        <color rgb="FF000000"/>
        <rFont val="Calibri"/>
        <family val="2"/>
      </rPr>
      <t>HC25</t>
    </r>
  </si>
  <si>
    <r>
      <rPr>
        <b/>
        <sz val="10"/>
        <color rgb="FF000000"/>
        <rFont val="Calibri"/>
        <family val="2"/>
      </rPr>
      <t xml:space="preserve">Non-Vascular
</t>
    </r>
    <r>
      <rPr>
        <sz val="10"/>
        <color rgb="FF000000"/>
        <rFont val="Calibri"/>
        <family val="2"/>
      </rPr>
      <t>(µg a.i./L)</t>
    </r>
  </si>
  <si>
    <r>
      <rPr>
        <b/>
        <sz val="10"/>
        <color rgb="FF000000"/>
        <rFont val="Calibri"/>
        <family val="2"/>
      </rPr>
      <t>EC</t>
    </r>
    <r>
      <rPr>
        <b/>
        <vertAlign val="subscript"/>
        <sz val="10"/>
        <color rgb="FF000000"/>
        <rFont val="Calibri"/>
        <family val="2"/>
      </rPr>
      <t xml:space="preserve">50 or </t>
    </r>
    <r>
      <rPr>
        <b/>
        <sz val="10"/>
        <color rgb="FF000000"/>
        <rFont val="Calibri"/>
        <family val="2"/>
      </rPr>
      <t>HC25</t>
    </r>
  </si>
  <si>
    <t>Locusta migratoria</t>
  </si>
  <si>
    <r>
      <t xml:space="preserve">Dicot
</t>
    </r>
    <r>
      <rPr>
        <sz val="10"/>
        <color theme="1"/>
        <rFont val="Calibri"/>
        <family val="2"/>
      </rPr>
      <t>(lb a.i./A)</t>
    </r>
  </si>
  <si>
    <t>IC25</t>
  </si>
  <si>
    <t>NOAEC or ICx Value*</t>
  </si>
  <si>
    <t>HC05 or IC25</t>
  </si>
  <si>
    <t>HC25 or 5xIC25</t>
  </si>
  <si>
    <t>Lumbriculus variegatus</t>
  </si>
  <si>
    <r>
      <t xml:space="preserve">Monocot
</t>
    </r>
    <r>
      <rPr>
        <sz val="10"/>
        <color theme="1"/>
        <rFont val="Calibri"/>
        <family val="2"/>
      </rPr>
      <t>(lb a.i./A)</t>
    </r>
  </si>
  <si>
    <r>
      <rPr>
        <b/>
        <sz val="10"/>
        <color rgb="FF000000"/>
        <rFont val="Calibri"/>
        <family val="2"/>
      </rPr>
      <t xml:space="preserve">Woody Plants
</t>
    </r>
    <r>
      <rPr>
        <sz val="10"/>
        <color rgb="FF000000"/>
        <rFont val="Calibri"/>
        <family val="2"/>
      </rPr>
      <t>(lb a.i./A)</t>
    </r>
  </si>
  <si>
    <t>HC05 or IC25**</t>
  </si>
  <si>
    <t>Orconectes virilis</t>
  </si>
  <si>
    <t>Ostrinia nubilalis</t>
  </si>
  <si>
    <t>Palaemonetes pugio</t>
  </si>
  <si>
    <t>Palaemonetes vulgaris</t>
  </si>
  <si>
    <t>Panaeus duorarum</t>
  </si>
  <si>
    <t>Penaeus stylirostris</t>
  </si>
  <si>
    <t>Planorbella pilsbryi</t>
  </si>
  <si>
    <t>Podisus maculiventris</t>
  </si>
  <si>
    <t>Procambarus clarkii</t>
  </si>
  <si>
    <t>Pteronarcys californica</t>
  </si>
  <si>
    <t>Skwala sp.</t>
  </si>
  <si>
    <t>Solenopsis invicta</t>
  </si>
  <si>
    <t>Soyedina carolinensis</t>
  </si>
  <si>
    <t xml:space="preserve">Telenomus </t>
  </si>
  <si>
    <t>Solanum lycopersicum</t>
  </si>
  <si>
    <t xml:space="preserve">Cucumis sativus </t>
  </si>
  <si>
    <t xml:space="preserve">Lactuca sativa </t>
  </si>
  <si>
    <t>Glycine max</t>
  </si>
  <si>
    <t>Brassica oleracea</t>
  </si>
  <si>
    <t>Daucus carota</t>
  </si>
  <si>
    <t>Beta vulgaris</t>
  </si>
  <si>
    <t>Helianthus annuus</t>
  </si>
  <si>
    <t xml:space="preserve">Pisum sativum </t>
  </si>
  <si>
    <t>Brassica rapa</t>
  </si>
  <si>
    <t>Brassica napus</t>
  </si>
  <si>
    <t>Phaseolus vulgaris</t>
  </si>
  <si>
    <t xml:space="preserve">Gossypium spp. </t>
  </si>
  <si>
    <t>Fagopyrum esculentum</t>
  </si>
  <si>
    <t>Avena sativa</t>
  </si>
  <si>
    <t>Lolium perenne</t>
  </si>
  <si>
    <t xml:space="preserve">Zea mays </t>
  </si>
  <si>
    <t>Allium cepa</t>
  </si>
  <si>
    <t>Atlantic salmon (Salmo salar)</t>
  </si>
  <si>
    <t>Atlantic silverside (Menidia menidia)</t>
  </si>
  <si>
    <t>Bluegill sunfish (Lepomis macrochirus)</t>
  </si>
  <si>
    <t>Brook trout (Salvelinus fontinalis)</t>
  </si>
  <si>
    <t>Channel catfish (Ictalurus punctatus)</t>
  </si>
  <si>
    <t>Coho salmon (Oncorhynchus kisutch)</t>
  </si>
  <si>
    <t>Common carp (Cyprinus carpio)</t>
  </si>
  <si>
    <t>Guppy (Poecilia reticulata)</t>
  </si>
  <si>
    <t>Inland silverside (Menidia beryllina)</t>
  </si>
  <si>
    <t>Medaka (Oryzias latipes)</t>
  </si>
  <si>
    <t>Rainbow trout (Oncorhynchus mykiss)</t>
  </si>
  <si>
    <t>Sheepshead minnow (Cyprinodon variegatus)</t>
  </si>
  <si>
    <t>Tidewater silverside (Menidia peninsulae)</t>
  </si>
  <si>
    <t>Zebrafish (Danio rerio)</t>
  </si>
  <si>
    <t>Northern bobwhite (Colinus virginianus)</t>
  </si>
  <si>
    <t>Mallard duck (Anas platyrhynchos)</t>
  </si>
  <si>
    <t>House sparrow (Passer domesticus)</t>
  </si>
  <si>
    <t>Zebra finch (Taeniopygia guttata)</t>
  </si>
  <si>
    <t>Red-wing blackbird (Agelaius phoeniceus)</t>
  </si>
  <si>
    <t>Canary (Serinus canaria)</t>
  </si>
  <si>
    <t>Pigeon (Columba livia)</t>
  </si>
  <si>
    <t>Japanese quail (Coturnix coturnix japonica)</t>
  </si>
  <si>
    <t>Ring-necked pheasant (Phasianus colchicus)</t>
  </si>
  <si>
    <t>Red-legged partridge (Alectoris rufa)</t>
  </si>
  <si>
    <t>Green alga (Raphidocelis subcapitata)</t>
  </si>
  <si>
    <t>Marine diatom (Skeletonema costatum)</t>
  </si>
  <si>
    <t>Freshwater diatom (Navicula pelliculosa)</t>
  </si>
  <si>
    <t>Cyanobacterium (Anabaena flos-aquae)</t>
  </si>
  <si>
    <t>Duckweed (Lemna gibba)</t>
  </si>
  <si>
    <t>Norway rat (Rattus norvegicus)</t>
  </si>
  <si>
    <t>Predatory mite (Typhlodromus pyri)</t>
  </si>
  <si>
    <t>Predatory mite (Hypoaspis aculeifer)</t>
  </si>
  <si>
    <r>
      <rPr>
        <b/>
        <sz val="10"/>
        <color theme="7" tint="0.39997558519241921"/>
        <rFont val="Calibri"/>
        <family val="2"/>
      </rPr>
      <t>Blue</t>
    </r>
    <r>
      <rPr>
        <b/>
        <sz val="10"/>
        <color theme="1"/>
        <rFont val="Calibri"/>
        <family val="2"/>
      </rPr>
      <t xml:space="preserve"> Shading = Manual entry;  </t>
    </r>
    <r>
      <rPr>
        <b/>
        <sz val="10"/>
        <color theme="9" tint="0.39997558519241921"/>
        <rFont val="Calibri"/>
        <family val="2"/>
      </rPr>
      <t>Green</t>
    </r>
    <r>
      <rPr>
        <b/>
        <sz val="10"/>
        <color theme="1"/>
        <rFont val="Calibri"/>
        <family val="2"/>
      </rPr>
      <t xml:space="preserve"> Shading = Automated; </t>
    </r>
    <r>
      <rPr>
        <b/>
        <sz val="10"/>
        <color theme="5"/>
        <rFont val="Calibri"/>
        <family val="2"/>
      </rPr>
      <t>ONLY INPUT DEFINITIVE VALUES</t>
    </r>
  </si>
  <si>
    <t>Endpoint Type
(Units)</t>
  </si>
  <si>
    <t>Community Level (as needed)</t>
  </si>
  <si>
    <t>Terrestrial Vertebrates</t>
  </si>
  <si>
    <r>
      <t xml:space="preserve">Acute Oral
</t>
    </r>
    <r>
      <rPr>
        <sz val="10"/>
        <color theme="1"/>
        <rFont val="Calibri"/>
        <family val="2"/>
      </rPr>
      <t>(mg a.i./kg-bw)</t>
    </r>
  </si>
  <si>
    <r>
      <t>0.5 * LD</t>
    </r>
    <r>
      <rPr>
        <b/>
        <vertAlign val="subscript"/>
        <sz val="10"/>
        <color rgb="FF000000"/>
        <rFont val="Calibri"/>
        <family val="2"/>
      </rPr>
      <t xml:space="preserve">50 </t>
    </r>
    <r>
      <rPr>
        <b/>
        <sz val="10"/>
        <color rgb="FF000000"/>
        <rFont val="Calibri"/>
        <family val="2"/>
      </rPr>
      <t>or HC05</t>
    </r>
  </si>
  <si>
    <r>
      <t>HC</t>
    </r>
    <r>
      <rPr>
        <b/>
        <vertAlign val="subscript"/>
        <sz val="10"/>
        <color rgb="FF000000"/>
        <rFont val="Calibri"/>
        <family val="2"/>
      </rPr>
      <t>25</t>
    </r>
    <r>
      <rPr>
        <b/>
        <sz val="10"/>
        <color rgb="FF000000"/>
        <rFont val="Calibri"/>
        <family val="2"/>
      </rPr>
      <t xml:space="preserve"> or surrogate</t>
    </r>
  </si>
  <si>
    <r>
      <t xml:space="preserve">Subacute Dietary
</t>
    </r>
    <r>
      <rPr>
        <sz val="10"/>
        <color theme="1"/>
        <rFont val="Calibri"/>
        <family val="2"/>
      </rPr>
      <t>(mg a.i./kg diet)</t>
    </r>
  </si>
  <si>
    <r>
      <t xml:space="preserve">Chronic Reproduction
</t>
    </r>
    <r>
      <rPr>
        <sz val="10"/>
        <color theme="1"/>
        <rFont val="Calibri"/>
        <family val="2"/>
      </rPr>
      <t>(mg a.i./kg diet)</t>
    </r>
  </si>
  <si>
    <r>
      <t xml:space="preserve">Rat-Acute Oral
</t>
    </r>
    <r>
      <rPr>
        <sz val="10"/>
        <color theme="1"/>
        <rFont val="Calibri"/>
        <family val="2"/>
      </rPr>
      <t>(mg a.i./kg-bw)</t>
    </r>
  </si>
  <si>
    <r>
      <t xml:space="preserve">Rat-Chronic (Dose)
</t>
    </r>
    <r>
      <rPr>
        <sz val="10"/>
        <color theme="1"/>
        <rFont val="Calibri"/>
        <family val="2"/>
      </rPr>
      <t>(mg a.i./kg-bw)</t>
    </r>
  </si>
  <si>
    <r>
      <t xml:space="preserve">Rat-Chronic (Diet)
</t>
    </r>
    <r>
      <rPr>
        <sz val="10"/>
        <color theme="1"/>
        <rFont val="Calibri"/>
        <family val="2"/>
      </rPr>
      <t>(mg a.i./kg-diet)</t>
    </r>
  </si>
  <si>
    <r>
      <t xml:space="preserve">Acute contact
</t>
    </r>
    <r>
      <rPr>
        <sz val="10"/>
        <rFont val="Calibri"/>
        <family val="2"/>
      </rPr>
      <t>(mg a.i./kg-bw)</t>
    </r>
  </si>
  <si>
    <r>
      <t>0.4 * LD</t>
    </r>
    <r>
      <rPr>
        <b/>
        <vertAlign val="subscript"/>
        <sz val="10"/>
        <color rgb="FF000000"/>
        <rFont val="Calibri"/>
        <family val="2"/>
      </rPr>
      <t>50</t>
    </r>
    <r>
      <rPr>
        <b/>
        <sz val="10"/>
        <color rgb="FF000000"/>
        <rFont val="Calibri"/>
        <family val="2"/>
      </rPr>
      <t xml:space="preserve"> or HC05</t>
    </r>
  </si>
  <si>
    <r>
      <t>HC25 or AAC LD</t>
    </r>
    <r>
      <rPr>
        <b/>
        <vertAlign val="subscript"/>
        <sz val="10"/>
        <color rgb="FF000000"/>
        <rFont val="Calibri"/>
        <family val="2"/>
      </rPr>
      <t>50</t>
    </r>
  </si>
  <si>
    <r>
      <t xml:space="preserve">Dose-Based Acute Oral
</t>
    </r>
    <r>
      <rPr>
        <sz val="10"/>
        <rFont val="Calibri"/>
        <family val="2"/>
      </rPr>
      <t>(µg a.i./bee)</t>
    </r>
  </si>
  <si>
    <t>HC25 or surrogate</t>
  </si>
  <si>
    <r>
      <t xml:space="preserve">Dose-Based Chronic Oral
</t>
    </r>
    <r>
      <rPr>
        <sz val="10"/>
        <rFont val="Calibri"/>
        <family val="2"/>
      </rPr>
      <t>(µg a.i./bee)</t>
    </r>
  </si>
  <si>
    <r>
      <t xml:space="preserve">Dose-based Acute Oral
</t>
    </r>
    <r>
      <rPr>
        <sz val="10"/>
        <rFont val="Calibri"/>
        <family val="2"/>
      </rPr>
      <t>(µg a.i./larva)</t>
    </r>
  </si>
  <si>
    <r>
      <t>LAO LC</t>
    </r>
    <r>
      <rPr>
        <b/>
        <vertAlign val="subscript"/>
        <sz val="10"/>
        <color rgb="FF000000"/>
        <rFont val="Calibri"/>
        <family val="2"/>
      </rPr>
      <t>50</t>
    </r>
  </si>
  <si>
    <r>
      <t xml:space="preserve">Dose-based Chronic Oral
</t>
    </r>
    <r>
      <rPr>
        <sz val="10"/>
        <rFont val="Calibri"/>
        <family val="2"/>
      </rPr>
      <t>(µg a.i./larva)</t>
    </r>
  </si>
  <si>
    <r>
      <t xml:space="preserve">Acute Oral
</t>
    </r>
    <r>
      <rPr>
        <sz val="10"/>
        <rFont val="Calibri"/>
        <family val="2"/>
      </rPr>
      <t>(mg a.i./kg-diet)</t>
    </r>
  </si>
  <si>
    <r>
      <t>0.4 * LC</t>
    </r>
    <r>
      <rPr>
        <b/>
        <vertAlign val="subscript"/>
        <sz val="10"/>
        <rFont val="Calibri"/>
        <family val="2"/>
      </rPr>
      <t>50</t>
    </r>
    <r>
      <rPr>
        <b/>
        <sz val="10"/>
        <rFont val="Calibri"/>
        <family val="2"/>
      </rPr>
      <t xml:space="preserve"> or HC05</t>
    </r>
  </si>
  <si>
    <r>
      <t xml:space="preserve">Chronic Oral
</t>
    </r>
    <r>
      <rPr>
        <sz val="10"/>
        <rFont val="Calibri"/>
        <family val="2"/>
      </rPr>
      <t>(mg a.i./kg-diet)</t>
    </r>
  </si>
  <si>
    <r>
      <t xml:space="preserve">Chronic
</t>
    </r>
    <r>
      <rPr>
        <sz val="10"/>
        <rFont val="Calibri"/>
        <family val="2"/>
      </rPr>
      <t>(mg a.i./kg-diet)</t>
    </r>
  </si>
  <si>
    <t>Adult Bumble Bee</t>
  </si>
  <si>
    <r>
      <t xml:space="preserve">Acute Oral
</t>
    </r>
    <r>
      <rPr>
        <sz val="10"/>
        <rFont val="Calibri"/>
        <family val="2"/>
      </rPr>
      <t>(µg a.i./bee)</t>
    </r>
  </si>
  <si>
    <r>
      <t xml:space="preserve">Chronic Oral
</t>
    </r>
    <r>
      <rPr>
        <sz val="10"/>
        <rFont val="Calibri"/>
        <family val="2"/>
      </rPr>
      <t>(µg a.i./bee)</t>
    </r>
  </si>
  <si>
    <t>Butterflies (adult)</t>
  </si>
  <si>
    <t>Beetles (adult)</t>
  </si>
  <si>
    <t>Soil Exposure</t>
  </si>
  <si>
    <r>
      <t xml:space="preserve">Acute
</t>
    </r>
    <r>
      <rPr>
        <sz val="10"/>
        <rFont val="Calibri"/>
        <family val="2"/>
      </rPr>
      <t>(mg a.i./kg dw soil)</t>
    </r>
  </si>
  <si>
    <t>Lygus lineolaris</t>
  </si>
  <si>
    <r>
      <t xml:space="preserve">Chronic
</t>
    </r>
    <r>
      <rPr>
        <sz val="10"/>
        <rFont val="Calibri"/>
        <family val="2"/>
      </rPr>
      <t>(mg a.i./kg dw soil)</t>
    </r>
  </si>
  <si>
    <t>Myzus persicae</t>
  </si>
  <si>
    <t>Treated Surface Exposure - Tier I Artificial Surface</t>
  </si>
  <si>
    <r>
      <t xml:space="preserve">Acute
</t>
    </r>
    <r>
      <rPr>
        <sz val="10"/>
        <rFont val="Calibri"/>
        <family val="2"/>
      </rPr>
      <t>(lb a.i./A)</t>
    </r>
  </si>
  <si>
    <r>
      <t xml:space="preserve">Chronic
</t>
    </r>
    <r>
      <rPr>
        <sz val="10"/>
        <rFont val="Calibri"/>
        <family val="2"/>
      </rPr>
      <t>(lb a.i./A)</t>
    </r>
  </si>
  <si>
    <t>Osmia bicornis</t>
  </si>
  <si>
    <t>Treated Surface Exposure - Tier II Natural Surface</t>
  </si>
  <si>
    <r>
      <t xml:space="preserve">Chronic
</t>
    </r>
    <r>
      <rPr>
        <sz val="10"/>
        <rFont val="Calibri"/>
        <family val="2"/>
      </rPr>
      <t>(--)</t>
    </r>
  </si>
  <si>
    <t>For PWC Inputs</t>
  </si>
  <si>
    <t>Not required for all uses</t>
  </si>
  <si>
    <t>Use Site (Automatically Filled)</t>
  </si>
  <si>
    <t>Use Site (Begin to enter name and select from dropdown)</t>
  </si>
  <si>
    <t>Maximum Single Application Rate (lbs a.i./A) from Label (enter numeric value)</t>
  </si>
  <si>
    <t>Maximum Number of Applications at Max Application Rate (enter numeric value)</t>
  </si>
  <si>
    <t>Modeled Single Application Rates (separate multiple applications with commas, keep in order of appliciaton)</t>
  </si>
  <si>
    <t>Annual Maximum Application Rate (lbs a.i./A) from Label</t>
  </si>
  <si>
    <t>Application Type (App method in PWC) (Select from Dropdown)</t>
  </si>
  <si>
    <t>Spray Drift Application Method(s) (Select from dropdown)</t>
  </si>
  <si>
    <t>Aerial Spray Drift Assumption (Select from dropdown; default assumption Aerial_Medium)</t>
  </si>
  <si>
    <t>Ground Spray Drift Assumption  (Select from dropdown; default assumption Ground_VF-F HB)</t>
  </si>
  <si>
    <t>Airblast (Select from dropdown; default assumption Airblast Sparse)</t>
  </si>
  <si>
    <t>Minimum Retreatment Interval (days)</t>
  </si>
  <si>
    <t>Relative Application Timing (Select from dropdown)</t>
  </si>
  <si>
    <t>For PWC Modeling: Variable days of Application (enter values separated by commas)</t>
  </si>
  <si>
    <t>For Terrestrial Modeling: Variable days of Application (enter values separated by commas)</t>
  </si>
  <si>
    <t>Foliar vs Soil uptake assumption for BeeREX (Select from dropdown; default is Foliar)</t>
  </si>
  <si>
    <t>Seed Treatment Rate for Direct Feeding and Uptake Rate Assessment (mg a.i./seed)</t>
  </si>
  <si>
    <t>PWC Scenario Name (Automatically Matched)</t>
  </si>
  <si>
    <t>UDL (Automatically Matched)</t>
  </si>
  <si>
    <t>Notes</t>
  </si>
  <si>
    <t>Artichoke, Globe</t>
  </si>
  <si>
    <t>Spray, Granular</t>
  </si>
  <si>
    <t>Ground</t>
  </si>
  <si>
    <t>Aerial_Coarse</t>
  </si>
  <si>
    <t>Ground_F-MC_HB</t>
  </si>
  <si>
    <t>Airblast_Sparse</t>
  </si>
  <si>
    <t>Pre-emergence</t>
  </si>
  <si>
    <t>-14</t>
  </si>
  <si>
    <t>1</t>
  </si>
  <si>
    <t>Spray</t>
  </si>
  <si>
    <t>Post-emergence</t>
  </si>
  <si>
    <t>Chickpea</t>
  </si>
  <si>
    <t>Ground, Aerial</t>
  </si>
  <si>
    <t>-28,-14</t>
  </si>
  <si>
    <t>1,14</t>
  </si>
  <si>
    <t>Blackberry</t>
  </si>
  <si>
    <t>Seed</t>
  </si>
  <si>
    <t>Broccoli</t>
  </si>
  <si>
    <t>Cabbage</t>
  </si>
  <si>
    <t>Garlic, Bulb</t>
  </si>
  <si>
    <t>10-10: Citrus Fruit Group</t>
  </si>
  <si>
    <t>Absolute Date</t>
  </si>
  <si>
    <t>11-10: Pome Fruits Group</t>
  </si>
  <si>
    <t>12-12: Stone Fruits Group</t>
  </si>
  <si>
    <t>Almond</t>
  </si>
  <si>
    <t>Corn</t>
  </si>
  <si>
    <t>Cotton</t>
  </si>
  <si>
    <t>Grape</t>
  </si>
  <si>
    <t>Soybean</t>
  </si>
  <si>
    <t>Christmas Trees</t>
  </si>
  <si>
    <t>Information for PWC Runs</t>
  </si>
  <si>
    <t>Parameter</t>
  </si>
  <si>
    <t>Effective KOC (Entered KOC in B3, or entered Kd/foc)</t>
  </si>
  <si>
    <t>Sorption (ml/g)</t>
  </si>
  <si>
    <t>Water Column Halflife (day)</t>
  </si>
  <si>
    <r>
      <t>Water Reference Temperature (</t>
    </r>
    <r>
      <rPr>
        <b/>
        <sz val="11"/>
        <color theme="1"/>
        <rFont val="Aptos Narrow"/>
        <family val="2"/>
      </rPr>
      <t>°</t>
    </r>
    <r>
      <rPr>
        <b/>
        <sz val="11"/>
        <color theme="1"/>
        <rFont val="Aptos Narrow"/>
        <family val="2"/>
        <scheme val="minor"/>
      </rPr>
      <t>C)</t>
    </r>
  </si>
  <si>
    <t>Benthic Halflife (day)</t>
  </si>
  <si>
    <t>Benthic Reference Temperature (°C)</t>
  </si>
  <si>
    <t>Aqueous Photolysis Halflife (day)</t>
  </si>
  <si>
    <r>
      <t>Photolysis Reference Latitude (</t>
    </r>
    <r>
      <rPr>
        <b/>
        <sz val="11"/>
        <color theme="1"/>
        <rFont val="Aptos Narrow"/>
        <family val="2"/>
      </rPr>
      <t>°</t>
    </r>
    <r>
      <rPr>
        <b/>
        <sz val="11"/>
        <color theme="1"/>
        <rFont val="Aptos Narrow"/>
        <family val="2"/>
        <scheme val="minor"/>
      </rPr>
      <t>N)</t>
    </r>
  </si>
  <si>
    <t>Hydrolysis Halflife (day)</t>
  </si>
  <si>
    <t>Soil Halflife (day)</t>
  </si>
  <si>
    <t>Soil Reference Temperature (°C)</t>
  </si>
  <si>
    <t>Foliar Halflife (day)</t>
  </si>
  <si>
    <r>
      <t>Foliar Washoff (cm</t>
    </r>
    <r>
      <rPr>
        <b/>
        <vertAlign val="superscript"/>
        <sz val="11"/>
        <color theme="1"/>
        <rFont val="Aptos Narrow"/>
        <family val="2"/>
        <scheme val="minor"/>
      </rPr>
      <t>-1</t>
    </r>
    <r>
      <rPr>
        <b/>
        <sz val="11"/>
        <color theme="1"/>
        <rFont val="Aptos Narrow"/>
        <family val="2"/>
        <scheme val="minor"/>
      </rPr>
      <t>)</t>
    </r>
  </si>
  <si>
    <t>Molecular Weight (g/mol)</t>
  </si>
  <si>
    <t>Vapor Pressure (torr)</t>
  </si>
  <si>
    <t>Solubility (mg/L)</t>
  </si>
  <si>
    <t>Henry' Coeefficient (vol/vol)</t>
  </si>
  <si>
    <r>
      <t>Air Diffusion Coefficient (cm</t>
    </r>
    <r>
      <rPr>
        <b/>
        <vertAlign val="superscript"/>
        <sz val="11"/>
        <color theme="1"/>
        <rFont val="Aptos Narrow"/>
        <family val="2"/>
        <scheme val="minor"/>
      </rPr>
      <t>2</t>
    </r>
    <r>
      <rPr>
        <b/>
        <sz val="11"/>
        <color theme="1"/>
        <rFont val="Aptos Narrow"/>
        <family val="2"/>
        <scheme val="minor"/>
      </rPr>
      <t>/day)</t>
    </r>
  </si>
  <si>
    <t>Heat of Henry (J/mol)</t>
  </si>
  <si>
    <t>logKow</t>
  </si>
  <si>
    <t>Benthic Conversion Factor</t>
  </si>
  <si>
    <t>Terrestrial Animal Foliar Dissipation Halflife Assumption (default assumption 10-days)</t>
  </si>
  <si>
    <t xml:space="preserve">Enter available emprirical data for residues in the listed matrices.  NOTE: These will not override default assumptions. Risk/Impact conclusions will be provided separately for all uses with empirical data. </t>
  </si>
  <si>
    <t>Use Site (Crosswalked to Use Summary Worksheet)</t>
  </si>
  <si>
    <t>Empirical residue in pollen/bread (mg a.i./kg)</t>
  </si>
  <si>
    <t>Empirical residue in nectar (mg a.i./kg)</t>
  </si>
  <si>
    <t>Empirical residue in foliage (mg a.i./kg)</t>
  </si>
  <si>
    <t>Empirical residue in jelly (mg a.i./kg)</t>
  </si>
  <si>
    <t>Color Key:</t>
  </si>
  <si>
    <t>Surveyed</t>
  </si>
  <si>
    <t>Application Method</t>
  </si>
  <si>
    <t>Relative timing</t>
  </si>
  <si>
    <t>Application Type</t>
  </si>
  <si>
    <t>Droplet Size Assumption</t>
  </si>
  <si>
    <t>Foliar or Soil Uptake Assumption</t>
  </si>
  <si>
    <t>Group Name</t>
  </si>
  <si>
    <t>Aerial_Fine_50</t>
  </si>
  <si>
    <t>Sub-Group Name</t>
  </si>
  <si>
    <t>Aerial_Medium</t>
  </si>
  <si>
    <t>Not Surveyed</t>
  </si>
  <si>
    <t>Ground, Aerial, Airblast</t>
  </si>
  <si>
    <t>Pre-Maturity</t>
  </si>
  <si>
    <t>Spray, Granular, Seed</t>
  </si>
  <si>
    <t>Aerial</t>
  </si>
  <si>
    <t>Post-Maturity</t>
  </si>
  <si>
    <t>Spray, Seed</t>
  </si>
  <si>
    <t>Aerial_Very_Coarse</t>
  </si>
  <si>
    <t>surveyed by anyone and group headings in green</t>
  </si>
  <si>
    <t>Crop Description IR-4*</t>
  </si>
  <si>
    <t>Aerial, Airblast</t>
  </si>
  <si>
    <t>Pre-Removal</t>
  </si>
  <si>
    <t>Granular</t>
  </si>
  <si>
    <t>Ground_VF-F_HB</t>
  </si>
  <si>
    <t>Site</t>
  </si>
  <si>
    <t>UDL</t>
  </si>
  <si>
    <t>PWC Scenario</t>
  </si>
  <si>
    <t>Ground, Airblast</t>
  </si>
  <si>
    <t>Post-Removal</t>
  </si>
  <si>
    <t>Granular, Seed</t>
  </si>
  <si>
    <t>Ground_VF-F_LB</t>
  </si>
  <si>
    <t>1: Root and Tuber Vegetables Group</t>
  </si>
  <si>
    <t>Vegetable fresh or processing market</t>
  </si>
  <si>
    <t>Airblast</t>
  </si>
  <si>
    <t>1A. Root vegetables subgroup</t>
  </si>
  <si>
    <t>Ground_F-MC_LB</t>
  </si>
  <si>
    <t>Beet, Sugar</t>
  </si>
  <si>
    <t>Other row crops</t>
  </si>
  <si>
    <t>Row or field crop</t>
  </si>
  <si>
    <t>1B. Root vegetables (except sugar beet) subgroup</t>
  </si>
  <si>
    <t>Carrot</t>
  </si>
  <si>
    <t>Radish</t>
  </si>
  <si>
    <t>Beet, Garden</t>
  </si>
  <si>
    <t>Burdock, Edible</t>
  </si>
  <si>
    <t>Celeriac</t>
  </si>
  <si>
    <t>Chervil, Turnip</t>
  </si>
  <si>
    <t>Chicory</t>
  </si>
  <si>
    <t>Ginseng</t>
  </si>
  <si>
    <t>Horseradish</t>
  </si>
  <si>
    <t>Parsley, Turnip-rooted</t>
  </si>
  <si>
    <t>Parsnip</t>
  </si>
  <si>
    <t>Radish, Oriental (Daikon)</t>
  </si>
  <si>
    <t>Rutabaga</t>
  </si>
  <si>
    <t>Salsify</t>
  </si>
  <si>
    <t>Skirret</t>
  </si>
  <si>
    <t>1C. Tuberous and corm vegetables subgroup</t>
  </si>
  <si>
    <t>Potato</t>
  </si>
  <si>
    <t>Vegetable commodity</t>
  </si>
  <si>
    <t>1D. Tuberous and corm vegetables (except potato) subgroup</t>
  </si>
  <si>
    <t>Sweet Potato</t>
  </si>
  <si>
    <t>Arracacha</t>
  </si>
  <si>
    <t>Arrowroot</t>
  </si>
  <si>
    <t>Artichoke, Chinese</t>
  </si>
  <si>
    <t>Artichoke, Jerusalem</t>
  </si>
  <si>
    <t>Canna, Edible</t>
  </si>
  <si>
    <t>Cassava, Bitter and Sweet</t>
  </si>
  <si>
    <t>Chayote (Root)</t>
  </si>
  <si>
    <t>Chufa</t>
  </si>
  <si>
    <t>Dasheen (Taro)</t>
  </si>
  <si>
    <t>Ginger</t>
  </si>
  <si>
    <t>Leren</t>
  </si>
  <si>
    <t>Tanier</t>
  </si>
  <si>
    <t>Turmeric</t>
  </si>
  <si>
    <t>Turnip</t>
  </si>
  <si>
    <t>Yam Bean</t>
  </si>
  <si>
    <t>Yam, True</t>
  </si>
  <si>
    <t>2: Leaves of Root and Tuber Vegetables Group</t>
  </si>
  <si>
    <t>Cassava</t>
  </si>
  <si>
    <t>3-07</t>
  </si>
  <si>
    <t>3-07: Bulb Vegetable Group</t>
  </si>
  <si>
    <t>3-07A. Onion, bulb, subgroup</t>
  </si>
  <si>
    <t>Daylily, Bulb</t>
  </si>
  <si>
    <t>Lily, Bulb</t>
  </si>
  <si>
    <t>3-07B. Onion, green, subgroup</t>
  </si>
  <si>
    <t>Chive, Fresh Leaves</t>
  </si>
  <si>
    <t>Elegans Hosta</t>
  </si>
  <si>
    <t>Kurrat</t>
  </si>
  <si>
    <t>Leek</t>
  </si>
  <si>
    <t>3: Bulb Vegetables</t>
  </si>
  <si>
    <t>4-16</t>
  </si>
  <si>
    <t>4-16: Leafy Vegetables Group</t>
  </si>
  <si>
    <t>4-16 A. Leafy greens subgroup</t>
  </si>
  <si>
    <t>Lettuce, Head</t>
  </si>
  <si>
    <t>Lettuce, Leaf</t>
  </si>
  <si>
    <t>Lettuce, Bitter</t>
  </si>
  <si>
    <t>Spinach</t>
  </si>
  <si>
    <t>Amaranth (Chinese, Leafy)</t>
  </si>
  <si>
    <t>Blackjack</t>
  </si>
  <si>
    <t>Cham-Chwi</t>
  </si>
  <si>
    <t>Chipilin</t>
  </si>
  <si>
    <t>Corn Salad</t>
  </si>
  <si>
    <t>Cosmos</t>
  </si>
  <si>
    <t>Dandelion</t>
  </si>
  <si>
    <t>Dillweed</t>
  </si>
  <si>
    <t>Dock (Sorrel)</t>
  </si>
  <si>
    <t>Ebolo</t>
  </si>
  <si>
    <t>Feather Cockscomb</t>
  </si>
  <si>
    <t>Flameflower</t>
  </si>
  <si>
    <t>Good King Henry</t>
  </si>
  <si>
    <t>Huauzontle</t>
  </si>
  <si>
    <t>New Zealand Spinach</t>
  </si>
  <si>
    <t>Orach</t>
  </si>
  <si>
    <t>Radicchio (Red Chicory)</t>
  </si>
  <si>
    <t>Swiss Chard</t>
  </si>
  <si>
    <t>4-16 B. Leaf petioles subgroup</t>
  </si>
  <si>
    <t>Mustard Greens</t>
  </si>
  <si>
    <t>Small grains</t>
  </si>
  <si>
    <t>Arugula (Roquette)</t>
  </si>
  <si>
    <t>Collards</t>
  </si>
  <si>
    <t>Endive (Escarole)</t>
  </si>
  <si>
    <t>Hanover Salad</t>
  </si>
  <si>
    <t>Kale</t>
  </si>
  <si>
    <t>Mizuna</t>
  </si>
  <si>
    <t>Rape Greens</t>
  </si>
  <si>
    <t>Shepherd's Purse</t>
  </si>
  <si>
    <t>Turnip Greens</t>
  </si>
  <si>
    <t>Watercress</t>
  </si>
  <si>
    <t xml:space="preserve">4: Leafy Vegetables (Except Brassica Vegetables) Group </t>
  </si>
  <si>
    <t>4A. Leafy greens subgroup</t>
  </si>
  <si>
    <t>Chervil</t>
  </si>
  <si>
    <t>Parsley</t>
  </si>
  <si>
    <t>4B. Leaf petioles subgroup</t>
  </si>
  <si>
    <t>Celery</t>
  </si>
  <si>
    <t>Cardoon</t>
  </si>
  <si>
    <t>Celtuce</t>
  </si>
  <si>
    <t>Rhubarb</t>
  </si>
  <si>
    <t>5-16</t>
  </si>
  <si>
    <t>5-16: Brassica Head and Stem Vegetable Group)</t>
  </si>
  <si>
    <t>Cabbage, Chinese, Napa</t>
  </si>
  <si>
    <t>Cauliflower</t>
  </si>
  <si>
    <t>Brussels Sprouts</t>
  </si>
  <si>
    <t>5: Brassica (Cole) Leafy Vegetables Group</t>
  </si>
  <si>
    <t>5A. Head &amp; Stem Brassica subgroup</t>
  </si>
  <si>
    <t>Broccoli, Chinese</t>
  </si>
  <si>
    <t>Cabbage, Chinese, Mustard</t>
  </si>
  <si>
    <t>Cavalo Broccolo</t>
  </si>
  <si>
    <t>Kohlrabi</t>
  </si>
  <si>
    <t>5B. Leafy Brassica greens subgroup</t>
  </si>
  <si>
    <t>Broccoli Raab</t>
  </si>
  <si>
    <t>Cabbage, Chinese, Bok Choy</t>
  </si>
  <si>
    <t>Mustard Spinach</t>
  </si>
  <si>
    <t>6: Legume Vegetables (Succulent or Dried) Group</t>
  </si>
  <si>
    <t>6A. Edible-podded legume vegetables subgroup</t>
  </si>
  <si>
    <t>Soybeans</t>
  </si>
  <si>
    <t>Jackbean</t>
  </si>
  <si>
    <t>Bean (Phaseolus spp.) (includes field bean, kidney bean, lima bean (dry), navy bean, pinto bean, tepary bean)</t>
  </si>
  <si>
    <t>Bean (Vigna spp.) (includes adzuki bean, blackeyed pea, catjang, cowpea, Crowder pea, moth bean, mung bean, rice bean, southern pea, urd bean)</t>
  </si>
  <si>
    <t>Pea (Pisum spp.) (includes dwarf pea, edible-podded pea, English pea, field pea, garden pea, green pea, snowpea, sugar snap pea)</t>
  </si>
  <si>
    <t>Pigenon Pea</t>
  </si>
  <si>
    <t>6B. Succulent shelled pea and bean subgroup</t>
  </si>
  <si>
    <t>Broad Bean (dry)</t>
  </si>
  <si>
    <t>Bean, Lima</t>
  </si>
  <si>
    <t>Cowpea</t>
  </si>
  <si>
    <t>6C. Dried shelled pea and bean (except soybean) subgroup</t>
  </si>
  <si>
    <t>Dried Bean (Lupinus spp.) (includes grain lupin, sweet lupin, white lupin, and white sweet lupin)</t>
  </si>
  <si>
    <t>Catjang</t>
  </si>
  <si>
    <t>Guar</t>
  </si>
  <si>
    <t>Lablab Bean (Hyacinth Bean)</t>
  </si>
  <si>
    <t>Lentil</t>
  </si>
  <si>
    <t>7: Foliage of Legume Vegetables Group</t>
  </si>
  <si>
    <t>7A. Foliage of legume vegetables (except soybeans) subgroup</t>
  </si>
  <si>
    <t>8-10</t>
  </si>
  <si>
    <t>8-10: Fruiting Vegetables Group</t>
  </si>
  <si>
    <t>8-10A. Tomato subgroup</t>
  </si>
  <si>
    <t>Tomato</t>
  </si>
  <si>
    <t>Cocona</t>
  </si>
  <si>
    <t>Garden huckleberry</t>
  </si>
  <si>
    <t>Goji berry</t>
  </si>
  <si>
    <t>Groundcherry</t>
  </si>
  <si>
    <t>Naranjilla</t>
  </si>
  <si>
    <t>Sunberry</t>
  </si>
  <si>
    <t>Tomatillo</t>
  </si>
  <si>
    <t xml:space="preserve">8-10B. Pepper/Eggplant subgroup </t>
  </si>
  <si>
    <t>Bell Peppers</t>
  </si>
  <si>
    <t>8-10C. Nonbell pepper/Eggplant subgroup</t>
  </si>
  <si>
    <t>Non-Bell Peppers</t>
  </si>
  <si>
    <t>Eggplant</t>
  </si>
  <si>
    <t>Martynia</t>
  </si>
  <si>
    <t>Okra</t>
  </si>
  <si>
    <t>Pepino</t>
  </si>
  <si>
    <t>Roselle</t>
  </si>
  <si>
    <t>8: Fruiting Vegetables (except Cucurbits)</t>
  </si>
  <si>
    <t>9: Cucurbit Vegetables Group</t>
  </si>
  <si>
    <t>9A. Melon subgroup</t>
  </si>
  <si>
    <t>Melon, Citron</t>
  </si>
  <si>
    <t>Watermelon</t>
  </si>
  <si>
    <t>9B. Squash/Cucumber subgroup</t>
  </si>
  <si>
    <t>Cucumber</t>
  </si>
  <si>
    <t>Squash, Summer</t>
  </si>
  <si>
    <t>Pumpkin</t>
  </si>
  <si>
    <t>Squash, Winter</t>
  </si>
  <si>
    <t>Chayote, Fruit</t>
  </si>
  <si>
    <t>Gourd, Edible</t>
  </si>
  <si>
    <t>Waxgourd, Chinese</t>
  </si>
  <si>
    <t>10-10</t>
  </si>
  <si>
    <t>Orchard evergreen</t>
  </si>
  <si>
    <t>10-10A. Orange subgroup</t>
  </si>
  <si>
    <t>Tangerine (Mandarin)</t>
  </si>
  <si>
    <t>Calamondin</t>
  </si>
  <si>
    <t>Citrus</t>
  </si>
  <si>
    <t>Citron</t>
  </si>
  <si>
    <t>Citrus Hybrids</t>
  </si>
  <si>
    <t>Tangelo</t>
  </si>
  <si>
    <t>Tangor</t>
  </si>
  <si>
    <t xml:space="preserve">10-10B. Lemon/Lime subgroup </t>
  </si>
  <si>
    <t>Lemon</t>
  </si>
  <si>
    <t>Lime</t>
  </si>
  <si>
    <t>Kumquat</t>
  </si>
  <si>
    <t>10-10C. Grapefruit subgroup</t>
  </si>
  <si>
    <t>Grapefruit</t>
  </si>
  <si>
    <t>Pummelo</t>
  </si>
  <si>
    <t>Uniq fruit</t>
  </si>
  <si>
    <t>10: Citrus Fruits</t>
  </si>
  <si>
    <t>11-10</t>
  </si>
  <si>
    <t>Orchard deciduous</t>
  </si>
  <si>
    <t>Apple</t>
  </si>
  <si>
    <t>Pear</t>
  </si>
  <si>
    <t>Crabapple</t>
  </si>
  <si>
    <t>Loquat</t>
  </si>
  <si>
    <t>Mayhaw</t>
  </si>
  <si>
    <t>Quince</t>
  </si>
  <si>
    <t>Tejocote</t>
  </si>
  <si>
    <t xml:space="preserve">11: Pome Fruits </t>
  </si>
  <si>
    <t>Pear, Oriental</t>
  </si>
  <si>
    <t>12-12</t>
  </si>
  <si>
    <t>12-12A. Cherry subgroup</t>
  </si>
  <si>
    <t>12-12B. Peach subgroup</t>
  </si>
  <si>
    <t>Capulin</t>
  </si>
  <si>
    <t>Peach</t>
  </si>
  <si>
    <t>Nectarine</t>
  </si>
  <si>
    <t>12-12C. Plum subgroup</t>
  </si>
  <si>
    <t xml:space="preserve">Plum </t>
  </si>
  <si>
    <t>Plum, Prune (fresh)</t>
  </si>
  <si>
    <t>Apricot</t>
  </si>
  <si>
    <t>Plumcot</t>
  </si>
  <si>
    <t>Sloe</t>
  </si>
  <si>
    <t>12: Stone Fruits Group</t>
  </si>
  <si>
    <t>13-07</t>
  </si>
  <si>
    <t>13-07: Berry and Small Fruit</t>
  </si>
  <si>
    <t>Small fruit trellised</t>
  </si>
  <si>
    <t>13-07A. Caneberry subgroup</t>
  </si>
  <si>
    <t>Wild raspberry</t>
  </si>
  <si>
    <t>Loganberry</t>
  </si>
  <si>
    <t>13-07B. Bushberry subgroup</t>
  </si>
  <si>
    <t>Blueberry, highbush</t>
  </si>
  <si>
    <t>Elderberry</t>
  </si>
  <si>
    <t>Buffalo currant</t>
  </si>
  <si>
    <t>Chilean guava</t>
  </si>
  <si>
    <t>Currant</t>
  </si>
  <si>
    <t>Huckleberry</t>
  </si>
  <si>
    <t>Jostaberry</t>
  </si>
  <si>
    <t>Native currant</t>
  </si>
  <si>
    <t>Sea buckthorn</t>
  </si>
  <si>
    <t>Salal</t>
  </si>
  <si>
    <t>Gooseberry</t>
  </si>
  <si>
    <t>Blueberry, lowbush</t>
  </si>
  <si>
    <t>Cranberry</t>
  </si>
  <si>
    <t>Lingonberry</t>
  </si>
  <si>
    <t>13-07C. Large shrub/tree berry subgroup</t>
  </si>
  <si>
    <t>Mulberry</t>
  </si>
  <si>
    <t>Bayberry</t>
  </si>
  <si>
    <t>Buffaloberry</t>
  </si>
  <si>
    <t>Che</t>
  </si>
  <si>
    <t>Chokeberry</t>
  </si>
  <si>
    <t>Mountain pepper berries</t>
  </si>
  <si>
    <t>Phalsa</t>
  </si>
  <si>
    <t>Pincherry</t>
  </si>
  <si>
    <t>Riberry</t>
  </si>
  <si>
    <t>Serviceberry</t>
  </si>
  <si>
    <t>13-07D. Small fruit vine climbing subgroup</t>
  </si>
  <si>
    <t>Grapes</t>
  </si>
  <si>
    <t>13-07E. Small fruit vine climbing subgroup, except grape</t>
  </si>
  <si>
    <t>Kiwifruit, fuzzy</t>
  </si>
  <si>
    <t>13-07F. Small fruit vine climbing subgroup, except fuzzy kiwifruit</t>
  </si>
  <si>
    <t>Amur river grape</t>
  </si>
  <si>
    <t>Kiwifruit, hardy</t>
  </si>
  <si>
    <t>Maypop</t>
  </si>
  <si>
    <t>Schisandra berry</t>
  </si>
  <si>
    <t>13-07G. Low growing berry subgroup</t>
  </si>
  <si>
    <t>Strawberry</t>
  </si>
  <si>
    <t>13-07H. Low growing berry subgroup, except strawberry</t>
  </si>
  <si>
    <t>Bearberry</t>
  </si>
  <si>
    <t>Bilberry</t>
  </si>
  <si>
    <t>Cloudberry</t>
  </si>
  <si>
    <t>Muntries</t>
  </si>
  <si>
    <t>Partridgeberry</t>
  </si>
  <si>
    <t>13: Berries</t>
  </si>
  <si>
    <t>13A. Caneberry (blackberry and raspberry) subgroup</t>
  </si>
  <si>
    <t>14-12</t>
  </si>
  <si>
    <t>14-12: Tree Nut Group</t>
  </si>
  <si>
    <t>Filbert (Hazelnut)</t>
  </si>
  <si>
    <t>Pecan</t>
  </si>
  <si>
    <t>Pistachio</t>
  </si>
  <si>
    <t xml:space="preserve">Walnut, black and English </t>
  </si>
  <si>
    <t>African Nut Tree</t>
  </si>
  <si>
    <t>Beechnut</t>
  </si>
  <si>
    <t>Brazil Nut</t>
  </si>
  <si>
    <t>Brazilian Pine</t>
  </si>
  <si>
    <t>Bunya</t>
  </si>
  <si>
    <t>Bur Oak</t>
  </si>
  <si>
    <t>Butternut</t>
  </si>
  <si>
    <t>Cajoa</t>
  </si>
  <si>
    <t>Candlenut</t>
  </si>
  <si>
    <t>Cashew</t>
  </si>
  <si>
    <t>Chestnut</t>
  </si>
  <si>
    <t>Chinquapin</t>
  </si>
  <si>
    <t>Coconut</t>
  </si>
  <si>
    <t>Coquito Nut</t>
  </si>
  <si>
    <t>Dika Nut</t>
  </si>
  <si>
    <t>Ginkgo</t>
  </si>
  <si>
    <t>Heartnut</t>
  </si>
  <si>
    <t>Hickory Nut</t>
  </si>
  <si>
    <t>Macadamia Nut</t>
  </si>
  <si>
    <t>Mongongo Nut</t>
  </si>
  <si>
    <t>Monkey Pot</t>
  </si>
  <si>
    <t>Monkey Puzzle Nut</t>
  </si>
  <si>
    <t>Peach Palm Nut</t>
  </si>
  <si>
    <t>Pequi</t>
  </si>
  <si>
    <t>Pili Nut</t>
  </si>
  <si>
    <t>Pine Nut</t>
  </si>
  <si>
    <t>14: Tree Nuts</t>
  </si>
  <si>
    <t xml:space="preserve">15: Cereal Grains </t>
  </si>
  <si>
    <t>Barley</t>
  </si>
  <si>
    <t>Other grains</t>
  </si>
  <si>
    <t>Corn, Sweet</t>
  </si>
  <si>
    <t>Rice</t>
  </si>
  <si>
    <t>PFAM (Rice)</t>
  </si>
  <si>
    <t>Sorghum</t>
  </si>
  <si>
    <t>Wheat</t>
  </si>
  <si>
    <t>Wheat spring</t>
  </si>
  <si>
    <t>Wheat winter</t>
  </si>
  <si>
    <t>Buckwheat</t>
  </si>
  <si>
    <t>Oat</t>
  </si>
  <si>
    <t>Rye</t>
  </si>
  <si>
    <t>Teosinte</t>
  </si>
  <si>
    <t>Other crops</t>
  </si>
  <si>
    <t>Triticale</t>
  </si>
  <si>
    <t>16: Forage, Fodder and Straw of Cereal Grains Group</t>
  </si>
  <si>
    <t>Hay all</t>
  </si>
  <si>
    <t>17: Grass Forage, Fodder and Hay Group</t>
  </si>
  <si>
    <t>Pasture or forage</t>
  </si>
  <si>
    <t>Grass, Pasture</t>
  </si>
  <si>
    <t>Grass, Rangeland</t>
  </si>
  <si>
    <t>Other Grass Species</t>
  </si>
  <si>
    <t xml:space="preserve">18: Nongrass Animal Feeds (Forage, Fodder, Straw, and Hay) </t>
  </si>
  <si>
    <t>Alfalfa</t>
  </si>
  <si>
    <t>Alfalfa/agricultural grasses</t>
  </si>
  <si>
    <t>Clover</t>
  </si>
  <si>
    <t>Kudzu</t>
  </si>
  <si>
    <t>Lespedeza</t>
  </si>
  <si>
    <t>Lupin</t>
  </si>
  <si>
    <t>Sainfoin</t>
  </si>
  <si>
    <t>Trefoil</t>
  </si>
  <si>
    <t>Vetch</t>
  </si>
  <si>
    <t>19: Herbs and Spices Group</t>
  </si>
  <si>
    <t>19A. Herb subgroup</t>
  </si>
  <si>
    <t>Angelica</t>
  </si>
  <si>
    <t>Balm</t>
  </si>
  <si>
    <t>Basil</t>
  </si>
  <si>
    <t>Borage</t>
  </si>
  <si>
    <t>Burnet</t>
  </si>
  <si>
    <t>Camomile</t>
  </si>
  <si>
    <t>Catnip</t>
  </si>
  <si>
    <t>Chive</t>
  </si>
  <si>
    <t>Clary</t>
  </si>
  <si>
    <t>Coriander (leaf or chinese parsley)</t>
  </si>
  <si>
    <t>Costmary</t>
  </si>
  <si>
    <t>Culantro (leaf)</t>
  </si>
  <si>
    <t>Curry (leaf)</t>
  </si>
  <si>
    <t>Dill weed</t>
  </si>
  <si>
    <t>Horehound</t>
  </si>
  <si>
    <t>Hyssop</t>
  </si>
  <si>
    <t>Lavender</t>
  </si>
  <si>
    <t>Lemongrass</t>
  </si>
  <si>
    <t>Lovage (leaf)</t>
  </si>
  <si>
    <t>Marigold</t>
  </si>
  <si>
    <t>Marjoram</t>
  </si>
  <si>
    <t>Nasturtium</t>
  </si>
  <si>
    <t>Oregano</t>
  </si>
  <si>
    <t>Pennyroyal</t>
  </si>
  <si>
    <t>Rosemary</t>
  </si>
  <si>
    <t>Rue</t>
  </si>
  <si>
    <t>Sage</t>
  </si>
  <si>
    <t>Savory</t>
  </si>
  <si>
    <t>Sweet Bay</t>
  </si>
  <si>
    <t>Tansy</t>
  </si>
  <si>
    <t>Tarragon</t>
  </si>
  <si>
    <t>Thyme</t>
  </si>
  <si>
    <t>Wintergreen</t>
  </si>
  <si>
    <t>Woodruff</t>
  </si>
  <si>
    <t>Wormwood</t>
  </si>
  <si>
    <t>19B. Spice subgroup</t>
  </si>
  <si>
    <t>Allspice</t>
  </si>
  <si>
    <t>Annatto</t>
  </si>
  <si>
    <t>Caper</t>
  </si>
  <si>
    <t>Caraway</t>
  </si>
  <si>
    <t>Cardamom</t>
  </si>
  <si>
    <t>Cassia</t>
  </si>
  <si>
    <t>Celery (seed)</t>
  </si>
  <si>
    <t>Cinnamon</t>
  </si>
  <si>
    <t>Clove</t>
  </si>
  <si>
    <t>Coriander (seed or Cilantro)</t>
  </si>
  <si>
    <t>Culantro (seed)</t>
  </si>
  <si>
    <t>Cumin</t>
  </si>
  <si>
    <t>Dill (seed)</t>
  </si>
  <si>
    <t>Fenugreek</t>
  </si>
  <si>
    <t>Grains Of Paradise</t>
  </si>
  <si>
    <t>Juniper Berry</t>
  </si>
  <si>
    <t>Lovage (seed)</t>
  </si>
  <si>
    <t>Mace</t>
  </si>
  <si>
    <t>Mustard (seed)</t>
  </si>
  <si>
    <t>Nutmeg</t>
  </si>
  <si>
    <t>Pepper, Black</t>
  </si>
  <si>
    <t>Pepper, White</t>
  </si>
  <si>
    <t>Poppy</t>
  </si>
  <si>
    <t>Saffron</t>
  </si>
  <si>
    <t>Vanilla</t>
  </si>
  <si>
    <t>20: Oilseed Group</t>
  </si>
  <si>
    <t>20A. Rapeseed subgroup</t>
  </si>
  <si>
    <t>Crambe</t>
  </si>
  <si>
    <t>Cuphea</t>
  </si>
  <si>
    <t>Echium</t>
  </si>
  <si>
    <t>Flax seed</t>
  </si>
  <si>
    <t>Gold of pleasure</t>
  </si>
  <si>
    <t>Hare's ear mustard</t>
  </si>
  <si>
    <t>Lesquerella</t>
  </si>
  <si>
    <t>Lunaria</t>
  </si>
  <si>
    <t>Meadowfoam</t>
  </si>
  <si>
    <t>Milkweed</t>
  </si>
  <si>
    <t>Mustard seed</t>
  </si>
  <si>
    <t>Oil radish</t>
  </si>
  <si>
    <t>Poppy seed</t>
  </si>
  <si>
    <t>Sesame</t>
  </si>
  <si>
    <t>Sweet rocket</t>
  </si>
  <si>
    <t>20B. Sunflower subgroup</t>
  </si>
  <si>
    <t>Sunflower</t>
  </si>
  <si>
    <t>Calendula</t>
  </si>
  <si>
    <t>Castor oil plant</t>
  </si>
  <si>
    <t>Chinese tallowtree</t>
  </si>
  <si>
    <t>Euphorbia</t>
  </si>
  <si>
    <t>Evening primrose</t>
  </si>
  <si>
    <t>Jojoba</t>
  </si>
  <si>
    <t>Niger seed</t>
  </si>
  <si>
    <t>Rose hip</t>
  </si>
  <si>
    <t>Safflower</t>
  </si>
  <si>
    <t>Stokes aster</t>
  </si>
  <si>
    <t>Tallowwood</t>
  </si>
  <si>
    <t>Tea oil plant</t>
  </si>
  <si>
    <t>Vernonia</t>
  </si>
  <si>
    <t>20C. Cottonseed subgroup</t>
  </si>
  <si>
    <t>Cottonseed</t>
  </si>
  <si>
    <t>21: Edible Fungi Group</t>
  </si>
  <si>
    <t>22: Stalk, Stem and Leaf Petiole Vegetable Group</t>
  </si>
  <si>
    <t>22A: Stalk and stem vegetable subgroup</t>
  </si>
  <si>
    <t>Asparagus</t>
  </si>
  <si>
    <t>Agave</t>
  </si>
  <si>
    <t>Aloe Vera</t>
  </si>
  <si>
    <t>Bamboo shoots</t>
  </si>
  <si>
    <t>Kale, Sea</t>
  </si>
  <si>
    <t>Palm Heart</t>
  </si>
  <si>
    <t>22B: Leaf petiole vegetable subgroup</t>
  </si>
  <si>
    <t>Fuki</t>
  </si>
  <si>
    <t>Udo</t>
  </si>
  <si>
    <t>Zuiki</t>
  </si>
  <si>
    <t>23: Topical and Subtropical Edible Peel Group</t>
  </si>
  <si>
    <t>23A: Tropical and Subtropical, Small fruit, edible peel subgroup</t>
  </si>
  <si>
    <t>23B: Tropical and Subtropical, Medium to large fruit, edible peel subgroup</t>
  </si>
  <si>
    <t>23C: Tropical and Subtropical, Palm fruit, edible peel subgroup</t>
  </si>
  <si>
    <t>24:Topical and Subtropical Inedible Peel Group</t>
  </si>
  <si>
    <t xml:space="preserve"> 24A: Tropical and Subtropical, Small fruit, inedible peel subgroup</t>
  </si>
  <si>
    <t>24B: Tropical and Subtropical, Medium to large fruit, smooth, inedible peel subgroup</t>
  </si>
  <si>
    <t>24C: Tropical and Subtropical, Medium to large fruit, rough or hairy, inedible peel subgroup</t>
  </si>
  <si>
    <t>24D: Tropical and Subtropical, Cactus, inedible peel subgroup</t>
  </si>
  <si>
    <t>24E: Tropical and Subtropical, Vine, inedible peel subgroup</t>
  </si>
  <si>
    <t>Peanut</t>
  </si>
  <si>
    <t>Sugarcane</t>
  </si>
  <si>
    <t>Coffee</t>
  </si>
  <si>
    <t>Switchgrass</t>
  </si>
  <si>
    <t>Teff</t>
  </si>
  <si>
    <t>Other Crops</t>
  </si>
  <si>
    <t>RUNOFF+DRIFT ASSUMPTION - Formatted entry of PWC Output for the WPEZ Medians (USED FOR RQs)</t>
  </si>
  <si>
    <t>RUNOFF ONLY (NO DRIFT) - Formatted entry of PWC Output for the WPEZ Medians (USED FOR MODs)</t>
  </si>
  <si>
    <t>RUNOFF+DRIFT ASSUMPTION - Formatted entry of PWC Output for the Pond Medians (USED FOR RQs)</t>
  </si>
  <si>
    <t>RUNOFF ONLY (NO DRIFT) ASSUMPTION - Formatted entry of PWC Output for the Pond Medians (USED FOR MODs)</t>
  </si>
  <si>
    <t>RUNOFF ONLY (NO DRIFT) ASSUMPTION</t>
  </si>
  <si>
    <r>
      <t>RUNOFF ONLY (</t>
    </r>
    <r>
      <rPr>
        <b/>
        <sz val="11"/>
        <color rgb="FF7030A0"/>
        <rFont val="Aptos Narrow"/>
        <family val="2"/>
        <scheme val="minor"/>
      </rPr>
      <t>WITH VOLATILITY</t>
    </r>
    <r>
      <rPr>
        <b/>
        <sz val="11"/>
        <color theme="1"/>
        <rFont val="Aptos Narrow"/>
        <family val="2"/>
        <scheme val="minor"/>
      </rPr>
      <t>) ASSUMPTION</t>
    </r>
  </si>
  <si>
    <t>Benthic Conversion Factor             =     99.38      -Pore water (ug/L) to (total mass</t>
  </si>
  <si>
    <t xml:space="preserve"> ug)/(dry sed mass</t>
  </si>
  <si>
    <t>kg)</t>
  </si>
  <si>
    <t>Benthic Conversion Factor             =     13.57      -Pore water (ug/L) to (total mass</t>
  </si>
  <si>
    <t>PWC 3 Scheme Table</t>
  </si>
  <si>
    <t>Sch#</t>
  </si>
  <si>
    <t>mode</t>
  </si>
  <si>
    <t>#Apps</t>
  </si>
  <si>
    <t>amt</t>
  </si>
  <si>
    <t>method</t>
  </si>
  <si>
    <t>depth</t>
  </si>
  <si>
    <t>split</t>
  </si>
  <si>
    <t>drift</t>
  </si>
  <si>
    <t>buffer</t>
  </si>
  <si>
    <t>period</t>
  </si>
  <si>
    <t>lag</t>
  </si>
  <si>
    <t>window</t>
  </si>
  <si>
    <t>step</t>
  </si>
  <si>
    <t>raifast</t>
  </si>
  <si>
    <t>rainlimit</t>
  </si>
  <si>
    <t>intolwindow</t>
  </si>
  <si>
    <t>optwindow</t>
  </si>
  <si>
    <t>mindays</t>
  </si>
  <si>
    <t>#scn</t>
  </si>
  <si>
    <t>INFORMATION NEEDED FOR SUMMARIZING OUTPUT FROM MODELING IS HIGHLIGHTED</t>
  </si>
  <si>
    <t xml:space="preserve">Run Information  (Source is "summary_EPA Pond" worksheet (column A)                                                 </t>
  </si>
  <si>
    <t>Scheme Number</t>
  </si>
  <si>
    <t>Column not needed</t>
  </si>
  <si>
    <t>HUC-2</t>
  </si>
  <si>
    <t>Koc Group (used to assign Mitigation Points)</t>
  </si>
  <si>
    <t>Maximum Single Application Rate (lbs a.i./A) (Crosswalked to Use Summary Table)</t>
  </si>
  <si>
    <t>Annual Maximum Application Rate (lbs a.i./A) (Crosswalked to Use Summary Table)</t>
  </si>
  <si>
    <t>Application Type (Crosswalked to Use Summary Table)</t>
  </si>
  <si>
    <t>Spray Drift Application Method(s) (Crosswalked to Use Summary Table)</t>
  </si>
  <si>
    <t>Relative Application Timing (Crosswalked to Use Summary Table)</t>
  </si>
  <si>
    <t>UDL (Crosswalked to Use Summary Table)</t>
  </si>
  <si>
    <r>
      <t>Atlantic salmon (</t>
    </r>
    <r>
      <rPr>
        <i/>
        <sz val="11"/>
        <color theme="1"/>
        <rFont val="Aptos Narrow"/>
        <family val="2"/>
        <scheme val="minor"/>
      </rPr>
      <t>Salmo salar</t>
    </r>
    <r>
      <rPr>
        <sz val="11"/>
        <color theme="1"/>
        <rFont val="Aptos Narrow"/>
        <family val="2"/>
        <scheme val="minor"/>
      </rPr>
      <t>)</t>
    </r>
  </si>
  <si>
    <r>
      <t>Atlantic silverside (</t>
    </r>
    <r>
      <rPr>
        <i/>
        <sz val="11"/>
        <color theme="1"/>
        <rFont val="Aptos Narrow"/>
        <family val="2"/>
        <scheme val="minor"/>
      </rPr>
      <t>Menidia menidia</t>
    </r>
    <r>
      <rPr>
        <sz val="11"/>
        <color theme="1"/>
        <rFont val="Aptos Narrow"/>
        <family val="2"/>
        <scheme val="minor"/>
      </rPr>
      <t>)</t>
    </r>
  </si>
  <si>
    <r>
      <t>Bluegill sunfish (</t>
    </r>
    <r>
      <rPr>
        <i/>
        <sz val="11"/>
        <color theme="1"/>
        <rFont val="Aptos Narrow"/>
        <family val="2"/>
        <scheme val="minor"/>
      </rPr>
      <t>Lepomis macrochirus</t>
    </r>
    <r>
      <rPr>
        <sz val="11"/>
        <color theme="1"/>
        <rFont val="Aptos Narrow"/>
        <family val="2"/>
        <scheme val="minor"/>
      </rPr>
      <t>)</t>
    </r>
  </si>
  <si>
    <r>
      <t>Brook trout (</t>
    </r>
    <r>
      <rPr>
        <i/>
        <sz val="11"/>
        <color theme="1"/>
        <rFont val="Aptos Narrow"/>
        <family val="2"/>
        <scheme val="minor"/>
      </rPr>
      <t>Salvelinus fontinalis</t>
    </r>
    <r>
      <rPr>
        <sz val="11"/>
        <color theme="1"/>
        <rFont val="Aptos Narrow"/>
        <family val="2"/>
        <scheme val="minor"/>
      </rPr>
      <t>)</t>
    </r>
  </si>
  <si>
    <r>
      <t>Channel catfish (</t>
    </r>
    <r>
      <rPr>
        <i/>
        <sz val="11"/>
        <color theme="1"/>
        <rFont val="Aptos Narrow"/>
        <family val="2"/>
        <scheme val="minor"/>
      </rPr>
      <t>Ictalurus</t>
    </r>
    <r>
      <rPr>
        <sz val="11"/>
        <color theme="1"/>
        <rFont val="Aptos Narrow"/>
        <family val="2"/>
        <scheme val="minor"/>
      </rPr>
      <t xml:space="preserve"> </t>
    </r>
    <r>
      <rPr>
        <i/>
        <sz val="11"/>
        <color theme="1"/>
        <rFont val="Aptos Narrow"/>
        <family val="2"/>
        <scheme val="minor"/>
      </rPr>
      <t>punctatus</t>
    </r>
    <r>
      <rPr>
        <sz val="11"/>
        <color theme="1"/>
        <rFont val="Aptos Narrow"/>
        <family val="2"/>
        <scheme val="minor"/>
      </rPr>
      <t>)</t>
    </r>
  </si>
  <si>
    <r>
      <t>Coho salmon (</t>
    </r>
    <r>
      <rPr>
        <i/>
        <sz val="11"/>
        <color theme="1"/>
        <rFont val="Aptos Narrow"/>
        <family val="2"/>
        <scheme val="minor"/>
      </rPr>
      <t>Oncorhynchus</t>
    </r>
    <r>
      <rPr>
        <sz val="11"/>
        <color theme="1"/>
        <rFont val="Aptos Narrow"/>
        <family val="2"/>
        <scheme val="minor"/>
      </rPr>
      <t xml:space="preserve"> </t>
    </r>
    <r>
      <rPr>
        <i/>
        <sz val="11"/>
        <color theme="1"/>
        <rFont val="Aptos Narrow"/>
        <family val="2"/>
        <scheme val="minor"/>
      </rPr>
      <t>kisutch</t>
    </r>
    <r>
      <rPr>
        <sz val="11"/>
        <color theme="1"/>
        <rFont val="Aptos Narrow"/>
        <family val="2"/>
        <scheme val="minor"/>
      </rPr>
      <t>)</t>
    </r>
  </si>
  <si>
    <r>
      <t>Common carp (</t>
    </r>
    <r>
      <rPr>
        <i/>
        <sz val="11"/>
        <color theme="1"/>
        <rFont val="Aptos Narrow"/>
        <family val="2"/>
        <scheme val="minor"/>
      </rPr>
      <t>Cyprinus</t>
    </r>
    <r>
      <rPr>
        <sz val="11"/>
        <color theme="1"/>
        <rFont val="Aptos Narrow"/>
        <family val="2"/>
        <scheme val="minor"/>
      </rPr>
      <t xml:space="preserve"> </t>
    </r>
    <r>
      <rPr>
        <i/>
        <sz val="11"/>
        <color theme="1"/>
        <rFont val="Aptos Narrow"/>
        <family val="2"/>
        <scheme val="minor"/>
      </rPr>
      <t>carpio</t>
    </r>
    <r>
      <rPr>
        <sz val="11"/>
        <color theme="1"/>
        <rFont val="Aptos Narrow"/>
        <family val="2"/>
        <scheme val="minor"/>
      </rPr>
      <t>)</t>
    </r>
  </si>
  <si>
    <r>
      <t>Fathead minnow (</t>
    </r>
    <r>
      <rPr>
        <i/>
        <sz val="11"/>
        <color theme="1"/>
        <rFont val="Aptos Narrow"/>
        <family val="2"/>
        <scheme val="minor"/>
      </rPr>
      <t>Pimephales</t>
    </r>
    <r>
      <rPr>
        <sz val="11"/>
        <color theme="1"/>
        <rFont val="Aptos Narrow"/>
        <family val="2"/>
        <scheme val="minor"/>
      </rPr>
      <t xml:space="preserve"> </t>
    </r>
    <r>
      <rPr>
        <i/>
        <sz val="11"/>
        <color theme="1"/>
        <rFont val="Aptos Narrow"/>
        <family val="2"/>
        <scheme val="minor"/>
      </rPr>
      <t>promelas</t>
    </r>
    <r>
      <rPr>
        <sz val="11"/>
        <color theme="1"/>
        <rFont val="Aptos Narrow"/>
        <family val="2"/>
        <scheme val="minor"/>
      </rPr>
      <t>)</t>
    </r>
  </si>
  <si>
    <r>
      <t>Guppy (</t>
    </r>
    <r>
      <rPr>
        <i/>
        <sz val="11"/>
        <color theme="1"/>
        <rFont val="Aptos Narrow"/>
        <family val="2"/>
        <scheme val="minor"/>
      </rPr>
      <t>Poecilia</t>
    </r>
    <r>
      <rPr>
        <sz val="11"/>
        <color theme="1"/>
        <rFont val="Aptos Narrow"/>
        <family val="2"/>
        <scheme val="minor"/>
      </rPr>
      <t xml:space="preserve"> </t>
    </r>
    <r>
      <rPr>
        <i/>
        <sz val="11"/>
        <color theme="1"/>
        <rFont val="Aptos Narrow"/>
        <family val="2"/>
        <scheme val="minor"/>
      </rPr>
      <t>reticulata</t>
    </r>
    <r>
      <rPr>
        <sz val="11"/>
        <color theme="1"/>
        <rFont val="Aptos Narrow"/>
        <family val="2"/>
        <scheme val="minor"/>
      </rPr>
      <t>)</t>
    </r>
  </si>
  <si>
    <r>
      <t>Inland silverside (</t>
    </r>
    <r>
      <rPr>
        <i/>
        <sz val="11"/>
        <color theme="1"/>
        <rFont val="Aptos Narrow"/>
        <family val="2"/>
        <scheme val="minor"/>
      </rPr>
      <t>Menidia</t>
    </r>
    <r>
      <rPr>
        <sz val="11"/>
        <color theme="1"/>
        <rFont val="Aptos Narrow"/>
        <family val="2"/>
        <scheme val="minor"/>
      </rPr>
      <t xml:space="preserve"> </t>
    </r>
    <r>
      <rPr>
        <i/>
        <sz val="11"/>
        <color theme="1"/>
        <rFont val="Aptos Narrow"/>
        <family val="2"/>
        <scheme val="minor"/>
      </rPr>
      <t>beryllina</t>
    </r>
    <r>
      <rPr>
        <sz val="11"/>
        <color theme="1"/>
        <rFont val="Aptos Narrow"/>
        <family val="2"/>
        <scheme val="minor"/>
      </rPr>
      <t>)</t>
    </r>
  </si>
  <si>
    <r>
      <t>Medaka (</t>
    </r>
    <r>
      <rPr>
        <i/>
        <sz val="11"/>
        <color theme="1"/>
        <rFont val="Aptos Narrow"/>
        <family val="2"/>
        <scheme val="minor"/>
      </rPr>
      <t>Oryzias</t>
    </r>
    <r>
      <rPr>
        <sz val="11"/>
        <color theme="1"/>
        <rFont val="Aptos Narrow"/>
        <family val="2"/>
        <scheme val="minor"/>
      </rPr>
      <t xml:space="preserve"> </t>
    </r>
    <r>
      <rPr>
        <i/>
        <sz val="11"/>
        <color theme="1"/>
        <rFont val="Aptos Narrow"/>
        <family val="2"/>
        <scheme val="minor"/>
      </rPr>
      <t>latipes</t>
    </r>
    <r>
      <rPr>
        <sz val="11"/>
        <color theme="1"/>
        <rFont val="Aptos Narrow"/>
        <family val="2"/>
        <scheme val="minor"/>
      </rPr>
      <t>)</t>
    </r>
  </si>
  <si>
    <r>
      <t>Rainbow trout (</t>
    </r>
    <r>
      <rPr>
        <i/>
        <sz val="11"/>
        <color theme="1"/>
        <rFont val="Aptos Narrow"/>
        <family val="2"/>
        <scheme val="minor"/>
      </rPr>
      <t>Oncorhynchus</t>
    </r>
    <r>
      <rPr>
        <sz val="11"/>
        <color theme="1"/>
        <rFont val="Aptos Narrow"/>
        <family val="2"/>
        <scheme val="minor"/>
      </rPr>
      <t xml:space="preserve"> </t>
    </r>
    <r>
      <rPr>
        <i/>
        <sz val="11"/>
        <color theme="1"/>
        <rFont val="Aptos Narrow"/>
        <family val="2"/>
        <scheme val="minor"/>
      </rPr>
      <t>mykiss</t>
    </r>
    <r>
      <rPr>
        <sz val="11"/>
        <color theme="1"/>
        <rFont val="Aptos Narrow"/>
        <family val="2"/>
        <scheme val="minor"/>
      </rPr>
      <t>)</t>
    </r>
  </si>
  <si>
    <r>
      <t>Sheepshead minnow (</t>
    </r>
    <r>
      <rPr>
        <i/>
        <sz val="11"/>
        <color theme="1"/>
        <rFont val="Aptos Narrow"/>
        <family val="2"/>
        <scheme val="minor"/>
      </rPr>
      <t>Cyprinodon</t>
    </r>
    <r>
      <rPr>
        <sz val="11"/>
        <color theme="1"/>
        <rFont val="Aptos Narrow"/>
        <family val="2"/>
        <scheme val="minor"/>
      </rPr>
      <t xml:space="preserve"> </t>
    </r>
    <r>
      <rPr>
        <i/>
        <sz val="11"/>
        <color theme="1"/>
        <rFont val="Aptos Narrow"/>
        <family val="2"/>
        <scheme val="minor"/>
      </rPr>
      <t>variegatus</t>
    </r>
    <r>
      <rPr>
        <sz val="11"/>
        <color theme="1"/>
        <rFont val="Aptos Narrow"/>
        <family val="2"/>
        <scheme val="minor"/>
      </rPr>
      <t>)</t>
    </r>
  </si>
  <si>
    <r>
      <t>Tidewater silverside (</t>
    </r>
    <r>
      <rPr>
        <i/>
        <sz val="11"/>
        <color theme="1"/>
        <rFont val="Aptos Narrow"/>
        <family val="2"/>
        <scheme val="minor"/>
      </rPr>
      <t>Menidia</t>
    </r>
    <r>
      <rPr>
        <sz val="11"/>
        <color theme="1"/>
        <rFont val="Aptos Narrow"/>
        <family val="2"/>
        <scheme val="minor"/>
      </rPr>
      <t xml:space="preserve"> </t>
    </r>
    <r>
      <rPr>
        <i/>
        <sz val="11"/>
        <color theme="1"/>
        <rFont val="Aptos Narrow"/>
        <family val="2"/>
        <scheme val="minor"/>
      </rPr>
      <t>peninsulae</t>
    </r>
    <r>
      <rPr>
        <sz val="11"/>
        <color theme="1"/>
        <rFont val="Aptos Narrow"/>
        <family val="2"/>
        <scheme val="minor"/>
      </rPr>
      <t>)</t>
    </r>
  </si>
  <si>
    <r>
      <t>Zebrafish (</t>
    </r>
    <r>
      <rPr>
        <i/>
        <sz val="11"/>
        <color theme="1"/>
        <rFont val="Aptos Narrow"/>
        <family val="2"/>
        <scheme val="minor"/>
      </rPr>
      <t>Danio</t>
    </r>
    <r>
      <rPr>
        <sz val="11"/>
        <color theme="1"/>
        <rFont val="Aptos Narrow"/>
        <family val="2"/>
        <scheme val="minor"/>
      </rPr>
      <t xml:space="preserve"> </t>
    </r>
    <r>
      <rPr>
        <i/>
        <sz val="11"/>
        <color theme="1"/>
        <rFont val="Aptos Narrow"/>
        <family val="2"/>
        <scheme val="minor"/>
      </rPr>
      <t>rerio</t>
    </r>
    <r>
      <rPr>
        <sz val="11"/>
        <color theme="1"/>
        <rFont val="Aptos Narrow"/>
        <family val="2"/>
        <scheme val="minor"/>
      </rPr>
      <t>)</t>
    </r>
  </si>
  <si>
    <r>
      <t>Northern bobwhite (</t>
    </r>
    <r>
      <rPr>
        <i/>
        <sz val="11"/>
        <color theme="1"/>
        <rFont val="Aptos Narrow"/>
        <family val="2"/>
        <scheme val="minor"/>
      </rPr>
      <t>Colinus virginianus</t>
    </r>
    <r>
      <rPr>
        <sz val="11"/>
        <color theme="1"/>
        <rFont val="Aptos Narrow"/>
        <family val="2"/>
        <scheme val="minor"/>
      </rPr>
      <t>)</t>
    </r>
  </si>
  <si>
    <r>
      <t>Mallard duck (</t>
    </r>
    <r>
      <rPr>
        <i/>
        <sz val="11"/>
        <color theme="1"/>
        <rFont val="Aptos Narrow"/>
        <family val="2"/>
        <scheme val="minor"/>
      </rPr>
      <t>Anas platyrhynchos</t>
    </r>
    <r>
      <rPr>
        <sz val="11"/>
        <color theme="1"/>
        <rFont val="Aptos Narrow"/>
        <family val="2"/>
        <scheme val="minor"/>
      </rPr>
      <t>)</t>
    </r>
  </si>
  <si>
    <r>
      <t>House sparrow (</t>
    </r>
    <r>
      <rPr>
        <i/>
        <sz val="11"/>
        <color theme="1"/>
        <rFont val="Aptos Narrow"/>
        <family val="2"/>
        <scheme val="minor"/>
      </rPr>
      <t>Passer domesticus</t>
    </r>
    <r>
      <rPr>
        <sz val="11"/>
        <color theme="1"/>
        <rFont val="Aptos Narrow"/>
        <family val="2"/>
        <scheme val="minor"/>
      </rPr>
      <t>)</t>
    </r>
  </si>
  <si>
    <r>
      <t>Zebra finch (</t>
    </r>
    <r>
      <rPr>
        <i/>
        <sz val="11"/>
        <color theme="1"/>
        <rFont val="Aptos Narrow"/>
        <family val="2"/>
        <scheme val="minor"/>
      </rPr>
      <t>Taeniopygia guttata</t>
    </r>
    <r>
      <rPr>
        <sz val="11"/>
        <color theme="1"/>
        <rFont val="Aptos Narrow"/>
        <family val="2"/>
        <scheme val="minor"/>
      </rPr>
      <t>)</t>
    </r>
  </si>
  <si>
    <r>
      <t>Red-wing blackbird (</t>
    </r>
    <r>
      <rPr>
        <i/>
        <sz val="11"/>
        <color theme="1"/>
        <rFont val="Aptos Narrow"/>
        <family val="2"/>
        <scheme val="minor"/>
      </rPr>
      <t>Agelaius phoeniceus</t>
    </r>
    <r>
      <rPr>
        <sz val="11"/>
        <color theme="1"/>
        <rFont val="Aptos Narrow"/>
        <family val="2"/>
        <scheme val="minor"/>
      </rPr>
      <t>)</t>
    </r>
  </si>
  <si>
    <r>
      <t>Pigeon (</t>
    </r>
    <r>
      <rPr>
        <i/>
        <sz val="11"/>
        <color theme="1"/>
        <rFont val="Aptos Narrow"/>
        <family val="2"/>
        <scheme val="minor"/>
      </rPr>
      <t>Columba livia</t>
    </r>
    <r>
      <rPr>
        <sz val="11"/>
        <color theme="1"/>
        <rFont val="Aptos Narrow"/>
        <family val="2"/>
        <scheme val="minor"/>
      </rPr>
      <t>)</t>
    </r>
  </si>
  <si>
    <r>
      <t>Japanese quail (</t>
    </r>
    <r>
      <rPr>
        <i/>
        <sz val="11"/>
        <color theme="1"/>
        <rFont val="Aptos Narrow"/>
        <family val="2"/>
        <scheme val="minor"/>
      </rPr>
      <t>Coturnix coturnix japonica</t>
    </r>
    <r>
      <rPr>
        <sz val="11"/>
        <color theme="1"/>
        <rFont val="Aptos Narrow"/>
        <family val="2"/>
        <scheme val="minor"/>
      </rPr>
      <t>)</t>
    </r>
  </si>
  <si>
    <r>
      <t>Ring-necked pheasant (</t>
    </r>
    <r>
      <rPr>
        <i/>
        <sz val="11"/>
        <color theme="1"/>
        <rFont val="Aptos Narrow"/>
        <family val="2"/>
        <scheme val="minor"/>
      </rPr>
      <t>Phasianus colchicus</t>
    </r>
    <r>
      <rPr>
        <sz val="11"/>
        <color theme="1"/>
        <rFont val="Aptos Narrow"/>
        <family val="2"/>
        <scheme val="minor"/>
      </rPr>
      <t>)</t>
    </r>
  </si>
  <si>
    <r>
      <t>Red-legged partridge (</t>
    </r>
    <r>
      <rPr>
        <i/>
        <sz val="11"/>
        <color theme="1"/>
        <rFont val="Aptos Narrow"/>
        <family val="2"/>
        <scheme val="minor"/>
      </rPr>
      <t>Alectoris rufa</t>
    </r>
    <r>
      <rPr>
        <sz val="11"/>
        <color theme="1"/>
        <rFont val="Aptos Narrow"/>
        <family val="2"/>
        <scheme val="minor"/>
      </rPr>
      <t>)</t>
    </r>
  </si>
  <si>
    <r>
      <t>Green alga (</t>
    </r>
    <r>
      <rPr>
        <i/>
        <sz val="11"/>
        <color theme="1"/>
        <rFont val="Aptos Narrow"/>
        <family val="2"/>
        <scheme val="minor"/>
      </rPr>
      <t>Raphidocelis subcapitata</t>
    </r>
    <r>
      <rPr>
        <sz val="11"/>
        <color theme="1"/>
        <rFont val="Aptos Narrow"/>
        <family val="2"/>
        <scheme val="minor"/>
      </rPr>
      <t>)</t>
    </r>
  </si>
  <si>
    <r>
      <t>Marine diatom (</t>
    </r>
    <r>
      <rPr>
        <i/>
        <sz val="11"/>
        <color theme="1"/>
        <rFont val="Aptos Narrow"/>
        <family val="2"/>
        <scheme val="minor"/>
      </rPr>
      <t>Skeletonema costatum</t>
    </r>
    <r>
      <rPr>
        <sz val="11"/>
        <color theme="1"/>
        <rFont val="Aptos Narrow"/>
        <family val="2"/>
        <scheme val="minor"/>
      </rPr>
      <t>)</t>
    </r>
  </si>
  <si>
    <r>
      <t>Freshwater diatom (</t>
    </r>
    <r>
      <rPr>
        <i/>
        <sz val="11"/>
        <color theme="1"/>
        <rFont val="Aptos Narrow"/>
        <family val="2"/>
        <scheme val="minor"/>
      </rPr>
      <t>Navicula pelliculosa</t>
    </r>
    <r>
      <rPr>
        <sz val="11"/>
        <color theme="1"/>
        <rFont val="Aptos Narrow"/>
        <family val="2"/>
        <scheme val="minor"/>
      </rPr>
      <t>)</t>
    </r>
  </si>
  <si>
    <r>
      <t>Cyanobacterium (</t>
    </r>
    <r>
      <rPr>
        <i/>
        <sz val="11"/>
        <color theme="1"/>
        <rFont val="Aptos Narrow"/>
        <family val="2"/>
        <scheme val="minor"/>
      </rPr>
      <t>Anabaena flos-aquae</t>
    </r>
    <r>
      <rPr>
        <sz val="11"/>
        <color theme="1"/>
        <rFont val="Aptos Narrow"/>
        <family val="2"/>
        <scheme val="minor"/>
      </rPr>
      <t>)</t>
    </r>
  </si>
  <si>
    <r>
      <t>Duckweed (</t>
    </r>
    <r>
      <rPr>
        <i/>
        <sz val="11"/>
        <color theme="1"/>
        <rFont val="Aptos Narrow"/>
        <family val="2"/>
        <scheme val="minor"/>
      </rPr>
      <t>Lemna gibba</t>
    </r>
    <r>
      <rPr>
        <sz val="11"/>
        <color theme="1"/>
        <rFont val="Aptos Narrow"/>
        <family val="2"/>
        <scheme val="minor"/>
      </rPr>
      <t>)</t>
    </r>
  </si>
  <si>
    <r>
      <t>Norway rat (</t>
    </r>
    <r>
      <rPr>
        <i/>
        <sz val="11"/>
        <color theme="1"/>
        <rFont val="Aptos Narrow"/>
        <family val="2"/>
        <scheme val="minor"/>
      </rPr>
      <t>Rattus norvegicus</t>
    </r>
    <r>
      <rPr>
        <sz val="11"/>
        <color theme="1"/>
        <rFont val="Aptos Narrow"/>
        <family val="2"/>
        <scheme val="minor"/>
      </rPr>
      <t>)</t>
    </r>
  </si>
  <si>
    <r>
      <t>Predatory mite (</t>
    </r>
    <r>
      <rPr>
        <i/>
        <sz val="11"/>
        <color theme="1"/>
        <rFont val="Aptos Narrow"/>
        <family val="2"/>
        <scheme val="minor"/>
      </rPr>
      <t>Typhlodromus pyri</t>
    </r>
    <r>
      <rPr>
        <sz val="11"/>
        <color theme="1"/>
        <rFont val="Aptos Narrow"/>
        <family val="2"/>
        <scheme val="minor"/>
      </rPr>
      <t>)</t>
    </r>
  </si>
  <si>
    <r>
      <t>Predatory mite (</t>
    </r>
    <r>
      <rPr>
        <i/>
        <sz val="11"/>
        <color theme="1"/>
        <rFont val="Aptos Narrow"/>
        <family val="2"/>
        <scheme val="minor"/>
      </rPr>
      <t>Hypoaspis aculeifer</t>
    </r>
    <r>
      <rPr>
        <sz val="11"/>
        <color theme="1"/>
        <rFont val="Aptos Narrow"/>
        <family val="2"/>
        <scheme val="minor"/>
      </rPr>
      <t>)</t>
    </r>
  </si>
  <si>
    <r>
      <rPr>
        <b/>
        <sz val="10"/>
        <color rgb="FF000000"/>
        <rFont val="Calibri"/>
        <family val="2"/>
      </rPr>
      <t xml:space="preserve">Vascular
</t>
    </r>
    <r>
      <rPr>
        <sz val="10"/>
        <color rgb="FF000000"/>
        <rFont val="Calibri"/>
        <family val="2"/>
      </rPr>
      <t>(µg a.i./L)</t>
    </r>
  </si>
  <si>
    <t>Use Site Index</t>
  </si>
  <si>
    <t>Use Site Name</t>
  </si>
  <si>
    <t>Scheme Name</t>
  </si>
  <si>
    <t>Scheme/Use Site ID</t>
  </si>
  <si>
    <t>Relative Application Timing</t>
  </si>
  <si>
    <t>Maximum Single Application Rate (lbs a.i./A)</t>
  </si>
  <si>
    <t>Annual Maximum Application Rate (lbs a.i./A)</t>
  </si>
  <si>
    <t>Spray Drift Application Method</t>
  </si>
  <si>
    <t>None</t>
  </si>
  <si>
    <t>Blackberry_5</t>
  </si>
  <si>
    <t>Broccoli_6</t>
  </si>
  <si>
    <t xml:space="preserve"> amt in lb/acre</t>
  </si>
  <si>
    <t>Description</t>
  </si>
  <si>
    <t>days</t>
  </si>
  <si>
    <t>span</t>
  </si>
  <si>
    <t>RunoffMit</t>
  </si>
  <si>
    <t>ErosionMit</t>
  </si>
  <si>
    <t>DriftMit</t>
  </si>
  <si>
    <t>scn dir</t>
  </si>
  <si>
    <t>Crop Group/Subgroup</t>
  </si>
  <si>
    <t>1A</t>
  </si>
  <si>
    <t>1B</t>
  </si>
  <si>
    <t>1C</t>
  </si>
  <si>
    <t>1D</t>
  </si>
  <si>
    <t>3-07A</t>
  </si>
  <si>
    <t>3-07B</t>
  </si>
  <si>
    <t>4-16A</t>
  </si>
  <si>
    <t>4-16B</t>
  </si>
  <si>
    <t>4A</t>
  </si>
  <si>
    <t>4B</t>
  </si>
  <si>
    <t>5A</t>
  </si>
  <si>
    <t>5B</t>
  </si>
  <si>
    <t>6-22</t>
  </si>
  <si>
    <t>6-22A</t>
  </si>
  <si>
    <t>6-22B</t>
  </si>
  <si>
    <t>6-22C</t>
  </si>
  <si>
    <t>6-22D</t>
  </si>
  <si>
    <t>6-22E</t>
  </si>
  <si>
    <t>6-22F</t>
  </si>
  <si>
    <t>6</t>
  </si>
  <si>
    <t>6A</t>
  </si>
  <si>
    <t>6B</t>
  </si>
  <si>
    <t>6C</t>
  </si>
  <si>
    <t>7-22</t>
  </si>
  <si>
    <t>7-22A</t>
  </si>
  <si>
    <t>7</t>
  </si>
  <si>
    <t>7A</t>
  </si>
  <si>
    <t>8-10A</t>
  </si>
  <si>
    <t>8-10B</t>
  </si>
  <si>
    <t>8-10C</t>
  </si>
  <si>
    <t>9</t>
  </si>
  <si>
    <t>9A</t>
  </si>
  <si>
    <t>9B</t>
  </si>
  <si>
    <t>10-10A</t>
  </si>
  <si>
    <t>10-10B</t>
  </si>
  <si>
    <t>10-10C</t>
  </si>
  <si>
    <t>12-12A</t>
  </si>
  <si>
    <t>12-12B</t>
  </si>
  <si>
    <t>12-12C</t>
  </si>
  <si>
    <t>13-07A</t>
  </si>
  <si>
    <t>13-07B</t>
  </si>
  <si>
    <t>13-07C</t>
  </si>
  <si>
    <t>13-07D</t>
  </si>
  <si>
    <t>13-07E</t>
  </si>
  <si>
    <t>13-07F</t>
  </si>
  <si>
    <t>13-07G</t>
  </si>
  <si>
    <t>13-07H</t>
  </si>
  <si>
    <t>13A</t>
  </si>
  <si>
    <t>13B</t>
  </si>
  <si>
    <t>15-22</t>
  </si>
  <si>
    <t>16-22</t>
  </si>
  <si>
    <t>15-22A</t>
  </si>
  <si>
    <t>15-22B</t>
  </si>
  <si>
    <t>15-22C</t>
  </si>
  <si>
    <t>15-22D</t>
  </si>
  <si>
    <t>15-22E</t>
  </si>
  <si>
    <t>15-22F</t>
  </si>
  <si>
    <t>19A</t>
  </si>
  <si>
    <t>19B</t>
  </si>
  <si>
    <t>20A</t>
  </si>
  <si>
    <t>20B</t>
  </si>
  <si>
    <t>20C</t>
  </si>
  <si>
    <t>22</t>
  </si>
  <si>
    <t>22A</t>
  </si>
  <si>
    <t>22B</t>
  </si>
  <si>
    <t>23A</t>
  </si>
  <si>
    <t>23B</t>
  </si>
  <si>
    <t>23C</t>
  </si>
  <si>
    <t>24A</t>
  </si>
  <si>
    <t>24B</t>
  </si>
  <si>
    <t>24C</t>
  </si>
  <si>
    <t>24D</t>
  </si>
  <si>
    <t>24E</t>
  </si>
  <si>
    <t>25</t>
  </si>
  <si>
    <t>25A</t>
  </si>
  <si>
    <t>25B</t>
  </si>
  <si>
    <t>N/A</t>
  </si>
  <si>
    <t>Arracacha (Arracacia xanthorrhiza)</t>
  </si>
  <si>
    <t>Arrowroot (Maranta arundinacea)</t>
  </si>
  <si>
    <t>Artichoke, Chinese (Stachys affinis)</t>
  </si>
  <si>
    <t>Artichoke, Jerusalem (Helianthus tuberosus)</t>
  </si>
  <si>
    <t>Beet, garden (Beta vulgaris)</t>
  </si>
  <si>
    <t>Beet, Sugar, Seed</t>
  </si>
  <si>
    <t>Burdock, edible (Arctium lappa)</t>
  </si>
  <si>
    <t>Canna, edible (Queensland arrowroot) (Canna indica)</t>
  </si>
  <si>
    <t>Carrot (Daucus carota)</t>
  </si>
  <si>
    <t>Cassava, bitter and sweet (Manihot esculenta)</t>
  </si>
  <si>
    <t>Celeriac (celery root) (Apium graveolens var. rapaceum)</t>
  </si>
  <si>
    <t>Chayote (root) (Sechium edule)</t>
  </si>
  <si>
    <t>Chervil, turnip-rooted (Chaerophyllum bulbosum).</t>
  </si>
  <si>
    <t>Chicory (Cichorium intybus)</t>
  </si>
  <si>
    <t>Chufa (Cyperus esculentus)</t>
  </si>
  <si>
    <t>Dasheen (taro) (Colocasia esculenta)</t>
  </si>
  <si>
    <t>Ginger (Zingiber officinale)</t>
  </si>
  <si>
    <t>Ginseng (Panax quinquefolius)</t>
  </si>
  <si>
    <t>Horseradish (Armoracia rusticana)</t>
  </si>
  <si>
    <t>Leren (Calathea allouia)</t>
  </si>
  <si>
    <t>Parsley, turnip-rooted (Petroselinum crispum var. tuberosum)</t>
  </si>
  <si>
    <t>Parsnip (Pastinaca sativa)</t>
  </si>
  <si>
    <t>Potato (Solanum tuberosum)</t>
  </si>
  <si>
    <t>Radish (Raphanus sativus)</t>
  </si>
  <si>
    <t>Radish, oriental (daikon) (Raphanus sativus subvar. longipinnatus)</t>
  </si>
  <si>
    <t>Rutabaga (Brassica campestris var. napobrassica)</t>
  </si>
  <si>
    <t>Salsify (oyster plant) (Tragopogon porrifolius).</t>
  </si>
  <si>
    <t>Salsify, black (Scorzonera hispanica)</t>
  </si>
  <si>
    <t>Salsify, Spanish (Scolymus hispanicus)</t>
  </si>
  <si>
    <t>Skirret (Sium sisarum)</t>
  </si>
  <si>
    <t>Sweet potato (Ipomoea batatas)</t>
  </si>
  <si>
    <t>Tanier (cocoyam) (Xanthosoma sagittifolium)</t>
  </si>
  <si>
    <t>Turmeric (Curcuma longa)</t>
  </si>
  <si>
    <t>Turnip (Brassica rapa var. rapa)</t>
  </si>
  <si>
    <t>Yam bean (jicama, manoic pea) (Pachyrhizus spp.)</t>
  </si>
  <si>
    <t>Yam, true (Dioscorea spp.)</t>
  </si>
  <si>
    <t>Beet, garden</t>
  </si>
  <si>
    <t>Chervil, Turnip-Rooted</t>
  </si>
  <si>
    <t>Parsley, Turnip-Rooted</t>
  </si>
  <si>
    <t>Radish, Oriental</t>
  </si>
  <si>
    <t>Salsify, Black</t>
  </si>
  <si>
    <t>Salsify, Spanish</t>
  </si>
  <si>
    <t>Cassava, Bitter And Sweet</t>
  </si>
  <si>
    <t>Dasheen</t>
  </si>
  <si>
    <t>Chive, fresh leaves (Allium schoenoprasum L.)</t>
  </si>
  <si>
    <t>Chive, Chinese, fresh leaves (Allium tuberosum Rottler ex Spreng)</t>
  </si>
  <si>
    <t>Elegans hosta (Hosta Sieboldiana (Hook.) Engl)</t>
  </si>
  <si>
    <t>Fritillaria, bulb (Fritillaria L. fritillary)</t>
  </si>
  <si>
    <t>Fritillaria, leaves (Fritillaria L. fritillary)</t>
  </si>
  <si>
    <t>Garlic, great headed, bulb (Allium ampeloprasum L. var. ampeloprasum) (A. ampeloprasum Great Headed Garlic Group)</t>
  </si>
  <si>
    <t>Garlic, Serpent, bulb (Allium sativum var. ophioscorodon or A. sativum Ophioscorodon Group)</t>
  </si>
  <si>
    <t>Kurrat (Allium kurrat Schweinf. Ex. K. Krause or A. ampeloprasum Kurrat Group)</t>
  </si>
  <si>
    <t>Lady's leek (Allium cernuum Roth)</t>
  </si>
  <si>
    <t>Leek Allium porrum L. (syn: A. ampeloprasum L. var. porrum (L.) J. Gay) (A.ampeloprasum Leek Group)</t>
  </si>
  <si>
    <t>Leek, wild (Allium tricoccum Aiton)</t>
  </si>
  <si>
    <t>Onion, Beltsville bunching (Allium x proliferum (Moench) Schrad.) (syn: Allium fistulosum L. x A. cepa L.)</t>
  </si>
  <si>
    <t>Onion, bulb (Allium cepa L. var. cepa) (A. cepa Common Onion Group)</t>
  </si>
  <si>
    <t>Onion, Chinese, bulb (Allium chinense G. Don.) (syn: A. bakeri Regel)</t>
  </si>
  <si>
    <t>Onion, fresh (Allium fistulosum L. var. caespitosum Makino)</t>
  </si>
  <si>
    <t>Onion, green (Allium cepa L. var. cepa) (A. cepa Common Onion Group)</t>
  </si>
  <si>
    <t>Onion, macrostem (Allium macrostemom Bunge)</t>
  </si>
  <si>
    <t>Onion, pearl (Allium porrum var. sectivum or A. ampeloprasum Pearl Onion Group)</t>
  </si>
  <si>
    <t>Onion, potato, bulb (Allium cepa L. var. aggregatum G. Don.) (A. cepa Aggregatum Group)</t>
  </si>
  <si>
    <t>Onion, tree, tops (Allium x proliferum (Moench) Schrad. ex Willd.) (syn: A. cepa var. proliferum (Moench) Regel; A. cepa L. var. bulbiferum L.H. Bailey; A. cepa L. var. viviparum (Metz.) Alef.)</t>
  </si>
  <si>
    <t>Onion, Welsh, tops (Allium fistulosum L.)</t>
  </si>
  <si>
    <t>Shallot, bulb (Allium cepa var. aggregatum G. Don.)</t>
  </si>
  <si>
    <t>Shallot, fresh leaves (Allium cepa var. aggregatum G. Don.)</t>
  </si>
  <si>
    <t>Garlic, Great-Headed, Bulb</t>
  </si>
  <si>
    <t>Garlic, Serpent, Bulb</t>
  </si>
  <si>
    <t>Onion, Bulb</t>
  </si>
  <si>
    <t>Onion, Chinese, Bulb</t>
  </si>
  <si>
    <t>Onion, Pearl</t>
  </si>
  <si>
    <t>Onion, Potato, Bulb</t>
  </si>
  <si>
    <t>Shallot, Bulb</t>
  </si>
  <si>
    <t>Chive, Chinese, Fresh Leaves</t>
  </si>
  <si>
    <t>Fritillaria, Leaves</t>
  </si>
  <si>
    <t>Lady'S Leek</t>
  </si>
  <si>
    <t>Leek, Wild</t>
  </si>
  <si>
    <t>Onion, Beltsville Bunching</t>
  </si>
  <si>
    <t>Onion, Fresh</t>
  </si>
  <si>
    <t>Onion, Green</t>
  </si>
  <si>
    <t>Onion, Macrostem</t>
  </si>
  <si>
    <t>Onion, Tree, Tops</t>
  </si>
  <si>
    <t>Onion, Welsh, Tops</t>
  </si>
  <si>
    <t>Shallot, Fresh Leaves</t>
  </si>
  <si>
    <t xml:space="preserve">Garlic, great headed, (elephant) </t>
  </si>
  <si>
    <t>Onion, dry bulb and green</t>
  </si>
  <si>
    <t>Onion, Welsh</t>
  </si>
  <si>
    <t>Shallot</t>
  </si>
  <si>
    <t>Amaranth, Chinese (Amaranthus tricolor L.)</t>
  </si>
  <si>
    <t>Amaranth, leafy (Amaranthus spp.)</t>
  </si>
  <si>
    <t>Arugula (Eruca sativa Mill.)</t>
  </si>
  <si>
    <t>Aster, Indian (Kalimeris indica (L.) Sch. Bip.)</t>
  </si>
  <si>
    <t>Blackjack (Bidens pilosa L.)</t>
  </si>
  <si>
    <t>Broccoli, Chinese (Brassica oleracea var. alboglabra (L.H. Bailey) Musil)</t>
  </si>
  <si>
    <t>Broccoli raab (Brassica ruvo L.H. Bailey)</t>
  </si>
  <si>
    <t>Cabbage, abyssinian (Brassica carinata A. Braun)</t>
  </si>
  <si>
    <t>Cabbage, Chinese, bok choy (Brassica rapa subsp. chinensis (L.) Hanelt)</t>
  </si>
  <si>
    <t>Cabbage, seakale (Brassica oleracea L. var. costata DC.)</t>
  </si>
  <si>
    <t>Cat's whiskers (Cleome gynandra L.)</t>
  </si>
  <si>
    <t>Cham-chwi (Doellingeria scabra (Thunb.) Nees)</t>
  </si>
  <si>
    <t>Cham-na-mul (Pimpinella calycina Maxim)</t>
  </si>
  <si>
    <t>Chervil, fresh leaves (Anthriscus cerefolium (L.) Hoffm.)</t>
  </si>
  <si>
    <t>Chipilin (Crotalaria longirostrata Hook &amp; Arn)</t>
  </si>
  <si>
    <t>Chrysanthemum, garland (Glebionis coronaria (L.) Cass. ex Spach. Glebionis spp.)</t>
  </si>
  <si>
    <t>Cilantro, fresh leaves (Coriandrum sativum L.)</t>
  </si>
  <si>
    <t>Collards (Brassica oleracea L. var. viridis L.)</t>
  </si>
  <si>
    <t>Corn salad (Valerianella spp.)</t>
  </si>
  <si>
    <t>Cosmos (Cosmos caudatus Kunth)</t>
  </si>
  <si>
    <t>Cress, garden (Lepidium sativum L.)</t>
  </si>
  <si>
    <t>Cress, upland (Barbarea vulgaris W.T. Aiton)</t>
  </si>
  <si>
    <t>Dandelion, leaves (Taraxacum officinale F.H. Wigg. Aggr.)</t>
  </si>
  <si>
    <t>Dang-gwi, leaves (Angelica gigas Nakai)</t>
  </si>
  <si>
    <t>Dillweed (Anethum graveolens L.)</t>
  </si>
  <si>
    <t>Dock (Rumex patientia L.)</t>
  </si>
  <si>
    <t>Dol-nam-mul (Sedum sarmentosum Bunge)</t>
  </si>
  <si>
    <t>Ebolo (Crassocephalum crepidioides (Benth.) S. Moore)</t>
  </si>
  <si>
    <t>Endive (Cichorium endivia L.)</t>
  </si>
  <si>
    <t>Escarole (Cichorium endivia L.)</t>
  </si>
  <si>
    <t>Fameflower (Talinum fruticosum (L.) Juss.)</t>
  </si>
  <si>
    <t>Feather cockscomb (Glinus oppositifolius (L.) Aug. DC.)</t>
  </si>
  <si>
    <t>Good King Henry (Chenopodium bonus-henricus L.)</t>
  </si>
  <si>
    <t>Hanover salad (Brassica napus var. pabularia (DC.) Rchb.)</t>
  </si>
  <si>
    <t>Huauzontle (Chenopodium berlandieri Moq.)</t>
  </si>
  <si>
    <t>Jute, leaves (Corchorus spp.)</t>
  </si>
  <si>
    <t>Kale (Brassica oleracea L. var. Sabellica L.)</t>
  </si>
  <si>
    <t>Lettuce, bitter (Launaea cornuta (Hochst. ex Oliv. &amp; Hiern) C. Jeffrey)</t>
  </si>
  <si>
    <t>Lettuce, head (Lactuca sativa L.; including Lactuca sativa var. capitata L.)</t>
  </si>
  <si>
    <t>Lettuce, leaf (Lactuca sativa L.; including Lactuca sativa var. longifolia Lam.; Lactuca sativa var. crispa L.)</t>
  </si>
  <si>
    <t>Maca, leaves (Lepidium meyenii Walp.)</t>
  </si>
  <si>
    <t>Mizuna (Brassica rapa L. subsp. nipposinica (L.H. Bailey) Hanelt)</t>
  </si>
  <si>
    <t>Mustard greens (Brassica juncea subsp., including Brassica juncea (L.) Czern. subsp. integrifolia (H. West) Thell., Brassica juncea (L.) Czern. var. tsatsai (T.L. Mao) Gladis)</t>
  </si>
  <si>
    <t>Orach (Atriplex hortensis L.)</t>
  </si>
  <si>
    <t>Parsley, fresh leaves (Petroselinum crispum (Mill.) Fuss; Petroselinum crispum var. neapolitanum Danert)</t>
  </si>
  <si>
    <t>Plantain, buckthorn (Plantago lanceolata L.)</t>
  </si>
  <si>
    <t>Primrose, English (Primula vulgaris Huds.)</t>
  </si>
  <si>
    <t>Purslane, garden (Portulaca oleracea L.)</t>
  </si>
  <si>
    <t>Purslane, winter (Claytonia perfoliata Donn ex Willd.)</t>
  </si>
  <si>
    <t>Radicchio (Cichorium intybus L.)</t>
  </si>
  <si>
    <t>Radish, leaves (Raphanus sativus L. var sativus, including Raphanus sativus L. var. mougri H. W. J. Helm (Raphanus sativus L. var. oleiformis Pers)</t>
  </si>
  <si>
    <t>Rape greens (Brassica napus L. var. napus, including Brassica rapa subsp. trilocularis (Roxb.) Hanelt; Brassica rapa subsp. dichotoma (Roxb.) Hanelt; Brassica rapa subsp. oleifera Met)</t>
  </si>
  <si>
    <t>Rocket, wild (Diplotaxis tenuifolia (L.) DC.)</t>
  </si>
  <si>
    <t>Shepherd's purse (Capsella bursa-pastoris (L.) Medik)</t>
  </si>
  <si>
    <t>Spinach (Spinacia oleracea L.)</t>
  </si>
  <si>
    <t>Spinach, Malabar (Basella alba L.)</t>
  </si>
  <si>
    <t>Spinach, New Zealand (Tetragonia tetragonioides (Pall.) Kuntze)</t>
  </si>
  <si>
    <t>Spinach, tanier (Xanthosoma brasiliense (Desf.) Engl.)</t>
  </si>
  <si>
    <t>Swiss chard (Beta vulgaris L. ssp. vulgaris)</t>
  </si>
  <si>
    <t>Turnip greens (Brassica rapa L. ssp. rapa)</t>
  </si>
  <si>
    <t>Violet, Chinese, leaves (Asystasia gangetica (L.) T. Anderson)</t>
  </si>
  <si>
    <t>Watercress (Nasturtium officinale W.T. Aiton)</t>
  </si>
  <si>
    <t>Amaranth, Chinese</t>
  </si>
  <si>
    <t>Amaranth, Leafy</t>
  </si>
  <si>
    <t>Aster, Indian</t>
  </si>
  <si>
    <t>Cat'S Whiskers</t>
  </si>
  <si>
    <t>Cham-Na-Mul</t>
  </si>
  <si>
    <t>Chervil, Fresh Leaves</t>
  </si>
  <si>
    <t>Chrysanthemum, Garland</t>
  </si>
  <si>
    <t>Cilantro, Fresh Leaves</t>
  </si>
  <si>
    <t>Dandelion, Leaves</t>
  </si>
  <si>
    <t>Dang-Gwi, Leaves</t>
  </si>
  <si>
    <t>Dock</t>
  </si>
  <si>
    <t>Dol-Nam-Mul</t>
  </si>
  <si>
    <t>Endive</t>
  </si>
  <si>
    <t>Escarole</t>
  </si>
  <si>
    <t>Jute, Leaves</t>
  </si>
  <si>
    <t>Lettuce, Romaine</t>
  </si>
  <si>
    <t>Parsley, Fresh Leaves</t>
  </si>
  <si>
    <t>Plantain, Buckhorn</t>
  </si>
  <si>
    <t>Primrose, English</t>
  </si>
  <si>
    <t>Purslane, Garden</t>
  </si>
  <si>
    <t>Purslane, Winter</t>
  </si>
  <si>
    <t>Radicchio</t>
  </si>
  <si>
    <t>Spinach, Malabar</t>
  </si>
  <si>
    <t>Spinach, Tanier</t>
  </si>
  <si>
    <t>Violet, Chinese, Leaves</t>
  </si>
  <si>
    <t>Arugula</t>
  </si>
  <si>
    <t>Cabbage, Abyssinian</t>
  </si>
  <si>
    <t>Cabbage, Seakale</t>
  </si>
  <si>
    <t>Cress, Garden</t>
  </si>
  <si>
    <t>Cress, Upland</t>
  </si>
  <si>
    <t>Maca, Leaves</t>
  </si>
  <si>
    <t>Radish, Leaves</t>
  </si>
  <si>
    <t>Rocket, Wild</t>
  </si>
  <si>
    <t>Amaranth (leafy amaranth, Chinese spinach, tampala) (Amaranthus spp.)</t>
  </si>
  <si>
    <t>Arugula (Roquette) (Eruca sativa)</t>
  </si>
  <si>
    <t>Cardoon (Cynara cardunculus)</t>
  </si>
  <si>
    <t>Celery (Apium graveolens var. dulce)</t>
  </si>
  <si>
    <t>Celery, Chinese (Apium graveolens var. secalinum)</t>
  </si>
  <si>
    <t>Celtuce (Lactuca sativa var. angustana)</t>
  </si>
  <si>
    <t>Chervil (Anthriscus cerefolium)</t>
  </si>
  <si>
    <t>Chrysanthemum, edible-leaved (Chrysanthemum coronarium var. coronarium)</t>
  </si>
  <si>
    <t>Chrysanthemum, garland (Chrysanthemum coronarium var. spatiosum)</t>
  </si>
  <si>
    <t>Corn salad (Valerianella locusta)</t>
  </si>
  <si>
    <t>Cress, garden (Lepidium sativum)</t>
  </si>
  <si>
    <t>Cress, upland (yellow rocket, winter cress) (Barbarea vulgaris)</t>
  </si>
  <si>
    <t>Dandelion (Taraxacum officinale)</t>
  </si>
  <si>
    <t>Dock (sorrel) (Rumex spp.)</t>
  </si>
  <si>
    <t>Endive (escarole) (Cichorium endivia)</t>
  </si>
  <si>
    <t>Fennel, Florence (finochio) (Foeniculum vulgare Azoricum Group)</t>
  </si>
  <si>
    <t>Lettuce, head and leaf (Lactuca sativa)</t>
  </si>
  <si>
    <t>Orach (Atriplex hortensis)</t>
  </si>
  <si>
    <t>Parsley (Petroselinum crispum)</t>
  </si>
  <si>
    <t>Purslane, garden (Portulaca oleracea)</t>
  </si>
  <si>
    <t>Purslane, winter (Montia perfoliata)</t>
  </si>
  <si>
    <t>Radicchio (red chicory) (Cichorium intybus)</t>
  </si>
  <si>
    <t>Rhubarb (Rheum rhabarbarum)</t>
  </si>
  <si>
    <t>Spinach (Spinacia oleracea)</t>
  </si>
  <si>
    <t>Spinach, New Zealand (Tetragonia tetragonioides, T. expansa)</t>
  </si>
  <si>
    <t>Spinach, vine (Malabar spinach, Indian spinach) (Basella alba)</t>
  </si>
  <si>
    <t>Swiss chard (Beta vulgaris var. cicla)</t>
  </si>
  <si>
    <t>Chrysanthemum, Edible-Leaved</t>
  </si>
  <si>
    <t>Spinach, New Zealand</t>
  </si>
  <si>
    <t>Spinach, Vine</t>
  </si>
  <si>
    <t>Celery, Chinese</t>
  </si>
  <si>
    <t>Fennel, Florence</t>
  </si>
  <si>
    <t>Broccoli (Brassica oleracea var. botrytis)</t>
  </si>
  <si>
    <t>Broccoli, Chinese (gai lon) (Brassica alboglabra)</t>
  </si>
  <si>
    <t>Broccoli raab (rapini) (Brassica campestris)</t>
  </si>
  <si>
    <t>Brussels sprouts (Brassica oleracea var. gemmifera)</t>
  </si>
  <si>
    <t>Cabbage (Brassica oleracea)</t>
  </si>
  <si>
    <t>Cabbage, Chinese (bok choy) (Brassica chinensis)</t>
  </si>
  <si>
    <t>Cabbage, Chinese (napa) (Brassica pekinensis)</t>
  </si>
  <si>
    <t>Cabbage, Chinese mustard (gai choy) (Brassica campestris)</t>
  </si>
  <si>
    <t>Cauliflower (Brassica oleracea var. botrytis)</t>
  </si>
  <si>
    <t>Cavalo broccolo (Brassica oleracea var. botrytis)</t>
  </si>
  <si>
    <t>Collards (Brassica oleracea var. acephala)</t>
  </si>
  <si>
    <t>Kale (Brassica oleracea var. acephala)</t>
  </si>
  <si>
    <t>Kohlrabi (Brassica oleracea var. gongylodes)</t>
  </si>
  <si>
    <t>Mizuna (Brassica rapa Japonica Group)</t>
  </si>
  <si>
    <t>Mustard greens (Brassica juncea)</t>
  </si>
  <si>
    <t>Mustard spinach (Brassica rapa Perviridis Group)</t>
  </si>
  <si>
    <t>Rape greens (Brassica napus)</t>
  </si>
  <si>
    <t>6-22: Legume Vegetable Group</t>
  </si>
  <si>
    <t>African yam bean, dry seed, Sphenostylis stenocarpa (Hochst. ex A. Rich.) Harms</t>
  </si>
  <si>
    <t>American potato bean, dry seed, Apios americana Medik</t>
  </si>
  <si>
    <t>Bean (Lupinus spp.), succulent shelled (including, but not limited to Andean lupin, blue lupin, grain lupin, sweet lupin, white lupin, white sweet lupin, and yellow lupin)</t>
  </si>
  <si>
    <t>Bean (Lupinus spp.), dry seed (including, but not limited to Andean lupin, blue lupin, grain lupin, sweet lupin, white lupin, white sweet lupin, and yellow lupin)</t>
  </si>
  <si>
    <t>Bean (Phaseolus spp.), edible podded (including, but not limited to French bean, garden bean, green bean, kidney bean, navy bean, scarlet runner bean, snap bean, and wax bean)</t>
  </si>
  <si>
    <t>Bean (Phaseolus spp.), succulent shelled (including, but not limited to lima bean, scarlet runner bean, and wax bean)</t>
  </si>
  <si>
    <t>Bean (Phaseolus spp.), dry seed (including, but not limited to black bean, cranberry bean, dry bean, field bean, French bean, garden bean, great northern bean, green bean, kidney bean, lima bean, navy bean, pink bean, pinto bean, red bean, scarlet runner bean, tepary bean, and yellow bean)</t>
  </si>
  <si>
    <t>Bean (Vigna spp.), edible podded (including, but not limited to asparagus bean, catjang bean, Chinese longbean, cowpea, moth bean, mung bean, rice bean, urd bean, and yardlong bean)</t>
  </si>
  <si>
    <t>Bean (Vigna spp.), succulent shelled (including, but not limited to blackeyed pea, catjang bean, cowpea, crowder pea, moth bean, and southern pea)</t>
  </si>
  <si>
    <t>Bean (Vigna spp.), dry seed (including, but not limited to adzuki bean, asparagus bean, blackeyed pea, catjang bean, Chinese longbean, cowpea, crowder pea, moth bean, mung bean, rice bean, southern pea, urd bean, and yardlong bean)</t>
  </si>
  <si>
    <t>Broad bean (fava bean), succulent shelled, Vicia faba L. subsp. faba var. faba</t>
  </si>
  <si>
    <t>Broad bean (fava bean), dry seed, Vicia faba L. subsp. faba var. faba</t>
  </si>
  <si>
    <t>Chickpea (garbanzo), edible podded, Cicer arietinum L</t>
  </si>
  <si>
    <t>Chickpea (garbanzo), succulent shelled, Cicer arietinum L</t>
  </si>
  <si>
    <t>Chickpea (garbanzo), dry seed, Cicer arietinum L</t>
  </si>
  <si>
    <t>Goa bean, edible podded (asparagus pea and winged bean), Psophocarpus tetragonolobus (L.) DC</t>
  </si>
  <si>
    <t>Goa bean, succulent shelled (asparagus pea and winged bean), Psophocarpus tetragonolobus (L.) DC</t>
  </si>
  <si>
    <t>Goa bean, dry seed (asparagus pea and winged bean), Psophocarpus tetragonolobus (L.) DC</t>
  </si>
  <si>
    <t>Grass pea, edible podded, Lathyrus sativus L</t>
  </si>
  <si>
    <t>Grass pea, dry seed, Lathyrus sativus L</t>
  </si>
  <si>
    <t>Guar bean, edible podded, Cyamopsis tetragonoloba (L.) Taub</t>
  </si>
  <si>
    <t>Guar bean, dry seed, Cyamopsis tetragonoloba (L.) Taub</t>
  </si>
  <si>
    <t>Horse gram, dry seed, Macrotyloma uniflorum (Lam.) Verdc</t>
  </si>
  <si>
    <t>Jackbean, edible podded, Canavalia ensiformis (L.) DC</t>
  </si>
  <si>
    <t>Jackbean, succulent shelled, Canavalia ensiformis (L.) DC</t>
  </si>
  <si>
    <t>Jackbean, dry seed, Canavalia ensiformis (L.) DC</t>
  </si>
  <si>
    <t>Lablab bean (hyacinth bean), edible podded, Lablab purpureus (L.) Sweet subsp. purpureus</t>
  </si>
  <si>
    <t>Lablab bean (hyacinth bean), succulent shelled, Lablab purpureus (L.) Sweet subsp. purpureus</t>
  </si>
  <si>
    <t>Lablab bean (hyacinth bean), dry seed, Lablab purpureus (L.) Sweet subsp. Purpureus</t>
  </si>
  <si>
    <t>Lentil, edible podded, Lens culinaris Medik. subsp. culinaris</t>
  </si>
  <si>
    <t>Lentil, succulent shelled, Lens culinaris Medik. subsp. culinaris</t>
  </si>
  <si>
    <t>Lentil, dry seed, Lens culinaris Medik. subsp. culinaris</t>
  </si>
  <si>
    <t>Morama bean, dry seed, Tylosema esculentum (Burch.) A. Schreib</t>
  </si>
  <si>
    <t>Pea (Pisum spp.), edible podded (including, but not limited to dwarf pea, green pea, snap pea, snow pea, and sugar snap pea)</t>
  </si>
  <si>
    <t>Pea (Pisum spp.), succulent shelled (including, but not limited to, English pea, garden pea, and green pea)</t>
  </si>
  <si>
    <t>Pea (Pisum spp.), dry seed (including, but not limited to dry pea, field pea, garden pea, yellow pea, wrinkled pea, marrowfat pea, and green pea)</t>
  </si>
  <si>
    <t>Pigeon pea, edible podded, Cajanus cajan (L.) Huth</t>
  </si>
  <si>
    <t>Pigeon pea, succulent shelled, Cajanus cajan (L.) Huth</t>
  </si>
  <si>
    <t>Pigeon pea, dry seed, Cajanus cajan (L.) Huth</t>
  </si>
  <si>
    <t>Soybean, seed, Glycine max (L.) Merr</t>
  </si>
  <si>
    <t>Sword bean, edible podded, Canavalia gladiata (Jacq.) DC</t>
  </si>
  <si>
    <t>Sword bean, dry seed, Canavalia gladiata (Jacq.) DC</t>
  </si>
  <si>
    <t>Vegetable soybean, edible podded (edamame), Glycine max (L.) Merr</t>
  </si>
  <si>
    <t>Vegetable soybean, succulent shelled (edamame), Glycine max (L.) Merr</t>
  </si>
  <si>
    <t>Velvetbean, edible podded, Mucuna pruriens (L.) DC</t>
  </si>
  <si>
    <t>Velvetbean, succulent shelled, Mucuna pruriens (L.) DC</t>
  </si>
  <si>
    <t>Velvetbean, dry seed, Mucuna pruriens (L.) DC</t>
  </si>
  <si>
    <t>Winged pea, edible podded, Lotus tetragonolobus L</t>
  </si>
  <si>
    <t>Winged pea, dry seed, Lotus tetragonolobus L</t>
  </si>
  <si>
    <t>6-22A. Edible-podded bean subgroup</t>
  </si>
  <si>
    <t>Bean (Phaseolus Spp. Including, But Not Limited To French Bean, Garden Bean, Green Bean, Kidney Bean, Navy Bean, Scarlet Runner Bean, Snap Bean, And Wax Bean)</t>
  </si>
  <si>
    <t>Bean (Vigna Spp. Including, But Not Limited To Asparagus Bean, Catjang Bean, Chinese Longbean, Cowpea, Moth Bean, Mung Bean, Rice Bean, Urd Bean, And Yardlong Bean)</t>
  </si>
  <si>
    <t>Goa Bean</t>
  </si>
  <si>
    <t>Guar Bean</t>
  </si>
  <si>
    <t>Lablab Bean</t>
  </si>
  <si>
    <t>Vegetable Soybean (Edamame)</t>
  </si>
  <si>
    <t>Sword Bean</t>
  </si>
  <si>
    <t>Winged Pea</t>
  </si>
  <si>
    <t>Velvetbean</t>
  </si>
  <si>
    <t>6-22B. Edible podded pea subgroup</t>
  </si>
  <si>
    <t>Pea (Pisum Spp. Including, But Not Limited To Dwarf Pea, Green Pea, Snap Pea, Snow Pea, And Sugar Snap Pea)</t>
  </si>
  <si>
    <t>Grass Pea</t>
  </si>
  <si>
    <t>Pigeon Pea</t>
  </si>
  <si>
    <t>6-22C. Succulent shelled bean subgroup</t>
  </si>
  <si>
    <t>Bean (Phaseolus Spp. Including, But Not Limited To Lima Bean, Scarlet Runner Bean, And Wax Bean)</t>
  </si>
  <si>
    <t>Bean (Vigna Spp. Including, But Not Limited To Blackeyed Pea, Catjang Bean, Cowpea, Crowder Pea, Moth Bean, And Southern Pea)</t>
  </si>
  <si>
    <t>Bean (Lupinus Spp. Including, But Not Limited To Andean Lupin, Blue Lupin, Grain Lupin, Sweet Lupin, White Lupin, White Sweet Lupin, And Yellow Lupin)</t>
  </si>
  <si>
    <t>Broad Bean (Fava Bean)</t>
  </si>
  <si>
    <t>6-22D. Succulent shelled pea subgroup</t>
  </si>
  <si>
    <t>Pea (Pisum Spp. Including, But Not Limited To English Pea, Garden Pea, And Green Pea)</t>
  </si>
  <si>
    <t>6-22E. Puses, dried shelled bean, except soybean, subgroup</t>
  </si>
  <si>
    <t>African Yam Bean</t>
  </si>
  <si>
    <t>American Potato Bean</t>
  </si>
  <si>
    <t>Bean (Phaseolus Spp. Including, But Not Limited To Black Bean, Cranberry Bean, Dry Bean, Field Bean, French Bean, Garden Bean, Great Northern Bean, Green Bean, Kidney Bean, Lima Bean, Navy Bean, Pink Bean, Pinto Bean, Red Bean, Scarlet Runner Bean, Tepary Bean, And Yellow Bean)</t>
  </si>
  <si>
    <t>Bean (Vigna Spp. Including, But Not Limited To Adzuki Bean, Asparagus Bean, Blackeyed Pea, Catjang Bean, Chinese Longbean, Cowpea, Crowder Pea, Moth Bean, Mung Bean, Rice Bean, Southern Pea, Urd Bean, And Yardlong Bean)</t>
  </si>
  <si>
    <t>Horse Gram</t>
  </si>
  <si>
    <t>Morama Bean</t>
  </si>
  <si>
    <t>6-22F. Pulses, dried shelled pea subgroup</t>
  </si>
  <si>
    <t>Pea (Pisum spp. including, but not limited to dry pea, field pea, green pea, yellow pea, wrinkled pea, marrowfat pea, and garden pea)</t>
  </si>
  <si>
    <t>Bean (Lupinus spp.) (includes grain lupin, sweet lupin, white lupin, and white sweet lupin)</t>
  </si>
  <si>
    <t>Bean (Phaseolus spp.) (includes field bean, kidney bean, lima bean, navy bean, pinto bean, runner bean, snap bean, tepary bean, wax bean)</t>
  </si>
  <si>
    <t>Bean (Vigna spp.) (includes adzuki bean, asparagus bean, blackeyed pea, catjang, Chinese longbean, cowpea, Crowder pea, moth bean, mung bean, rice bean, southern pea, urd bean, yardlong bean)</t>
  </si>
  <si>
    <t>Broad bean (fava bean) (Vicia faba)</t>
  </si>
  <si>
    <t>Chickpea (garbanzo bean) (Cicer arietinum)</t>
  </si>
  <si>
    <t>Guar (Cyamopsis tetragonoloba)</t>
  </si>
  <si>
    <t>Jackbean (Canavalia ensiformis)</t>
  </si>
  <si>
    <t>Lablab bean (hyacinth bean) (Lablab purpureus)</t>
  </si>
  <si>
    <t>Lentil (Lens esculenta)</t>
  </si>
  <si>
    <t>Pea (Pisum spp.) (includes dwarf pea, edible-pod pea, En glish pea, field pea, garden pea, green pea, snow pea, sugar snap pea)</t>
  </si>
  <si>
    <t>Pigeon pea (Cajanus cajan)</t>
  </si>
  <si>
    <t>Soybean (Glycine max)</t>
  </si>
  <si>
    <t>Soybean (immature seed) (Glycine max)</t>
  </si>
  <si>
    <t>Sword bean (Canavalia gladiata)</t>
  </si>
  <si>
    <t>Bean (Phaseolus Spp.) (Includes Runner Bean, Snap Bean, Wax Bean)</t>
  </si>
  <si>
    <t>Bean (Vigna Spp.) (Includes Asparagus Bean, Chinese Longbean, Moth Bean, Yardlong Bean)</t>
  </si>
  <si>
    <t>Pea (Pisum Spp.) (Includes Dwarf Pea, Edible-Pod Pea, Snow Pea, Sugar Snap Pea)</t>
  </si>
  <si>
    <t xml:space="preserve">Soybean (immature seed) </t>
  </si>
  <si>
    <t>Bean (Phaseolus Spp.) (Includes Lima Bean (Green))</t>
  </si>
  <si>
    <t>Broad Bean (Succulent)</t>
  </si>
  <si>
    <t>Bean (Vigna Spp.) (Includes Blackeyed Pea, Cowpea, Southern Pea)</t>
  </si>
  <si>
    <t>Pea (Pisum Spp.) (Includes English Pea, Garden Pea, Green Pea)</t>
  </si>
  <si>
    <t>(Phaseolus Spp.) (Includes Field Bean, Kidney Bean, Lima Bean (Dry), Navy Bean, Pinto Bean</t>
  </si>
  <si>
    <t>Tepary Bean</t>
  </si>
  <si>
    <t>Bean (Vigna Spp.) (Includes Adzuki Bean, Blackeyed Pea, Catjang, Cowpea, Crowder Pea, Moth Bean, Mung Bean, Rice Bean, Southern Pea, Urd Bean)</t>
  </si>
  <si>
    <t>Pea (Pisum Spp.) (Includes Field Pea)</t>
  </si>
  <si>
    <t>7-22: Forage and Hay for Legume Vegetable Group</t>
  </si>
  <si>
    <t>7-22: Forage and hay of legume vegetables (except soybeans) subgroup</t>
  </si>
  <si>
    <t>Bean (Phaseolus spp.)</t>
  </si>
  <si>
    <t>Field Pea (Pisum spp.)</t>
  </si>
  <si>
    <t>African eggplant, Solanum macrocarpon L</t>
  </si>
  <si>
    <t>Bush tomato, Solanum centrale J.M. Black</t>
  </si>
  <si>
    <t>Cocona, Solanum sessiliflorum Dunal</t>
  </si>
  <si>
    <t>Currant tomato, Lycopersicon pimpinellifolium L</t>
  </si>
  <si>
    <t>Eggplant, Solanum melongena L</t>
  </si>
  <si>
    <t>Garden huckleberry, Solanum scabrum Mill</t>
  </si>
  <si>
    <t>Goji berry, Lycium barbarum L</t>
  </si>
  <si>
    <t>Groundcherry, Physalis alkekengi L., P. grisea (Waterf.) M. Martinez, P. peruviana L., P. pubescens L</t>
  </si>
  <si>
    <t>Martynia, Proboscidea louisianica (Mill.) Thell</t>
  </si>
  <si>
    <t>Naranjilla, Solanum quitoense Lam</t>
  </si>
  <si>
    <t>Okra, Abelmoschus esculentus (L.) Moench</t>
  </si>
  <si>
    <t>Pea eggplant, Solanum torvum Sw.</t>
  </si>
  <si>
    <t>Pepino, Solanum muricatum Aiton</t>
  </si>
  <si>
    <t>Pepper, bell, Capsicum annuum L. var. annuum, Capsicum spp</t>
  </si>
  <si>
    <t>Pepper, nonbell, Capsicum chinese Jacq., C. annuum L. var. annuum, C. frutescens L., C. baccatum L., C. pubescens Ruiz &amp; Pav., Capsicum spp</t>
  </si>
  <si>
    <t>Roselle, Hibiscus sabdariffa L</t>
  </si>
  <si>
    <t>Scarlet eggplant, Solanum aethiopicum L</t>
  </si>
  <si>
    <t>Sunberry, Solanum retroflexum Dunal</t>
  </si>
  <si>
    <t>Tomatillo, Physalis philadelphica Lam</t>
  </si>
  <si>
    <t>Tree tomato, Solanum betaceum Cav</t>
  </si>
  <si>
    <t>Bush Tomato</t>
  </si>
  <si>
    <t>Currant Tomato</t>
  </si>
  <si>
    <t>Tree Tomato</t>
  </si>
  <si>
    <t>African Eggplant</t>
  </si>
  <si>
    <t>Pea Eggplant</t>
  </si>
  <si>
    <t>Scarlet Eggplant</t>
  </si>
  <si>
    <t>Pepper (Capsicum spp.) (includes bell pepper, chili pepper, cooking pepper, pimento, sweet pepper)</t>
  </si>
  <si>
    <t>Gherkin (Cucumis anguria)</t>
  </si>
  <si>
    <t>Gourd, edible (Lagenaria spp.) (includes hyotan, cucuzza); (Luffa acutangula, L. cylindrica) (includes hechima, Chinese okra)</t>
  </si>
  <si>
    <t>Momordica spp. (includes balsam apple, balsam pear, bitter melon, Chinese cucumber)</t>
  </si>
  <si>
    <t>Muskmelon (hybrids and/or cultivars of Cucumis melo) (includes true cantaloupe, cantaloupe, casaba, crenshaw melon, golden pershaw melon, honeydew melon, honey balls, mango melon, Persian melon, pineapple melon, Santa Claus melon, and snake melon)</t>
  </si>
  <si>
    <t>Pumpkin (Cucurbita spp.)</t>
  </si>
  <si>
    <t>Squash, summer (Cucurbita pepo var. melopepo) (includes crookneck squash, scallop squash, straightneck squash, vegetable marrow, zucchini)</t>
  </si>
  <si>
    <t>Squash, winter (Cucurbita maxima; C. moschata) (includes butternut squash, calabaza, hubbard squash); (C. mixta; C. pepo) (includes acorn squash, spaghetti squash)</t>
  </si>
  <si>
    <t>Gherkin</t>
  </si>
  <si>
    <t>Momordica spp (includes balsam apple, balsam pear, bittermelon, Chinese cucumber)</t>
  </si>
  <si>
    <t>Australian desert lime, Eremocitrus glauca (Lindl.) Swingle</t>
  </si>
  <si>
    <t>Australian finger lime, Microcitrus australasica (F. Muell.) Swingle</t>
  </si>
  <si>
    <t>Australian round lime, Microcitrus australis (A. Cunn. Ex Mudie) Swingle</t>
  </si>
  <si>
    <t>Brown River finger lime, Microcitrus papuana Winters</t>
  </si>
  <si>
    <t>Calamondin, Citrofortunella microcarpa (Bunge) Wijnands</t>
  </si>
  <si>
    <t>Citron, Citrus medica L</t>
  </si>
  <si>
    <t>Citrus hybrids, Citrus spp. Eremocitrus spp., Fortunella spp., Microcitrus spp., and Poncirus spp</t>
  </si>
  <si>
    <t>Grapefruit, Citrus paradisi Macfad</t>
  </si>
  <si>
    <t>Japanese summer grapefruit, Citrus natsudaidai Hayata</t>
  </si>
  <si>
    <t>Kumquat, Fortunella spp</t>
  </si>
  <si>
    <t>Lemon, Citrus limon (L.) Burm. f</t>
  </si>
  <si>
    <t>Lime, Citrus aurantiifolia (Christm.) Swingle</t>
  </si>
  <si>
    <t>Mediterranean mandarin, Citrus deliciosa Ten</t>
  </si>
  <si>
    <t>Mount White lime, Microcitrus garrowayae (F.M. Bailey) Swingle</t>
  </si>
  <si>
    <t>New Guinea wild lime, Microcitrus warburgiana (F.M. Bailey) Tanaka</t>
  </si>
  <si>
    <t>Orange, sour, Citrus aurantium L</t>
  </si>
  <si>
    <t>Orange, sweet, Citrus sinensis (L.) Osbeck</t>
  </si>
  <si>
    <t>Pummelo, Citrus maxima (Burm.) Merr</t>
  </si>
  <si>
    <t>Russell River lime, Microcitrus inodora (F.M. Bailey) Swingle</t>
  </si>
  <si>
    <t>Satsuma mandarin, Citrus unshiu Marcow</t>
  </si>
  <si>
    <t>Sweet lime, Citrus limetta Risso</t>
  </si>
  <si>
    <t>Tachibana orange, Citrus tachibana (Makino) Tanaka</t>
  </si>
  <si>
    <t>Tahiti lime, Citrus latifolia (Yu. Tanaka) Tanaka</t>
  </si>
  <si>
    <t>Tangelo, Citrus xtangelo J.W. Ingram &amp; H.E. Moore</t>
  </si>
  <si>
    <t>Tangerine (Mandarin), Citrus reticulata Blanco</t>
  </si>
  <si>
    <t>Tangor, Citrus nobilis Lour</t>
  </si>
  <si>
    <t>Trifoliate orange, Poncirus trifoliata (L.) Raf</t>
  </si>
  <si>
    <t>Uniq fruit, Citrus aurantium Tangelo group</t>
  </si>
  <si>
    <t>Mediterranean Mandarin</t>
  </si>
  <si>
    <t>Orange, Sweet</t>
  </si>
  <si>
    <t>Orange, Sour</t>
  </si>
  <si>
    <t>Satsuma mandarin</t>
  </si>
  <si>
    <t>Tachibana orange</t>
  </si>
  <si>
    <t>Trifoliate Orange</t>
  </si>
  <si>
    <t>Australian Desert Lime</t>
  </si>
  <si>
    <t>Australian Finger Lime</t>
  </si>
  <si>
    <t>Australian Round Lime</t>
  </si>
  <si>
    <t>Brown River Finger Lime</t>
  </si>
  <si>
    <t>Mount White Lime</t>
  </si>
  <si>
    <t>New Guinea Wild Lime</t>
  </si>
  <si>
    <t>Russell River Lime</t>
  </si>
  <si>
    <t>Sweet Lime</t>
  </si>
  <si>
    <t>Tahiti Lime</t>
  </si>
  <si>
    <t>Japanese Summer Grapefruit</t>
  </si>
  <si>
    <t>Calamondin (Citrus mitis × Citrofortunella mitis)</t>
  </si>
  <si>
    <t>Citrus citron (Citrus medica)</t>
  </si>
  <si>
    <t>Citrus hybrids (Citrus spp.) (includes chironja, tangelo, tangor)</t>
  </si>
  <si>
    <t>Orange, sweet (Citrus sinensis)</t>
  </si>
  <si>
    <t>Orange, sour (Citrus aurantium)</t>
  </si>
  <si>
    <t>Satsuma mandarin (Citrus unshiu)</t>
  </si>
  <si>
    <t>Apple, Malus domestica Borkh.</t>
  </si>
  <si>
    <t>Azarole, Crataegus azarolus L.</t>
  </si>
  <si>
    <t>Crabapple, Malus sylvestris (L.) Mill., M. prunifolia (Willd.) Borkh.</t>
  </si>
  <si>
    <t>Loquat, Eriobotrya japonica (Thunb.) Lindl.</t>
  </si>
  <si>
    <t>Mayhaw, Crataegus aestivalis (Walter) Torr. &amp; A. Gray, C. opaca</t>
  </si>
  <si>
    <t>Hook. &amp; Arn., and C. rufula Sarg.</t>
  </si>
  <si>
    <t>Medlar, Mespilus germanica L.</t>
  </si>
  <si>
    <t>Pear, Pyrus communis L.</t>
  </si>
  <si>
    <t>Pear, Asian, Pyrus pyrifolia (Burm. f.) Nakai var. culta (Makino) Nakai</t>
  </si>
  <si>
    <t>Pseudocydonia sinensis (Thouin) C.K. Schneid.</t>
  </si>
  <si>
    <t>Quince, Cydonia oblonga Mill.</t>
  </si>
  <si>
    <t>Quince, Chinese, Chaenomeles speciosa (Sweet) Nakai,</t>
  </si>
  <si>
    <t>Quince, Japanese, Chaenomeles japonica (Thunb.) Lindl. ex Spach</t>
  </si>
  <si>
    <t>Apricot (Prunus armeniaca L.)</t>
  </si>
  <si>
    <t>Apricot, Japanese (Prunus mume Siebold &amp; Zucc.)</t>
  </si>
  <si>
    <t>Capulin (Prunus serotina Ehrh. var. salicifolia (Kunth) Koehne)</t>
  </si>
  <si>
    <t>Cherry, black (Prunus serotina Ehrh.)</t>
  </si>
  <si>
    <t>Cherry, Nanking (Prunus tomentosa Thunb.)</t>
  </si>
  <si>
    <t>Cherry, sweet (Prunus avium (L.) L.)</t>
  </si>
  <si>
    <t>Cherry, tart (Prunus cerasus L.)</t>
  </si>
  <si>
    <t>Jujube, Chinese (Ziziphus jujuba Mill.)</t>
  </si>
  <si>
    <t>Nectarine (Prunuspersica (L.) Batsch var. nucipersica (Suckow) C.K. Schneid)</t>
  </si>
  <si>
    <t>Peach (Prunus persica (L.) Batsch var. persica)</t>
  </si>
  <si>
    <t>Plums and Prunes</t>
  </si>
  <si>
    <t>Plum (Prunus domestica L. subsp. domestica)</t>
  </si>
  <si>
    <t>Plum, American (Prunus americana Marshall)</t>
  </si>
  <si>
    <t>Plum, beach (Prunus maritima Marshall)</t>
  </si>
  <si>
    <t>Plum, Canada (Prunus nigra Aiton)</t>
  </si>
  <si>
    <t>Plum, cherry (Prunus cerasifera Ehrh.)</t>
  </si>
  <si>
    <t>Plum, Chickasaw (Prunus angustifolia Marshall)</t>
  </si>
  <si>
    <t>Plum, Damson (Prunus domestica L. subsp. insititia (L.) C.K. Schneid.)</t>
  </si>
  <si>
    <t>Plum, Japanese (Prunus salicina Lindl.; P. salicina Lindl. var. salicina)</t>
  </si>
  <si>
    <t>Plum, Klamath (Prunus subcordata Benth.)</t>
  </si>
  <si>
    <t>Plum, prune (Prunus domestica L. subsp. domestica)</t>
  </si>
  <si>
    <t>Plumcot (Prunus hybr.)</t>
  </si>
  <si>
    <t>Sloe (Prunus spinosa L.)</t>
  </si>
  <si>
    <t>Cherry (Black)</t>
  </si>
  <si>
    <t>Cherry (Nanking)</t>
  </si>
  <si>
    <t>Cherry (Sweet)</t>
  </si>
  <si>
    <t>Cherry (Tart)</t>
  </si>
  <si>
    <t>Apricot, Japanese</t>
  </si>
  <si>
    <t>Jujube, Chinese</t>
  </si>
  <si>
    <t xml:space="preserve"> Plum</t>
  </si>
  <si>
    <t xml:space="preserve"> Plum, American</t>
  </si>
  <si>
    <t xml:space="preserve"> Plum, Beach</t>
  </si>
  <si>
    <t xml:space="preserve"> Plum, Canada</t>
  </si>
  <si>
    <t xml:space="preserve"> Plum, Cherry</t>
  </si>
  <si>
    <t xml:space="preserve"> Plum, Chickasaw</t>
  </si>
  <si>
    <t xml:space="preserve"> Plum, Damson</t>
  </si>
  <si>
    <t xml:space="preserve"> Plum, Japanese</t>
  </si>
  <si>
    <t xml:space="preserve"> Plum, Klamath</t>
  </si>
  <si>
    <t>Plum, Prune</t>
  </si>
  <si>
    <t>Apricot (Prunus armeniaca)</t>
  </si>
  <si>
    <t>Cherry, Sweet (Prunus avium)</t>
  </si>
  <si>
    <t>Cherry, Tart (Prunus cerasus)</t>
  </si>
  <si>
    <t>Nectarine (Prunus persica)</t>
  </si>
  <si>
    <t>Peach (Prunus persica)</t>
  </si>
  <si>
    <t>Plum (Prunus domestica, Prunus spp.)</t>
  </si>
  <si>
    <t>Plum, Chickasaw (Prunus angustifolia)</t>
  </si>
  <si>
    <t>Plum, Damson (Prunus domestica spp. insititia)</t>
  </si>
  <si>
    <t>Plum, Japanese (Prunus salicina)</t>
  </si>
  <si>
    <t>Amur river grape (Vitis amurensis Rupr)</t>
  </si>
  <si>
    <t>Aronia berry (Aronia spp.)</t>
  </si>
  <si>
    <t>Bayberry (Myrica spp.)</t>
  </si>
  <si>
    <t>Bearberry (Arctostaphylos uva-ursi)</t>
  </si>
  <si>
    <t>Bilberry (Vaccinium myrtillus L.)</t>
  </si>
  <si>
    <t>Blackberry (Rubus spp.) (including Andean blackberry, arctic blackberry, bingleberry, black satin berry, boysenberry, brombeere, California blackberry, Chesterberry, Cherokee blackberry, Cheyenne blackberry, common blackberry, coryberry, darrowberry, dewberry, Dirksen thornless berry, evergreen blackberry, Himalayaberry, hullberry, lavacaberry, loganberry, lowberry, Lucretiaberry, mammoth blackberry, marionberry, mora, mures deronce, nectarberry, Northern dewberry, olallieberry, Oregon evergreen berry, phenomenalberry, rangeberry, ravenberry, rossberry, Shawnee blackberry, Southern dewberry, tayberry, youngberry, zarzamora, and cultivars, varieties and/or hybrids of these.)</t>
  </si>
  <si>
    <t>Blueberry</t>
  </si>
  <si>
    <t>Blueberry, highbush (Vaccinium spp.)</t>
  </si>
  <si>
    <t>Blueberry, lowbush (Vaccinium angustifolium Aiton)</t>
  </si>
  <si>
    <t>Buffalo currant (Ribes aureum Pursh)</t>
  </si>
  <si>
    <t>Buffaloberry (Shepherdia argentea (Pursh) Nutt.)</t>
  </si>
  <si>
    <t>Che (Cudrania tricuspidata Bur. Ex Lavallee)</t>
  </si>
  <si>
    <t>Chilean guava (Myrtus ugni Mol.)</t>
  </si>
  <si>
    <t>Chokecherry (Prunus virginiana L.)</t>
  </si>
  <si>
    <t>Cloudberry (Rubus chamaemorus L.)</t>
  </si>
  <si>
    <t>Cranberry (Vaccinium macrocarpon Aiton)</t>
  </si>
  <si>
    <t>Currant, black (Ribes nigrum L.)</t>
  </si>
  <si>
    <t>Currant, red (Ribes rubrum L.)</t>
  </si>
  <si>
    <t>Elderberry (Sambucus spp.)</t>
  </si>
  <si>
    <t>European barberry (Berberis vulgaris L.)</t>
  </si>
  <si>
    <t>Gooseberry (Ribes spp.)</t>
  </si>
  <si>
    <t>Grape (Vitis spp.)</t>
  </si>
  <si>
    <t>Highbush cranberry (Viburnum opulus L. var. Americanum Aiton)</t>
  </si>
  <si>
    <t>Honeysuckle, edible (Lonicera caerula L. var. emphyllocalyx Nakai, Lonicera caerula L var . edulis Turcz. ex herder)</t>
  </si>
  <si>
    <t>Huckleberry (Gaylussacia spp.)</t>
  </si>
  <si>
    <t>Jostaberry (Ribes x nidigrolaria Rud. Bauer and A. Bauer)</t>
  </si>
  <si>
    <t>Juneberry (Saskatoon berry) (Amelanchier spp.)</t>
  </si>
  <si>
    <t>Kiwifruit, fuzzy (Actinidia deliciosa A. Chev.) (C.F. Liang and A.R. Fergusons, Actinida chinensis Planch.)</t>
  </si>
  <si>
    <t>Kiwifruit, hardy (Actinidia arguta (Siebold and Zucc.) Planch. ex Miq)</t>
  </si>
  <si>
    <t>Lingonberry (Vaccinium vitis-idaea L.)</t>
  </si>
  <si>
    <t>Maypop (Passiflora incarnata L.)</t>
  </si>
  <si>
    <t>Mountain pepper berries (Tasmannia lanceolata)(Poir.) A.C.Sm.</t>
  </si>
  <si>
    <t>Mulberry (Morus spp.)</t>
  </si>
  <si>
    <t>Muntries (Kunzea pomifera F. Muell.)</t>
  </si>
  <si>
    <t>Native currant (Acrotriche depressa R. BR.)</t>
  </si>
  <si>
    <t>Partridgeberry (Mitchella repens L.)</t>
  </si>
  <si>
    <t>Phalsa (Grewia subinaequalis DC.)</t>
  </si>
  <si>
    <t>Pincherry (Prunus pensylvanica L.f.)</t>
  </si>
  <si>
    <t>Raspberry, black and red (Rubus spp.)</t>
  </si>
  <si>
    <t>Riberry (Syzygium luehmannii)</t>
  </si>
  <si>
    <t>Salal (Gaultheria shallon Pursh.)</t>
  </si>
  <si>
    <t>Schisandra berry (Schisandra chinensis (Turcz.) Baill.)</t>
  </si>
  <si>
    <t>Sea buckthorn (Hippophae rhamnoides L.)</t>
  </si>
  <si>
    <t>Serviceberry (Sorbus spp.)</t>
  </si>
  <si>
    <t>Strawberry (Fragaria x ananassa Duchesne)</t>
  </si>
  <si>
    <t>Wild raspberry (Rubus muelleri Lefevre ex P.J. Mull)</t>
  </si>
  <si>
    <t>Raspberry, Red and Black</t>
  </si>
  <si>
    <t>Currant, Black</t>
  </si>
  <si>
    <t>Currant, Red</t>
  </si>
  <si>
    <t>European, barberry</t>
  </si>
  <si>
    <t>Cranberry, highbush</t>
  </si>
  <si>
    <t>Honeysuckle, Edible</t>
  </si>
  <si>
    <t>Juneberry</t>
  </si>
  <si>
    <t>Blackberry (Rubus eubatus) (including bingleberry, black satin berry, boysenberry, Cherokee blackberry, Chesterberry, Cheyenne blackberry, coryberry, darrowberry, dewberry, Dirksen thornless berry, Himalayaberry, hullberry, Lavacaberry, lowberry, Lucretiaberry, mammoth blackberry, marionberry, nectarberry, olallieberry, Oregon evergreen berry, phenomenalberry, rangeberry, ravenberry, rossberry, Shawnee blackberry, youngberry, and varieties and/or hybrids of these)</t>
  </si>
  <si>
    <t>Blueberry (Vaccinium spp.)</t>
  </si>
  <si>
    <t>Currant (Ribes spp.)</t>
  </si>
  <si>
    <t>Loganberry (Rubus loganobaccus)</t>
  </si>
  <si>
    <t>Raspberry, black and red (Rubus occidentalis, Rubus strigosus, Rubus idaeus)</t>
  </si>
  <si>
    <t>13B. Bushberry subgroup</t>
  </si>
  <si>
    <t>Guiana chestnut (Pachira aquatica Aubl.)</t>
  </si>
  <si>
    <t>Hazelnut (Filbert)</t>
  </si>
  <si>
    <t>Japanese horse-chestnut (Aesculus turbinate Blume)</t>
  </si>
  <si>
    <t>Okari Nut</t>
  </si>
  <si>
    <t>Pachira Nut</t>
  </si>
  <si>
    <t>Sapucaia Nut</t>
  </si>
  <si>
    <t>Tropical almond (Terminalia catappa L.)</t>
  </si>
  <si>
    <t>Walnut, black</t>
  </si>
  <si>
    <t xml:space="preserve">Walnut, English </t>
  </si>
  <si>
    <t>Yellowhorn</t>
  </si>
  <si>
    <t>Cereal Grain Group</t>
  </si>
  <si>
    <t>Amaranth, grain, Amaranthus spp</t>
  </si>
  <si>
    <t>Amaranth, purple, Amaranthus cruentus L</t>
  </si>
  <si>
    <t>Baby corn, Zea mays L. subsp. mays</t>
  </si>
  <si>
    <t>Barley, Hordeum vulgare L. subsp. vulgare</t>
  </si>
  <si>
    <t>Buckwheat, Fagopyrum esculentum Moench</t>
  </si>
  <si>
    <t>Buckwheat, tartary, Fagopyrum tataricum (L.) Gaertn</t>
  </si>
  <si>
    <t>Canarygrass, annual, Phalaris canariensis L</t>
  </si>
  <si>
    <t>Cañihua, Chenopodium pallidicaule Aellen</t>
  </si>
  <si>
    <t>Chia, Salvia hispanica L</t>
  </si>
  <si>
    <t>Popcorn, Zea mays L. subsp. mays</t>
  </si>
  <si>
    <t>Popcorn</t>
  </si>
  <si>
    <t>Corn, sweet, Zea mays L. subsp. mays</t>
  </si>
  <si>
    <t>Cram cram, Cenchrus biflorus Roxb</t>
  </si>
  <si>
    <t>Fonio, black, Digitaria iburua Stapf</t>
  </si>
  <si>
    <t>Fonio, white, Digitaria exilis (Kippist) Stapf</t>
  </si>
  <si>
    <t>Grain sorghum, Sorghum bicolor (L.) Moench</t>
  </si>
  <si>
    <t>Huauzontle grain, Chenopodium berlandieri Moq. subsp. nuttalliae (Saff.) H. D. Wilson &amp; Heiser and Chenopodium berlandieri Moq</t>
  </si>
  <si>
    <t>Inca wheat, Amaranthus caudatus L</t>
  </si>
  <si>
    <t>Job's tears, Coix lacryma-jobi L., Coix lacryma-jobi L. var. ma-yun (Rom. Caill.) Stapf</t>
  </si>
  <si>
    <t>Millet, barnyard, Echinochloa frumentacea Link</t>
  </si>
  <si>
    <t>Millet, finger, Eleusine coracana (L.) Gaertn. subsp. coracana</t>
  </si>
  <si>
    <t>Millet, foxtail, Setaria italica (L.) P. Beauv. subsp. italic</t>
  </si>
  <si>
    <t>Millet, little, Panicum sumatrense Roth</t>
  </si>
  <si>
    <t>Millet, pearl, Pennisetum glaucum (L.) R. B. r</t>
  </si>
  <si>
    <t>Millet, proso, Panicum miliaceum L. subsp. miliaceum</t>
  </si>
  <si>
    <t>Oat, Avena spp</t>
  </si>
  <si>
    <t>Oat, Abyssinian, Avena abyssinica Hochst. ex A. Rich</t>
  </si>
  <si>
    <t>Oat, common, Avena sativa L</t>
  </si>
  <si>
    <t>Oat, naked, Avena nuda L</t>
  </si>
  <si>
    <t>Oat, sand, Avena strigosa Schreb</t>
  </si>
  <si>
    <t>Prince's feather, Amaranthus hypochondriacus L</t>
  </si>
  <si>
    <t>Psyllium, Plantago arenaria Waldst. &amp; Kit</t>
  </si>
  <si>
    <t>Psyllium, blond, Plantago ovata Forssk</t>
  </si>
  <si>
    <t>Quinoa, Chenopodium quinoa Willd. subsp. quinoa</t>
  </si>
  <si>
    <t>Rice, Oryza sativa L</t>
  </si>
  <si>
    <t>Rice, African, Oryza glaberrima Steud</t>
  </si>
  <si>
    <t>Rye, Secale cereale L. subsp. cereale</t>
  </si>
  <si>
    <t>Teff, Eragrostis tef (Zuccagni) Trotter</t>
  </si>
  <si>
    <t>Teosinte, Zea mays L. subsp. mexicana (Schrad.) H. H. Iltis</t>
  </si>
  <si>
    <t>Triticale, X Triticosecale spp</t>
  </si>
  <si>
    <t>Wheat, Triticum spp</t>
  </si>
  <si>
    <t>Wheat, club, Triticum aestivum L. subsp. compactum (Host) Mackey</t>
  </si>
  <si>
    <t>Wheat, common, Triticum aestivum L. subsp. aestivum</t>
  </si>
  <si>
    <t>Wheat, durum, Triticum turgidum L. subsp. durum (Desf.) van Slageren</t>
  </si>
  <si>
    <t>Wheat, einkorn, Triticum monococcum L. subsp. monococcum</t>
  </si>
  <si>
    <t>Wheat, emmer, Triticum turgidum L. subsp. dicoccon (Schrank) Thell</t>
  </si>
  <si>
    <t>Wheat, macha, Triticum aestivum L. subsp. macha (Dekapr. &amp; Menabde) Mackey</t>
  </si>
  <si>
    <t>Wheat, oriental, Triticum turgidum L. subsp. turanicum (Jakubz.) Á. Löve &amp; D. Löve</t>
  </si>
  <si>
    <t>Wheat, Persian, Triticum turgidum L. subsp. carthlicum (Nevski) Á. Löve &amp; D. Löve</t>
  </si>
  <si>
    <t>Wheat, Polish, Triticum turgidum L. subsp. polonicum (L.) Thell</t>
  </si>
  <si>
    <t>Wheat, poulard, Triticum turgidum L. subsp. turgidum</t>
  </si>
  <si>
    <t>Wheat, shot, Triticum aestivum L. subsp. sphaerococcum (Percival) Mackey</t>
  </si>
  <si>
    <t>Wheat, spelt, Triticum aestivum L. subsp. spelta (L.) Thell</t>
  </si>
  <si>
    <t>Wheat, timopheevi, Triticum timopheevii (Zhuk.) Zhuk. subsp. timopheevii</t>
  </si>
  <si>
    <t>Wheat, vavilovi, Triticum vavilovii Jakubz.</t>
  </si>
  <si>
    <t>Wheat, wild einkorn, Triticum monococcum L. subsp. aegilopoides (Link) Thell</t>
  </si>
  <si>
    <t>Wheat, wild emmer, Triticum turgidum L. subsp. dicoccoides (Körn. ex Asch. &amp; Graebn.) Thell</t>
  </si>
  <si>
    <t>Wheatgrass, intermediate, Iseilema prostratum (L.) Andersson</t>
  </si>
  <si>
    <t>Wild rice, Zizania palustris L</t>
  </si>
  <si>
    <t>Wild rice, eastern, Zizania aquatica L</t>
  </si>
  <si>
    <t>15-22A: Wheat subgroup</t>
  </si>
  <si>
    <t>Amaranth, Grain</t>
  </si>
  <si>
    <t>Amaranth, Purple</t>
  </si>
  <si>
    <t>Cañihua</t>
  </si>
  <si>
    <t>Chia</t>
  </si>
  <si>
    <t>Cram cram</t>
  </si>
  <si>
    <t>Huauzontle grain</t>
  </si>
  <si>
    <t>Inca wheat</t>
  </si>
  <si>
    <t>Prince's feather</t>
  </si>
  <si>
    <t>Psyllium</t>
  </si>
  <si>
    <t>Psyllium, blond</t>
  </si>
  <si>
    <t>Wheat, club</t>
  </si>
  <si>
    <t>Wheat, common</t>
  </si>
  <si>
    <t>Wheat, durum</t>
  </si>
  <si>
    <t>Wheat, poulard</t>
  </si>
  <si>
    <t>Wheat, shot</t>
  </si>
  <si>
    <t>Wheat, spelt</t>
  </si>
  <si>
    <t>Wheat, timopheevi</t>
  </si>
  <si>
    <t>Wheat, vavilovi</t>
  </si>
  <si>
    <t>Wheat, wild einkorn</t>
  </si>
  <si>
    <t>Wheat, wild emmer</t>
  </si>
  <si>
    <t>Wheatgrass, intermediate</t>
  </si>
  <si>
    <t>15-22B: Barley subgroup</t>
  </si>
  <si>
    <t>Buckwheat, Tartary</t>
  </si>
  <si>
    <t>Canarygrass, Annual</t>
  </si>
  <si>
    <t>Oat, Abyssinian</t>
  </si>
  <si>
    <t>Oat, Common</t>
  </si>
  <si>
    <t>Oat, Naked</t>
  </si>
  <si>
    <t>Oat, Sand</t>
  </si>
  <si>
    <t>15-22C: Field corn subgroup</t>
  </si>
  <si>
    <t>Corn, field, Zea mays L. subsp. mays</t>
  </si>
  <si>
    <t>15-22D: Sweet corn subgroup</t>
  </si>
  <si>
    <t>Baby corn</t>
  </si>
  <si>
    <t>Corn, sweet</t>
  </si>
  <si>
    <t>15-22E: Grain sorghum and millet subgroup</t>
  </si>
  <si>
    <t>Fonio, Black</t>
  </si>
  <si>
    <t>Fonio, White</t>
  </si>
  <si>
    <t>Grain Sorghum</t>
  </si>
  <si>
    <t>Job'S Tears</t>
  </si>
  <si>
    <t>Millet, Barnyard</t>
  </si>
  <si>
    <t>Millet, Finger</t>
  </si>
  <si>
    <t>Millet, Foxtail</t>
  </si>
  <si>
    <t>Millet, Little</t>
  </si>
  <si>
    <t>Millet, Pearl</t>
  </si>
  <si>
    <t>Millet, Proso</t>
  </si>
  <si>
    <t>15-22F: Rice subgroup</t>
  </si>
  <si>
    <t>Rice, African</t>
  </si>
  <si>
    <t>Wild Rice</t>
  </si>
  <si>
    <t>Wild Rice, Eastern</t>
  </si>
  <si>
    <t>Corn, field</t>
  </si>
  <si>
    <t>Oats</t>
  </si>
  <si>
    <t>16-22: Forage, Hay, Stover, and Straw of Cereal Grain Group</t>
  </si>
  <si>
    <t>Bean, velvet</t>
  </si>
  <si>
    <t>Vetch, crown</t>
  </si>
  <si>
    <t>Vetch, milk</t>
  </si>
  <si>
    <t>Allspice (Pimenta dioica)</t>
  </si>
  <si>
    <t>Angelica (Angelica archangelica)</t>
  </si>
  <si>
    <t>Anise (anise seed) (Pimpinella anisum)</t>
  </si>
  <si>
    <t>Anise, star (Illicium verum)</t>
  </si>
  <si>
    <t>Annatto (seed)</t>
  </si>
  <si>
    <t>Balm (lemon balm) (Melissa officinalis)</t>
  </si>
  <si>
    <t>Basil (Ocimum basilicum)</t>
  </si>
  <si>
    <t>Borage (Borago officinalis)</t>
  </si>
  <si>
    <t>Burnet (Sanguisorba minor)</t>
  </si>
  <si>
    <t>Camomile (Anthemis nobilis)</t>
  </si>
  <si>
    <t>Caper buds (Capparis spinosa)</t>
  </si>
  <si>
    <t>Caraway (Carum carvi)</t>
  </si>
  <si>
    <t>Caraway, black (Nigella sativa)</t>
  </si>
  <si>
    <t>Cardamom (Elettaria cardamomum)</t>
  </si>
  <si>
    <t>Cassia bark (Cinnamomum aromaticum)</t>
  </si>
  <si>
    <t>Cassia buds (Cinnamomum aromaticum)</t>
  </si>
  <si>
    <t>Catnip (Nepeta cataria)</t>
  </si>
  <si>
    <t>Celery seed (Apicum graveolens)</t>
  </si>
  <si>
    <t>Chervil (dried) (Anthriscus cerefolium)</t>
  </si>
  <si>
    <t>Chive (Allium schoenoprasum)</t>
  </si>
  <si>
    <t>Chive, Chinese (Allium tuberosum)</t>
  </si>
  <si>
    <t>Cinnamon (Cinnamomum verum)</t>
  </si>
  <si>
    <t>Clary (Salvia sclarea)</t>
  </si>
  <si>
    <t>Clove buds (Eugenia caryophyllata)</t>
  </si>
  <si>
    <t>Coriander (cilantro or Chinese parsley) (leaf) (Coriandrum sativum)</t>
  </si>
  <si>
    <t>Coriander (cilantro) (seed) (Coriandrum sativum)</t>
  </si>
  <si>
    <t>Costmary (Chrysanthemum balsamita)</t>
  </si>
  <si>
    <t>Culantro (leaf) (Eryngium foetidum)</t>
  </si>
  <si>
    <t>Culantro (seed) (Eryngium foetidum)</t>
  </si>
  <si>
    <t>Cumin (Cuminum cyminum)</t>
  </si>
  <si>
    <t>Curry (leaf) (Murraya koenigii)</t>
  </si>
  <si>
    <t>Dill (dillweed) (Anethum graveolens)</t>
  </si>
  <si>
    <t>Dill (seed) (Anethum graveolens)</t>
  </si>
  <si>
    <t>Fennel (common) (Foeniculum vulgare)</t>
  </si>
  <si>
    <t>Fennel, Florence (seed) (Foeniculum vulgare Azoricum Group)</t>
  </si>
  <si>
    <t>Fenugreek (Trigonella foenumgraecum)</t>
  </si>
  <si>
    <t>Grains of paradise (Aframomum melegueta)</t>
  </si>
  <si>
    <t>Horehound (Marrubium vulgare)</t>
  </si>
  <si>
    <t>Hyssop (Hyssopus officinalis)</t>
  </si>
  <si>
    <t>Juniper berry (Juniperus communis)</t>
  </si>
  <si>
    <t>Lavender (Lavandula officinalis)</t>
  </si>
  <si>
    <t>Lemongrass (Cymbopogon citratus)</t>
  </si>
  <si>
    <t>Lovage (leaf) (Levisticum officinale)</t>
  </si>
  <si>
    <t>Lovage (seed) (Levisticum officinale)</t>
  </si>
  <si>
    <t>Mace (Myristica fragrans)</t>
  </si>
  <si>
    <t>Marigold (Calendula officinalis)</t>
  </si>
  <si>
    <t>Marjoram (Origanum spp.) (includes sweet or annual marjoram, wild marjoram or oregano, and pot marjoram)</t>
  </si>
  <si>
    <t>Mustard (seed) (Brassica juncea, B. hirta, B. nigra)</t>
  </si>
  <si>
    <t>Nasturtium (Tropaeolum majus)</t>
  </si>
  <si>
    <t>Nutmeg (Myristica fragrans)</t>
  </si>
  <si>
    <t>Parsley (dried) (Petroselinum crispum)</t>
  </si>
  <si>
    <t>Pennyroyal (Mentha pulegium)</t>
  </si>
  <si>
    <t>Pepper, black (Piper nigrum)</t>
  </si>
  <si>
    <t>Pepper, white</t>
  </si>
  <si>
    <t>Poppy (seed) (Papaver somniferum)</t>
  </si>
  <si>
    <t>Rosemary (Rosemarinus officinalis)</t>
  </si>
  <si>
    <t>Rue (Ruta graveolens)</t>
  </si>
  <si>
    <t>Saffron (Crocus sativus)</t>
  </si>
  <si>
    <t>Sage (Salvia officinalis)</t>
  </si>
  <si>
    <t>Savory, summer and winter (Satureja spp.)</t>
  </si>
  <si>
    <t>Sweet bay (bay leaf) (Laurus nobilis)</t>
  </si>
  <si>
    <t>Tansy (Tanacetum vulgare)</t>
  </si>
  <si>
    <t>Tarragon (Artemisia dracunculus)</t>
  </si>
  <si>
    <t>Thyme (Thymus spp.)</t>
  </si>
  <si>
    <t>Vanilla (Vanilla planifolia)</t>
  </si>
  <si>
    <t>Wintergreen (Gaultheria procumbens)</t>
  </si>
  <si>
    <t>Woodruff (Galium odorata)</t>
  </si>
  <si>
    <t>Wormwood (Artemisia absinthium)</t>
  </si>
  <si>
    <t>Anise (seed)</t>
  </si>
  <si>
    <t>Anise, star</t>
  </si>
  <si>
    <t>Caraway, black</t>
  </si>
  <si>
    <t>Fennel, common</t>
  </si>
  <si>
    <t>Fennel, Florence (seed)</t>
  </si>
  <si>
    <t>Borage, Borago officinalis L</t>
  </si>
  <si>
    <t>Calendula, Calendula officinalis L</t>
  </si>
  <si>
    <t>Castor oil plant, Ricinus communis L</t>
  </si>
  <si>
    <t>Chinese tallowtree, Triadica sebifera (L.) Small</t>
  </si>
  <si>
    <t>Cottonseed, Gossypium hirsutum L. Gossypium spp</t>
  </si>
  <si>
    <t>Crambe, Crambe hispanica L.; C. abyssinica Hochst. ex R.E. Fr</t>
  </si>
  <si>
    <t>Cuphea, Cuphea hyssopifolia Kunth</t>
  </si>
  <si>
    <t>Echium, Echium plantagineum L</t>
  </si>
  <si>
    <t>Euphorbia, Euphorbia esula L</t>
  </si>
  <si>
    <t>Evening primrose, Oenothera biennis L</t>
  </si>
  <si>
    <t>Flax seed, Linum usitatissimum L</t>
  </si>
  <si>
    <t>Gold of pleasure, Camelina sativa (L.) Crantz</t>
  </si>
  <si>
    <t>Hare's ear mustard, Conringia orientalis (L.) Dumort</t>
  </si>
  <si>
    <t>Jojoba, Simmondsia chinensis (Link) C.K. Schneid</t>
  </si>
  <si>
    <t>Lesquerella, Lesquerella recurvata (Engelm. ex A. Gray) S. Watson</t>
  </si>
  <si>
    <t>Lunaria, Lunaria annua L</t>
  </si>
  <si>
    <t>Meadowfoam, Limnanthes alba Hartw. ex Benth</t>
  </si>
  <si>
    <t>Milkweed, Asclepias spp</t>
  </si>
  <si>
    <t>Mustard seed, Brassica hirta Moench, Sinapis alba L. subsp. Alba..</t>
  </si>
  <si>
    <t>Niger seed, Guizotia abyssinica (L.f.) Cass</t>
  </si>
  <si>
    <t>Oil radish, Raphanus sativus L. var. oleiformis Pers</t>
  </si>
  <si>
    <t>Poppy seed, Papaver somniferum L. subsp. Somniferum</t>
  </si>
  <si>
    <t>Rapeseed, Brassica spp.; B. napus L</t>
  </si>
  <si>
    <t>Rose hip, Rosa rubiginosa L</t>
  </si>
  <si>
    <t>Safflower, Carthamus tinctorious L</t>
  </si>
  <si>
    <t>Sesame, Sesamum indicum L., S. radiatum Schumach. &amp; honn</t>
  </si>
  <si>
    <t>Stokes aster, Stokesia laevis (Hill) Greene</t>
  </si>
  <si>
    <t>Sunflower, Helianthus annuus L</t>
  </si>
  <si>
    <t>Sweet rocket, Hesperis matronalis L</t>
  </si>
  <si>
    <t>Tallowwood, Ximenia americana L</t>
  </si>
  <si>
    <t>Tea oil plant, Camellia oleifera C. Abel</t>
  </si>
  <si>
    <t>Vernonia, Vernonia galamensis (Cass.) Less</t>
  </si>
  <si>
    <t>Rapeseed</t>
  </si>
  <si>
    <t>Blewitt (Lepista nuda)</t>
  </si>
  <si>
    <t>Bunashimeji (Hypsizygus marrmoreus)</t>
  </si>
  <si>
    <t>Chinese mushroom (Volvariella volvacea) (Bull.) Singer</t>
  </si>
  <si>
    <t>Enoki (Flammulina velutipes) (Curt.) Singer</t>
  </si>
  <si>
    <t>Hime-Matsutake (Agaricus blazei) Murill</t>
  </si>
  <si>
    <t>Hirmeola (Auricularia auricular)</t>
  </si>
  <si>
    <t>Maitake (Grifola frondosa)</t>
  </si>
  <si>
    <t>Morel (Morchella spp.)</t>
  </si>
  <si>
    <t>Nameko (Pholiota nameko)</t>
  </si>
  <si>
    <t>Net Bearing (Dictyophora)</t>
  </si>
  <si>
    <t>Oyster mushroom (Pleurotus spp.)</t>
  </si>
  <si>
    <t>Pom Pom (Hericium erinaceus)</t>
  </si>
  <si>
    <t>Reishi mushroom (Ganoderma lucidum (Leyss. Fr.) Karst.)</t>
  </si>
  <si>
    <t>Rodman's agaricus (Agaricus bitorquis) (Quel.) Saccardo</t>
  </si>
  <si>
    <t>Shiitake mushroom (Lentinula edodes (Berk.) Pegl.)</t>
  </si>
  <si>
    <t>Shimeji (Tricholoma conglobatum)</t>
  </si>
  <si>
    <t>Stropharia (Stropharia spp.)</t>
  </si>
  <si>
    <t>Truffle (Tuber spp.)</t>
  </si>
  <si>
    <t>White button mushroom (Agaricus bisporous (Lange) Imbach)</t>
  </si>
  <si>
    <t>White Jelly Fungi (Tremella fuciformis)</t>
  </si>
  <si>
    <t>Agave (Agave spp.)</t>
  </si>
  <si>
    <t>Aloe vera (Aloe vera (L.) Burm.f.)</t>
  </si>
  <si>
    <t>Asparagus (Asparagus officinalis L.)</t>
  </si>
  <si>
    <t>Bamboo, shoots (Arundinaria spp., Bambusa spp., Chimonobambusa spp., Dendrocalamus spp., Fargesia spp., Gigantochloa spp., Nastus elatus, Phyllostachys spp., Thyrsostachys spp.)</t>
  </si>
  <si>
    <t>Cardoon (Cynara cardunculus L.)</t>
  </si>
  <si>
    <t>Celery (Apium graveolens var. dulce (Mill.) Pers.)</t>
  </si>
  <si>
    <t>Celery, Chinese (Apium graveolens L. var. secalinum (Alef.) Mansf.)</t>
  </si>
  <si>
    <t>Celtuce (Lactuca sativa var. angustana L.H. Bailey)</t>
  </si>
  <si>
    <t>Fennel, Florence, fresh leaves and stalk (Foeniculum vulgare subsp. vulgare var. azoricum (Mill.) Thell.)</t>
  </si>
  <si>
    <t>Fern, edible, fiddlehead</t>
  </si>
  <si>
    <t>Fuki (Petasites japonicus (Siebold &amp; Zucc.) Maxim.)</t>
  </si>
  <si>
    <t>Kale, sea (Crambe maritima L.)</t>
  </si>
  <si>
    <t>Kohlrabi (Brassica oleracea L. var gongylodes L.)</t>
  </si>
  <si>
    <t>Palm hearts (various species)</t>
  </si>
  <si>
    <t>Prickly pear, pads (Opuntia ficus-indica (L.) Mill., Opuntia spp.)</t>
  </si>
  <si>
    <t>Prickly pear, Texas, pads (Opuntia engelmannii Salm-Dyck ex Engelm. var. lindheimeri (Engelm.) B.D. Parfitt &amp; Pinkav)</t>
  </si>
  <si>
    <t>Rhubarb (Rheum x rhabarbarum L.)</t>
  </si>
  <si>
    <t>Udo (Aralia cordata Thunb. )</t>
  </si>
  <si>
    <t>Zuiki (Colocasia gigantea (Blume) Hook. f.)</t>
  </si>
  <si>
    <t>Fennel, Florence, Fresh Leaves and Stalk</t>
  </si>
  <si>
    <t>Prickly Pear, pads</t>
  </si>
  <si>
    <t>Prickly Pear, Texas, pads</t>
  </si>
  <si>
    <t>Açaí (Euterpe oleracea Mart.)</t>
  </si>
  <si>
    <t>Acerola (Malpighia emarginata DC.)</t>
  </si>
  <si>
    <t>Achachairú (Garcinia gardneriana (Planch. &amp; Triana) Zappi)</t>
  </si>
  <si>
    <t>African plum (Vitex doniana Sweet)</t>
  </si>
  <si>
    <t>Agritos (Berberis trifoliolata Moric.)</t>
  </si>
  <si>
    <t>Almondette (Buchanania lanzan Spreng.)</t>
  </si>
  <si>
    <t>Ambarella (Spondias dulcis Sol. ex Parkinson)</t>
  </si>
  <si>
    <t>Apak palm (Brahea dulcis (Kunth) Mart.)</t>
  </si>
  <si>
    <t>Appleberry (Billardiera scandens Sm.)</t>
  </si>
  <si>
    <t>Arazá (Eugenia stipitata McVaugh)</t>
  </si>
  <si>
    <t>Arbutus berry (Arbutus unedo L.)</t>
  </si>
  <si>
    <t>Babaco (Vasconcellea x heilbornii (V.M. Badillo) V.M. Badillo)</t>
  </si>
  <si>
    <t>Bacaba palm (Oenocarpus bacaba Mart.)</t>
  </si>
  <si>
    <t>Bacaba-de-leque (Oenocarpus distichus Mart.)</t>
  </si>
  <si>
    <t>Bayberry, red (Morella rubra Lour.)</t>
  </si>
  <si>
    <t>Bignay (Antidesma bunius (L.) Spreng.)</t>
  </si>
  <si>
    <t>Bilimbi (Averrhoa bilimbi L.)</t>
  </si>
  <si>
    <t>Borojó (Borojoa patinoi Cuatrec.)</t>
  </si>
  <si>
    <t>Breadnut (Brosimum alicastrum Sw.)</t>
  </si>
  <si>
    <t>Cabeluda (Plinia glomerata (O. Berg) Amshoff)</t>
  </si>
  <si>
    <t>Cajou, fruit (Anacardium giganteum Hance ex Engl.)</t>
  </si>
  <si>
    <t>Cambucá (Marlierea edulis Nied.)</t>
  </si>
  <si>
    <t>Carandas-plum (Carissa edulis Vahl)</t>
  </si>
  <si>
    <t>Carob (Ceratonia siliqua L.)</t>
  </si>
  <si>
    <t>Cashew apple (Anacardium occidentale L.)</t>
  </si>
  <si>
    <t>Ceylon iron wood (Manilkara hexandra (Roxb.) Dubard)</t>
  </si>
  <si>
    <t>Ceylon olive (Elaeocarpus serratus L.)</t>
  </si>
  <si>
    <t>Cherry-of-the-Rio-Grande (Eugenia aggregata (Vell.) Kiaersk.)</t>
  </si>
  <si>
    <t>Chinese olive, black (Canarium tramdenum C.D. Dai &amp; Yakovlev)</t>
  </si>
  <si>
    <t>Chinese olive, white (Canarium album (Lour.) Raeusch.)</t>
  </si>
  <si>
    <t>Chirauli-nut (Buchanania latifolia Roxb.)</t>
  </si>
  <si>
    <t>Ciruela verde (Bunchosia armeniaca (Cav.) DC.)</t>
  </si>
  <si>
    <t>Cocoplum (Chrysobalanus icaco L.)</t>
  </si>
  <si>
    <t>Date (Phoenix dactylifera L.)</t>
  </si>
  <si>
    <t>Davidson's plum (Davidsonia pruriens F. Muell.)</t>
  </si>
  <si>
    <t>Desert-date (Balanites aegyptiacus (L.) Delile)</t>
  </si>
  <si>
    <t>Doum palm coconut (Hyphaene thebaica (L.) Mart.)</t>
  </si>
  <si>
    <t>False sandalwood (Ximenia americana L.)</t>
  </si>
  <si>
    <t>Feijoa (Acca sellowiana (O. Berg) Burret)</t>
  </si>
  <si>
    <t>Fig (Ficus carica L.)</t>
  </si>
  <si>
    <t>Fragrant manjack (Cordia dichotoma G. Forst.)</t>
  </si>
  <si>
    <t>Gooseberry, abyssinian (Dovyalis abyssinica (A. Rich.) Warb.)</t>
  </si>
  <si>
    <t>Gooseberry, Ceylon (Dovyalis hebecarpa (Gardner) Warb.)</t>
  </si>
  <si>
    <t>Gooseberry, Indian (Phyllanthus emblica L.)</t>
  </si>
  <si>
    <t>Gooseberry, otaheite (Phyllanthus acidus (L.) Skeels)</t>
  </si>
  <si>
    <t>Governor's plum (Flacourtia indica (Burm. F.) Merr.)</t>
  </si>
  <si>
    <t>Grumichama (Eugenia brasiliensis Lam)</t>
  </si>
  <si>
    <t>Guabiroba (Campomanesia xanthocarpa O. Berg)</t>
  </si>
  <si>
    <t>Guava (Psidium guajava L.)</t>
  </si>
  <si>
    <t>Guava berry (Myrciaria floribunda (H. West ex Willd.) O. Berg)</t>
  </si>
  <si>
    <t>Guava, Brazilian (Psidium guineense Sw.)</t>
  </si>
  <si>
    <t>Guava, cattley (Psidium cattleyanum Sabine)</t>
  </si>
  <si>
    <t>Guava, Costa Rican (Psidium friedrichsthalianum (O. Berg) Nied.)</t>
  </si>
  <si>
    <t>Guava, Para (Psidium acutangulum DC.)</t>
  </si>
  <si>
    <t>Guava, purple strawberry (Psidium cattleyanum Sabine var. cattleyanum)</t>
  </si>
  <si>
    <t>Guava, strawberry (Psidium cattleyanum Sabine var. littorale (Raddi) Fosberg)</t>
  </si>
  <si>
    <t>Guava, yellow strawberry (Psidium cattleyanum Sabine var. cattleyanum forma lucidum O. Deg.)</t>
  </si>
  <si>
    <t>Guayabillo (Psidium sartorianum (O. Berg) Nied.)</t>
  </si>
  <si>
    <t>Illawarra plum (Podocarpus elatus R. Br. Ex Endl.)</t>
  </si>
  <si>
    <t>Imbé (Garcinia livingstonei T. Anderson)</t>
  </si>
  <si>
    <t>Imbu (Spondias tuberosa Arruda ex Kost.)</t>
  </si>
  <si>
    <t>Indian-plum (Flacourtia jangomas (Lour.). basionym)</t>
  </si>
  <si>
    <t>Jaboticaba (Myrciaria cauliflora (Mart.) O. Berg)</t>
  </si>
  <si>
    <t>Jamaica-cherry (Muntingia calabura L.)</t>
  </si>
  <si>
    <t>Jambolan (Syzygium cumini (L.) Skeels)</t>
  </si>
  <si>
    <t>Jelly palm (Butia capitata (Mart.) Becc.)</t>
  </si>
  <si>
    <t>Jujube, Indian (Ziziphus mauritiana Lam.)</t>
  </si>
  <si>
    <t>Kaffir-plum (Harpephyllum caffrum Bernh. Ex C. Krauss)</t>
  </si>
  <si>
    <t>Kakadu plum (Terminalia latipes Benth. subsp. psilocarpa Pedley)</t>
  </si>
  <si>
    <t>Kapundung (Baccaurea racemosa (Reinw.) Mull. Arg.)</t>
  </si>
  <si>
    <t>Karanda (Carissa carandas L.)</t>
  </si>
  <si>
    <t>Kwai muk (Artocarpus hypargyreus Hance ex Benth.)</t>
  </si>
  <si>
    <t>Lemon aspen (Acronychia acidula F. Muell)</t>
  </si>
  <si>
    <t>Mangaba (Hancornia speciosa Gomes)</t>
  </si>
  <si>
    <t>Marian plum (Bouea macrophylla Griff.)</t>
  </si>
  <si>
    <t>Mombin, malayan (Spondias pinnata (J. Koenig ex L. f.) Kurz)</t>
  </si>
  <si>
    <t>Mombin, purple (Spondias purpurea L.)</t>
  </si>
  <si>
    <t>Mombin, yellow (Spondias mombin L.)</t>
  </si>
  <si>
    <t>Monkeyfruit (Artocarpus lacucha Buch. Ham.)</t>
  </si>
  <si>
    <t>Monos plum (Pseudanamomis umbellulifera (Kunth) Kausel)</t>
  </si>
  <si>
    <t>Mountain cherry (Bunchosia cornifolia Kunth)</t>
  </si>
  <si>
    <t>Nance (Byrsonima crassifolia (L.) Kunth)</t>
  </si>
  <si>
    <t>Natal plum (Carissa macrocarpa (Eckl.) A. DC.)</t>
  </si>
  <si>
    <t>Noni (Morinda citrifolia L.)</t>
  </si>
  <si>
    <t>Olive (Olea europaea L. subsp. europaea)</t>
  </si>
  <si>
    <t>Papaya, mountain (Vasconcellea pubescens A. DC.)</t>
  </si>
  <si>
    <t>Patauá (Oenocarpus bataua Mart.)</t>
  </si>
  <si>
    <t>Peach palm, fruit (Bactris gasipaes Kunth var. gasipaes)</t>
  </si>
  <si>
    <t>Persimmon, black (Diospyros texana Scheele)</t>
  </si>
  <si>
    <t>Persimmon, Japanese (Diospyros kaki Thunb.)</t>
  </si>
  <si>
    <t>Pitomba (Eugenia luschnathiana Klotzsch ex O. Berg)</t>
  </si>
  <si>
    <t>Plum-of-Martinique (Flacourtia inermis Roxb.)</t>
  </si>
  <si>
    <t>Pomerac (Syzygium malaccense (L.) Merr. &amp; L.M. Perry)</t>
  </si>
  <si>
    <t>Rambai (Baccaurea motleyana (Mull. Arg.) Mull. Arg.)</t>
  </si>
  <si>
    <t>Rose apple (Syzygium jambos (L.) Alston)</t>
  </si>
  <si>
    <t>Rukam (Flacourtia rukam Zoll. &amp; Moritizi)</t>
  </si>
  <si>
    <t>Rumberry (Myrciaria dubia (Kunth) McVaugh Myrtaceae)</t>
  </si>
  <si>
    <t>Sea grape (Coccoloba uvifera (L.) L.)</t>
  </si>
  <si>
    <t>Sentul (Sandoricum koetjape (Burm. F.) Merr.)</t>
  </si>
  <si>
    <t>Sete-capotes (Campomanesia guazumifolia (Cambess.) O. Berg)</t>
  </si>
  <si>
    <t>Silver aspen (Acronychia wilcoxian (F. Muell.) T.G. Hartley)</t>
  </si>
  <si>
    <t>Starfruit (Averrhoa carambola L.)</t>
  </si>
  <si>
    <t>Surinam cherry (Eugenia uniflora L.)</t>
  </si>
  <si>
    <t>Tamarind (Tamarindus indica L.)</t>
  </si>
  <si>
    <t>Uvalha (Eugenia pyriformis Cambess )</t>
  </si>
  <si>
    <t>Water apple (Syzygium aqueum (Burm. F.) Alston)</t>
  </si>
  <si>
    <t>Water pear (Syzygium guineense (Willd.) DC)</t>
  </si>
  <si>
    <t>Water berry (Syzygium cordatum Hochst. Ex C. Krauss)</t>
  </si>
  <si>
    <t>Wax jambu (Syzygium samarangense (Blume) Merr. &amp; L.M. Perry)</t>
  </si>
  <si>
    <t>Abiu (Pouteria caimito (Ruiz &amp; Pav.) Radlk)</t>
  </si>
  <si>
    <t>Aisen (Boscia senegalensis (Pers.) Lam.)</t>
  </si>
  <si>
    <t>Akee apple (Blighia sapida K.D. Koenig)</t>
  </si>
  <si>
    <t>Atemoya (Annona cherimola Mill. X A. squamosa L.)</t>
  </si>
  <si>
    <t>Avocado (Persea americana Mill.)</t>
  </si>
  <si>
    <t>Avocado, Guatemalan (Persea americana Mill. var. guatemalensis)</t>
  </si>
  <si>
    <t>Avocado, Mexican (Persea americana Mill. var. drymifolia (Schltdl. &amp; Cham.) S.F. Blak)</t>
  </si>
  <si>
    <t>Avocado, West Indian (Persea americana var. americana)</t>
  </si>
  <si>
    <t>Bacury (Platonia insignis Mart.)</t>
  </si>
  <si>
    <t>Bael fruit (Aegle marmelos (L.) Corrêa)</t>
  </si>
  <si>
    <t>Banana (Musa spp.)</t>
  </si>
  <si>
    <t>Banana, dwarf (Musa hybrids; Musa acuminata Colla)</t>
  </si>
  <si>
    <t>Binjai (Mangifera caesia Jack)</t>
  </si>
  <si>
    <t>Biriba (Annona mucosa Jacq.)</t>
  </si>
  <si>
    <t>Breadfruit (Artocarpus altilis (Parkinson) Fosberg)</t>
  </si>
  <si>
    <t>Burmese grape (Baccaurea ramiflora Lour.)</t>
  </si>
  <si>
    <t>Canistel (Pouteria campechiana (Kunth) Baehni)</t>
  </si>
  <si>
    <t>Cat's-eyes (Dimocarpus longan Lour. subsp. malesianus Leenh.)</t>
  </si>
  <si>
    <t>Champedak (Artocarpus integer (Thunb.) Merr.)</t>
  </si>
  <si>
    <t>Cherimoya (Annona cherimola Mill.)</t>
  </si>
  <si>
    <t>Cupuacú (Theobroma grandiflorum (Willd. Ex Spreng.) K. Schum.)</t>
  </si>
  <si>
    <t>Custard apple (Annona reticulata L.)</t>
  </si>
  <si>
    <t>Dragon fruit (Hylocereus undatus (Haw.) Britton &amp; Rose)</t>
  </si>
  <si>
    <t>Durian (Durio zibethinus L.)</t>
  </si>
  <si>
    <t>Elephant-apple (Limonia acidissima L.)</t>
  </si>
  <si>
    <t>Etambe (Mangifera zeylanica (Blume) Hook. F.)</t>
  </si>
  <si>
    <t>Granadilla (Passiflora ligularis Juss.)</t>
  </si>
  <si>
    <t>Granadilla, giant (Passiflora quadrangularis L.)</t>
  </si>
  <si>
    <t>Ilama (Annona macroprophyllata Donn. Sm.)</t>
  </si>
  <si>
    <t>Ingá (Inga vera Willd. subsp. affinis (DC.) T.D. Penn.)</t>
  </si>
  <si>
    <t>Jackfruit (Artocarpus heterophyllus Lam.)</t>
  </si>
  <si>
    <t>Jatobá (Hymenaea courbaril L.)</t>
  </si>
  <si>
    <t>Karuka (Pandanus julianettii Martelli)</t>
  </si>
  <si>
    <t>Kei apple (Dovyalis caffra (Hook. F. &amp; Harv.) Warb.)</t>
  </si>
  <si>
    <t>Langsat (Lansium domesticum Corrêa)</t>
  </si>
  <si>
    <t>Lanjut (Mangifera lagenifera Griff.)</t>
  </si>
  <si>
    <t>Longan (Dimocarpus longan Lour.)</t>
  </si>
  <si>
    <t>Lucuma (Pouteria lucuma (Ruiz &amp; Pav.) Kuntze)</t>
  </si>
  <si>
    <t>Lychee (Litchi chinensis Sonn.)</t>
  </si>
  <si>
    <t>Mabolo (Diospyros blancoi A. DC.)</t>
  </si>
  <si>
    <t>Madras-thorn (Pithecellobium dulce (Roxb.) Benth.)</t>
  </si>
  <si>
    <t>Mammy-apple (Mammea americana L.)</t>
  </si>
  <si>
    <t>Manduro (Balanites maughamii Sprague)</t>
  </si>
  <si>
    <t>Mango (Mangifera indica L.)</t>
  </si>
  <si>
    <t>Mango, horse (Mangifera foetida Lour.)</t>
  </si>
  <si>
    <t>Mango, Saipan (Mangifera odorata Griff.)</t>
  </si>
  <si>
    <t>Mangosteen (Garcinia mangostana L. )</t>
  </si>
  <si>
    <t>Marang (Artocarpus odoratissimus Blanco)</t>
  </si>
  <si>
    <t>Marmaladebox (Genipa americana L.)</t>
  </si>
  <si>
    <t>Matisia (Matisia cordata Humb. &amp; Bonpl.)</t>
  </si>
  <si>
    <t>Mesquite (Prosopis juliflora (Sw.) DC.)</t>
  </si>
  <si>
    <t>Mongongo, fruit (Schinziophyton rautanenii (Schinz) Radcl.-Sm)</t>
  </si>
  <si>
    <t>Monkey-bread-tree (Adansonia digitata L.)</t>
  </si>
  <si>
    <t>Monstera (Monstera deliciosa Liebm.)</t>
  </si>
  <si>
    <t>Nicobar-breadfruit (Pandanus leram Jones ex Fontana)</t>
  </si>
  <si>
    <t>Paho (Mangifera altissima Blanco)</t>
  </si>
  <si>
    <t>Pandanus (Pandanus utilis Bory)</t>
  </si>
  <si>
    <t>Papaya (Carica papaya L.)</t>
  </si>
  <si>
    <t>Passionflower, winged-stem (Passiflora alata Curtis)</t>
  </si>
  <si>
    <t>Passionfruit (Passiflora edulis Sims)</t>
  </si>
  <si>
    <t>Passionfruit, banana (Passiflora tripartita var. mollissima (Kunth) Holm-Niels. &amp; P. Jorg.)</t>
  </si>
  <si>
    <t>Passionfruit, purple (Passiflora edulis Sims forma edulis)</t>
  </si>
  <si>
    <t>Passionfruit, yellow (Passiflora edulis Sims forma flavicarpa O. Deg.)</t>
  </si>
  <si>
    <t>Pawpaw, common (Asimina triloba (L.) Dunal)</t>
  </si>
  <si>
    <t>Pawpaw, small-flower (Asimina parviflora (Michx.) Dunal)</t>
  </si>
  <si>
    <t>Pelipisan (Mangifera casturi Kosterm.)</t>
  </si>
  <si>
    <t>Pequi (Caryocar brasiliense Cambess)</t>
  </si>
  <si>
    <t>Pequia (Caryocar villosum (Aubl.) Pers.)</t>
  </si>
  <si>
    <t>Persimmon, American (Diospyros virginiana L.)</t>
  </si>
  <si>
    <t>Pineapple (Ananas comosus (L.) Merr.)</t>
  </si>
  <si>
    <t>Pitahaya (Hylocereus polyrhizus (F.A.C. Weber) Britton &amp; Rose)</t>
  </si>
  <si>
    <t>Pitaya (Hylocereus sp. including H. megalanthus (H. ocamponis and H. polychizus)</t>
  </si>
  <si>
    <t>Pitaya, amarilla (Hylocereus triangularis Britton &amp; Rose)</t>
  </si>
  <si>
    <t>Pitaya, roja (Hylocereus ocamponis (Salm-Dyck) Britton &amp; Rose)</t>
  </si>
  <si>
    <t>Pitaya, yellow (Hylocereus megalanthus (K. Schum. ex Vaupel) Ralf Bauer)</t>
  </si>
  <si>
    <t>Plantain (Musa paradisiaca L.)</t>
  </si>
  <si>
    <t>Pomegranate (Punica granatum L.)</t>
  </si>
  <si>
    <t>Poshte (Annona liebmanniana Baill.)</t>
  </si>
  <si>
    <t>Prickly pear, fruit (Opuntia ficus-indica (L.) Mill.)</t>
  </si>
  <si>
    <t>Prickly pear, Texas, fruit (Opuntia engelmannii Salm-Dyck ex Engelm. var. lindheimeri (Engelm.) B.D. Parfitt &amp; Pinkav)</t>
  </si>
  <si>
    <t>Pulasan (Nephelium ramboutan-ake (Labill.) Leenh.)</t>
  </si>
  <si>
    <t>Quandong (Santalum acuminatum (R. Br.) DC.)</t>
  </si>
  <si>
    <t>Rambutan (Nephelium lappaceum L.)</t>
  </si>
  <si>
    <t>Saguaro (Carnegiea gigantea (Engelm.) Britton &amp; Rose)</t>
  </si>
  <si>
    <t>Sapodilla (Manilkara zapota (L.) P. Royen)</t>
  </si>
  <si>
    <t>Sapote, black (Diospyros digyna Jacq.)</t>
  </si>
  <si>
    <t>Sapote, green (Pouteria viridis (Pittier) Cronquist)</t>
  </si>
  <si>
    <t>Sapote, mamey (Pouteria sapota (Jacq.) H.E. Moore &amp; Stearn)</t>
  </si>
  <si>
    <t>Sapote, white (Casimiroa edulis La Llave &amp; Lex)</t>
  </si>
  <si>
    <t>Sataw (Parkia speciosa Hassk.)</t>
  </si>
  <si>
    <t>Satinleaf (Chrysophyllum oliviforme L.)</t>
  </si>
  <si>
    <t>Screw-pine (Pandanus tectorius Parkinson)</t>
  </si>
  <si>
    <t>Sierra Leone-tamarind (Dialium guineense Willd.)</t>
  </si>
  <si>
    <t>Soncoya (Annona purpurea Moc. &amp; Sessé ex Dunal)</t>
  </si>
  <si>
    <t>Soursop (Annona muricata L.)</t>
  </si>
  <si>
    <t>Spanish lime (Melicoccus bijugatus Jacq.)</t>
  </si>
  <si>
    <t>Star apple (Chrysophyllum cainito L.)</t>
  </si>
  <si>
    <t>Sugar apple (Annona squamosa L.)</t>
  </si>
  <si>
    <t>Sun sapote (Licania platypus (Hemsl.) Fritsch)</t>
  </si>
  <si>
    <t>Tamarind-of-the-Indies (Vangueria madagascariensis J.F. Gmel.)</t>
  </si>
  <si>
    <t>Velvet tamarind (Dialium indum L.)</t>
  </si>
  <si>
    <t>Wampi (Clausena lansium (Lour.) Skeels)</t>
  </si>
  <si>
    <t>White star apple (Chrysophyllum albidum G. Don)</t>
  </si>
  <si>
    <t>Wild loquat (Uapaca kirkiana Müll. Arg.)</t>
  </si>
  <si>
    <t>25: Herb Group</t>
  </si>
  <si>
    <t>Agrimony, dried leaves, Agrimonia eupatoria L</t>
  </si>
  <si>
    <t>Agrimony, fresh leaves, Agrimonia eupatoria L</t>
  </si>
  <si>
    <t>Amla, dried leaves, Phyllanthus amarus Schumach</t>
  </si>
  <si>
    <t>Amla, fresh leaves, Phyllanthus amarus Schumach</t>
  </si>
  <si>
    <t>Angelica, dahurian, dried leaves, Angelica dahurica (Hoffm.) Benth &amp; Hook. F. ex Franch. &amp; Sav</t>
  </si>
  <si>
    <t>Angelica, dahurian, fresh leaves, Angelica dahurica (Hoffm.) Benth &amp; Hook. F. ex Franch. &amp; Sav</t>
  </si>
  <si>
    <t>Angelica, dried leaves, Angelica archangelica L</t>
  </si>
  <si>
    <t>Angelica, fresh leaves, Angelica archangelica L</t>
  </si>
  <si>
    <t>Applemint, dried leaves, Mentha suaveolens Ehrh</t>
  </si>
  <si>
    <t>Applemint, fresh leaves, Mentha suaveolens Ehrh</t>
  </si>
  <si>
    <t>Avarum, dried leaves, Senna auriculata (L.) Roxb</t>
  </si>
  <si>
    <t>Avarum, fresh leaves, Senna auriculata (L.) Roxb</t>
  </si>
  <si>
    <t>Balloon pea, dried leaves, Lessertia frutescens (L.) Goldblatt &amp; J. C. Manning</t>
  </si>
  <si>
    <t>Balloon pea, fresh leaves, Lessertia frutescens (L.) Goldblatt &amp; J. C. Manning</t>
  </si>
  <si>
    <t>Balm, dried leaves, Melissa officinalis L</t>
  </si>
  <si>
    <t>Balm, fresh leaves, Melissa officinalis L</t>
  </si>
  <si>
    <t>Barrenwort, dried leaves, Epimedium grandiflorum C. Morren</t>
  </si>
  <si>
    <t>Barrenwort, fresh leaves, Epimedium grandiflorum C. Morren</t>
  </si>
  <si>
    <t>Basil, American, dried leaves, Ocimum americanum L</t>
  </si>
  <si>
    <t>Basil, American, fresh leaves, Ocimum americanum L</t>
  </si>
  <si>
    <t>Basil, dried leaves, Ocimum basilicum L</t>
  </si>
  <si>
    <t>Basil, fresh leaves, Ocimum basilicum L</t>
  </si>
  <si>
    <t>Basil, Greek, dried leaves, Ocimum minimum L</t>
  </si>
  <si>
    <t>Basil, Greek, fresh leaves, Ocimum minimum L</t>
  </si>
  <si>
    <t>Basil, holy, dried leaves, Ocimum tenuiflorum L</t>
  </si>
  <si>
    <t>Basil, holy, fresh leaves, Ocimum tenuiflorum L</t>
  </si>
  <si>
    <t>Basil, lemon, dried leaves, Ocimum x citriodorum Vis</t>
  </si>
  <si>
    <t>Basil, lemon, fresh leaves, Ocimum x citriodorum Vis</t>
  </si>
  <si>
    <t>Basil, Russian, dried leaves, Ocimum gratissimum L</t>
  </si>
  <si>
    <t>Basil, Russian, fresh leaves, Ocimum gratissimum L</t>
  </si>
  <si>
    <t>Bay, dried leaves, Laurus nobilis L</t>
  </si>
  <si>
    <t>Bay, fresh leaves, Laurus nobilis L</t>
  </si>
  <si>
    <t>Bearberry, dried leaves, Arctostaphylos uva ursi (L.) Spreng</t>
  </si>
  <si>
    <t>Bearberry, fresh leaves, Arctostaphylos uva ursi (L.) Spreng</t>
  </si>
  <si>
    <t>Bisongrass, dried leaves, Anthoxanthum nitens (Weber) Y. Schouten &amp; Veldkamp</t>
  </si>
  <si>
    <t>Bisongrass, fresh leaves, Anthoxanthum nitens (Weber) Y. Schouten &amp; Veldkamp</t>
  </si>
  <si>
    <t>Blue mallow, dried leaves, Malva sylvestris L</t>
  </si>
  <si>
    <t>Blue mallow, fresh leaves, Malva sylvestris L</t>
  </si>
  <si>
    <t>Boneset, dried leaves, Eupatorium perfoliatum L</t>
  </si>
  <si>
    <t>Boneset, fresh leaves, Eupatorium perfoliatum L</t>
  </si>
  <si>
    <t>Borage, dried leaves, Borago officinalis L</t>
  </si>
  <si>
    <t>Borage, fresh leaves, Borago officinalis L</t>
  </si>
  <si>
    <t>Borage, Indian, dried leaves, Plectranthus amboinicus (Lour.) Spreng</t>
  </si>
  <si>
    <t>Borage, Indian, fresh leaves, Plectranthus amboinicus (Lour.) Spreng</t>
  </si>
  <si>
    <t>Burnet, dried leaves, Sanguisorba spp</t>
  </si>
  <si>
    <t>Burnet, fresh leaves, Sanguisorba spp</t>
  </si>
  <si>
    <t>Burnet, garden, dried leaves, Sanguisorba officinalis L</t>
  </si>
  <si>
    <t>Burnet, garden, fresh leaves, Sanguisorba officinalis L</t>
  </si>
  <si>
    <t>Burnet, salad, dried leaves, Sanguisorba minor Scop</t>
  </si>
  <si>
    <t>Burnet, salad, fresh leaves, Sanguisorba minor Scop</t>
  </si>
  <si>
    <t>Butterbur, dried leaves, Petasites hybridus (L.) G. Gaertn. Et al., P. frigidus (L.) Fr</t>
  </si>
  <si>
    <t>Butterbur, fresh leaves, Petasites hybridus (L.) G. Gaertn. Et al., P. frigidus (L.) Fr</t>
  </si>
  <si>
    <t>Calamint, dried leaves, Clinopodium spp</t>
  </si>
  <si>
    <t>Calamint, fresh leaves, Clinopodium spp</t>
  </si>
  <si>
    <t>Calamint, large-flower, dried leaves, Clinopodium grandiflorum (L.) Kuntze</t>
  </si>
  <si>
    <t>Calamint, large-flower, fresh leaves, Clinopodium grandiflorum (L.) Kuntze</t>
  </si>
  <si>
    <t>Calamint, lesser, dried leaves, Clinopodium nepeta (L.) Kuntze</t>
  </si>
  <si>
    <t>Calamint, lesser, fresh leaves, Clinopodium nepeta (L.) Kuntze</t>
  </si>
  <si>
    <t>Calendula, dried leaves, Calendula officinalis L</t>
  </si>
  <si>
    <t>Calendula, fresh leaves, Calendula officinalis L</t>
  </si>
  <si>
    <t>Caltrop, dried leaves, Tribulus terrestris L</t>
  </si>
  <si>
    <t>Caltrop, fresh leaves, Tribulus terrestris L</t>
  </si>
  <si>
    <t>Camomile (Chamomile), dried leaves, Chamaemelum spp. and Matricaria spp</t>
  </si>
  <si>
    <t>Camomile (Chamomile), fresh leaves, Chamaemelum spp. and Matricaria spp</t>
  </si>
  <si>
    <t>Camomile (Chamomile), German, dried leaves, Matricaria recutita L</t>
  </si>
  <si>
    <t>Camomile (Chamomile), German, fresh leaves, Matricaria recutita L</t>
  </si>
  <si>
    <t>Camomile (Chamomile), Roman, dried leaves, Chamaemelum nobile (L.) All</t>
  </si>
  <si>
    <t>Camomile (Chamomile), Roman, fresh leaves, Chamaemelum nobile (L.) All</t>
  </si>
  <si>
    <t>Caraway, dried leaves, Carum carvi L</t>
  </si>
  <si>
    <t>Caraway, fresh leaves, Carum carvi L</t>
  </si>
  <si>
    <t>Catnip, dried leaves, Nepeta cataria L</t>
  </si>
  <si>
    <t>Catnip, fresh leaves, Nepeta cataria L</t>
  </si>
  <si>
    <t>Catnip, Japanese, dried leaves, Schizonepeta multifida (L.) Briq</t>
  </si>
  <si>
    <t>Catnip, Japanese, fresh leaves, Schizonepeta multifida (L.) Briq</t>
  </si>
  <si>
    <t>Cat's claw, dried leaves, Uncaria tomentosa (Willd.) DC., U. guianensis (Aubl.) J. F. Gmel</t>
  </si>
  <si>
    <t>Cat's claw, fresh leaves, Uncaria tomentosa (Willd.) DC., U. guianensis (Aubl.) J. F. Gmel</t>
  </si>
  <si>
    <t>Celandine, greater, dried leaves, Chelidonium majus L</t>
  </si>
  <si>
    <t>Celandine, greater, fresh leaves, Chelidonium majus L</t>
  </si>
  <si>
    <t>Celandine, lesser, dried leaves, Ficaria verna Huds</t>
  </si>
  <si>
    <t>Celandine, lesser, fresh leaves, Ficaria verna Huds</t>
  </si>
  <si>
    <t>Celery, dried leaves, Apium graveolens L. var. dulce (Mill.) DC</t>
  </si>
  <si>
    <t>Centaury, dried leaves, Centaurium erythrarae Rafn</t>
  </si>
  <si>
    <t>Centaury, fresh leaves, Centaurium erythrarae Rafn</t>
  </si>
  <si>
    <t>Chaste tree, Chinese, dried leaves, Vitex negundo L.</t>
  </si>
  <si>
    <t>Chaste tree, Chinese, fresh leaves, Vitex negundo L</t>
  </si>
  <si>
    <t>Chaste tree, dried leaves, Vitex agnus-castus L</t>
  </si>
  <si>
    <t>Chaste tree, fresh leaves, Vitex agnus-castus L</t>
  </si>
  <si>
    <t>Chervil, dried leaves, Anthriscus cerefolium (L.) Hoffm</t>
  </si>
  <si>
    <t>Chinese blackberry, dried leaves, Rubus stipulates L.H. Bailey</t>
  </si>
  <si>
    <t>Chinese blackberry, fresh leaves, Rubus stipulates L.H. Bailey</t>
  </si>
  <si>
    <t>Chinese foxglove, dried leaves, Rehmannia glutinosa (Gaertn.) Steud</t>
  </si>
  <si>
    <t>Chinese foxglove, fresh leaves, Rehmannia glutinosa (Gaertn.) Steud</t>
  </si>
  <si>
    <t>Chive, Chinese, dried leaves, Allium tuberosum Rottler ex Spreng</t>
  </si>
  <si>
    <t>Chive, dried leaves, Allium schoenoprasum L</t>
  </si>
  <si>
    <t>Cicely, sweet, dried leaves, Myrrhis odorata (L.) Scop</t>
  </si>
  <si>
    <t>Cicely, sweet, fresh leaves, Myrrhis odorata (L.) Scop</t>
  </si>
  <si>
    <t>Cilantro, dried leaves, Coriandrum sativum L</t>
  </si>
  <si>
    <t>Clary, dried leaves, Salvia sclarea L</t>
  </si>
  <si>
    <t>Clary, fresh leaves, Salvia sclarea L</t>
  </si>
  <si>
    <t>Coriander, Bolivian, dried leaves, Porophyllum ruderale (Jacq.) Cass</t>
  </si>
  <si>
    <t>Coriander, Bolivian, fresh leaves, Porophyllum ruderale (Jacq.) Cass</t>
  </si>
  <si>
    <t>Coriander, Vietnamese, dried leaves, Persicaria odorata (Lour.) Sojak</t>
  </si>
  <si>
    <t>Coriander, Vietnamese, fresh leaves, Persicaria odorata (Lour.) Sojak</t>
  </si>
  <si>
    <t>Costmary, dried leaves, Tanacetum balsamita L. subsp. Balsamita</t>
  </si>
  <si>
    <t>Costmary, fresh leaves, Tanacetum balsamita L. subsp. Balsamita</t>
  </si>
  <si>
    <t>Creat, dried leaves, Andrographis paniculata (Burm. f.) Wall. Ex Nees</t>
  </si>
  <si>
    <t>Creat, fresh leaves, Andrographis paniculata (Burm. f.) Wall. Ex Nees</t>
  </si>
  <si>
    <t>Culantro, dried leaves, Eryngium foetidum L</t>
  </si>
  <si>
    <t>Culantro, fresh leaves, Eryngium foetidum L</t>
  </si>
  <si>
    <t>Curry leaf, dried leaves, Bergera koenigii L</t>
  </si>
  <si>
    <t>Curry leaf, fresh leaves, Bergera koenigii L</t>
  </si>
  <si>
    <t>Curryplant, dried leaves, Helichrysum italicum (Roth) G. Don</t>
  </si>
  <si>
    <t>Curryplant, fresh leaves, Helichrysum italicum (Roth) G. Don</t>
  </si>
  <si>
    <t>Cut leaf, dried leaves, Prostanthera incisa R. Br</t>
  </si>
  <si>
    <t>Cut leaf, fresh leaves, Prostanthera incisa R. Br</t>
  </si>
  <si>
    <t>Damiana, dried leaves, Turnera diffusa Willd</t>
  </si>
  <si>
    <t>Damiana, fresh leaves, Turnera diffusa Willd</t>
  </si>
  <si>
    <t>Dillweed, dried leaves, Anethum graveolens L</t>
  </si>
  <si>
    <t>Dokudami, dried leaves, Houttuynia cordata Thunb</t>
  </si>
  <si>
    <t>Dokudami, fresh leaves, Houttuynia cordata Thunb</t>
  </si>
  <si>
    <t>Echinacea, dried leaves, Echinacea angustifolia DC., Echinacea spp</t>
  </si>
  <si>
    <t>Echinacea, fresh leaves, Echinacea angustifolia DC., Echinacea spp</t>
  </si>
  <si>
    <t>Epazote, dried leaves, Dysphania ambrosioides (L.) Mosyakin &amp; Clemants</t>
  </si>
  <si>
    <t>Epazote, fresh leaves, Dysphania ambrosioides (L.) Mosyakin &amp; Clemants</t>
  </si>
  <si>
    <t>Eucommia, dried leaves, Eucommia ulmoides Oliv</t>
  </si>
  <si>
    <t>Eucommia, fresh leaves, Eucommia ulmoides Oliv</t>
  </si>
  <si>
    <t>Evening primrose, dried leaves, Oenothera biennis L</t>
  </si>
  <si>
    <t>Evening primrose, fresh leaves, Oenothera biennis L</t>
  </si>
  <si>
    <t>Eyebright, dried leaves, Euphrasia officinalis L.</t>
  </si>
  <si>
    <t>Eyebright, fresh leaves, Euphrasia officinalis L.</t>
  </si>
  <si>
    <t>Fennel, common, dried leaves, Foeniculum vulgare Mill. subsp. vulgare var. vulgare</t>
  </si>
  <si>
    <t>Fennel, common, fresh leaves, Foeniculum vulgare Mill. subsp. vulgare var. vulgare</t>
  </si>
  <si>
    <t>Fennel, Florence, dried leaves, Foeniculum vulgare Mill. subsp. vulgare var. azoricum (Mill.) Thell</t>
  </si>
  <si>
    <t>Fennel, Spanish, dried leaves, Nigella spp</t>
  </si>
  <si>
    <t>Fennel, Spanish, fresh leaves, Nigella spp</t>
  </si>
  <si>
    <t>Fenugreek, dried leaves, Trigonella foenum-graecum L</t>
  </si>
  <si>
    <t>Fenugreek, fresh leaves, Trigonella foenum-graecum L</t>
  </si>
  <si>
    <t>Feverfew, dried leaves, Tanacetum parthenium (L.) Sch. Bip</t>
  </si>
  <si>
    <t>Feverfew, fresh leaves, Tanacetum parthenium (L.) Sch. Bip</t>
  </si>
  <si>
    <t>Field pennycress, dried leaves, Thlaspi arvense L</t>
  </si>
  <si>
    <t>Field pennycress, fresh leaves, Thlaspi arvense L</t>
  </si>
  <si>
    <t>Flowers, edible, dried, multiple species</t>
  </si>
  <si>
    <t>Flowers, edible, fresh, multiple species</t>
  </si>
  <si>
    <t>Fumitory, dried leaves, Fumaria officinalis L</t>
  </si>
  <si>
    <t>Fumitory, fresh leaves, Fumaria officinalis L</t>
  </si>
  <si>
    <t>Galbanum, dried leaves, Ferula gummosa Boiss</t>
  </si>
  <si>
    <t>Galbanum, fresh leaves, Ferula gummosa Boiss</t>
  </si>
  <si>
    <t>Galega, dried leaves, Galega officinalis L</t>
  </si>
  <si>
    <t>Galega, fresh leaves, Galega officinalis L</t>
  </si>
  <si>
    <t>Gambir, dried leaves, Uncaria gambir (W. Hunter) Roxb</t>
  </si>
  <si>
    <t>Gambir, fresh leaves, Uncaria gambir (W. Hunter) Roxb</t>
  </si>
  <si>
    <t>Geranium, dried leaves, Pelargonium spp</t>
  </si>
  <si>
    <t>Geranium, fresh leaves, Pelargonium spp.</t>
  </si>
  <si>
    <t>Geranium, lemon, dried leaves, Pelargonium crispum (P. J. Bergius) L'Her</t>
  </si>
  <si>
    <t>Geranium, lemon, fresh leaves, Pelargonium crispum (P. J. Bergius) L'Her</t>
  </si>
  <si>
    <t>Geranium, rose, dried leaves, Pelargonium graveolens L'Her</t>
  </si>
  <si>
    <t>Geranium, rose, fresh leaves, Pelargonium graveolens L'Her</t>
  </si>
  <si>
    <t>Germander, golden, dried leaves, Teucrium polium L</t>
  </si>
  <si>
    <t>Germander, golden, fresh leaves, Teucrium polium L</t>
  </si>
  <si>
    <t>Goldenrod, European, dried leaves, Solidago virgaurea Scop</t>
  </si>
  <si>
    <t>Goldenrod, European, fresh leaves, Solidago virgaurea Scop</t>
  </si>
  <si>
    <t>Goldenseal, dried leaves, Hydrastis canadensis L</t>
  </si>
  <si>
    <t>Goldenseal, fresh leaves, Hydrastis canadensis L</t>
  </si>
  <si>
    <t>Gotu kola, dried leaves, Centella asiatica (L.) Urb</t>
  </si>
  <si>
    <t>Gotu kola, fresh leaves, Centella asiatica (L.) Urb</t>
  </si>
  <si>
    <t>Greater periwinkle, dried leaves, Vinca major L</t>
  </si>
  <si>
    <t>Greater periwinkle, fresh leaves, Vinca major L</t>
  </si>
  <si>
    <t>Guayusa, dried leaves, Ilex guayusa Loes</t>
  </si>
  <si>
    <t>Guayusa, fresh leaves, Ilex guayusa Loes</t>
  </si>
  <si>
    <t>Gumweed, dried leaves, Grindelia camporum Greene</t>
  </si>
  <si>
    <t>Gumweed, fresh leaves, Grindelia camporum Greene</t>
  </si>
  <si>
    <t>Gymnema, dried leaves, Gymnema sylvestre (Retz.) Schult</t>
  </si>
  <si>
    <t>Gymnema, fresh leaves, Gymnema sylvestre (Retz.) Schult</t>
  </si>
  <si>
    <t>Gypsywort, dried leaves, Lycopus europaeus L</t>
  </si>
  <si>
    <t>Gypsywort, fresh leaves, Lycopus europaeus L</t>
  </si>
  <si>
    <t>Hawthorn, dried leaves, Crataegus monogyna Jacq.; Crataegus spp</t>
  </si>
  <si>
    <t>Hawthorn, fresh leaves, Crataegus monogyna Jacq.; Crataegus spp</t>
  </si>
  <si>
    <t>Heal-all, dried leaves, Prunella vulgaris L</t>
  </si>
  <si>
    <t>Heal-all, fresh leaves, Prunella vulgaris L</t>
  </si>
  <si>
    <t>Hemp nettle, dried leaves, Galeopsis segetum Neck., Galeopsis spp</t>
  </si>
  <si>
    <t>Hemp nettle, fresh leaves, Galeopsis segetum Neck., Galeopsis spp</t>
  </si>
  <si>
    <t>Honewort, dried leaves, Cryptotaenia canadensis (L.) DC</t>
  </si>
  <si>
    <t>Honewort, fresh leaves, Cryptotaenia canadensis (L.) DC</t>
  </si>
  <si>
    <t>Honeybush, dried leaves, Cyclopia genistoides (L.) R. Br</t>
  </si>
  <si>
    <t>Honeybush, fresh leaves, Cyclopia genistoides (L.) R. Br</t>
  </si>
  <si>
    <t>Horehound, dried leaves, Marrubium vulgare L</t>
  </si>
  <si>
    <t>Horehound, fresh leaves, Marrubium vulgare L</t>
  </si>
  <si>
    <t>Horsemint, dried leaves, Mentha longifolia (L.) Huds</t>
  </si>
  <si>
    <t>Horsemint, fresh leaves, Mentha longifolia (L.) Huds</t>
  </si>
  <si>
    <t>Horsetail, dried leaves, Equisetum arvense L, E. ttelmateia Ehrh</t>
  </si>
  <si>
    <t>Horsetail, fresh leaves, Equisetum arvense L, E. ttelmateia Ehrh</t>
  </si>
  <si>
    <t>Hyssop, anise, dried leaves, Agastache foeniculum (Pursh) Kuntze</t>
  </si>
  <si>
    <t>Hyssop, anise, fresh leaves, Agastache foeniculum (Pursh) Kuntze</t>
  </si>
  <si>
    <t>Hyssop, dried leaves, Hyssopus officinalis L</t>
  </si>
  <si>
    <t>Hyssop, fresh leaves, Hyssopus officinalis L</t>
  </si>
  <si>
    <t>Indian tobacco, dried leaves, Lobelia inflata L</t>
  </si>
  <si>
    <t>Indian tobacco, fresh leaves, Lobelia inflata L</t>
  </si>
  <si>
    <t>Ironwort, dried leaves, Sideritis scardica Griseb., Sideritis spp</t>
  </si>
  <si>
    <t>Ironwort, fresh leaves, Sideritis scardica Griseb., Sideritis spp</t>
  </si>
  <si>
    <t>Ivy, dried leaves, Hedera helix L</t>
  </si>
  <si>
    <t>Ivy, fresh leaves, Hedera helix L</t>
  </si>
  <si>
    <t>Jamaica dogwood, dried leaves, Piscidia piscipula (L.) Sarg</t>
  </si>
  <si>
    <t>Jamaica dogwood, fresh leaves, Piscidia piscipula (L.) Sarg</t>
  </si>
  <si>
    <t>Jasmine, dried leaves, Jasminum officinale L., J. odoratissimum L</t>
  </si>
  <si>
    <t>Jasmine, fresh leaves, Jasminum officinale L., J. odoratissimum L</t>
  </si>
  <si>
    <t>Labrador tea, dried leaves, Rhododendron groenlandicum (Oeder) Kron &amp; Judd, R. tomentosum Harmaja</t>
  </si>
  <si>
    <t>Labrador tea, fresh leaves, Rhododendron groenlandicum (Oeder) Kron &amp; Judd, R. tomentosum Harmaja</t>
  </si>
  <si>
    <t>Lavender, dried leaves, Lavandula angustifolia Mill</t>
  </si>
  <si>
    <t>Lavender, fresh leaves, Lavandula angustifolia Mill</t>
  </si>
  <si>
    <t>Lemon verbena, dried leaves, Aloysia citrodora Palau</t>
  </si>
  <si>
    <t>Lemon verbena, fresh leaves, Aloysia citrodora Palau</t>
  </si>
  <si>
    <t>Lemongrass, dried leaves, Cymbopogon citratus (DC.) Stapf</t>
  </si>
  <si>
    <t>Lemongrass, fresh leaves, Cymbopogon citratus (DC.) Stapf</t>
  </si>
  <si>
    <t>Lovage, dried leaves, Levisticum officinale W.D.J. Koch</t>
  </si>
  <si>
    <t>Lovage, fresh leaves, Levisticum officinale W.D.J. Koch</t>
  </si>
  <si>
    <t>Love-in-a-mist, dried leaves, Nigella damascena L</t>
  </si>
  <si>
    <t>Love-in-a-mist, fresh leaves, Nigella damascena L</t>
  </si>
  <si>
    <t>Mamaki, dried leaves, Pipturus arborescens (Link) C. B. Rob</t>
  </si>
  <si>
    <t>Mamaki, fresh leaves, Pipturus arborescens (Link) C. B. Rob</t>
  </si>
  <si>
    <t>Marigold, African, dried leaves, Tagetes erecta L</t>
  </si>
  <si>
    <t>Marigold, African, fresh leaves, Tagetes erecta L</t>
  </si>
  <si>
    <t>Marigold, Aztec, dried leaves, Tagetes minuta L</t>
  </si>
  <si>
    <t>Marigold, Aztec, fresh leaves, Tagetes minuta L</t>
  </si>
  <si>
    <t>Marigold, dried leaves, Tagetes spp</t>
  </si>
  <si>
    <t>Marigold, French, dried leaves, Tagetes patula L</t>
  </si>
  <si>
    <t>Marigold, French, fresh leaves, Tagetes patula L</t>
  </si>
  <si>
    <t>Marigold, fresh leaves, Tagetes spp</t>
  </si>
  <si>
    <t>Marigold, Irish lace, dried leaves, Tagetes filifolia Lag</t>
  </si>
  <si>
    <t>Marigold, Irish lace, fresh leaves, Tagetes filifolia Lag</t>
  </si>
  <si>
    <t>Marigold, licorice, dried leaves, Tagetes micrantha Cav</t>
  </si>
  <si>
    <t>Marigold, licorice, fresh leaves, Tagetes micrantha Cav</t>
  </si>
  <si>
    <t>Marigold, Mexican mint, dried leaves, Tagetes lucida Cav</t>
  </si>
  <si>
    <t>Marigold, Mexican mint, fresh leaves, Tagetes lucida Cav</t>
  </si>
  <si>
    <t>Marigold, signet, dried leaves, Tagetes tenuifolia Cav</t>
  </si>
  <si>
    <t>Marigold, signet, fresh leaves, Tagetes tenuifolia Cav</t>
  </si>
  <si>
    <t>Marjoram, dried leaves, Origanum spp</t>
  </si>
  <si>
    <t>Marjoram, fresh leaves, Origanum spp</t>
  </si>
  <si>
    <t>Marjoram, pot, dried leaves, Origanum onites L</t>
  </si>
  <si>
    <t>Marjoram, pot, fresh leaves, Origanum onites L</t>
  </si>
  <si>
    <t>Marjoram, sweet, dried leaves, Origanum majorana L</t>
  </si>
  <si>
    <t>Marjoram, sweet, fresh leaves, Origanum majorana L</t>
  </si>
  <si>
    <t>Marshmallow, dried leaves, Althaea officinalis L</t>
  </si>
  <si>
    <t>Marshmallow, fresh leaves, Althaea officinalis L</t>
  </si>
  <si>
    <t>Meadowsweet, dried leaves, Filipendula ulmaria (L.) Maxim</t>
  </si>
  <si>
    <t>Meadowsweet, fresh leaves, Filipendula ulmaria (L.) Maxim</t>
  </si>
  <si>
    <t>Mint, corn, dried leaves, Mentha arvensis L</t>
  </si>
  <si>
    <t>Mint, corn, fresh leaves, Mentha arvensis L</t>
  </si>
  <si>
    <t>Mint, dried leaves, Mentha spp</t>
  </si>
  <si>
    <t>Mint, fresh leaves, Mentha spp</t>
  </si>
  <si>
    <t>Mint, Korean, dried leaves, Agastache rugosa (Fisch. &amp; C.A. Mey.) Kun</t>
  </si>
  <si>
    <t>Mint, Korean, fresh leaves, Agastache rugosa (Fisch. &amp; C.A. Mey.) Kun</t>
  </si>
  <si>
    <t>Monarda, dried leaves, Monarda spp</t>
  </si>
  <si>
    <t>Monarda, fresh leaves, Monarda spp</t>
  </si>
  <si>
    <t>Moringa, dried leaves, Moringa oleifera L</t>
  </si>
  <si>
    <t>Moringa, fresh leaves, Moringa oleifera L</t>
  </si>
  <si>
    <t>Motherwort, dried leaves, Leonurus cardiaca L</t>
  </si>
  <si>
    <t>Motherwort, fresh leaves, Leonurus cardiaca L</t>
  </si>
  <si>
    <t>Mountainmint, clustered, dried leaves, Pycnanthemum muticum (Michx.) Pers</t>
  </si>
  <si>
    <t>Mountainmint, clustered, fresh leaves, Pycnanthemum muticum (Michx.) Pers</t>
  </si>
  <si>
    <t>Mountainmint, dried leaves, Pycnanthemum spp</t>
  </si>
  <si>
    <t>Mountainmint, fresh leaves, Pycnanthemum spp</t>
  </si>
  <si>
    <t>Mountainmint, hoary, dried leaves, Pycnanthemum incanum Michx</t>
  </si>
  <si>
    <t>Mountainmint, hoary, fresh leaves, Pycnanthemum incanum Michx</t>
  </si>
  <si>
    <t>Mountainmint, Virginia, dried leaves, Pycnanthemum virginianum (L.) T. Durand &amp; B.D. Jacks. ex B.L. Rob. &amp; Fernald</t>
  </si>
  <si>
    <t>Mountainmint, Virginia, fresh leaves, Pycnanthemum virginianum (L.) T. Durand &amp; B.D. Jacks. Ex B.L. Rob. &amp; Fernald</t>
  </si>
  <si>
    <t>Mountainmint, whorled, dried leaves, Pycnanthemum verticillatum (Michx.) Pers</t>
  </si>
  <si>
    <t>Mountainmint, whorled, fresh leaves, Pycnanthemum verticillatum (Michx.) Pers</t>
  </si>
  <si>
    <t>Mugwort, dried leaves, Artemisia vulgaris L</t>
  </si>
  <si>
    <t>Mugwort, fresh leaves, Artemisia vulgaris L</t>
  </si>
  <si>
    <t>Mulberry, white, dried leaves, Morus alba L</t>
  </si>
  <si>
    <t>Mulberry, white, fresh leaves, Morus alba L</t>
  </si>
  <si>
    <t>Mullein, dried leaves, Verbascum densiflorum Bertol., Verbascum spp</t>
  </si>
  <si>
    <t>Mullein, fresh leaves, Verbascum densiflorum Bertol., Verbascum spp</t>
  </si>
  <si>
    <t>Mustard, hedge, dried leaves, Sisymbrium officinale (L.) Scop</t>
  </si>
  <si>
    <t>Mustard, hedge, fresh leaves, Sisymbrium officinale (L.) Scop</t>
  </si>
  <si>
    <t>Nasturtium, bush, dried leaves, Tropaeolum minus L</t>
  </si>
  <si>
    <t>Nasturtium, bush, fresh leaves, Tropaeolum minus L</t>
  </si>
  <si>
    <t>Nasturtium, dried leaves, Tropaeolum spp</t>
  </si>
  <si>
    <t>Nasturtium, fresh leaves, Tropaeolum spp</t>
  </si>
  <si>
    <t>Nasturtium, garden, dried leaves, Tropaeolum majus L</t>
  </si>
  <si>
    <t>Nasturtium, garden, fresh leaves, Tropaeolum majus L</t>
  </si>
  <si>
    <t>Nettle, stinging, dried leaves, Urtica dioica L</t>
  </si>
  <si>
    <t>Nettle, stinging, fresh leaves, Urtica dioica L</t>
  </si>
  <si>
    <t>Oregano, dried leaves, Origanum vulgare L</t>
  </si>
  <si>
    <t>Oregano, fresh leaves, Origanum vulgare L</t>
  </si>
  <si>
    <t>Oregano, Mexican, dried leaves, Lippia graveolens Kunth</t>
  </si>
  <si>
    <t>Oregano, Mexican, fresh leaves, Lippia graveolens Kunth</t>
  </si>
  <si>
    <t>Oregano, Puerto Rico, dried leaves, Lippia micromera Schauer</t>
  </si>
  <si>
    <t>Oregano, Puerto Rico, fresh leaves, Lippia micromera Schauer</t>
  </si>
  <si>
    <t>Oswego tea, dried leaves, Monarda didyma L</t>
  </si>
  <si>
    <t>Oswego tea, fresh leaves, Monarda didyma L</t>
  </si>
  <si>
    <t>Pandan leaf, dried leaves, Pandanus amaryllifolius Roxb</t>
  </si>
  <si>
    <t>Pandan leaf, fresh leaves, Pandanus amaryllifolius Roxb</t>
  </si>
  <si>
    <t>Pansy, dried leaves, Viola tricolor L</t>
  </si>
  <si>
    <t>Pansy, fresh leaves, Viola tricolor L</t>
  </si>
  <si>
    <t>Paracress, dried leaves, Acmella oleracea (L.) R.K. Jansen</t>
  </si>
  <si>
    <t>Paracress, fresh leaves, Acmella oleracea (L.) R.K. Jansen</t>
  </si>
  <si>
    <t>Parsley, dried leaves, Petroselinum crispum (Mill.) Fuss</t>
  </si>
  <si>
    <t>Partridge berry, dried leaves, Mitchella repens L</t>
  </si>
  <si>
    <t>Partridge berry, fresh leaves, Mitchella repens L</t>
  </si>
  <si>
    <t>Patchouli, dried leaves, Pogostemon cablin (Blanco) Benth</t>
  </si>
  <si>
    <t>Patchouli, fresh leaves, Pogostemon cablin (Blanco) Benth</t>
  </si>
  <si>
    <t>Pennyroyal, dried leaves, Mentha pulegium L</t>
  </si>
  <si>
    <t>Pennyroyal, fresh leaves, Mentha pulegium L</t>
  </si>
  <si>
    <t>Pepper leaf, black, dried leaves, Piper nigrum L</t>
  </si>
  <si>
    <t>Pepper leaf, black, fresh leaves, Piper nigrum L</t>
  </si>
  <si>
    <t>Peppermint, dried leaves, Mentha X piperita L</t>
  </si>
  <si>
    <t>Peppermint, fresh leaves, Mentha X piperita L</t>
  </si>
  <si>
    <t>Perilla, dried leaves, Perilla frutescens (L.) Britton</t>
  </si>
  <si>
    <t>Perilla, fresh leaves, Perilla frutescens (L.) Britton</t>
  </si>
  <si>
    <t>Pill bearing spurge, dried leaves, Euphorbia hirta L</t>
  </si>
  <si>
    <t>Pill bearing spurge, fresh leaves, Euphorbia hirta L</t>
  </si>
  <si>
    <t>Pipsissewa, dried leaves, Chimaphila umbellata (L.) W. P. C. Barton</t>
  </si>
  <si>
    <t>Pipsissewa, fresh leaves, Chimaphila umbellata (L.) W. P. C. Barton</t>
  </si>
  <si>
    <t>Plantain, common, dried leaves, Plantago major L</t>
  </si>
  <si>
    <t>Plantain, common, fresh leaves, Plantago major L</t>
  </si>
  <si>
    <t>Rooibos, dried leaves, Aspalathus linearis (Burm. f.) R. Dahlgren</t>
  </si>
  <si>
    <t>Rooibos, fresh leaves, Aspalathus linearis (Burm. f.) R. Dahlgren</t>
  </si>
  <si>
    <t>Rose, dried leaves, Rosa spp</t>
  </si>
  <si>
    <t>Rose, fresh leaves, Rosa spp</t>
  </si>
  <si>
    <t>Rosemary, dried leaves, Rosmarinus officinalis L</t>
  </si>
  <si>
    <t>Rosemary, fresh leaves, Rosmarinus officinalis L</t>
  </si>
  <si>
    <t>Sage, dried leaves, Salvia officinalis L</t>
  </si>
  <si>
    <t>Sage, fresh leaves, Salvia officinalis L</t>
  </si>
  <si>
    <t>Sage, Greek, dried leaves, Salvia fruticosa Mill</t>
  </si>
  <si>
    <t>Sage, Greek, fresh leaves, Salvia fruticosa Mill</t>
  </si>
  <si>
    <t>Sage, Spanish, dried leaves, Salvia lavandulifolia Vahl</t>
  </si>
  <si>
    <t>Sage, Spanish, fresh leaves, Salvia lavandulifolia Vahl</t>
  </si>
  <si>
    <t>Sage, white, dried leaves, Salvia apiana Jeps</t>
  </si>
  <si>
    <t>Sage, white, fresh leaves, Salvia apiana Jeps</t>
  </si>
  <si>
    <t>Savory, summer, dried leaves, Satureja hortensis L</t>
  </si>
  <si>
    <t>Savory, summer, fresh leaves, Satureja hortensis L</t>
  </si>
  <si>
    <t>Savory, winter, dried leaves, Satureja montana L.</t>
  </si>
  <si>
    <t>Savory, winter, fresh leaves, Satureja montana L</t>
  </si>
  <si>
    <t>Senna, dried leaves, Senna alexandrina Mill</t>
  </si>
  <si>
    <t>Senna, fresh leaves, Senna alexandrina Mill</t>
  </si>
  <si>
    <t>Siberian fir, dried leaves, Abies sibirica Ledeb</t>
  </si>
  <si>
    <t>Siberian fir, fresh leaves, Abies sibirica Ledeb</t>
  </si>
  <si>
    <t>Skullcap, dried leaves, Scutellaria lateriflora L</t>
  </si>
  <si>
    <t>Skullcap, fresh leaves, Scutellaria lateriflora L</t>
  </si>
  <si>
    <t>Small flower willow head, dried leaves, Epilobium parviflorum Schreb</t>
  </si>
  <si>
    <t>Small flower willow head, fresh leaves, Epilobium parviflorum Schreb</t>
  </si>
  <si>
    <t>Sorrel, dried leaves, Rumex spp</t>
  </si>
  <si>
    <t>Sorrel, French, dried leaves, Rumex scutatus L</t>
  </si>
  <si>
    <t>Sorrel, French, fresh leaves, Rumex scutatus L</t>
  </si>
  <si>
    <t>Sorrel, fresh leaves, Rumex spp</t>
  </si>
  <si>
    <t>Sorrel, garden, dried leaves, Rumex acetosa L</t>
  </si>
  <si>
    <t>Sorrel, garden, fresh leaves, Rumex acetosa L</t>
  </si>
  <si>
    <t>Southernwood, dried leaves, Artemisia abrotanum L</t>
  </si>
  <si>
    <t>Southernwood, fresh leaves, Artemisia abrotanum L</t>
  </si>
  <si>
    <t>Spearmint, dried leaves, Mentha spicata L</t>
  </si>
  <si>
    <t>Spearmint, fresh leaves, Mentha spicata L</t>
  </si>
  <si>
    <t>Spearmint, Scotch, dried leaves, Mentha x gracilis Sole</t>
  </si>
  <si>
    <t>Spearmint, Scotch, fresh leaves, Mentha x gracilis Sole</t>
  </si>
  <si>
    <t>Spilanthes, dried leaves, Blainvillea acmella (L.) Philipson</t>
  </si>
  <si>
    <t>Spilanthes, fresh leaves, Blainvillea acmella (L.) Philipson</t>
  </si>
  <si>
    <t>Spotted beebalm, dried leaves, Monarda punctata L</t>
  </si>
  <si>
    <t>Spotted beebalm, fresh leaves, Monarda punctata L</t>
  </si>
  <si>
    <t>St John's Wort, dried leaves, Hypericum perforatum L</t>
  </si>
  <si>
    <t>St John's Wort, fresh leaves, Hypericum perforatum L</t>
  </si>
  <si>
    <t>Stevia, dried leaves, Stevia rebaudiana (Bertoni) Bertoni</t>
  </si>
  <si>
    <t>Stevia, fresh leaves, Stevia rebaudiana (Bertoni) Bertoni</t>
  </si>
  <si>
    <t>Stoneroot, dried leaves, Collinsonia canadensis L</t>
  </si>
  <si>
    <t>Stoneroot, fresh leaves, Collinsonia canadensis L</t>
  </si>
  <si>
    <t>Swamp leaf, dried leaves, Limnophila chinensis (Osbeck) Merr</t>
  </si>
  <si>
    <t>Swamp leaf, fresh leaves, Limnophila chinensis (Osbeck) Merr</t>
  </si>
  <si>
    <t>Tansy, dried leaves, Tanacetum vulgare L</t>
  </si>
  <si>
    <t>Tansy, fresh leaves, Tanacetum vulgare L</t>
  </si>
  <si>
    <t>Tarragon, dried leaves, Artemisia dracunculus L</t>
  </si>
  <si>
    <t>Tarragon, fresh leaves, Artemisia dracunculus L</t>
  </si>
  <si>
    <t>Thuja, dried leaves, Thuja occidentalis L</t>
  </si>
  <si>
    <t>Thuja, fresh leaves, Thuja occidentalis L</t>
  </si>
  <si>
    <t>Thyme, creeping, dried leaves, Thymus serpyllum L</t>
  </si>
  <si>
    <t>Thyme, creeping, fresh leaves, Thymus serpyllum L</t>
  </si>
  <si>
    <t>Thyme, dried leaves, Thymus spp</t>
  </si>
  <si>
    <t>Thyme, fresh leaves, Thymus spp</t>
  </si>
  <si>
    <t>Thyme, lemon, dried leaves, Thymus ×citriodorus (Pers.) Schreb</t>
  </si>
  <si>
    <t>Thyme, lemon, fresh leaves, Thymus ×citriodorus (Pers.) Schreb</t>
  </si>
  <si>
    <t>Thyme, mastic, dried leaves, Thymus mastichina (L.) L</t>
  </si>
  <si>
    <t>Thyme, mastic, fresh leaves, Thymus mastichina (L.) L</t>
  </si>
  <si>
    <t>Toon, Chinese, dried leaves, Toona sinensis (A. Juss.) M. Roem</t>
  </si>
  <si>
    <t>Toon, Chinese, fresh leaves, Toona sinensis (A. Juss.) M. Roem</t>
  </si>
  <si>
    <t>Toothed clubmoss, dried leaves, Huperzia serrata (Thunb.) Trevis</t>
  </si>
  <si>
    <t>Toothed clubmoss, fresh leaves, Huperzia serrata (Thunb.) Trevis</t>
  </si>
  <si>
    <t>Trailing arbutus, dried leaves, Epigaea repens L</t>
  </si>
  <si>
    <t>Trailing arbutus, fresh leaves, Epigaea repens L</t>
  </si>
  <si>
    <t>Vasaka, dried leaves, Justicia adhatoda L.</t>
  </si>
  <si>
    <t>Vasaka, fresh leaves, Justicia adhatoda L</t>
  </si>
  <si>
    <t>Verbena, blue, dried leaves, Verbena hastata L</t>
  </si>
  <si>
    <t>Verbena, blue, fresh leaves, Verbena hastata L</t>
  </si>
  <si>
    <t>Veronica, dried leaves, Veronica officinalis L</t>
  </si>
  <si>
    <t>Veronica, fresh leaves, Veronica officinalis L</t>
  </si>
  <si>
    <t>Violet, dried leaves, Viola odorata L</t>
  </si>
  <si>
    <t>Violet, fresh leaves, Viola odorata L</t>
  </si>
  <si>
    <t>Watermint, dried leaves, Mentha aquatica L</t>
  </si>
  <si>
    <t>Watermint, fresh leaves, Mentha aquatica L</t>
  </si>
  <si>
    <t>Waterpepper, dried leaves, Persicaria hydropiper (L.) Delarbre</t>
  </si>
  <si>
    <t>Waterpepper, fresh leaves, Persicaria hydropiper (L.) Delarbre</t>
  </si>
  <si>
    <t>Wild bergamot, dried leaves, Monarda fistulosa L</t>
  </si>
  <si>
    <t>Wild bergamot, fresh leaves, Monarda fistulosa L</t>
  </si>
  <si>
    <t>Wintergreen, dried leaves, Gaultheria procumbens L</t>
  </si>
  <si>
    <t>Wintergreen, fresh leaves, Gaultheria procumbens L</t>
  </si>
  <si>
    <t>Wood betony, dried leaves, Stachys officinalis (L.) Trevis</t>
  </si>
  <si>
    <t>Wood betony, fresh leaves, Stachys officinalis (L.) Trevis</t>
  </si>
  <si>
    <t>Woodruff, dried leaves, Galium odoratum (L.) Scop</t>
  </si>
  <si>
    <t>Woodruff, fresh leaves, Galium odoratum (L.) Scop</t>
  </si>
  <si>
    <t>Wormwood, dried leaves, Artemisia absinthium L</t>
  </si>
  <si>
    <t>Wormwood, fresh leaves, Artemisia absinthium L.</t>
  </si>
  <si>
    <t>Wormwood, Roman, dried leaves, Artemisia pontica L</t>
  </si>
  <si>
    <t>Wormwood, Roman, fresh leaves, Artemisia pontica L</t>
  </si>
  <si>
    <t>Yarrow, dried leaves, Achillea millefolium L</t>
  </si>
  <si>
    <t>Yarrow, fresh leaves, Achillea millefolium L</t>
  </si>
  <si>
    <t>Yellow gentian, dried leaves, Gentiana lutea L</t>
  </si>
  <si>
    <t>Yellow gentian, fresh leaves, Gentiana lutea L</t>
  </si>
  <si>
    <t>Yerba santa, dried leaves, Eriodictyon californicum (Hook. &amp; Arn.) Torr</t>
  </si>
  <si>
    <t>Yerba santa, fresh leaves, Eriodictyon californicum (Hook. &amp; Arn.) Torr</t>
  </si>
  <si>
    <t>Yomogi, dried leaves, Artemisia princeps L</t>
  </si>
  <si>
    <t>Yomogi, fresh leaves, Artemisia princeps L</t>
  </si>
  <si>
    <t>25A: Herb fresh leaves subgroup</t>
  </si>
  <si>
    <t>25B: Herb dried leaves subgroup</t>
  </si>
  <si>
    <t>Miscellaneous commodities intentionally not included in any group</t>
  </si>
  <si>
    <t>Hops</t>
  </si>
  <si>
    <t>Water Chestnut</t>
  </si>
  <si>
    <t>Miscellaneous commodities not included in any crop group</t>
  </si>
  <si>
    <t>Grasses Grown for Seed</t>
  </si>
  <si>
    <t>Hemp, Industrial</t>
  </si>
  <si>
    <t>Mint Oil</t>
  </si>
  <si>
    <t>Silvergrass (Miscanthus)</t>
  </si>
  <si>
    <t>see constituent crops</t>
  </si>
  <si>
    <t>Vegetables and Ground Fruit</t>
  </si>
  <si>
    <t>Other Orchards</t>
  </si>
  <si>
    <t>Range</t>
  </si>
  <si>
    <t>Spring wheat</t>
  </si>
  <si>
    <t>Winter wheat</t>
  </si>
  <si>
    <t>Need constituent crops</t>
  </si>
  <si>
    <t>Other grains like corn</t>
  </si>
  <si>
    <t xml:space="preserve">Arracacha </t>
  </si>
  <si>
    <t xml:space="preserve">Arrowroot </t>
  </si>
  <si>
    <t xml:space="preserve">Artichoke, Chinese </t>
  </si>
  <si>
    <t xml:space="preserve">Artichoke, Jerusalem </t>
  </si>
  <si>
    <t xml:space="preserve">Beet, garden </t>
  </si>
  <si>
    <t xml:space="preserve">Burdock, edible </t>
  </si>
  <si>
    <t xml:space="preserve">Canna, edible </t>
  </si>
  <si>
    <t xml:space="preserve">Carrot </t>
  </si>
  <si>
    <t xml:space="preserve">Cassava, bitter and sweet </t>
  </si>
  <si>
    <t xml:space="preserve">Celeriac </t>
  </si>
  <si>
    <t xml:space="preserve">Chayote </t>
  </si>
  <si>
    <t xml:space="preserve">Chervil, turnip-rooted </t>
  </si>
  <si>
    <t xml:space="preserve">Chicory </t>
  </si>
  <si>
    <t xml:space="preserve">Chufa </t>
  </si>
  <si>
    <t xml:space="preserve">Dasheen </t>
  </si>
  <si>
    <t xml:space="preserve">Ginger </t>
  </si>
  <si>
    <t xml:space="preserve">Ginseng </t>
  </si>
  <si>
    <t xml:space="preserve">Horseradish </t>
  </si>
  <si>
    <t xml:space="preserve">Leren </t>
  </si>
  <si>
    <t xml:space="preserve">Parsley, turnip-rooted </t>
  </si>
  <si>
    <t xml:space="preserve">Parsnip </t>
  </si>
  <si>
    <t xml:space="preserve">Potato </t>
  </si>
  <si>
    <t xml:space="preserve">Radish </t>
  </si>
  <si>
    <t xml:space="preserve">Radish, oriental </t>
  </si>
  <si>
    <t xml:space="preserve">Rutabaga </t>
  </si>
  <si>
    <t xml:space="preserve">Salsify </t>
  </si>
  <si>
    <t xml:space="preserve">Salsify, black </t>
  </si>
  <si>
    <t xml:space="preserve">Salsify, Spanish </t>
  </si>
  <si>
    <t xml:space="preserve">Skirret </t>
  </si>
  <si>
    <t xml:space="preserve">Sweet potato </t>
  </si>
  <si>
    <t xml:space="preserve">Tanier </t>
  </si>
  <si>
    <t xml:space="preserve">Turmeric </t>
  </si>
  <si>
    <t xml:space="preserve">Turnip </t>
  </si>
  <si>
    <t xml:space="preserve">Yam bean </t>
  </si>
  <si>
    <t xml:space="preserve">Yam, true </t>
  </si>
  <si>
    <t xml:space="preserve">1B. Root vegetables </t>
  </si>
  <si>
    <t xml:space="preserve">Radish, Oriental </t>
  </si>
  <si>
    <t xml:space="preserve">1D. Tuberous and corm vegetables </t>
  </si>
  <si>
    <t xml:space="preserve">Chive, fresh leaves </t>
  </si>
  <si>
    <t xml:space="preserve">Chive, Chinese, fresh leaves </t>
  </si>
  <si>
    <t xml:space="preserve">Elegans hosta </t>
  </si>
  <si>
    <t xml:space="preserve">Fritillaria, bulb </t>
  </si>
  <si>
    <t xml:space="preserve">Fritillaria, leaves </t>
  </si>
  <si>
    <t xml:space="preserve">Garlic, great headed, bulb </t>
  </si>
  <si>
    <t xml:space="preserve">Garlic, Serpent, bulb </t>
  </si>
  <si>
    <t xml:space="preserve">Kurrat </t>
  </si>
  <si>
    <t xml:space="preserve">Lady's leek </t>
  </si>
  <si>
    <t xml:space="preserve">Leek Allium porrum L. </t>
  </si>
  <si>
    <t xml:space="preserve">Leek, wild </t>
  </si>
  <si>
    <t xml:space="preserve">Onion, Beltsville bunching </t>
  </si>
  <si>
    <t xml:space="preserve">Onion, bulb </t>
  </si>
  <si>
    <t xml:space="preserve">Onion, Chinese, bulb </t>
  </si>
  <si>
    <t xml:space="preserve">Onion, fresh </t>
  </si>
  <si>
    <t xml:space="preserve">Onion, green </t>
  </si>
  <si>
    <t xml:space="preserve">Onion, macrostem </t>
  </si>
  <si>
    <t xml:space="preserve">Onion, pearl </t>
  </si>
  <si>
    <t xml:space="preserve">Onion, potato, bulb </t>
  </si>
  <si>
    <t xml:space="preserve">Onion, tree, tops </t>
  </si>
  <si>
    <t xml:space="preserve">Onion, Welsh, tops </t>
  </si>
  <si>
    <t xml:space="preserve">Shallot, bulb </t>
  </si>
  <si>
    <t xml:space="preserve">Shallot, fresh leaves </t>
  </si>
  <si>
    <t xml:space="preserve">Garlic, great headed, </t>
  </si>
  <si>
    <t xml:space="preserve">Amaranth, Chinese </t>
  </si>
  <si>
    <t xml:space="preserve">Amaranth, leafy </t>
  </si>
  <si>
    <t xml:space="preserve">Arugula </t>
  </si>
  <si>
    <t xml:space="preserve">Aster, Indian </t>
  </si>
  <si>
    <t xml:space="preserve">Blackjack </t>
  </si>
  <si>
    <t xml:space="preserve">Broccoli, Chinese </t>
  </si>
  <si>
    <t xml:space="preserve">Broccoli raab </t>
  </si>
  <si>
    <t xml:space="preserve">Cabbage, abyssinian </t>
  </si>
  <si>
    <t xml:space="preserve">Cabbage, Chinese, bok choy </t>
  </si>
  <si>
    <t xml:space="preserve">Cabbage, seakale </t>
  </si>
  <si>
    <t xml:space="preserve">Cat's whiskers </t>
  </si>
  <si>
    <t xml:space="preserve">Cham-chwi </t>
  </si>
  <si>
    <t xml:space="preserve">Cham-na-mul </t>
  </si>
  <si>
    <t xml:space="preserve">Chervil, fresh leaves </t>
  </si>
  <si>
    <t xml:space="preserve">Chipilin </t>
  </si>
  <si>
    <t xml:space="preserve">Chrysanthemum, garland </t>
  </si>
  <si>
    <t xml:space="preserve">Cilantro, fresh leaves </t>
  </si>
  <si>
    <t xml:space="preserve">Collards </t>
  </si>
  <si>
    <t xml:space="preserve">Corn salad </t>
  </si>
  <si>
    <t xml:space="preserve">Cosmos </t>
  </si>
  <si>
    <t xml:space="preserve">Cress, garden </t>
  </si>
  <si>
    <t xml:space="preserve">Cress, upland </t>
  </si>
  <si>
    <t xml:space="preserve">Dandelion, leaves </t>
  </si>
  <si>
    <t xml:space="preserve">Dang-gwi, leaves </t>
  </si>
  <si>
    <t xml:space="preserve">Dillweed </t>
  </si>
  <si>
    <t xml:space="preserve">Dock </t>
  </si>
  <si>
    <t xml:space="preserve">Dol-nam-mul </t>
  </si>
  <si>
    <t xml:space="preserve">Ebolo </t>
  </si>
  <si>
    <t xml:space="preserve">Endive </t>
  </si>
  <si>
    <t xml:space="preserve">Escarole </t>
  </si>
  <si>
    <t xml:space="preserve">Fameflower </t>
  </si>
  <si>
    <t xml:space="preserve">Feather cockscomb </t>
  </si>
  <si>
    <t xml:space="preserve">Good King Henry </t>
  </si>
  <si>
    <t xml:space="preserve">Hanover salad </t>
  </si>
  <si>
    <t xml:space="preserve">Huauzontle </t>
  </si>
  <si>
    <t xml:space="preserve">Jute, leaves </t>
  </si>
  <si>
    <t xml:space="preserve">Kale </t>
  </si>
  <si>
    <t xml:space="preserve">Lettuce, bitter </t>
  </si>
  <si>
    <t xml:space="preserve">Lettuce, head </t>
  </si>
  <si>
    <t xml:space="preserve">Lettuce, leaf </t>
  </si>
  <si>
    <t xml:space="preserve">Maca, leaves </t>
  </si>
  <si>
    <t xml:space="preserve">Mizuna </t>
  </si>
  <si>
    <t xml:space="preserve">Mustard greens </t>
  </si>
  <si>
    <t xml:space="preserve">Orach </t>
  </si>
  <si>
    <t xml:space="preserve">Parsley, fresh leaves </t>
  </si>
  <si>
    <t xml:space="preserve">Plantain, buckthorn </t>
  </si>
  <si>
    <t xml:space="preserve">Primrose, English </t>
  </si>
  <si>
    <t xml:space="preserve">Purslane, garden </t>
  </si>
  <si>
    <t xml:space="preserve">Purslane, winter </t>
  </si>
  <si>
    <t xml:space="preserve">Radicchio </t>
  </si>
  <si>
    <t xml:space="preserve">Radish, leaves </t>
  </si>
  <si>
    <t xml:space="preserve">Rape greens </t>
  </si>
  <si>
    <t xml:space="preserve">Rocket, wild </t>
  </si>
  <si>
    <t xml:space="preserve">Shepherd's purse </t>
  </si>
  <si>
    <t xml:space="preserve">Spinach </t>
  </si>
  <si>
    <t xml:space="preserve">Spinach, Malabar </t>
  </si>
  <si>
    <t xml:space="preserve">Spinach, New Zealand </t>
  </si>
  <si>
    <t xml:space="preserve">Spinach, tanier </t>
  </si>
  <si>
    <t xml:space="preserve">Swiss chard </t>
  </si>
  <si>
    <t xml:space="preserve">Turnip greens </t>
  </si>
  <si>
    <t xml:space="preserve">Violet, Chinese, leaves </t>
  </si>
  <si>
    <t xml:space="preserve">Watercress </t>
  </si>
  <si>
    <t xml:space="preserve">4: Leafy Vegetables </t>
  </si>
  <si>
    <t xml:space="preserve">Amaranth </t>
  </si>
  <si>
    <t xml:space="preserve">Cardoon </t>
  </si>
  <si>
    <t xml:space="preserve">Celery </t>
  </si>
  <si>
    <t xml:space="preserve">Celery, Chinese </t>
  </si>
  <si>
    <t xml:space="preserve">Celtuce </t>
  </si>
  <si>
    <t xml:space="preserve">Chervil </t>
  </si>
  <si>
    <t xml:space="preserve">Chrysanthemum, edible-leaved </t>
  </si>
  <si>
    <t xml:space="preserve">Dandelion </t>
  </si>
  <si>
    <t xml:space="preserve">Fennel, Florence </t>
  </si>
  <si>
    <t xml:space="preserve">Lettuce, head and leaf </t>
  </si>
  <si>
    <t xml:space="preserve">Parsley </t>
  </si>
  <si>
    <t xml:space="preserve">Rhubarb </t>
  </si>
  <si>
    <t xml:space="preserve">Spinach, vine </t>
  </si>
  <si>
    <t xml:space="preserve">5: Brassica </t>
  </si>
  <si>
    <t xml:space="preserve">Broccoli </t>
  </si>
  <si>
    <t xml:space="preserve">Brussels sprouts </t>
  </si>
  <si>
    <t xml:space="preserve">Cabbage </t>
  </si>
  <si>
    <t xml:space="preserve">Cabbage, Chinese </t>
  </si>
  <si>
    <t xml:space="preserve">Cabbage, Chinese mustard </t>
  </si>
  <si>
    <t xml:space="preserve">Cauliflower </t>
  </si>
  <si>
    <t xml:space="preserve">Cavalo broccolo </t>
  </si>
  <si>
    <t xml:space="preserve">Kohlrabi </t>
  </si>
  <si>
    <t xml:space="preserve">Mustard spinach </t>
  </si>
  <si>
    <t>African yam bean, dry seed, Sphenostylis stenocarpa </t>
  </si>
  <si>
    <t xml:space="preserve">Bean </t>
  </si>
  <si>
    <t xml:space="preserve">Broad bean </t>
  </si>
  <si>
    <t xml:space="preserve">Chickpea </t>
  </si>
  <si>
    <t xml:space="preserve">Goa bean, edible podded </t>
  </si>
  <si>
    <t xml:space="preserve">Goa bean, succulent shelled </t>
  </si>
  <si>
    <t xml:space="preserve">Goa bean, dry seed </t>
  </si>
  <si>
    <t>Guar bean, edible podded, Cyamopsis tetragonoloba </t>
  </si>
  <si>
    <t>Guar bean, dry seed, Cyamopsis tetragonoloba </t>
  </si>
  <si>
    <t>Horse gram, dry seed, Macrotyloma uniflorum </t>
  </si>
  <si>
    <t>Jackbean, edible podded, Canavalia ensiformis </t>
  </si>
  <si>
    <t>Jackbean, succulent shelled, Canavalia ensiformis </t>
  </si>
  <si>
    <t>Jackbean, dry seed, Canavalia ensiformis </t>
  </si>
  <si>
    <t xml:space="preserve">Lablab bean </t>
  </si>
  <si>
    <t>Morama bean, dry seed, Tylosema esculentum </t>
  </si>
  <si>
    <t xml:space="preserve">Pea </t>
  </si>
  <si>
    <t>Pigeon pea, edible podded, Cajanus cajan </t>
  </si>
  <si>
    <t>Pigeon pea, succulent shelled, Cajanus cajan </t>
  </si>
  <si>
    <t>Pigeon pea, dry seed, Cajanus cajan </t>
  </si>
  <si>
    <t>Soybean, seed, Glycine max </t>
  </si>
  <si>
    <t>Sword bean, edible podded, Canavalia gladiata </t>
  </si>
  <si>
    <t>Sword bean, dry seed, Canavalia gladiata </t>
  </si>
  <si>
    <t xml:space="preserve">Vegetable soybean, edible podded </t>
  </si>
  <si>
    <t xml:space="preserve">Vegetable soybean, succulent shelled </t>
  </si>
  <si>
    <t>Velvetbean, edible podded, Mucuna pruriens </t>
  </si>
  <si>
    <t>Velvetbean, succulent shelled, Mucuna pruriens </t>
  </si>
  <si>
    <t>Velvetbean, dry seed, Mucuna pruriens </t>
  </si>
  <si>
    <t xml:space="preserve">Vegetable Soybean </t>
  </si>
  <si>
    <t xml:space="preserve">Broad Bean </t>
  </si>
  <si>
    <t xml:space="preserve">6: Legume Vegetables </t>
  </si>
  <si>
    <t xml:space="preserve">Guar </t>
  </si>
  <si>
    <t xml:space="preserve">Jackbean </t>
  </si>
  <si>
    <t xml:space="preserve">Lentil </t>
  </si>
  <si>
    <t xml:space="preserve">Pigeon pea </t>
  </si>
  <si>
    <t xml:space="preserve">Soybean </t>
  </si>
  <si>
    <t xml:space="preserve">Sword bean </t>
  </si>
  <si>
    <t xml:space="preserve">6C. Dried shelled pea and bean </t>
  </si>
  <si>
    <t xml:space="preserve">Dried Bean </t>
  </si>
  <si>
    <t xml:space="preserve">7-22: Forage and hay of legume vegetables </t>
  </si>
  <si>
    <t xml:space="preserve">Field Pea </t>
  </si>
  <si>
    <t xml:space="preserve">7A. Foliage of legume vegetables </t>
  </si>
  <si>
    <t xml:space="preserve">Lablab Bean </t>
  </si>
  <si>
    <t>Groundcherry, Physalis alkekengi L., P. grisea </t>
  </si>
  <si>
    <t>Martynia, Proboscidea louisianica </t>
  </si>
  <si>
    <t>Okra, Abelmoschus esculentus </t>
  </si>
  <si>
    <t xml:space="preserve">8: Fruiting Vegetables </t>
  </si>
  <si>
    <t xml:space="preserve">Pepper </t>
  </si>
  <si>
    <t xml:space="preserve">Gherkin </t>
  </si>
  <si>
    <t xml:space="preserve">Gourd, edible </t>
  </si>
  <si>
    <t xml:space="preserve">Momordica spp. </t>
  </si>
  <si>
    <t xml:space="preserve">Muskmelon </t>
  </si>
  <si>
    <t xml:space="preserve">Pumpkin </t>
  </si>
  <si>
    <t xml:space="preserve">Squash, summer </t>
  </si>
  <si>
    <t xml:space="preserve">Squash, winter </t>
  </si>
  <si>
    <t xml:space="preserve">Momordica spp </t>
  </si>
  <si>
    <t>Australian desert lime, Eremocitrus glauca </t>
  </si>
  <si>
    <t>Australian finger lime, Microcitrus australasica </t>
  </si>
  <si>
    <t>Australian round lime, Microcitrus australis </t>
  </si>
  <si>
    <t>Calamondin, Citrofortunella microcarpa </t>
  </si>
  <si>
    <t>Lemon, Citrus limon </t>
  </si>
  <si>
    <t>Lime, Citrus aurantiifolia </t>
  </si>
  <si>
    <t>Mount White lime, Microcitrus garrowayae </t>
  </si>
  <si>
    <t>New Guinea wild lime, Microcitrus warburgiana </t>
  </si>
  <si>
    <t>Orange, sweet, Citrus sinensis </t>
  </si>
  <si>
    <t>Pummelo, Citrus maxima </t>
  </si>
  <si>
    <t>Russell River lime, Microcitrus inodora </t>
  </si>
  <si>
    <t>Tachibana orange, Citrus tachibana </t>
  </si>
  <si>
    <t>Tahiti lime, Citrus latifolia </t>
  </si>
  <si>
    <t xml:space="preserve">Tangerine </t>
  </si>
  <si>
    <t>Trifoliate orange, Poncirus trifoliata </t>
  </si>
  <si>
    <t xml:space="preserve">Calamondin </t>
  </si>
  <si>
    <t xml:space="preserve">Citrus citron </t>
  </si>
  <si>
    <t xml:space="preserve">Citrus hybrids </t>
  </si>
  <si>
    <t xml:space="preserve">Orange, sweet </t>
  </si>
  <si>
    <t xml:space="preserve">Orange, sour </t>
  </si>
  <si>
    <t xml:space="preserve">Satsuma mandarin </t>
  </si>
  <si>
    <t xml:space="preserve">Crabapple, Malus sylvestris </t>
  </si>
  <si>
    <t xml:space="preserve">Loquat, Eriobotrya japonica </t>
  </si>
  <si>
    <t xml:space="preserve">Mayhaw, Crataegus aestivalis </t>
  </si>
  <si>
    <t xml:space="preserve">Pear, Asian, Pyrus pyrifolia </t>
  </si>
  <si>
    <t xml:space="preserve">Pseudocydonia sinensis </t>
  </si>
  <si>
    <t xml:space="preserve">Quince, Chinese, Chaenomeles speciosa </t>
  </si>
  <si>
    <t xml:space="preserve">Quince, Japanese, Chaenomeles japonica </t>
  </si>
  <si>
    <t xml:space="preserve">Apricot </t>
  </si>
  <si>
    <t xml:space="preserve">Apricot, Japanese </t>
  </si>
  <si>
    <t xml:space="preserve">Capulin </t>
  </si>
  <si>
    <t xml:space="preserve">Cherry, black </t>
  </si>
  <si>
    <t xml:space="preserve">Cherry, Nanking </t>
  </si>
  <si>
    <t xml:space="preserve">Cherry, sweet </t>
  </si>
  <si>
    <t xml:space="preserve">Cherry, tart </t>
  </si>
  <si>
    <t xml:space="preserve">Jujube, Chinese </t>
  </si>
  <si>
    <t xml:space="preserve">Nectarine </t>
  </si>
  <si>
    <t xml:space="preserve">Peach </t>
  </si>
  <si>
    <t xml:space="preserve">Plum, American </t>
  </si>
  <si>
    <t xml:space="preserve">Plum, beach </t>
  </si>
  <si>
    <t xml:space="preserve">Plum, Canada </t>
  </si>
  <si>
    <t xml:space="preserve">Plum, cherry </t>
  </si>
  <si>
    <t xml:space="preserve">Plum, Chickasaw </t>
  </si>
  <si>
    <t xml:space="preserve">Plum, Damson </t>
  </si>
  <si>
    <t xml:space="preserve">Plum, Japanese </t>
  </si>
  <si>
    <t xml:space="preserve">Plum, Klamath </t>
  </si>
  <si>
    <t xml:space="preserve">Plum, prune </t>
  </si>
  <si>
    <t xml:space="preserve">Plumcot </t>
  </si>
  <si>
    <t xml:space="preserve">Sloe </t>
  </si>
  <si>
    <t xml:space="preserve">Cherry </t>
  </si>
  <si>
    <t xml:space="preserve">Cherry, Sweet </t>
  </si>
  <si>
    <t xml:space="preserve">Cherry, Tart </t>
  </si>
  <si>
    <t xml:space="preserve">Plum, Prune </t>
  </si>
  <si>
    <t xml:space="preserve">Amur river grape </t>
  </si>
  <si>
    <t xml:space="preserve">Aronia berry </t>
  </si>
  <si>
    <t xml:space="preserve">Bayberry </t>
  </si>
  <si>
    <t xml:space="preserve">Bearberry </t>
  </si>
  <si>
    <t xml:space="preserve">Bilberry </t>
  </si>
  <si>
    <t xml:space="preserve">Blackberry </t>
  </si>
  <si>
    <t xml:space="preserve">Blueberry, highbush </t>
  </si>
  <si>
    <t xml:space="preserve">Blueberry, lowbush </t>
  </si>
  <si>
    <t xml:space="preserve">Buffalo currant </t>
  </si>
  <si>
    <t xml:space="preserve">Buffaloberry </t>
  </si>
  <si>
    <t xml:space="preserve">Che </t>
  </si>
  <si>
    <t xml:space="preserve">Chilean guava </t>
  </si>
  <si>
    <t xml:space="preserve">Chokecherry </t>
  </si>
  <si>
    <t xml:space="preserve">Cloudberry </t>
  </si>
  <si>
    <t xml:space="preserve">Cranberry </t>
  </si>
  <si>
    <t xml:space="preserve">Currant, black </t>
  </si>
  <si>
    <t xml:space="preserve">Currant, red </t>
  </si>
  <si>
    <t xml:space="preserve">Elderberry </t>
  </si>
  <si>
    <t xml:space="preserve">European barberry </t>
  </si>
  <si>
    <t xml:space="preserve">Gooseberry </t>
  </si>
  <si>
    <t xml:space="preserve">Grape </t>
  </si>
  <si>
    <t xml:space="preserve">Highbush cranberry </t>
  </si>
  <si>
    <t xml:space="preserve">Honeysuckle, edible </t>
  </si>
  <si>
    <t xml:space="preserve">Huckleberry </t>
  </si>
  <si>
    <t xml:space="preserve">Jostaberry </t>
  </si>
  <si>
    <t xml:space="preserve">Juneberry </t>
  </si>
  <si>
    <t xml:space="preserve">Kiwifruit, fuzzy </t>
  </si>
  <si>
    <t xml:space="preserve">Kiwifruit, hardy </t>
  </si>
  <si>
    <t xml:space="preserve">Lingonberry </t>
  </si>
  <si>
    <t xml:space="preserve">Maypop </t>
  </si>
  <si>
    <t xml:space="preserve">Mountain pepper berries </t>
  </si>
  <si>
    <t xml:space="preserve">Mulberry </t>
  </si>
  <si>
    <t xml:space="preserve">Muntries </t>
  </si>
  <si>
    <t xml:space="preserve">Native currant </t>
  </si>
  <si>
    <t xml:space="preserve">Partridgeberry </t>
  </si>
  <si>
    <t xml:space="preserve">Phalsa </t>
  </si>
  <si>
    <t xml:space="preserve">Pincherry </t>
  </si>
  <si>
    <t xml:space="preserve">Raspberry, black and red </t>
  </si>
  <si>
    <t xml:space="preserve">Riberry </t>
  </si>
  <si>
    <t xml:space="preserve">Salal </t>
  </si>
  <si>
    <t xml:space="preserve">Schisandra berry </t>
  </si>
  <si>
    <t xml:space="preserve">Sea buckthorn </t>
  </si>
  <si>
    <t xml:space="preserve">Serviceberry </t>
  </si>
  <si>
    <t xml:space="preserve">Strawberry </t>
  </si>
  <si>
    <t xml:space="preserve">Wild raspberry </t>
  </si>
  <si>
    <t xml:space="preserve">Blueberry </t>
  </si>
  <si>
    <t xml:space="preserve">Currant </t>
  </si>
  <si>
    <t xml:space="preserve">Loganberry </t>
  </si>
  <si>
    <t xml:space="preserve">13A. Caneberry </t>
  </si>
  <si>
    <t xml:space="preserve">Guiana chestnut </t>
  </si>
  <si>
    <t xml:space="preserve">Hazelnut </t>
  </si>
  <si>
    <t xml:space="preserve">Japanese horse-chestnut </t>
  </si>
  <si>
    <t xml:space="preserve">Tropical almond </t>
  </si>
  <si>
    <t xml:space="preserve">Filbert </t>
  </si>
  <si>
    <t>Buckwheat, tartary, Fagopyrum tataricum </t>
  </si>
  <si>
    <t>Fonio, white, Digitaria exilis </t>
  </si>
  <si>
    <t>Grain sorghum, Sorghum bicolor </t>
  </si>
  <si>
    <t>Huauzontle grain, Chenopodium berlandieri Moq. subsp. nuttalliae </t>
  </si>
  <si>
    <t xml:space="preserve">Job's tears, Coix lacryma-jobi L., Coix lacryma-jobi L. var. ma-yun </t>
  </si>
  <si>
    <t>Millet, finger, Eleusine coracana </t>
  </si>
  <si>
    <t>Millet, foxtail, Setaria italica </t>
  </si>
  <si>
    <t>Millet, pearl, Pennisetum glaucum </t>
  </si>
  <si>
    <t>Teff, Eragrostis tef </t>
  </si>
  <si>
    <t>Teosinte, Zea mays L. subsp. mexicana </t>
  </si>
  <si>
    <t>Wheat, club, Triticum aestivum L. subsp. compactum </t>
  </si>
  <si>
    <t>Wheat, durum, Triticum turgidum L. subsp. durum </t>
  </si>
  <si>
    <t>Wheat, emmer, Triticum turgidum L. subsp. dicoccon </t>
  </si>
  <si>
    <t>Wheat, macha, Triticum aestivum L. subsp. macha </t>
  </si>
  <si>
    <t>Wheat, oriental, Triticum turgidum L. subsp. turanicum </t>
  </si>
  <si>
    <t>Wheat, Persian, Triticum turgidum L. subsp. carthlicum </t>
  </si>
  <si>
    <t>Wheat, Polish, Triticum turgidum L. subsp. polonicum </t>
  </si>
  <si>
    <t>Wheat, shot, Triticum aestivum L. subsp. sphaerococcum </t>
  </si>
  <si>
    <t>Wheat, spelt, Triticum aestivum L. subsp. spelta </t>
  </si>
  <si>
    <t>Wheat, timopheevi, Triticum timopheevii </t>
  </si>
  <si>
    <t>Wheat, wild einkorn, Triticum monococcum L. subsp. aegilopoides </t>
  </si>
  <si>
    <t>Wheat, wild emmer, Triticum turgidum L. subsp. dicoccoides </t>
  </si>
  <si>
    <t>Wheatgrass, intermediate, Iseilema prostratum </t>
  </si>
  <si>
    <t xml:space="preserve">18: Nongrass Animal Feeds </t>
  </si>
  <si>
    <t xml:space="preserve">Allspice </t>
  </si>
  <si>
    <t xml:space="preserve">Angelica </t>
  </si>
  <si>
    <t xml:space="preserve">Anise </t>
  </si>
  <si>
    <t xml:space="preserve">Anise, star </t>
  </si>
  <si>
    <t xml:space="preserve">Annatto </t>
  </si>
  <si>
    <t xml:space="preserve">Balm </t>
  </si>
  <si>
    <t xml:space="preserve">Basil </t>
  </si>
  <si>
    <t xml:space="preserve">Borage </t>
  </si>
  <si>
    <t xml:space="preserve">Burnet </t>
  </si>
  <si>
    <t xml:space="preserve">Camomile </t>
  </si>
  <si>
    <t xml:space="preserve">Caper buds </t>
  </si>
  <si>
    <t xml:space="preserve">Caraway </t>
  </si>
  <si>
    <t xml:space="preserve">Caraway, black </t>
  </si>
  <si>
    <t xml:space="preserve">Cardamom </t>
  </si>
  <si>
    <t xml:space="preserve">Cassia bark </t>
  </si>
  <si>
    <t xml:space="preserve">Cassia buds </t>
  </si>
  <si>
    <t xml:space="preserve">Catnip </t>
  </si>
  <si>
    <t xml:space="preserve">Celery seed </t>
  </si>
  <si>
    <t xml:space="preserve">Chive </t>
  </si>
  <si>
    <t xml:space="preserve">Chive, Chinese </t>
  </si>
  <si>
    <t xml:space="preserve">Cinnamon </t>
  </si>
  <si>
    <t xml:space="preserve">Clary </t>
  </si>
  <si>
    <t xml:space="preserve">Clove buds </t>
  </si>
  <si>
    <t xml:space="preserve">Coriander </t>
  </si>
  <si>
    <t xml:space="preserve">Costmary </t>
  </si>
  <si>
    <t xml:space="preserve">Culantro </t>
  </si>
  <si>
    <t xml:space="preserve">Cumin </t>
  </si>
  <si>
    <t xml:space="preserve">Curry </t>
  </si>
  <si>
    <t xml:space="preserve">Dill </t>
  </si>
  <si>
    <t xml:space="preserve">Fennel </t>
  </si>
  <si>
    <t xml:space="preserve">Fenugreek </t>
  </si>
  <si>
    <t xml:space="preserve">Grains of paradise </t>
  </si>
  <si>
    <t xml:space="preserve">Horehound </t>
  </si>
  <si>
    <t xml:space="preserve">Hyssop </t>
  </si>
  <si>
    <t xml:space="preserve">Juniper berry </t>
  </si>
  <si>
    <t xml:space="preserve">Lavender </t>
  </si>
  <si>
    <t xml:space="preserve">Lemongrass </t>
  </si>
  <si>
    <t xml:space="preserve">Lovage </t>
  </si>
  <si>
    <t xml:space="preserve">Mace </t>
  </si>
  <si>
    <t xml:space="preserve">Marigold </t>
  </si>
  <si>
    <t xml:space="preserve">Marjoram </t>
  </si>
  <si>
    <t xml:space="preserve">Mustard </t>
  </si>
  <si>
    <t xml:space="preserve">Nasturtium </t>
  </si>
  <si>
    <t xml:space="preserve">Nutmeg </t>
  </si>
  <si>
    <t xml:space="preserve">Pennyroyal </t>
  </si>
  <si>
    <t xml:space="preserve">Pepper, black </t>
  </si>
  <si>
    <t xml:space="preserve">Poppy </t>
  </si>
  <si>
    <t xml:space="preserve">Rosemary </t>
  </si>
  <si>
    <t xml:space="preserve">Rue </t>
  </si>
  <si>
    <t xml:space="preserve">Saffron </t>
  </si>
  <si>
    <t xml:space="preserve">Sage </t>
  </si>
  <si>
    <t xml:space="preserve">Savory, summer and winter </t>
  </si>
  <si>
    <t xml:space="preserve">Sweet bay </t>
  </si>
  <si>
    <t xml:space="preserve">Tansy </t>
  </si>
  <si>
    <t xml:space="preserve">Tarragon </t>
  </si>
  <si>
    <t xml:space="preserve">Thyme </t>
  </si>
  <si>
    <t xml:space="preserve">Vanilla </t>
  </si>
  <si>
    <t xml:space="preserve">Wintergreen </t>
  </si>
  <si>
    <t xml:space="preserve">Woodruff </t>
  </si>
  <si>
    <t xml:space="preserve">Wormwood </t>
  </si>
  <si>
    <t>Chinese tallowtree, Triadica sebifera </t>
  </si>
  <si>
    <t>Gold of pleasure, Camelina sativa </t>
  </si>
  <si>
    <t>Hare's ear mustard, Conringia orientalis </t>
  </si>
  <si>
    <t>Jojoba, Simmondsia chinensis </t>
  </si>
  <si>
    <t>Lesquerella, Lesquerella recurvata </t>
  </si>
  <si>
    <t>Niger seed, Guizotia abyssinica </t>
  </si>
  <si>
    <t>Stokes aster, Stokesia laevis </t>
  </si>
  <si>
    <t>Vernonia, Vernonia galamensis </t>
  </si>
  <si>
    <t xml:space="preserve">Blewitt </t>
  </si>
  <si>
    <t xml:space="preserve">Bunashimeji </t>
  </si>
  <si>
    <t xml:space="preserve">Chinese mushroom </t>
  </si>
  <si>
    <t xml:space="preserve">Enoki </t>
  </si>
  <si>
    <t xml:space="preserve">Hime-Matsutake </t>
  </si>
  <si>
    <t xml:space="preserve">Hirmeola </t>
  </si>
  <si>
    <t xml:space="preserve">Maitake </t>
  </si>
  <si>
    <t xml:space="preserve">Morel </t>
  </si>
  <si>
    <t xml:space="preserve">Nameko </t>
  </si>
  <si>
    <t xml:space="preserve">Net Bearing </t>
  </si>
  <si>
    <t xml:space="preserve">Oyster mushroom </t>
  </si>
  <si>
    <t xml:space="preserve">Pom Pom </t>
  </si>
  <si>
    <t xml:space="preserve">Reishi mushroom </t>
  </si>
  <si>
    <t xml:space="preserve">Rodman's agaricus </t>
  </si>
  <si>
    <t xml:space="preserve">Shiitake mushroom </t>
  </si>
  <si>
    <t xml:space="preserve">Shimeji </t>
  </si>
  <si>
    <t xml:space="preserve">Stropharia </t>
  </si>
  <si>
    <t xml:space="preserve">Truffle </t>
  </si>
  <si>
    <t xml:space="preserve">White button mushroom </t>
  </si>
  <si>
    <t xml:space="preserve">White Jelly Fungi </t>
  </si>
  <si>
    <t xml:space="preserve">Agave </t>
  </si>
  <si>
    <t xml:space="preserve">Aloe vera </t>
  </si>
  <si>
    <t xml:space="preserve">Asparagus </t>
  </si>
  <si>
    <t xml:space="preserve">Bamboo, shoots </t>
  </si>
  <si>
    <t xml:space="preserve">Fennel, Florence, fresh leaves and stalk </t>
  </si>
  <si>
    <t xml:space="preserve">Fuki </t>
  </si>
  <si>
    <t xml:space="preserve">Kale, sea </t>
  </si>
  <si>
    <t xml:space="preserve">Palm hearts </t>
  </si>
  <si>
    <t xml:space="preserve">Prickly pear, pads </t>
  </si>
  <si>
    <t xml:space="preserve">Prickly pear, Texas, pads </t>
  </si>
  <si>
    <t xml:space="preserve">Udo </t>
  </si>
  <si>
    <t xml:space="preserve">Zuiki </t>
  </si>
  <si>
    <t xml:space="preserve">Açaí </t>
  </si>
  <si>
    <t xml:space="preserve">Acerola </t>
  </si>
  <si>
    <t xml:space="preserve">Achachairú </t>
  </si>
  <si>
    <t xml:space="preserve">African plum </t>
  </si>
  <si>
    <t xml:space="preserve">Agritos </t>
  </si>
  <si>
    <t xml:space="preserve">Almondette </t>
  </si>
  <si>
    <t xml:space="preserve">Ambarella </t>
  </si>
  <si>
    <t xml:space="preserve">Apak palm </t>
  </si>
  <si>
    <t xml:space="preserve">Appleberry </t>
  </si>
  <si>
    <t xml:space="preserve">Arazá </t>
  </si>
  <si>
    <t xml:space="preserve">Arbutus berry </t>
  </si>
  <si>
    <t xml:space="preserve">Babaco </t>
  </si>
  <si>
    <t xml:space="preserve">Bacaba palm </t>
  </si>
  <si>
    <t xml:space="preserve">Bacaba-de-leque </t>
  </si>
  <si>
    <t xml:space="preserve">Bayberry, red </t>
  </si>
  <si>
    <t xml:space="preserve">Bignay </t>
  </si>
  <si>
    <t xml:space="preserve">Bilimbi </t>
  </si>
  <si>
    <t xml:space="preserve">Borojó </t>
  </si>
  <si>
    <t xml:space="preserve">Breadnut </t>
  </si>
  <si>
    <t xml:space="preserve">Cabeluda </t>
  </si>
  <si>
    <t xml:space="preserve">Cajou, fruit </t>
  </si>
  <si>
    <t xml:space="preserve">Cambucá </t>
  </si>
  <si>
    <t xml:space="preserve">Carandas-plum </t>
  </si>
  <si>
    <t xml:space="preserve">Carob </t>
  </si>
  <si>
    <t xml:space="preserve">Cashew apple </t>
  </si>
  <si>
    <t xml:space="preserve">Ceylon iron wood </t>
  </si>
  <si>
    <t xml:space="preserve">Ceylon olive </t>
  </si>
  <si>
    <t xml:space="preserve">Cherry-of-the-Rio-Grande </t>
  </si>
  <si>
    <t xml:space="preserve">Chinese olive, black </t>
  </si>
  <si>
    <t xml:space="preserve">Chinese olive, white </t>
  </si>
  <si>
    <t xml:space="preserve">Chirauli-nut </t>
  </si>
  <si>
    <t xml:space="preserve">Ciruela verde </t>
  </si>
  <si>
    <t xml:space="preserve">Cocoplum </t>
  </si>
  <si>
    <t xml:space="preserve">Date </t>
  </si>
  <si>
    <t xml:space="preserve">Davidson's plum </t>
  </si>
  <si>
    <t xml:space="preserve">Desert-date </t>
  </si>
  <si>
    <t xml:space="preserve">Doum palm coconut </t>
  </si>
  <si>
    <t xml:space="preserve">False sandalwood </t>
  </si>
  <si>
    <t xml:space="preserve">Feijoa </t>
  </si>
  <si>
    <t xml:space="preserve">Fig </t>
  </si>
  <si>
    <t xml:space="preserve">Fragrant manjack </t>
  </si>
  <si>
    <t xml:space="preserve">Gooseberry, abyssinian </t>
  </si>
  <si>
    <t xml:space="preserve">Gooseberry, Ceylon </t>
  </si>
  <si>
    <t xml:space="preserve">Gooseberry, Indian </t>
  </si>
  <si>
    <t xml:space="preserve">Gooseberry, otaheite </t>
  </si>
  <si>
    <t xml:space="preserve">Governor's plum </t>
  </si>
  <si>
    <t xml:space="preserve">Grumichama </t>
  </si>
  <si>
    <t xml:space="preserve">Guabiroba </t>
  </si>
  <si>
    <t xml:space="preserve">Guava </t>
  </si>
  <si>
    <t xml:space="preserve">Guava berry </t>
  </si>
  <si>
    <t xml:space="preserve">Guava, Brazilian </t>
  </si>
  <si>
    <t xml:space="preserve">Guava, cattley </t>
  </si>
  <si>
    <t xml:space="preserve">Guava, Costa Rican </t>
  </si>
  <si>
    <t xml:space="preserve">Guava, Para </t>
  </si>
  <si>
    <t xml:space="preserve">Guava, purple strawberry </t>
  </si>
  <si>
    <t xml:space="preserve">Guava, strawberry </t>
  </si>
  <si>
    <t xml:space="preserve">Guava, yellow strawberry </t>
  </si>
  <si>
    <t xml:space="preserve">Guayabillo </t>
  </si>
  <si>
    <t xml:space="preserve">Illawarra plum </t>
  </si>
  <si>
    <t xml:space="preserve">Imbé </t>
  </si>
  <si>
    <t xml:space="preserve">Imbu </t>
  </si>
  <si>
    <t xml:space="preserve">Indian-plum </t>
  </si>
  <si>
    <t xml:space="preserve">Jaboticaba </t>
  </si>
  <si>
    <t xml:space="preserve">Jamaica-cherry </t>
  </si>
  <si>
    <t xml:space="preserve">Jambolan </t>
  </si>
  <si>
    <t xml:space="preserve">Jelly palm </t>
  </si>
  <si>
    <t xml:space="preserve">Jujube, Indian </t>
  </si>
  <si>
    <t xml:space="preserve">Kaffir-plum </t>
  </si>
  <si>
    <t xml:space="preserve">Kakadu plum </t>
  </si>
  <si>
    <t xml:space="preserve">Kapundung </t>
  </si>
  <si>
    <t xml:space="preserve">Karanda </t>
  </si>
  <si>
    <t xml:space="preserve">Kwai muk </t>
  </si>
  <si>
    <t xml:space="preserve">Lemon aspen </t>
  </si>
  <si>
    <t xml:space="preserve">Mangaba </t>
  </si>
  <si>
    <t xml:space="preserve">Marian plum </t>
  </si>
  <si>
    <t xml:space="preserve">Mombin, malayan </t>
  </si>
  <si>
    <t xml:space="preserve">Mombin, purple </t>
  </si>
  <si>
    <t xml:space="preserve">Mombin, yellow </t>
  </si>
  <si>
    <t xml:space="preserve">Monkeyfruit </t>
  </si>
  <si>
    <t xml:space="preserve">Monos plum </t>
  </si>
  <si>
    <t xml:space="preserve">Mountain cherry </t>
  </si>
  <si>
    <t xml:space="preserve">Nance </t>
  </si>
  <si>
    <t xml:space="preserve">Natal plum </t>
  </si>
  <si>
    <t xml:space="preserve">Noni </t>
  </si>
  <si>
    <t xml:space="preserve">Olive </t>
  </si>
  <si>
    <t xml:space="preserve">Papaya, mountain </t>
  </si>
  <si>
    <t xml:space="preserve">Patauá </t>
  </si>
  <si>
    <t xml:space="preserve">Peach palm, fruit </t>
  </si>
  <si>
    <t xml:space="preserve">Persimmon, black </t>
  </si>
  <si>
    <t xml:space="preserve">Persimmon, Japanese </t>
  </si>
  <si>
    <t xml:space="preserve">Pitomba </t>
  </si>
  <si>
    <t xml:space="preserve">Plum-of-Martinique </t>
  </si>
  <si>
    <t xml:space="preserve">Pomerac </t>
  </si>
  <si>
    <t xml:space="preserve">Rambai </t>
  </si>
  <si>
    <t xml:space="preserve">Rose apple </t>
  </si>
  <si>
    <t xml:space="preserve">Rukam </t>
  </si>
  <si>
    <t xml:space="preserve">Rumberry </t>
  </si>
  <si>
    <t xml:space="preserve">Sea grape </t>
  </si>
  <si>
    <t xml:space="preserve">Sentul </t>
  </si>
  <si>
    <t xml:space="preserve">Sete-capotes </t>
  </si>
  <si>
    <t xml:space="preserve">Silver aspen </t>
  </si>
  <si>
    <t xml:space="preserve">Starfruit </t>
  </si>
  <si>
    <t xml:space="preserve">Surinam cherry </t>
  </si>
  <si>
    <t xml:space="preserve">Tamarind </t>
  </si>
  <si>
    <t xml:space="preserve">Uvalha </t>
  </si>
  <si>
    <t xml:space="preserve">Water apple </t>
  </si>
  <si>
    <t xml:space="preserve">Water pear </t>
  </si>
  <si>
    <t xml:space="preserve">Water berry </t>
  </si>
  <si>
    <t xml:space="preserve">Wax jambu </t>
  </si>
  <si>
    <t xml:space="preserve">Abiu </t>
  </si>
  <si>
    <t xml:space="preserve">Aisen </t>
  </si>
  <si>
    <t xml:space="preserve">Akee apple </t>
  </si>
  <si>
    <t xml:space="preserve">Atemoya </t>
  </si>
  <si>
    <t xml:space="preserve">Avocado </t>
  </si>
  <si>
    <t xml:space="preserve">Avocado, Guatemalan </t>
  </si>
  <si>
    <t xml:space="preserve">Avocado, Mexican </t>
  </si>
  <si>
    <t xml:space="preserve">Avocado, West Indian </t>
  </si>
  <si>
    <t xml:space="preserve">Bacury </t>
  </si>
  <si>
    <t xml:space="preserve">Bael fruit </t>
  </si>
  <si>
    <t xml:space="preserve">Banana </t>
  </si>
  <si>
    <t xml:space="preserve">Banana, dwarf </t>
  </si>
  <si>
    <t xml:space="preserve">Binjai </t>
  </si>
  <si>
    <t xml:space="preserve">Biriba </t>
  </si>
  <si>
    <t xml:space="preserve">Breadfruit </t>
  </si>
  <si>
    <t xml:space="preserve">Burmese grape </t>
  </si>
  <si>
    <t xml:space="preserve">Canistel </t>
  </si>
  <si>
    <t xml:space="preserve">Cat's-eyes </t>
  </si>
  <si>
    <t xml:space="preserve">Champedak </t>
  </si>
  <si>
    <t xml:space="preserve">Cherimoya </t>
  </si>
  <si>
    <t xml:space="preserve">Cupuacú </t>
  </si>
  <si>
    <t xml:space="preserve">Custard apple </t>
  </si>
  <si>
    <t xml:space="preserve">Dragon fruit </t>
  </si>
  <si>
    <t xml:space="preserve">Durian </t>
  </si>
  <si>
    <t xml:space="preserve">Elephant-apple </t>
  </si>
  <si>
    <t xml:space="preserve">Etambe </t>
  </si>
  <si>
    <t xml:space="preserve">Granadilla </t>
  </si>
  <si>
    <t xml:space="preserve">Granadilla, giant </t>
  </si>
  <si>
    <t xml:space="preserve">Ilama </t>
  </si>
  <si>
    <t xml:space="preserve">Ingá </t>
  </si>
  <si>
    <t xml:space="preserve">Jackfruit </t>
  </si>
  <si>
    <t xml:space="preserve">Jatobá </t>
  </si>
  <si>
    <t xml:space="preserve">Karuka </t>
  </si>
  <si>
    <t xml:space="preserve">Kei apple </t>
  </si>
  <si>
    <t xml:space="preserve">Langsat </t>
  </si>
  <si>
    <t xml:space="preserve">Lanjut </t>
  </si>
  <si>
    <t xml:space="preserve">Longan </t>
  </si>
  <si>
    <t xml:space="preserve">Lucuma </t>
  </si>
  <si>
    <t xml:space="preserve">Lychee </t>
  </si>
  <si>
    <t xml:space="preserve">Mabolo </t>
  </si>
  <si>
    <t xml:space="preserve">Madras-thorn </t>
  </si>
  <si>
    <t xml:space="preserve">Mammy-apple </t>
  </si>
  <si>
    <t xml:space="preserve">Manduro </t>
  </si>
  <si>
    <t xml:space="preserve">Mango </t>
  </si>
  <si>
    <t xml:space="preserve">Mango, horse </t>
  </si>
  <si>
    <t xml:space="preserve">Mango, Saipan </t>
  </si>
  <si>
    <t xml:space="preserve">Mangosteen </t>
  </si>
  <si>
    <t xml:space="preserve">Marang </t>
  </si>
  <si>
    <t xml:space="preserve">Marmaladebox </t>
  </si>
  <si>
    <t xml:space="preserve">Matisia </t>
  </si>
  <si>
    <t xml:space="preserve">Mesquite </t>
  </si>
  <si>
    <t xml:space="preserve">Mongongo, fruit </t>
  </si>
  <si>
    <t xml:space="preserve">Monkey-bread-tree </t>
  </si>
  <si>
    <t xml:space="preserve">Monstera </t>
  </si>
  <si>
    <t xml:space="preserve">Nicobar-breadfruit </t>
  </si>
  <si>
    <t xml:space="preserve">Paho </t>
  </si>
  <si>
    <t xml:space="preserve">Pandanus </t>
  </si>
  <si>
    <t xml:space="preserve">Papaya </t>
  </si>
  <si>
    <t xml:space="preserve">Passionflower, winged-stem </t>
  </si>
  <si>
    <t xml:space="preserve">Passionfruit </t>
  </si>
  <si>
    <t xml:space="preserve">Passionfruit, banana </t>
  </si>
  <si>
    <t xml:space="preserve">Passionfruit, purple </t>
  </si>
  <si>
    <t xml:space="preserve">Passionfruit, yellow </t>
  </si>
  <si>
    <t xml:space="preserve">Pawpaw, common </t>
  </si>
  <si>
    <t xml:space="preserve">Pawpaw, small-flower </t>
  </si>
  <si>
    <t xml:space="preserve">Pelipisan </t>
  </si>
  <si>
    <t xml:space="preserve">Pequi </t>
  </si>
  <si>
    <t xml:space="preserve">Pequia </t>
  </si>
  <si>
    <t xml:space="preserve">Persimmon, American </t>
  </si>
  <si>
    <t xml:space="preserve">Pineapple </t>
  </si>
  <si>
    <t xml:space="preserve">Pitahaya </t>
  </si>
  <si>
    <t xml:space="preserve">Pitaya </t>
  </si>
  <si>
    <t xml:space="preserve">Pitaya, amarilla </t>
  </si>
  <si>
    <t xml:space="preserve">Pitaya, roja </t>
  </si>
  <si>
    <t xml:space="preserve">Pitaya, yellow </t>
  </si>
  <si>
    <t xml:space="preserve">Plantain </t>
  </si>
  <si>
    <t xml:space="preserve">Pomegranate </t>
  </si>
  <si>
    <t xml:space="preserve">Poshte </t>
  </si>
  <si>
    <t xml:space="preserve">Prickly pear, fruit </t>
  </si>
  <si>
    <t xml:space="preserve">Prickly pear, Texas, fruit </t>
  </si>
  <si>
    <t xml:space="preserve">Pulasan </t>
  </si>
  <si>
    <t xml:space="preserve">Quandong </t>
  </si>
  <si>
    <t xml:space="preserve">Rambutan </t>
  </si>
  <si>
    <t xml:space="preserve">Saguaro </t>
  </si>
  <si>
    <t xml:space="preserve">Sapodilla </t>
  </si>
  <si>
    <t xml:space="preserve">Sapote, black </t>
  </si>
  <si>
    <t xml:space="preserve">Sapote, green </t>
  </si>
  <si>
    <t xml:space="preserve">Sapote, mamey </t>
  </si>
  <si>
    <t xml:space="preserve">Sapote, white </t>
  </si>
  <si>
    <t xml:space="preserve">Sataw </t>
  </si>
  <si>
    <t xml:space="preserve">Satinleaf </t>
  </si>
  <si>
    <t xml:space="preserve">Screw-pine </t>
  </si>
  <si>
    <t xml:space="preserve">Sierra Leone-tamarind </t>
  </si>
  <si>
    <t xml:space="preserve">Soncoya </t>
  </si>
  <si>
    <t xml:space="preserve">Soursop </t>
  </si>
  <si>
    <t xml:space="preserve">Spanish lime </t>
  </si>
  <si>
    <t xml:space="preserve">Star apple </t>
  </si>
  <si>
    <t xml:space="preserve">Sugar apple </t>
  </si>
  <si>
    <t xml:space="preserve">Sun sapote </t>
  </si>
  <si>
    <t xml:space="preserve">Tamarind-of-the-Indies </t>
  </si>
  <si>
    <t xml:space="preserve">Velvet tamarind </t>
  </si>
  <si>
    <t xml:space="preserve">Wampi </t>
  </si>
  <si>
    <t xml:space="preserve">White star apple </t>
  </si>
  <si>
    <t xml:space="preserve">Wild loquat </t>
  </si>
  <si>
    <t>Angelica, dahurian, dried leaves, Angelica dahurica </t>
  </si>
  <si>
    <t>Angelica, dahurian, fresh leaves, Angelica dahurica </t>
  </si>
  <si>
    <t>Avarum, dried leaves, Senna auriculata </t>
  </si>
  <si>
    <t>Avarum, fresh leaves, Senna auriculata </t>
  </si>
  <si>
    <t>Balloon pea, dried leaves, Lessertia frutescens </t>
  </si>
  <si>
    <t>Balloon pea, fresh leaves, Lessertia frutescens </t>
  </si>
  <si>
    <t>Bearberry, dried leaves, Arctostaphylos uva ursi </t>
  </si>
  <si>
    <t>Bearberry, fresh leaves, Arctostaphylos uva ursi </t>
  </si>
  <si>
    <t>Bisongrass, dried leaves, Anthoxanthum nitens </t>
  </si>
  <si>
    <t>Bisongrass, fresh leaves, Anthoxanthum nitens </t>
  </si>
  <si>
    <t>Borage, Indian, dried leaves, Plectranthus amboinicus </t>
  </si>
  <si>
    <t>Borage, Indian, fresh leaves, Plectranthus amboinicus </t>
  </si>
  <si>
    <t>Butterbur, dried leaves, Petasites hybridus </t>
  </si>
  <si>
    <t>Butterbur, fresh leaves, Petasites hybridus </t>
  </si>
  <si>
    <t>Calamint, large-flower, dried leaves, Clinopodium grandiflorum </t>
  </si>
  <si>
    <t>Calamint, large-flower, fresh leaves, Clinopodium grandiflorum </t>
  </si>
  <si>
    <t>Calamint, lesser, dried leaves, Clinopodium nepeta </t>
  </si>
  <si>
    <t>Calamint, lesser, fresh leaves, Clinopodium nepeta </t>
  </si>
  <si>
    <t>Catnip, Japanese, dried leaves, Schizonepeta multifida </t>
  </si>
  <si>
    <t>Catnip, Japanese, fresh leaves, Schizonepeta multifida </t>
  </si>
  <si>
    <t>Cat's claw, dried leaves, Uncaria tomentosa </t>
  </si>
  <si>
    <t>Cat's claw, fresh leaves, Uncaria tomentosa </t>
  </si>
  <si>
    <t>Celery, dried leaves, Apium graveolens L. var. dulce </t>
  </si>
  <si>
    <t>Chervil, dried leaves, Anthriscus cerefolium </t>
  </si>
  <si>
    <t>Chinese foxglove, dried leaves, Rehmannia glutinosa </t>
  </si>
  <si>
    <t>Chinese foxglove, fresh leaves, Rehmannia glutinosa </t>
  </si>
  <si>
    <t>Cicely, sweet, dried leaves, Myrrhis odorata </t>
  </si>
  <si>
    <t>Cicely, sweet, fresh leaves, Myrrhis odorata </t>
  </si>
  <si>
    <t>Coriander, Bolivian, dried leaves, Porophyllum ruderale </t>
  </si>
  <si>
    <t>Coriander, Bolivian, fresh leaves, Porophyllum ruderale </t>
  </si>
  <si>
    <t>Coriander, Vietnamese, dried leaves, Persicaria odorata </t>
  </si>
  <si>
    <t>Coriander, Vietnamese, fresh leaves, Persicaria odorata </t>
  </si>
  <si>
    <t>Creat, dried leaves, Andrographis paniculata </t>
  </si>
  <si>
    <t>Creat, fresh leaves, Andrographis paniculata </t>
  </si>
  <si>
    <t>Curryplant, dried leaves, Helichrysum italicum </t>
  </si>
  <si>
    <t>Curryplant, fresh leaves, Helichrysum italicum </t>
  </si>
  <si>
    <t>Epazote, dried leaves, Dysphania ambrosioides </t>
  </si>
  <si>
    <t>Epazote, fresh leaves, Dysphania ambrosioides </t>
  </si>
  <si>
    <t>Fennel, Florence, dried leaves, Foeniculum vulgare Mill. subsp. vulgare var. azoricum </t>
  </si>
  <si>
    <t>Feverfew, dried leaves, Tanacetum parthenium </t>
  </si>
  <si>
    <t>Feverfew, fresh leaves, Tanacetum parthenium </t>
  </si>
  <si>
    <t>Gambir, dried leaves, Uncaria gambir </t>
  </si>
  <si>
    <t>Gambir, fresh leaves, Uncaria gambir </t>
  </si>
  <si>
    <t>Geranium, lemon, dried leaves, Pelargonium crispum </t>
  </si>
  <si>
    <t>Geranium, lemon, fresh leaves, Pelargonium crispum </t>
  </si>
  <si>
    <t>Gotu kola, dried leaves, Centella asiatica </t>
  </si>
  <si>
    <t>Gotu kola, fresh leaves, Centella asiatica </t>
  </si>
  <si>
    <t>Gymnema, dried leaves, Gymnema sylvestre </t>
  </si>
  <si>
    <t>Gymnema, fresh leaves, Gymnema sylvestre </t>
  </si>
  <si>
    <t>Honewort, dried leaves, Cryptotaenia canadensis </t>
  </si>
  <si>
    <t>Honewort, fresh leaves, Cryptotaenia canadensis </t>
  </si>
  <si>
    <t>Honeybush, dried leaves, Cyclopia genistoides </t>
  </si>
  <si>
    <t>Honeybush, fresh leaves, Cyclopia genistoides </t>
  </si>
  <si>
    <t>Horsemint, dried leaves, Mentha longifolia </t>
  </si>
  <si>
    <t>Horsemint, fresh leaves, Mentha longifolia </t>
  </si>
  <si>
    <t>Hyssop, anise, dried leaves, Agastache foeniculum </t>
  </si>
  <si>
    <t>Hyssop, anise, fresh leaves, Agastache foeniculum </t>
  </si>
  <si>
    <t>Jamaica dogwood, dried leaves, Piscidia piscipula </t>
  </si>
  <si>
    <t>Jamaica dogwood, fresh leaves, Piscidia piscipula </t>
  </si>
  <si>
    <t>Labrador tea, dried leaves, Rhododendron groenlandicum </t>
  </si>
  <si>
    <t>Labrador tea, fresh leaves, Rhododendron groenlandicum </t>
  </si>
  <si>
    <t>Lemongrass, dried leaves, Cymbopogon citratus </t>
  </si>
  <si>
    <t>Lemongrass, fresh leaves, Cymbopogon citratus </t>
  </si>
  <si>
    <t>Mamaki, dried leaves, Pipturus arborescens </t>
  </si>
  <si>
    <t>Mamaki, fresh leaves, Pipturus arborescens </t>
  </si>
  <si>
    <t>Meadowsweet, dried leaves, Filipendula ulmaria </t>
  </si>
  <si>
    <t>Meadowsweet, fresh leaves, Filipendula ulmaria </t>
  </si>
  <si>
    <t>Mint, Korean, dried leaves, Agastache rugosa </t>
  </si>
  <si>
    <t>Mint, Korean, fresh leaves, Agastache rugosa </t>
  </si>
  <si>
    <t>Mountainmint, clustered, dried leaves, Pycnanthemum muticum </t>
  </si>
  <si>
    <t>Mountainmint, clustered, fresh leaves, Pycnanthemum muticum </t>
  </si>
  <si>
    <t>Mountainmint, Virginia, dried leaves, Pycnanthemum virginianum </t>
  </si>
  <si>
    <t>Mountainmint, Virginia, fresh leaves, Pycnanthemum virginianum </t>
  </si>
  <si>
    <t>Mountainmint, whorled, dried leaves, Pycnanthemum verticillatum </t>
  </si>
  <si>
    <t>Mountainmint, whorled, fresh leaves, Pycnanthemum verticillatum </t>
  </si>
  <si>
    <t>Mustard, hedge, dried leaves, Sisymbrium officinale </t>
  </si>
  <si>
    <t>Mustard, hedge, fresh leaves, Sisymbrium officinale </t>
  </si>
  <si>
    <t>Paracress, dried leaves, Acmella oleracea </t>
  </si>
  <si>
    <t>Paracress, fresh leaves, Acmella oleracea </t>
  </si>
  <si>
    <t>Parsley, dried leaves, Petroselinum crispum </t>
  </si>
  <si>
    <t>Patchouli, dried leaves, Pogostemon cablin </t>
  </si>
  <si>
    <t>Patchouli, fresh leaves, Pogostemon cablin </t>
  </si>
  <si>
    <t>Perilla, dried leaves, Perilla frutescens </t>
  </si>
  <si>
    <t>Perilla, fresh leaves, Perilla frutescens </t>
  </si>
  <si>
    <t>Pipsissewa, dried leaves, Chimaphila umbellata </t>
  </si>
  <si>
    <t>Pipsissewa, fresh leaves, Chimaphila umbellata </t>
  </si>
  <si>
    <t>Rooibos, dried leaves, Aspalathus linearis </t>
  </si>
  <si>
    <t>Rooibos, fresh leaves, Aspalathus linearis </t>
  </si>
  <si>
    <t>Spilanthes, dried leaves, Blainvillea acmella </t>
  </si>
  <si>
    <t>Spilanthes, fresh leaves, Blainvillea acmella </t>
  </si>
  <si>
    <t>Stevia, dried leaves, Stevia rebaudiana </t>
  </si>
  <si>
    <t>Stevia, fresh leaves, Stevia rebaudiana </t>
  </si>
  <si>
    <t>Swamp leaf, dried leaves, Limnophila chinensis </t>
  </si>
  <si>
    <t>Swamp leaf, fresh leaves, Limnophila chinensis </t>
  </si>
  <si>
    <t>Thyme, lemon, dried leaves, Thymus ×citriodorus </t>
  </si>
  <si>
    <t>Thyme, lemon, fresh leaves, Thymus ×citriodorus </t>
  </si>
  <si>
    <t>Thyme, mastic, dried leaves, Thymus mastichina </t>
  </si>
  <si>
    <t>Thyme, mastic, fresh leaves, Thymus mastichina </t>
  </si>
  <si>
    <t>Toon, Chinese, dried leaves, Toona sinensis </t>
  </si>
  <si>
    <t>Toon, Chinese, fresh leaves, Toona sinensis </t>
  </si>
  <si>
    <t>Toothed clubmoss, dried leaves, Huperzia serrata </t>
  </si>
  <si>
    <t>Toothed clubmoss, fresh leaves, Huperzia serrata </t>
  </si>
  <si>
    <t>Waterpepper, dried leaves, Persicaria hydropiper </t>
  </si>
  <si>
    <t>Waterpepper, fresh leaves, Persicaria hydropiper </t>
  </si>
  <si>
    <t>Wood betony, dried leaves, Stachys officinalis </t>
  </si>
  <si>
    <t>Wood betony, fresh leaves, Stachys officinalis </t>
  </si>
  <si>
    <t>Woodruff, dried leaves, Galium odoratum </t>
  </si>
  <si>
    <t>Woodruff, fresh leaves, Galium odoratum </t>
  </si>
  <si>
    <t>Yerba santa, dried leaves, Eriodictyon californicum </t>
  </si>
  <si>
    <t>Yerba santa, fresh leaves, Eriodictyon californicum </t>
  </si>
  <si>
    <t xml:space="preserve">Silvergrass </t>
  </si>
  <si>
    <t>n/a</t>
  </si>
  <si>
    <t>Christmass Trees</t>
  </si>
  <si>
    <t xml:space="preserve">RUNOFF + DRIFT </t>
  </si>
  <si>
    <t>Runoff Only</t>
  </si>
  <si>
    <t>Adult Invertebrate (Non-Specific) [usually honey bee dietary endpoints]</t>
  </si>
  <si>
    <t>Larval Invertebrate (Non-Specific) [among most sensitive dietary endpoint]</t>
  </si>
  <si>
    <t>Water Column Invertebrate (Non-Specific) Endpoints</t>
  </si>
  <si>
    <t>Soil Spray</t>
  </si>
  <si>
    <t>Foliar Spray</t>
  </si>
  <si>
    <t>soil/granular</t>
  </si>
  <si>
    <t>seed</t>
  </si>
  <si>
    <r>
      <rPr>
        <b/>
        <sz val="10"/>
        <color rgb="FF000000"/>
        <rFont val="Calibri"/>
        <family val="2"/>
      </rPr>
      <t xml:space="preserve">FW Acute
</t>
    </r>
    <r>
      <rPr>
        <sz val="10"/>
        <color rgb="FF000000"/>
        <rFont val="Calibri"/>
        <family val="2"/>
      </rPr>
      <t>(µg a.i./L)</t>
    </r>
  </si>
  <si>
    <r>
      <rPr>
        <b/>
        <sz val="10"/>
        <color rgb="FF000000"/>
        <rFont val="Calibri"/>
        <family val="2"/>
      </rPr>
      <t xml:space="preserve">Acute Freshwater
</t>
    </r>
    <r>
      <rPr>
        <sz val="10"/>
        <color rgb="FF000000"/>
        <rFont val="Calibri"/>
        <family val="2"/>
      </rPr>
      <t xml:space="preserve">(µg a.i./L) </t>
    </r>
  </si>
  <si>
    <r>
      <rPr>
        <b/>
        <sz val="10"/>
        <color rgb="FF000000"/>
        <rFont val="Calibri"/>
        <family val="2"/>
      </rPr>
      <t xml:space="preserve">Acute Estuarine/Marine
</t>
    </r>
    <r>
      <rPr>
        <sz val="10"/>
        <color rgb="FF000000"/>
        <rFont val="Calibri"/>
        <family val="2"/>
      </rPr>
      <t xml:space="preserve">(µg a.i./L) </t>
    </r>
  </si>
  <si>
    <r>
      <rPr>
        <b/>
        <sz val="10"/>
        <color rgb="FF000000"/>
        <rFont val="Calibri"/>
        <family val="2"/>
      </rPr>
      <t xml:space="preserve">Chronic Estuarine/Marine
</t>
    </r>
    <r>
      <rPr>
        <sz val="10"/>
        <color rgb="FF000000"/>
        <rFont val="Calibri"/>
        <family val="2"/>
      </rPr>
      <t xml:space="preserve">(µg a.i./L) </t>
    </r>
  </si>
  <si>
    <r>
      <rPr>
        <b/>
        <sz val="10"/>
        <color rgb="FF000000"/>
        <rFont val="Calibri"/>
        <family val="2"/>
      </rPr>
      <t xml:space="preserve">Chronic Freshwater Amphipod
</t>
    </r>
    <r>
      <rPr>
        <sz val="10"/>
        <color rgb="FF000000"/>
        <rFont val="Calibri"/>
        <family val="2"/>
      </rPr>
      <t>(µg a.i./kg-OC)</t>
    </r>
  </si>
  <si>
    <r>
      <rPr>
        <b/>
        <sz val="10"/>
        <color rgb="FF000000"/>
        <rFont val="Calibri"/>
        <family val="2"/>
      </rPr>
      <t xml:space="preserve">Chronic Freshwater Amphipod
</t>
    </r>
    <r>
      <rPr>
        <sz val="10"/>
        <color rgb="FF000000"/>
        <rFont val="Calibri"/>
        <family val="2"/>
      </rPr>
      <t>(µg a.i./L pore water)</t>
    </r>
  </si>
  <si>
    <r>
      <rPr>
        <b/>
        <sz val="10"/>
        <color rgb="FF000000"/>
        <rFont val="Calibri"/>
        <family val="2"/>
      </rPr>
      <t xml:space="preserve">Chronic Freshwater Midge
</t>
    </r>
    <r>
      <rPr>
        <sz val="10"/>
        <color rgb="FF000000"/>
        <rFont val="Calibri"/>
        <family val="2"/>
      </rPr>
      <t>(µg a.i./kg-OC)</t>
    </r>
  </si>
  <si>
    <r>
      <rPr>
        <b/>
        <sz val="10"/>
        <color rgb="FF000000"/>
        <rFont val="Calibri"/>
        <family val="2"/>
      </rPr>
      <t xml:space="preserve">Chronic Freshwater Midge
</t>
    </r>
    <r>
      <rPr>
        <sz val="10"/>
        <color rgb="FF000000"/>
        <rFont val="Calibri"/>
        <family val="2"/>
      </rPr>
      <t>(µg a.i./L pore water)</t>
    </r>
  </si>
  <si>
    <r>
      <rPr>
        <b/>
        <sz val="10"/>
        <color rgb="FF000000"/>
        <rFont val="Calibri"/>
        <family val="2"/>
      </rPr>
      <t xml:space="preserve">Chronic Estuarine/Marine
</t>
    </r>
    <r>
      <rPr>
        <sz val="10"/>
        <color rgb="FF000000"/>
        <rFont val="Calibri"/>
        <family val="2"/>
      </rPr>
      <t>(µg a.i./kg-OC)</t>
    </r>
  </si>
  <si>
    <r>
      <rPr>
        <b/>
        <sz val="10"/>
        <color rgb="FF000000"/>
        <rFont val="Calibri"/>
        <family val="2"/>
      </rPr>
      <t xml:space="preserve">Chronic Estuarine/Marine
</t>
    </r>
    <r>
      <rPr>
        <sz val="10"/>
        <color rgb="FF000000"/>
        <rFont val="Calibri"/>
        <family val="2"/>
      </rPr>
      <t>(µg a.i./L pore water)</t>
    </r>
  </si>
  <si>
    <t>Use ID</t>
  </si>
  <si>
    <t>common_name</t>
  </si>
  <si>
    <t>life_stage</t>
  </si>
  <si>
    <t>level_of_organization</t>
  </si>
  <si>
    <t>acute_subacute_chronic</t>
  </si>
  <si>
    <t>exposure_route</t>
  </si>
  <si>
    <t>dose_based</t>
  </si>
  <si>
    <t>endpoint_type</t>
  </si>
  <si>
    <t>value</t>
  </si>
  <si>
    <t>Honey bee</t>
  </si>
  <si>
    <t>Adult</t>
  </si>
  <si>
    <t>non-listed</t>
  </si>
  <si>
    <t>acute</t>
  </si>
  <si>
    <t>contact</t>
  </si>
  <si>
    <t>ld50</t>
  </si>
  <si>
    <t>oral</t>
  </si>
  <si>
    <t>chronic</t>
  </si>
  <si>
    <t>noael</t>
  </si>
  <si>
    <t>Larval</t>
  </si>
  <si>
    <t xml:space="preserve">noael </t>
  </si>
  <si>
    <t>Bumble bee</t>
  </si>
  <si>
    <t>lc50</t>
  </si>
  <si>
    <t>noaec</t>
  </si>
  <si>
    <t>listed individual</t>
  </si>
  <si>
    <t>listed population</t>
  </si>
  <si>
    <t>0.4*ld50 or hc05</t>
  </si>
  <si>
    <t>matl</t>
  </si>
  <si>
    <t>0.4*lc50 or hc05</t>
  </si>
  <si>
    <t>matc</t>
  </si>
  <si>
    <t>listed community</t>
  </si>
  <si>
    <t>hc25 or aac ld50</t>
  </si>
  <si>
    <t>hc25 or surrogate</t>
  </si>
  <si>
    <t>lao lc50</t>
  </si>
  <si>
    <t xml:space="preserve">DO NOT USE "0" </t>
  </si>
  <si>
    <t>Replace all contents with the scheme generator output file "…_out_xwalk"</t>
  </si>
  <si>
    <t>Enter all uses to be modeled (fill in ALL yellow relevant cells)</t>
  </si>
  <si>
    <t>Change this value only if there is chemical specific data to do so</t>
  </si>
  <si>
    <t>0,7,14</t>
  </si>
  <si>
    <t>1,7,14</t>
  </si>
  <si>
    <t>1,1</t>
  </si>
  <si>
    <t>0.5,1</t>
  </si>
  <si>
    <t>0,35</t>
  </si>
  <si>
    <t>1,34</t>
  </si>
  <si>
    <t>Run Information</t>
  </si>
  <si>
    <t>1-d avg</t>
  </si>
  <si>
    <t>365-d avg</t>
  </si>
  <si>
    <t>Total avg</t>
  </si>
  <si>
    <t>4-d avg</t>
  </si>
  <si>
    <t>21-d avg</t>
  </si>
  <si>
    <t>60-d avg</t>
  </si>
  <si>
    <t>B 1-day</t>
  </si>
  <si>
    <t>B 21-d avg</t>
  </si>
  <si>
    <t>post_bt_avg</t>
  </si>
  <si>
    <t>throughput</t>
  </si>
  <si>
    <t>GWpeak</t>
  </si>
  <si>
    <t xml:space="preserve">1_284802-23590-1_Corn-r01-A_USEPA Pond_0010_median                                    </t>
  </si>
  <si>
    <t xml:space="preserve">1_282174-22397-1_Corn-r02-A_USEPA Pond_0010_median                                    </t>
  </si>
  <si>
    <t xml:space="preserve">1_2493903-15051-1_Corn-r03N-A_USEPA Pond_0010_median                                  </t>
  </si>
  <si>
    <t xml:space="preserve">1_125348-10792-1_Corn-r03S-A_USEPA Pond_0010_median                                   </t>
  </si>
  <si>
    <t xml:space="preserve">1_333066-12658-1_Corn-r03W-A_USEPA Pond_0010_median                                   </t>
  </si>
  <si>
    <t xml:space="preserve">1_169674-19520-1_Corn-r04-A_USEPA Pond_0010_median                                    </t>
  </si>
  <si>
    <t xml:space="preserve">1_164805-19043-1_Corn-r05-A_USEPA Pond_0010_median                                    </t>
  </si>
  <si>
    <t xml:space="preserve">1_522893-13848-1_Corn-r06-A_USEPA Pond_0010_median                                    </t>
  </si>
  <si>
    <t xml:space="preserve">1_2765542-21371-1_Corn-r07-A_USEPA Pond_0010_median                                   </t>
  </si>
  <si>
    <t xml:space="preserve">1_568322-13597-1_Corn-r08-A_USEPA Pond_0010_median                                    </t>
  </si>
  <si>
    <t xml:space="preserve">1_2798874-27020-1_Corn-r09-A_USEPA Pond_0010_median                                   </t>
  </si>
  <si>
    <t xml:space="preserve">1_1691426-20179-13_Corn-r10L-A_USEPA Pond_0010_median                                 </t>
  </si>
  <si>
    <t xml:space="preserve">1_418822-23009-1_Corn-r10U-A_USEPA Pond_0010_median                                   </t>
  </si>
  <si>
    <t xml:space="preserve">1_1380629-16622-1_Corn-r11-A_USEPA Pond_0010_median                                   </t>
  </si>
  <si>
    <t xml:space="preserve">1_372423-12152-1_Corn-r12-A_USEPA Pond_0010_median                                    </t>
  </si>
  <si>
    <t xml:space="preserve">1_55992-12595-237_Corn-r13-A_USEPA Pond_0010_median                                   </t>
  </si>
  <si>
    <t xml:space="preserve">1_506809-18005-1_Corn-r14-A_USEPA Pond_0010_median                                    </t>
  </si>
  <si>
    <t xml:space="preserve">1_54973-11158-226_Corn-r15-A_USEPA Pond_0010_median                                   </t>
  </si>
  <si>
    <t xml:space="preserve">1_481578-20116-1_Corn-r16-A_USEPA Pond_0010_median                                    </t>
  </si>
  <si>
    <t xml:space="preserve">1_69526-24571-1_Corn-r17-A_USEPA Pond_0010_median                                     </t>
  </si>
  <si>
    <t xml:space="preserve">1_467176-15131-225_Corn-r18-A_USEPA Pond_0010_median                                  </t>
  </si>
  <si>
    <t xml:space="preserve">5_284802-23590-1_Corn-r01-A_USEPA Pond_0010_median                                    </t>
  </si>
  <si>
    <t xml:space="preserve">5_282174-22397-1_Corn-r02-A_USEPA Pond_0010_median                                    </t>
  </si>
  <si>
    <t xml:space="preserve">5_2493903-15051-1_Corn-r03N-A_USEPA Pond_0010_median                                  </t>
  </si>
  <si>
    <t xml:space="preserve">5_125348-10792-1_Corn-r03S-A_USEPA Pond_0010_median                                   </t>
  </si>
  <si>
    <t xml:space="preserve">5_333066-12658-1_Corn-r03W-A_USEPA Pond_0010_median                                   </t>
  </si>
  <si>
    <t xml:space="preserve">5_169674-19520-1_Corn-r04-A_USEPA Pond_0010_median                                    </t>
  </si>
  <si>
    <t xml:space="preserve">5_164805-19043-1_Corn-r05-A_USEPA Pond_0010_median                                    </t>
  </si>
  <si>
    <t xml:space="preserve">5_522893-13848-1_Corn-r06-A_USEPA Pond_0010_median                                    </t>
  </si>
  <si>
    <t xml:space="preserve">5_2765542-21371-1_Corn-r07-A_USEPA Pond_0010_median                                   </t>
  </si>
  <si>
    <t xml:space="preserve">5_568322-13597-1_Corn-r08-A_USEPA Pond_0010_median                                    </t>
  </si>
  <si>
    <t xml:space="preserve">5_2798874-27020-1_Corn-r09-A_USEPA Pond_0010_median                                   </t>
  </si>
  <si>
    <t xml:space="preserve">5_1691426-20179-13_Corn-r10L-A_USEPA Pond_0010_median                                 </t>
  </si>
  <si>
    <t xml:space="preserve">5_418822-23009-1_Corn-r10U-A_USEPA Pond_0010_median                                   </t>
  </si>
  <si>
    <t xml:space="preserve">5_1380629-16622-1_Corn-r11-A_USEPA Pond_0010_median                                   </t>
  </si>
  <si>
    <t xml:space="preserve">5_372423-12152-1_Corn-r12-A_USEPA Pond_0010_median                                    </t>
  </si>
  <si>
    <t xml:space="preserve">5_55992-12595-237_Corn-r13-A_USEPA Pond_0010_median                                   </t>
  </si>
  <si>
    <t xml:space="preserve">5_506809-18005-1_Corn-r14-A_USEPA Pond_0010_median                                    </t>
  </si>
  <si>
    <t xml:space="preserve">5_54973-11158-226_Corn-r15-A_USEPA Pond_0010_median                                   </t>
  </si>
  <si>
    <t xml:space="preserve">5_481578-20116-1_Corn-r16-A_USEPA Pond_0010_median                                    </t>
  </si>
  <si>
    <t xml:space="preserve">5_69526-24571-1_Corn-r17-A_USEPA Pond_0010_median                                     </t>
  </si>
  <si>
    <t xml:space="preserve">5_467176-15131-225_Corn-r18-A_USEPA Pond_0010_median                                  </t>
  </si>
  <si>
    <t xml:space="preserve">8_290662-20742-26_Soybean-r01-A_USEPA Pond_0076_median                                </t>
  </si>
  <si>
    <t xml:space="preserve">8_1606194-18138-5_Soybean-r02-A_USEPA Pond_0076_median                                </t>
  </si>
  <si>
    <t xml:space="preserve">8_114323-14827-5_Soybean-r03N-A_USEPA Pond_0076_median                                </t>
  </si>
  <si>
    <t xml:space="preserve">8_325092-11970-5_Soybean-r03S-A_USEPA Pond_0076_median                                </t>
  </si>
  <si>
    <t xml:space="preserve">8_333014-13366-5_Soybean-r03W-A_USEPA Pond_0076_median                                </t>
  </si>
  <si>
    <t xml:space="preserve">8_423263-22330-5_Soybean-r04-A_USEPA Pond_0076_median                                 </t>
  </si>
  <si>
    <t xml:space="preserve">8_163010-18801-5_Soybean-r05-A_USEPA Pond_0076_median                                 </t>
  </si>
  <si>
    <t xml:space="preserve">8_1597339-15962-5_Soybean-r06-A_USEPA Pond_0076_median                                </t>
  </si>
  <si>
    <t xml:space="preserve">8_1585999-21611-5_Soybean-r07-A_USEPA Pond_0076_median                                </t>
  </si>
  <si>
    <t xml:space="preserve">8_564088-14065-5_Soybean-r08-A_USEPA Pond_0076_median                                 </t>
  </si>
  <si>
    <t xml:space="preserve">8_2585754-26533-5_Soybean-r09-A_USEPA Pond_0076_median                                </t>
  </si>
  <si>
    <t xml:space="preserve">8_1700092-19697-5_Soybean-r10L-A_USEPA Pond_0076_median                               </t>
  </si>
  <si>
    <t xml:space="preserve">8_2573568-25127-5_Soybean-r10U-A_USEPA Pond_0076_median                               </t>
  </si>
  <si>
    <t xml:space="preserve">8_1155440-16870-254_Soybean-r11-A_USEPA Pond_0076_median                              </t>
  </si>
  <si>
    <t xml:space="preserve">8_373259-8851-5_Soybean-r12-A_USEPA Pond_0076_median                                  </t>
  </si>
  <si>
    <t xml:space="preserve">8_363659-5778-5_Soybean-r13-A_USEPA Pond_0076_median                                  </t>
  </si>
  <si>
    <t xml:space="preserve">8_508783-17536-5_Soybean-r14-A_USEPA Pond_0076_median                                 </t>
  </si>
  <si>
    <t xml:space="preserve">8_144849-26715-5_Soybean-r17-A_USEPA Pond_0076_median                                 </t>
  </si>
  <si>
    <t xml:space="preserve">2_284802-23590-1_Corn-r01-A_USEPA Pond_0010_median                                    </t>
  </si>
  <si>
    <t xml:space="preserve">2_282174-22397-1_Corn-r02-A_USEPA Pond_0010_median                                    </t>
  </si>
  <si>
    <t xml:space="preserve">2_2493903-15051-1_Corn-r03N-A_USEPA Pond_0010_median                                  </t>
  </si>
  <si>
    <t xml:space="preserve">2_125348-10792-1_Corn-r03S-A_USEPA Pond_0010_median                                   </t>
  </si>
  <si>
    <t xml:space="preserve">2_333066-12658-1_Corn-r03W-A_USEPA Pond_0010_median                                   </t>
  </si>
  <si>
    <t xml:space="preserve">2_169674-19520-1_Corn-r04-A_USEPA Pond_0010_median                                    </t>
  </si>
  <si>
    <t xml:space="preserve">2_164805-19043-1_Corn-r05-A_USEPA Pond_0010_median                                    </t>
  </si>
  <si>
    <t xml:space="preserve">2_522893-13848-1_Corn-r06-A_USEPA Pond_0010_median                                    </t>
  </si>
  <si>
    <t xml:space="preserve">2_2765542-21371-1_Corn-r07-A_USEPA Pond_0010_median                                   </t>
  </si>
  <si>
    <t xml:space="preserve">2_568322-13597-1_Corn-r08-A_USEPA Pond_0010_median                                    </t>
  </si>
  <si>
    <t xml:space="preserve">2_2798874-27020-1_Corn-r09-A_USEPA Pond_0010_median                                   </t>
  </si>
  <si>
    <t xml:space="preserve">2_1691426-20179-13_Corn-r10L-A_USEPA Pond_0010_median                                 </t>
  </si>
  <si>
    <t xml:space="preserve">2_418822-23009-1_Corn-r10U-A_USEPA Pond_0010_median                                   </t>
  </si>
  <si>
    <t xml:space="preserve">2_1380629-16622-1_Corn-r11-A_USEPA Pond_0010_median                                   </t>
  </si>
  <si>
    <t xml:space="preserve">2_372423-12152-1_Corn-r12-A_USEPA Pond_0010_median                                    </t>
  </si>
  <si>
    <t xml:space="preserve">2_55992-12595-237_Corn-r13-A_USEPA Pond_0010_median                                   </t>
  </si>
  <si>
    <t xml:space="preserve">2_506809-18005-1_Corn-r14-A_USEPA Pond_0010_median                                    </t>
  </si>
  <si>
    <t xml:space="preserve">2_54973-11158-226_Corn-r15-A_USEPA Pond_0010_median                                   </t>
  </si>
  <si>
    <t xml:space="preserve">2_481578-20116-1_Corn-r16-A_USEPA Pond_0010_median                                    </t>
  </si>
  <si>
    <t xml:space="preserve">2_69526-24571-1_Corn-r17-A_USEPA Pond_0010_median                                     </t>
  </si>
  <si>
    <t xml:space="preserve">2_467176-15131-225_Corn-r18-A_USEPA Pond_0010_median                                  </t>
  </si>
  <si>
    <t xml:space="preserve">3_284802-23590-1_Corn-r01-A_USEPA Pond_0010_median                                    </t>
  </si>
  <si>
    <t xml:space="preserve">3_282174-22397-1_Corn-r02-A_USEPA Pond_0010_median                                    </t>
  </si>
  <si>
    <t xml:space="preserve">3_2493903-15051-1_Corn-r03N-A_USEPA Pond_0010_median                                  </t>
  </si>
  <si>
    <t xml:space="preserve">3_125348-10792-1_Corn-r03S-A_USEPA Pond_0010_median                                   </t>
  </si>
  <si>
    <t xml:space="preserve">3_333066-12658-1_Corn-r03W-A_USEPA Pond_0010_median                                   </t>
  </si>
  <si>
    <t xml:space="preserve">3_169674-19520-1_Corn-r04-A_USEPA Pond_0010_median                                    </t>
  </si>
  <si>
    <t xml:space="preserve">3_164805-19043-1_Corn-r05-A_USEPA Pond_0010_median                                    </t>
  </si>
  <si>
    <t xml:space="preserve">3_522893-13848-1_Corn-r06-A_USEPA Pond_0010_median                                    </t>
  </si>
  <si>
    <t xml:space="preserve">3_2765542-21371-1_Corn-r07-A_USEPA Pond_0010_median                                   </t>
  </si>
  <si>
    <t xml:space="preserve">3_568322-13597-1_Corn-r08-A_USEPA Pond_0010_median                                    </t>
  </si>
  <si>
    <t xml:space="preserve">3_2798874-27020-1_Corn-r09-A_USEPA Pond_0010_median                                   </t>
  </si>
  <si>
    <t xml:space="preserve">3_1691426-20179-13_Corn-r10L-A_USEPA Pond_0010_median                                 </t>
  </si>
  <si>
    <t xml:space="preserve">3_418822-23009-1_Corn-r10U-A_USEPA Pond_0010_median                                   </t>
  </si>
  <si>
    <t xml:space="preserve">3_1380629-16622-1_Corn-r11-A_USEPA Pond_0010_median                                   </t>
  </si>
  <si>
    <t xml:space="preserve">3_372423-12152-1_Corn-r12-A_USEPA Pond_0010_median                                    </t>
  </si>
  <si>
    <t xml:space="preserve">3_55992-12595-237_Corn-r13-A_USEPA Pond_0010_median                                   </t>
  </si>
  <si>
    <t xml:space="preserve">3_506809-18005-1_Corn-r14-A_USEPA Pond_0010_median                                    </t>
  </si>
  <si>
    <t xml:space="preserve">3_54973-11158-226_Corn-r15-A_USEPA Pond_0010_median                                   </t>
  </si>
  <si>
    <t xml:space="preserve">3_481578-20116-1_Corn-r16-A_USEPA Pond_0010_median                                    </t>
  </si>
  <si>
    <t xml:space="preserve">3_69526-24571-1_Corn-r17-A_USEPA Pond_0010_median                                     </t>
  </si>
  <si>
    <t xml:space="preserve">3_467176-15131-225_Corn-r18-A_USEPA Pond_0010_median                                  </t>
  </si>
  <si>
    <t xml:space="preserve">4_284802-23590-1_Corn-r01-A_USEPA Pond_0010_median                                    </t>
  </si>
  <si>
    <t xml:space="preserve">4_282174-22397-1_Corn-r02-A_USEPA Pond_0010_median                                    </t>
  </si>
  <si>
    <t xml:space="preserve">4_2493903-15051-1_Corn-r03N-A_USEPA Pond_0010_median                                  </t>
  </si>
  <si>
    <t xml:space="preserve">4_125348-10792-1_Corn-r03S-A_USEPA Pond_0010_median                                   </t>
  </si>
  <si>
    <t xml:space="preserve">4_333066-12658-1_Corn-r03W-A_USEPA Pond_0010_median                                   </t>
  </si>
  <si>
    <t xml:space="preserve">4_169674-19520-1_Corn-r04-A_USEPA Pond_0010_median                                    </t>
  </si>
  <si>
    <t xml:space="preserve">4_164805-19043-1_Corn-r05-A_USEPA Pond_0010_median                                    </t>
  </si>
  <si>
    <t xml:space="preserve">4_522893-13848-1_Corn-r06-A_USEPA Pond_0010_median                                    </t>
  </si>
  <si>
    <t xml:space="preserve">4_2765542-21371-1_Corn-r07-A_USEPA Pond_0010_median                                   </t>
  </si>
  <si>
    <t xml:space="preserve">4_568322-13597-1_Corn-r08-A_USEPA Pond_0010_median                                    </t>
  </si>
  <si>
    <t xml:space="preserve">4_2798874-27020-1_Corn-r09-A_USEPA Pond_0010_median                                   </t>
  </si>
  <si>
    <t xml:space="preserve">4_1691426-20179-13_Corn-r10L-A_USEPA Pond_0010_median                                 </t>
  </si>
  <si>
    <t xml:space="preserve">4_418822-23009-1_Corn-r10U-A_USEPA Pond_0010_median                                   </t>
  </si>
  <si>
    <t xml:space="preserve">4_1380629-16622-1_Corn-r11-A_USEPA Pond_0010_median                                   </t>
  </si>
  <si>
    <t xml:space="preserve">4_372423-12152-1_Corn-r12-A_USEPA Pond_0010_median                                    </t>
  </si>
  <si>
    <t xml:space="preserve">4_55992-12595-237_Corn-r13-A_USEPA Pond_0010_median                                   </t>
  </si>
  <si>
    <t xml:space="preserve">4_506809-18005-1_Corn-r14-A_USEPA Pond_0010_median                                    </t>
  </si>
  <si>
    <t xml:space="preserve">4_54973-11158-226_Corn-r15-A_USEPA Pond_0010_median                                   </t>
  </si>
  <si>
    <t xml:space="preserve">4_481578-20116-1_Corn-r16-A_USEPA Pond_0010_median                                    </t>
  </si>
  <si>
    <t xml:space="preserve">4_69526-24571-1_Corn-r17-A_USEPA Pond_0010_median                                     </t>
  </si>
  <si>
    <t xml:space="preserve">4_467176-15131-225_Corn-r18-A_USEPA Pond_0010_median                                  </t>
  </si>
  <si>
    <t xml:space="preserve">6_290662-20742-26_Soybean-r01-A_USEPA Pond_0076_median                                </t>
  </si>
  <si>
    <t xml:space="preserve">6_1606194-18138-5_Soybean-r02-A_USEPA Pond_0076_median                                </t>
  </si>
  <si>
    <t xml:space="preserve">6_114323-14827-5_Soybean-r03N-A_USEPA Pond_0076_median                                </t>
  </si>
  <si>
    <t xml:space="preserve">6_325092-11970-5_Soybean-r03S-A_USEPA Pond_0076_median                                </t>
  </si>
  <si>
    <t xml:space="preserve">6_333014-13366-5_Soybean-r03W-A_USEPA Pond_0076_median                                </t>
  </si>
  <si>
    <t xml:space="preserve">6_423263-22330-5_Soybean-r04-A_USEPA Pond_0076_median                                 </t>
  </si>
  <si>
    <t xml:space="preserve">6_163010-18801-5_Soybean-r05-A_USEPA Pond_0076_median                                 </t>
  </si>
  <si>
    <t xml:space="preserve">6_1597339-15962-5_Soybean-r06-A_USEPA Pond_0076_median                                </t>
  </si>
  <si>
    <t xml:space="preserve">6_1585999-21611-5_Soybean-r07-A_USEPA Pond_0076_median                                </t>
  </si>
  <si>
    <t xml:space="preserve">6_564088-14065-5_Soybean-r08-A_USEPA Pond_0076_median                                 </t>
  </si>
  <si>
    <t xml:space="preserve">6_2585754-26533-5_Soybean-r09-A_USEPA Pond_0076_median                                </t>
  </si>
  <si>
    <t xml:space="preserve">6_1700092-19697-5_Soybean-r10L-A_USEPA Pond_0076_median                               </t>
  </si>
  <si>
    <t xml:space="preserve">6_2573568-25127-5_Soybean-r10U-A_USEPA Pond_0076_median                               </t>
  </si>
  <si>
    <t xml:space="preserve">6_1155440-16870-254_Soybean-r11-A_USEPA Pond_0076_median                              </t>
  </si>
  <si>
    <t xml:space="preserve">6_373259-8851-5_Soybean-r12-A_USEPA Pond_0076_median                                  </t>
  </si>
  <si>
    <t xml:space="preserve">6_363659-5778-5_Soybean-r13-A_USEPA Pond_0076_median                                  </t>
  </si>
  <si>
    <t xml:space="preserve">6_508783-17536-5_Soybean-r14-A_USEPA Pond_0076_median                                 </t>
  </si>
  <si>
    <t xml:space="preserve">6_144849-26715-5_Soybean-r17-A_USEPA Pond_0076_median                                 </t>
  </si>
  <si>
    <t xml:space="preserve">7_290662-20742-26_Soybean-r01-A_USEPA Pond_0076_median                                </t>
  </si>
  <si>
    <t xml:space="preserve">7_1606194-18138-5_Soybean-r02-A_USEPA Pond_0076_median                                </t>
  </si>
  <si>
    <t xml:space="preserve">7_114323-14827-5_Soybean-r03N-A_USEPA Pond_0076_median                                </t>
  </si>
  <si>
    <t xml:space="preserve">7_325092-11970-5_Soybean-r03S-A_USEPA Pond_0076_median                                </t>
  </si>
  <si>
    <t xml:space="preserve">7_333014-13366-5_Soybean-r03W-A_USEPA Pond_0076_median                                </t>
  </si>
  <si>
    <t xml:space="preserve">7_423263-22330-5_Soybean-r04-A_USEPA Pond_0076_median                                 </t>
  </si>
  <si>
    <t xml:space="preserve">7_163010-18801-5_Soybean-r05-A_USEPA Pond_0076_median                                 </t>
  </si>
  <si>
    <t xml:space="preserve">7_1597339-15962-5_Soybean-r06-A_USEPA Pond_0076_median                                </t>
  </si>
  <si>
    <t xml:space="preserve">7_1585999-21611-5_Soybean-r07-A_USEPA Pond_0076_median                                </t>
  </si>
  <si>
    <t xml:space="preserve">7_564088-14065-5_Soybean-r08-A_USEPA Pond_0076_median                                 </t>
  </si>
  <si>
    <t xml:space="preserve">7_2585754-26533-5_Soybean-r09-A_USEPA Pond_0076_median                                </t>
  </si>
  <si>
    <t xml:space="preserve">7_1700092-19697-5_Soybean-r10L-A_USEPA Pond_0076_median                               </t>
  </si>
  <si>
    <t xml:space="preserve">7_2573568-25127-5_Soybean-r10U-A_USEPA Pond_0076_median                               </t>
  </si>
  <si>
    <t xml:space="preserve">7_1155440-16870-254_Soybean-r11-A_USEPA Pond_0076_median                              </t>
  </si>
  <si>
    <t xml:space="preserve">7_373259-8851-5_Soybean-r12-A_USEPA Pond_0076_median                                  </t>
  </si>
  <si>
    <t xml:space="preserve">7_363659-5778-5_Soybean-r13-A_USEPA Pond_0076_median                                  </t>
  </si>
  <si>
    <t xml:space="preserve">7_508783-17536-5_Soybean-r14-A_USEPA Pond_0076_median                                 </t>
  </si>
  <si>
    <t xml:space="preserve">7_144849-26715-5_Soybean-r17-A_USEPA Pond_0076_median                                 </t>
  </si>
  <si>
    <t xml:space="preserve">9_286087-20273-68_Orchard deciduous-r01-A_USEPA Pond_0089_median                      </t>
  </si>
  <si>
    <t xml:space="preserve">9_295501-20504-68_Orchard deciduous-r02-A_USEPA Pond_0089_median                      </t>
  </si>
  <si>
    <t xml:space="preserve">9_130628-13873-74_Orchard deciduous-r03N-A_USEPA Pond_0089_median                     </t>
  </si>
  <si>
    <t xml:space="preserve">9_125133-11268-74_Orchard deciduous-r03S-A_USEPA Pond_0089_median                     </t>
  </si>
  <si>
    <t xml:space="preserve">9_2455410-11258-67_Orchard deciduous-r03W-A_USEPA Pond_0089_median                    </t>
  </si>
  <si>
    <t xml:space="preserve">9_292675-21905-68_Orchard deciduous-r04-A_USEPA Pond_0089_median                      </t>
  </si>
  <si>
    <t xml:space="preserve">9_298742-19770-68_Orchard deciduous-r05-A_USEPA Pond_0089_median                      </t>
  </si>
  <si>
    <t xml:space="preserve">9_546865-14571-68_Orchard deciduous-r06-A_USEPA Pond_0089_median                      </t>
  </si>
  <si>
    <t xml:space="preserve">9_396439-23493-68_Orchard deciduous-r07-A_USEPA Pond_0089_median                      </t>
  </si>
  <si>
    <t xml:space="preserve">9_567494-13121-74_Orchard deciduous-r08-A_USEPA Pond_0089_median                      </t>
  </si>
  <si>
    <t xml:space="preserve">9_2774572-26572-68_Orchard deciduous-r09-A_USEPA Pond_0089_median                     </t>
  </si>
  <si>
    <t xml:space="preserve">9_2532369-16882-74_Orchard deciduous-r10L-A_USEPA Pond_0089_median                    </t>
  </si>
  <si>
    <t xml:space="preserve">9_146775-27192-66_Orchard deciduous-r10U-A_USEPA Pond_0089_median                     </t>
  </si>
  <si>
    <t xml:space="preserve">9_106593-15934-74_Orchard deciduous-r11-A_USEPA Pond_0089_median                      </t>
  </si>
  <si>
    <t xml:space="preserve">9_367880-12156-74_Orchard deciduous-r12-A_USEPA Pond_0089_median                      </t>
  </si>
  <si>
    <t xml:space="preserve">9_712158-9291-74_Orchard deciduous-r13-A_USEPA Pond_0089_median                       </t>
  </si>
  <si>
    <t xml:space="preserve">9_496634-17773-67_Orchard deciduous-r14-A_USEPA Pond_0089_median                      </t>
  </si>
  <si>
    <t xml:space="preserve">9_53675-11396-74_Orchard deciduous-r15-A_USEPA Pond_0089_median                       </t>
  </si>
  <si>
    <t xml:space="preserve">9_483390-18938-66_Orchard deciduous-r16-A_USEPA Pond_0089_median                      </t>
  </si>
  <si>
    <t xml:space="preserve">9_62699-22668-71_Orchard deciduous-r17-A_USEPA Pond_0089_median                       </t>
  </si>
  <si>
    <t xml:space="preserve">9_462066-17012-75_Orchard deciduous-r18-A_USEPA Pond_0089_median                      </t>
  </si>
  <si>
    <t>lb/A</t>
  </si>
  <si>
    <t>1-day</t>
  </si>
  <si>
    <t>Total System (lb/A)</t>
  </si>
  <si>
    <t>2,2</t>
  </si>
  <si>
    <t>0,10</t>
  </si>
  <si>
    <t>1,11</t>
  </si>
  <si>
    <t>Corn_1</t>
  </si>
  <si>
    <t>Corn-r01-A_v7.scn2</t>
  </si>
  <si>
    <t>Corn-r02-A_v7.scn2</t>
  </si>
  <si>
    <t>Corn-r03N-A_v7.scn2</t>
  </si>
  <si>
    <t>Corn-r03S-A_v7.scn2</t>
  </si>
  <si>
    <t>Corn-r03W-A_v7.scn2</t>
  </si>
  <si>
    <t>Corn-r04-A_v7.scn2</t>
  </si>
  <si>
    <t>Corn-r05-A_v7.scn2</t>
  </si>
  <si>
    <t>Corn-r06-A_v7.scn2</t>
  </si>
  <si>
    <t>Corn-r07-A_v7.scn2</t>
  </si>
  <si>
    <t>Corn-r08-A_v7.scn2</t>
  </si>
  <si>
    <t>Corn-r09-A_v7.scn2</t>
  </si>
  <si>
    <t>Corn-r10L-A_v7.scn2</t>
  </si>
  <si>
    <t>Corn-r10U-A_v7.scn2</t>
  </si>
  <si>
    <t>Corn-r11-A_v7.scn2</t>
  </si>
  <si>
    <t>Corn-r12-A_v7.scn2</t>
  </si>
  <si>
    <t>Corn-r13-A_v7.scn2</t>
  </si>
  <si>
    <t>Corn-r14-A_v7.scn2</t>
  </si>
  <si>
    <t>Corn-r15-A_v7.scn2</t>
  </si>
  <si>
    <t>Corn-r16-A_v7.scn2</t>
  </si>
  <si>
    <t>Corn-r17-A_v7.scn2</t>
  </si>
  <si>
    <t>Corn-r18-A_v7.scn2</t>
  </si>
  <si>
    <t>Soybean (Glycine max)_2</t>
  </si>
  <si>
    <t>Soybean-r01-A_v7.scn2</t>
  </si>
  <si>
    <t>Soybean-r02-A_v7.scn2</t>
  </si>
  <si>
    <t>Soybean-r03N-A_v7.scn2</t>
  </si>
  <si>
    <t>Soybean-r03S-A_v7.scn2</t>
  </si>
  <si>
    <t>Soybean-r03W-A_v7.scn2</t>
  </si>
  <si>
    <t>Soybean-r04-A_v7.scn2</t>
  </si>
  <si>
    <t>Soybean-r05-A_v7.scn2</t>
  </si>
  <si>
    <t>Soybean-r06-A_v7.scn2</t>
  </si>
  <si>
    <t>Soybean-r07-A_v7.scn2</t>
  </si>
  <si>
    <t>Soybean-r08-A_v7.scn2</t>
  </si>
  <si>
    <t>Soybean-r09-A_v7.scn2</t>
  </si>
  <si>
    <t>Soybean-r10L-A_v7.scn2</t>
  </si>
  <si>
    <t>Soybean-r10U-A_v7.scn2</t>
  </si>
  <si>
    <t>Soybean-r11-A_v7.scn2</t>
  </si>
  <si>
    <t>Soybean-r12-A_v7.scn2</t>
  </si>
  <si>
    <t>Soybean-r13-A_v7.scn2</t>
  </si>
  <si>
    <t>Soybean-r14-A_v7.scn2</t>
  </si>
  <si>
    <t>Soybean-r17-A_v7.scn2</t>
  </si>
  <si>
    <t>Almond_3</t>
  </si>
  <si>
    <t>Orchard deciduous-r01-A_v7.scn2</t>
  </si>
  <si>
    <t>Orchard deciduous-r02-A_v7.scn2</t>
  </si>
  <si>
    <t>Orchard deciduous-r03N-A_v7.scn2</t>
  </si>
  <si>
    <t>Orchard deciduous-r03S-A_v7.scn2</t>
  </si>
  <si>
    <t>Orchard deciduous-r03W-A_v7.scn2</t>
  </si>
  <si>
    <t>Orchard deciduous-r04-A_v7.scn2</t>
  </si>
  <si>
    <t>Orchard deciduous-r05-A_v7.scn2</t>
  </si>
  <si>
    <t>Orchard deciduous-r06-A_v7.scn2</t>
  </si>
  <si>
    <t>Orchard deciduous-r07-A_v7.scn2</t>
  </si>
  <si>
    <t>Orchard deciduous-r08-A_v7.scn2</t>
  </si>
  <si>
    <t>Orchard deciduous-r09-A_v7.scn2</t>
  </si>
  <si>
    <t>Orchard deciduous-r10L-A_v7.scn2</t>
  </si>
  <si>
    <t>Orchard deciduous-r10U-A_v7.scn2</t>
  </si>
  <si>
    <t>Orchard deciduous-r11-A_v7.scn2</t>
  </si>
  <si>
    <t>Orchard deciduous-r12-A_v7.scn2</t>
  </si>
  <si>
    <t>Orchard deciduous-r13-A_v7.scn2</t>
  </si>
  <si>
    <t>Orchard deciduous-r14-A_v7.scn2</t>
  </si>
  <si>
    <t>Orchard deciduous-r15-A_v7.scn2</t>
  </si>
  <si>
    <t>Orchard deciduous-r16-A_v7.scn2</t>
  </si>
  <si>
    <t>Orchard deciduous-r17-A_v7.scn2</t>
  </si>
  <si>
    <t>Orchard deciduous-r18-A_v7.scn2</t>
  </si>
  <si>
    <t>Citrus hybrids, Citrus spp. Eremocitrus spp., Fortunella spp., Microcitrus spp., and Poncirus spp_4</t>
  </si>
  <si>
    <t>Orchard evergreen-r03S-A_v7.scn2</t>
  </si>
  <si>
    <t>Orchard evergreen-r03W-A_v7.scn2</t>
  </si>
  <si>
    <t>Orchard evergreen-r11-A_v7.scn2</t>
  </si>
  <si>
    <t>Orchard evergreen-r12-A_v7.scn2</t>
  </si>
  <si>
    <t>Orchard evergreen-r13-A_v7.scn2</t>
  </si>
  <si>
    <t>Orchard evergreen-r15-A_v7.scn2</t>
  </si>
  <si>
    <t>Orchard evergreen-r16-A_v7.scn2</t>
  </si>
  <si>
    <t>Orchard evergreen-r18-A_v7.scn2</t>
  </si>
  <si>
    <t>Small fruit trellised-r01-A_v7.scn2</t>
  </si>
  <si>
    <t>Small fruit trellised-r02-A_v7.scn2</t>
  </si>
  <si>
    <t>Small fruit trellised-r03N-A_v7.scn2</t>
  </si>
  <si>
    <t>Small fruit trellised-r03S-A_v7.scn2</t>
  </si>
  <si>
    <t>Small fruit trellised-r03W-A_v7.scn2</t>
  </si>
  <si>
    <t>Small fruit trellised-r04-A_v7.scn2</t>
  </si>
  <si>
    <t>Small fruit trellised-r05-A_v7.scn2</t>
  </si>
  <si>
    <t>Small fruit trellised-r06-A_v7.scn2</t>
  </si>
  <si>
    <t>Small fruit trellised-r16-A_v7.scn2</t>
  </si>
  <si>
    <t>Small fruit trellised-r17-A_v7.scn2</t>
  </si>
  <si>
    <t>Small fruit trellised-r18-A_v7.scn2</t>
  </si>
  <si>
    <t>Vegetable fresh or processing market-r01-A_v7.scn2</t>
  </si>
  <si>
    <t>Vegetable fresh or processing market-r02-A_v7.scn2</t>
  </si>
  <si>
    <t>Vegetable fresh or processing market-r03N-A_v7.scn2</t>
  </si>
  <si>
    <t>Vegetable fresh or processing market-r03S-A_v7.scn2</t>
  </si>
  <si>
    <t>Vegetable fresh or processing market-r03W-A_v7.scn2</t>
  </si>
  <si>
    <t>Vegetable fresh or processing market-r04-A_v7.scn2</t>
  </si>
  <si>
    <t>Vegetable fresh or processing market-r05-A_v7.scn2</t>
  </si>
  <si>
    <t>Vegetable fresh or processing market-r06-A_v7.scn2</t>
  </si>
  <si>
    <t>Vegetable fresh or processing market-r07-A_v7.scn2</t>
  </si>
  <si>
    <t>Vegetable fresh or processing market-r08-A_v7.scn2</t>
  </si>
  <si>
    <t>Vegetable fresh or processing market-r09-A_v7.scn2</t>
  </si>
  <si>
    <t>Vegetable fresh or processing market-r10L-A_v7.scn2</t>
  </si>
  <si>
    <t>Vegetable fresh or processing market-r10U-A_v7.scn2</t>
  </si>
  <si>
    <t>Vegetable fresh or processing market-r11-A_v7.scn2</t>
  </si>
  <si>
    <t>Vegetable fresh or processing market-r12-A_v7.scn2</t>
  </si>
  <si>
    <t>Vegetable fresh or processing market-r13-A_v7.scn2</t>
  </si>
  <si>
    <t>Vegetable fresh or processing market-r14-A_v7.scn2</t>
  </si>
  <si>
    <t>Vegetable fresh or processing market-r15-A_v7.scn2</t>
  </si>
  <si>
    <t>Vegetable fresh or processing market-r16-A_v7.scn2</t>
  </si>
  <si>
    <t>Vegetable fresh or processing market-r17-A_v7.scn2</t>
  </si>
  <si>
    <t>Vegetable fresh or processing market-r18-A_v7.scn2</t>
  </si>
  <si>
    <t>Garlic, Bulb_7</t>
  </si>
  <si>
    <t>Wheat, Triticum spp_8</t>
  </si>
  <si>
    <t>Wheat spring-r01-A_v7.scn2</t>
  </si>
  <si>
    <t>Wheat spring-r04-A_v7.scn2</t>
  </si>
  <si>
    <t>Wheat spring-r07-A_v7.scn2</t>
  </si>
  <si>
    <t>Wheat spring-r09-A_v7.scn2</t>
  </si>
  <si>
    <t>Wheat spring-r10L-A_v7.scn2</t>
  </si>
  <si>
    <t>Wheat spring-r10U-A_v7.scn2</t>
  </si>
  <si>
    <t>Wheat spring-r11-A_v7.scn2</t>
  </si>
  <si>
    <t>Wheat spring-r12-A_v7.scn2</t>
  </si>
  <si>
    <t>Wheat spring-r13-A_v7.scn2</t>
  </si>
  <si>
    <t>Wheat spring-r14-A_v7.scn2</t>
  </si>
  <si>
    <t>Wheat spring-r15-A_v7.scn2</t>
  </si>
  <si>
    <t>Wheat spring-r16-A_v7.scn2</t>
  </si>
  <si>
    <t>Wheat spring-r17-A_v7.scn2</t>
  </si>
  <si>
    <t>Wheat spring-r18-A_v7.scn2</t>
  </si>
  <si>
    <t>Clover_9</t>
  </si>
  <si>
    <t>Hay all-r01-A_v7.scn2</t>
  </si>
  <si>
    <t>Hay all-r02-A_v7.scn2</t>
  </si>
  <si>
    <t>Hay all-r03N-A_v7.scn2</t>
  </si>
  <si>
    <t>Hay all-r03S-A_v7.scn2</t>
  </si>
  <si>
    <t>Hay all-r03W-A_v7.scn2</t>
  </si>
  <si>
    <t>Hay all-r04-A_v7.scn2</t>
  </si>
  <si>
    <t>Hay all-r05-A_v7.scn2</t>
  </si>
  <si>
    <t>Hay all-r06-A_v7.scn2</t>
  </si>
  <si>
    <t>Hay all-r07-A_v7.scn2</t>
  </si>
  <si>
    <t>Hay all-r08-A_v7.scn2</t>
  </si>
  <si>
    <t>Hay all-r09-A_v7.scn2</t>
  </si>
  <si>
    <t>Hay all-r10L-A_v7.scn2</t>
  </si>
  <si>
    <t>Hay all-r10U-A_v7.scn2</t>
  </si>
  <si>
    <t>Hay all-r11-A_v7.scn2</t>
  </si>
  <si>
    <t>Hay all-r12-A_v7.scn2</t>
  </si>
  <si>
    <t>Hay all-r13-A_v7.scn2</t>
  </si>
  <si>
    <t>Hay all-r14-A_v7.scn2</t>
  </si>
  <si>
    <t>Hay all-r15-A_v7.scn2</t>
  </si>
  <si>
    <t>Hay all-r16-A_v7.scn2</t>
  </si>
  <si>
    <t>Hay all-r17-A_v7.scn2</t>
  </si>
  <si>
    <t>Hay all-r18-A_v7.scn2</t>
  </si>
  <si>
    <t>Corn-1-1</t>
  </si>
  <si>
    <t>Corn-1-2</t>
  </si>
  <si>
    <t>Corn-1-3</t>
  </si>
  <si>
    <t>Corn-1-4</t>
  </si>
  <si>
    <t>Corn-1-5</t>
  </si>
  <si>
    <t>Soybean (Glycine max)-2-6</t>
  </si>
  <si>
    <t>Soybean (Glycine max)-2-7</t>
  </si>
  <si>
    <t>Soybean (Glycine max)-2-8</t>
  </si>
  <si>
    <t>Almond-3-9</t>
  </si>
  <si>
    <t>Almond-3-10</t>
  </si>
  <si>
    <t>Almond-3-11</t>
  </si>
  <si>
    <t>Almond-3-12</t>
  </si>
  <si>
    <t>Blackberry-5-16</t>
  </si>
  <si>
    <t>Blackberry-5-17</t>
  </si>
  <si>
    <t>Broccoli-6-18</t>
  </si>
  <si>
    <t>Broccoli-6-19</t>
  </si>
  <si>
    <t>Garlic, Bulb-7-20</t>
  </si>
  <si>
    <t>Clover-9-22</t>
  </si>
  <si>
    <t>Clover-9-23</t>
  </si>
  <si>
    <t>Clover-9-24</t>
  </si>
  <si>
    <t>1.125,1,0.875</t>
  </si>
  <si>
    <t>Apple_10</t>
  </si>
  <si>
    <t>Apple-10-25</t>
  </si>
  <si>
    <t>Apple-10-26</t>
  </si>
  <si>
    <t>Apple-10-27</t>
  </si>
  <si>
    <t>Apple-10-28</t>
  </si>
  <si>
    <r>
      <t xml:space="preserve">Acute contact
</t>
    </r>
    <r>
      <rPr>
        <sz val="10"/>
        <rFont val="Calibri"/>
        <family val="2"/>
      </rPr>
      <t>(ug a.i./bee)</t>
    </r>
  </si>
  <si>
    <t>Mineau Scaling Factor (default 1.15)</t>
  </si>
  <si>
    <t>Test species (Must USE DROPDOWN where Blue)</t>
  </si>
  <si>
    <t xml:space="preserve"> Geographic Definition (Select from Dropdown)</t>
  </si>
  <si>
    <t>Geographic Definition</t>
  </si>
  <si>
    <t>L48</t>
  </si>
  <si>
    <t>L48, NL48</t>
  </si>
  <si>
    <t>NL48</t>
  </si>
  <si>
    <t>TO ADD MORE USES: Copy last row and insert it into this row.</t>
  </si>
  <si>
    <t>Blank rows are ok to leave in the table above, just do not skip rows beween use sites</t>
  </si>
  <si>
    <t>This cell may remain blank</t>
  </si>
  <si>
    <t>ENTER Values into all purple cells (no blanks unless stated)</t>
  </si>
  <si>
    <t>Soil OC fraction for PWC (foc)</t>
  </si>
  <si>
    <t>Burrows/nests</t>
  </si>
  <si>
    <t>Rodent burrows/nest</t>
  </si>
  <si>
    <t>Large mammal burrows/nests</t>
  </si>
  <si>
    <t>Bird burrows/nests</t>
  </si>
  <si>
    <t>Flying insect nests/hives</t>
  </si>
  <si>
    <t>Crawling insect nests/mounds</t>
  </si>
  <si>
    <t>Animals (non-pet)</t>
  </si>
  <si>
    <t>Livestock/Farm Animals</t>
  </si>
  <si>
    <t>Cattle</t>
  </si>
  <si>
    <t>Cattle: Meat</t>
  </si>
  <si>
    <t>Cattle: Fat</t>
  </si>
  <si>
    <t>Cattle: Meat Byproducts</t>
  </si>
  <si>
    <t>Horses</t>
  </si>
  <si>
    <t>Horse: Meat</t>
  </si>
  <si>
    <t>Horse: Fat</t>
  </si>
  <si>
    <t>Horse: Meat Byproducts</t>
  </si>
  <si>
    <t>Donkey/Mule</t>
  </si>
  <si>
    <t>Goats (meat/dairy)</t>
  </si>
  <si>
    <t>Goat: Meat</t>
  </si>
  <si>
    <t>Goat: Fat</t>
  </si>
  <si>
    <t>Goat: Meat Byproducts</t>
  </si>
  <si>
    <t>Sheep (meat/dairy)</t>
  </si>
  <si>
    <t>Sheep: Meat</t>
  </si>
  <si>
    <t>Sheep: Fat</t>
  </si>
  <si>
    <t>Sheep: Meat Byproducts</t>
  </si>
  <si>
    <t>Hog</t>
  </si>
  <si>
    <t>Hog: Meat</t>
  </si>
  <si>
    <t>Hog: Fat</t>
  </si>
  <si>
    <t>Hog: Meat Byproducts</t>
  </si>
  <si>
    <t>Deer/Elk/Moose/Caribou/ Reindeer</t>
  </si>
  <si>
    <t>Game: Meat</t>
  </si>
  <si>
    <t>Game: Fat</t>
  </si>
  <si>
    <t>Game: Meat Byproducts</t>
  </si>
  <si>
    <t>Small mammals reared for meat production</t>
  </si>
  <si>
    <t>Poultry/Game Birds</t>
  </si>
  <si>
    <t>Ducks/Geese</t>
  </si>
  <si>
    <t>Poultry: meat</t>
  </si>
  <si>
    <t>Poultry: fat</t>
  </si>
  <si>
    <t>Poultry: meat byproducts</t>
  </si>
  <si>
    <t>Chicken</t>
  </si>
  <si>
    <t>Turkey</t>
  </si>
  <si>
    <t>Poultry/Game Birds, except Ducks/Geese, Chicken, Turkey</t>
  </si>
  <si>
    <t>Fish (meat)</t>
  </si>
  <si>
    <t>Fish, Freshwater, Finfish</t>
  </si>
  <si>
    <t>Fish, Saltwater, Finfish</t>
  </si>
  <si>
    <t>Shellfish (meat)</t>
  </si>
  <si>
    <t>Fish, Shellfish, Crustacean</t>
  </si>
  <si>
    <t>Fish, Shellfish, Mollusc</t>
  </si>
  <si>
    <t>Fur/Wool-bearing Animals</t>
  </si>
  <si>
    <t>Laboratory/Research Animals</t>
  </si>
  <si>
    <t>Zoo Animals</t>
  </si>
  <si>
    <t>Wild Animals</t>
  </si>
  <si>
    <t>Animals (pets)</t>
  </si>
  <si>
    <t>Dogs</t>
  </si>
  <si>
    <t>Cats</t>
  </si>
  <si>
    <t>Pets, except dogs and cats</t>
  </si>
  <si>
    <t>Humans</t>
  </si>
  <si>
    <t>impregnated fabrics</t>
  </si>
  <si>
    <t>Non-crop vegetation</t>
  </si>
  <si>
    <t>Ornamentals Nurseries</t>
  </si>
  <si>
    <t>Ornamentals Landscaping</t>
  </si>
  <si>
    <t>Flowering Non-woody Plants Nurseries</t>
  </si>
  <si>
    <t>Flowering Non-woody Plants Landscaping</t>
  </si>
  <si>
    <t>Non-flowering Non-Woody Plants Nurseries</t>
  </si>
  <si>
    <t>Non-flowering Non-Woody Plants Landscaping</t>
  </si>
  <si>
    <t>Shrubs/Bushes/Vines Nurseries</t>
  </si>
  <si>
    <t xml:space="preserve">Shrubs/Bushes/Vines </t>
  </si>
  <si>
    <t>Ornamental Trees (non-food) Nurseries</t>
  </si>
  <si>
    <t>Ornamental Trees (non-food) Landscaping</t>
  </si>
  <si>
    <t>Plantation Forestry: Deciduous/Broadleaf/Hardwood (non-food)</t>
  </si>
  <si>
    <t>Forestry: Deciduous/Broadleaf/Hardwood (non-food)</t>
  </si>
  <si>
    <t>Plantation Forestry: Coniferous/Evergreen/Softwood (non-food)</t>
  </si>
  <si>
    <t>Forestry: Coniferous/Evergreen/Softwood (non-food)</t>
  </si>
  <si>
    <t>Non-grass ground coverings Landscaping</t>
  </si>
  <si>
    <t>Rights-of-Way</t>
  </si>
  <si>
    <t>Electric Power Line Rights-of-Way</t>
  </si>
  <si>
    <t>Railroad Rights-of-Way</t>
  </si>
  <si>
    <t>Roadside Rights-of-Way</t>
  </si>
  <si>
    <t>Pipeline Rights-of-Way</t>
  </si>
  <si>
    <t>Fencerows/Hedgerows</t>
  </si>
  <si>
    <t>Grass/Turf</t>
  </si>
  <si>
    <t>Grass/Turf, except golf course</t>
  </si>
  <si>
    <t>Grass/Turf: golf course</t>
  </si>
  <si>
    <t>Grass/Turf, golf course, fairways</t>
  </si>
  <si>
    <t>Grass/Turf, golf course, tees and greens</t>
  </si>
  <si>
    <t>AQUATICS: Water/Fluids and Systems (Intended for human consumption or food contact)</t>
  </si>
  <si>
    <t>Human Drinking Water System</t>
  </si>
  <si>
    <t>Food Processing Water</t>
  </si>
  <si>
    <t>AQUATICS: Water/Fluids/Waste Materials and Systems (Not intended for direct human consumption or food contact)</t>
  </si>
  <si>
    <t>Flowing/Lotic Water Areas</t>
  </si>
  <si>
    <t>Irrigation/Drainage Ditches/Canals</t>
  </si>
  <si>
    <t>Estuaries/Bays/Harbors</t>
  </si>
  <si>
    <t>Rivers</t>
  </si>
  <si>
    <t>Streams/Creeks</t>
  </si>
  <si>
    <t>Non- or slow-flowing/Lentic Water Areas</t>
  </si>
  <si>
    <t>Lakes/Reservoirs</t>
  </si>
  <si>
    <t>Ponds</t>
  </si>
  <si>
    <t>Rain/snow melt pools/puddles</t>
  </si>
  <si>
    <t>Intermittently flooded areas</t>
  </si>
  <si>
    <t>De-watered aquatic areas</t>
  </si>
  <si>
    <t>Man-made Water-containing Structures</t>
  </si>
  <si>
    <t>Swimming Pools and Spas</t>
  </si>
  <si>
    <t>Industrial/Manufacturing/Processing Fluids/Chemicals</t>
  </si>
  <si>
    <t>Industrial/Manufacturing/Processing Water Systems</t>
  </si>
  <si>
    <t>Animal Drinking Water</t>
  </si>
  <si>
    <t>Animal Waste/Manure</t>
  </si>
  <si>
    <t>Irrigation/Chemigation Systems</t>
  </si>
  <si>
    <t>Sewer/Sewage/Wastewater Systems Areas</t>
  </si>
  <si>
    <t>Ballast water</t>
  </si>
  <si>
    <t>Aquaculture Areas</t>
  </si>
  <si>
    <t>Cooling water systems</t>
  </si>
  <si>
    <t>Pulp and paper mill water systems</t>
  </si>
  <si>
    <t>Objects</t>
  </si>
  <si>
    <t>Medical/Biological Material</t>
  </si>
  <si>
    <t>Aquatic/Marine Components</t>
  </si>
  <si>
    <t>Decks and Playground Components</t>
  </si>
  <si>
    <t>Municipal/Industrial/Commercial Components</t>
  </si>
  <si>
    <t>Agricultural/Farm Food and Feed Containers</t>
  </si>
  <si>
    <t>Refuse/Trash/Solid Waste/Waste Containers</t>
  </si>
  <si>
    <t>Paper/Paper Products</t>
  </si>
  <si>
    <t>Textiles/Fabrics/Fibers</t>
  </si>
  <si>
    <t>Clothing</t>
  </si>
  <si>
    <t>Industrial Adhesives/Sealants/Coatings</t>
  </si>
  <si>
    <t>Plastic/Rubber/Polymers</t>
  </si>
  <si>
    <t>Paint</t>
  </si>
  <si>
    <t>Wood Raw Materials/Products</t>
  </si>
  <si>
    <t>Fertilizer/Soil/Compost/Mulch</t>
  </si>
  <si>
    <t>Equipment</t>
  </si>
  <si>
    <t>Agricultural/Crop/Gardening Equipment</t>
  </si>
  <si>
    <t>Livestock/Animal Equipment/Bedding/Cages</t>
  </si>
  <si>
    <t>Food Processing Equipment</t>
  </si>
  <si>
    <t>Eating Establishment Equipment</t>
  </si>
  <si>
    <t>Laundry/Cleaning Equipment</t>
  </si>
  <si>
    <t>Manufacturing/Industrial/Processing Equipment</t>
  </si>
  <si>
    <t>Utilities/Electrical/Telecom/HVAC Equipment</t>
  </si>
  <si>
    <t>Recreation Equipment</t>
  </si>
  <si>
    <t>Pet/Animal Equipment/Bedding/Cages</t>
  </si>
  <si>
    <t>Personal Hygiene Equipment</t>
  </si>
  <si>
    <t>Medical/Hospital/Health/Retail Sanitary Equipment or Instruments</t>
  </si>
  <si>
    <t>Areas/Premises/Buildings</t>
  </si>
  <si>
    <t>Populated &amp; Other areas</t>
  </si>
  <si>
    <t>Undeveloped Areas</t>
  </si>
  <si>
    <t>Buildings/Premises</t>
  </si>
  <si>
    <t>Building Perimeter</t>
  </si>
  <si>
    <t>Roofs</t>
  </si>
  <si>
    <t>Carpet</t>
  </si>
  <si>
    <t>Furniture/Upholstery</t>
  </si>
  <si>
    <t>Mattress/Bedding</t>
  </si>
  <si>
    <t>Roadways/Streets/Bridges/Paved Areas</t>
  </si>
  <si>
    <t>Pervious Roadways/Streets/Bridge</t>
  </si>
  <si>
    <t>Impervious Roadways/Streets/Bridge</t>
  </si>
  <si>
    <t>Pervious Paved Areas</t>
  </si>
  <si>
    <t>Impervious Paved Areas</t>
  </si>
  <si>
    <t>Transportation Vehicles</t>
  </si>
  <si>
    <t>Aircraft</t>
  </si>
  <si>
    <t>Boats/Ships</t>
  </si>
  <si>
    <t>Ground Transportation/Vehicles</t>
  </si>
  <si>
    <t>Egg</t>
  </si>
  <si>
    <t>Honey</t>
  </si>
  <si>
    <t>Honeycomb</t>
  </si>
  <si>
    <t>Milk</t>
  </si>
  <si>
    <t>Milk: Fat</t>
  </si>
  <si>
    <t>NOT MODELED BY EFED</t>
  </si>
  <si>
    <t>Pasture or forage; Orchard Evergreen; Orchard Deciduous; Vegetable commodity</t>
  </si>
  <si>
    <t>Orchard Evergreen; Orchard Deciduous; Vegetable commodity</t>
  </si>
  <si>
    <t>Orchard Deciduous</t>
  </si>
  <si>
    <t>Orchard Deciduous; Orchard Evergreen; Christmas Trees</t>
  </si>
  <si>
    <t>Orchard Evergreen</t>
  </si>
  <si>
    <t>Pasture or forage; Orchard Evergreen; Orchard Deciduous</t>
  </si>
  <si>
    <t>Target Concentration</t>
  </si>
  <si>
    <t>Pasture or forage (Poultry Litter?)</t>
  </si>
  <si>
    <t>Pasture or forage (Impervious modification - set uniform depth to 0.1)</t>
  </si>
  <si>
    <t>Poultry</t>
  </si>
  <si>
    <t>See constituent uses for UDL assignmen</t>
  </si>
  <si>
    <t>Commercial: Nurseries</t>
  </si>
  <si>
    <t>Non-commercial: Open Space Developed and/or Developed for longterm location.</t>
  </si>
  <si>
    <t>Non-commercial: Open Space Developed for longterm location).</t>
  </si>
  <si>
    <t>Non-commercial: Open Space Developed and/or Rangeland and/or Developed for longterm location.</t>
  </si>
  <si>
    <t>Commercial: Nurseries and Managed Forest</t>
  </si>
  <si>
    <t>Non-commercial: Open Space Developed and/or Developed for longterm location).</t>
  </si>
  <si>
    <t xml:space="preserve">Non-commercial: Developed and/or Open Space Developed for longterm location. </t>
  </si>
  <si>
    <t>ROW</t>
  </si>
  <si>
    <t>Non-cultivated, or registered ag uses</t>
  </si>
  <si>
    <t>Open Space Developed</t>
  </si>
  <si>
    <t>Golf Course</t>
  </si>
  <si>
    <t>non-cultivated</t>
  </si>
  <si>
    <t>Developed and/or Open Space (probably lean OSD if we need to pick one. Open water more likely in areas with less impervious surface)</t>
  </si>
  <si>
    <t>Aquaculture</t>
  </si>
  <si>
    <t>Developed and/or OSD and/or ROW and/or mosquito layer and/or pasture/rangeland based on needs</t>
  </si>
  <si>
    <t>Developed?</t>
  </si>
  <si>
    <t>OSD (add managed forest as needed)</t>
  </si>
  <si>
    <t xml:space="preserve">No UDL if it is interior .
For exterior: Developed  for developed area premises and/or the cultivated layer for farm buildings, and/or Nurseries for greenhouse. </t>
  </si>
  <si>
    <t>Developed</t>
  </si>
  <si>
    <t>Right of way</t>
  </si>
  <si>
    <t>Open space developed and/or Developed (capture driveways in housing development)</t>
  </si>
  <si>
    <t xml:space="preserve">Developed (to include drive ways and patios). </t>
  </si>
  <si>
    <t>1.2</t>
  </si>
  <si>
    <t>Koc (provide if used in PWC)</t>
  </si>
  <si>
    <t>Kd (provide if used in PWC)</t>
  </si>
  <si>
    <t>Aquatic Target Concentration ug a.i./L (only applicable when indicated in Column T)</t>
  </si>
  <si>
    <t>2.5</t>
  </si>
  <si>
    <t>Citrus hybrids,Â Citrus spp.Â EremocitrusÂ spp.,Â FortunellaÂ spp.,Â MicrocitrusÂ spp., andÂ PoncirusÂ spp</t>
  </si>
  <si>
    <t>Citrus hybrids,Â Citrus spp.Â EremocitrusÂ spp.,Â FortunellaÂ spp.,Â MicrocitrusÂ spp., andÂ PoncirusÂ spp_4</t>
  </si>
  <si>
    <t>Citrus hybrids,Â Citrus spp.Â EremocitrusÂ spp.,Â FortunellaÂ spp.,Â MicrocitrusÂ spp., andÂ PoncirusÂ spp-4-13</t>
  </si>
  <si>
    <t>Citrus hybrids,Â Citrus spp.Â EremocitrusÂ spp.,Â FortunellaÂ spp.,Â MicrocitrusÂ spp., andÂ PoncirusÂ spp-4-14</t>
  </si>
  <si>
    <t>Citrus hybrids,Â Citrus spp.Â EremocitrusÂ spp.,Â FortunellaÂ spp.,Â MicrocitrusÂ spp., andÂ PoncirusÂ spp-4-15</t>
  </si>
  <si>
    <t>Wheat,Â TriticumÂ spp</t>
  </si>
  <si>
    <t>Wheat,Â TriticumÂ spp_8</t>
  </si>
  <si>
    <t>Wheat,Â TriticumÂ spp-8-21</t>
  </si>
  <si>
    <t>Grass, Pasture_11</t>
  </si>
  <si>
    <t>Grass, Pasture-11-29</t>
  </si>
  <si>
    <t>Grass, Pasture-11-30</t>
  </si>
  <si>
    <t>Grass, Pasture-11-31</t>
  </si>
  <si>
    <t>C:\models\Inputs\PWC scenario v7 and WeatherFiles\Koc under 100/</t>
  </si>
  <si>
    <t>Pasture or forage-r01-A_v7.scn2</t>
  </si>
  <si>
    <t>Pasture or forage-r02-A_v7.scn2</t>
  </si>
  <si>
    <t>Pasture or forage-r03N-A_v7.scn2</t>
  </si>
  <si>
    <t>Pasture or forage-r03S-A_v7.scn2</t>
  </si>
  <si>
    <t>Pasture or forage-r03W-A_v7.scn2</t>
  </si>
  <si>
    <t>Pasture or forage-r04-A_v7.scn2</t>
  </si>
  <si>
    <t>Pasture or forage-r05-A_v7.scn2</t>
  </si>
  <si>
    <t>Pasture or forage-r06-A_v7.scn2</t>
  </si>
  <si>
    <t>Pasture or forage-r07-A_v7.scn2</t>
  </si>
  <si>
    <t>Pasture or forage-r08-A_v7.scn2</t>
  </si>
  <si>
    <t>Pasture or forage-r09-A_v7.scn2</t>
  </si>
  <si>
    <t>Pasture or forage-r10L-A_v7.scn2</t>
  </si>
  <si>
    <t>Pasture or forage-r10U-A_v7.scn2</t>
  </si>
  <si>
    <t>Pasture or forage-r11-A_v7.scn2</t>
  </si>
  <si>
    <t>Pasture or forage-r12-A_v7.scn2</t>
  </si>
  <si>
    <t>Pasture or forage-r13-A_v7.scn2</t>
  </si>
  <si>
    <t>Pasture or forage-r14-A_v7.scn2</t>
  </si>
  <si>
    <t>Pasture or forage-r15-A_v7.scn2</t>
  </si>
  <si>
    <t>Pasture or forage-r16-A_v7.scn2</t>
  </si>
  <si>
    <t>Pasture or forage-r17-A_v7.scn2</t>
  </si>
  <si>
    <t>Pasture or forage-r18-A_v7.scn2</t>
  </si>
  <si>
    <t xml:space="preserve">         NaN</t>
  </si>
  <si>
    <t xml:space="preserve">12_286087-20273-68_Orchard deciduous-r01-A_USEPA Pond_0089_median                     </t>
  </si>
  <si>
    <t xml:space="preserve">12_295501-20504-68_Orchard deciduous-r02-A_USEPA Pond_0089_median                     </t>
  </si>
  <si>
    <t xml:space="preserve">12_130628-13873-74_Orchard deciduous-r03N-A_USEPA Pond_0089_median                    </t>
  </si>
  <si>
    <t xml:space="preserve">12_125133-11268-74_Orchard deciduous-r03S-A_USEPA Pond_0089_median                    </t>
  </si>
  <si>
    <t xml:space="preserve">12_2455410-11258-67_Orchard deciduous-r03W-A_USEPA Pond_0089_median                   </t>
  </si>
  <si>
    <t xml:space="preserve">12_292675-21905-68_Orchard deciduous-r04-A_USEPA Pond_0089_median                     </t>
  </si>
  <si>
    <t xml:space="preserve">12_298742-19770-68_Orchard deciduous-r05-A_USEPA Pond_0089_median                     </t>
  </si>
  <si>
    <t xml:space="preserve">12_546865-14571-68_Orchard deciduous-r06-A_USEPA Pond_0089_median                     </t>
  </si>
  <si>
    <t xml:space="preserve">12_396439-23493-68_Orchard deciduous-r07-A_USEPA Pond_0089_median                     </t>
  </si>
  <si>
    <t xml:space="preserve">12_567494-13121-74_Orchard deciduous-r08-A_USEPA Pond_0089_median                     </t>
  </si>
  <si>
    <t xml:space="preserve">12_2774572-26572-68_Orchard deciduous-r09-A_USEPA Pond_0089_median                    </t>
  </si>
  <si>
    <t xml:space="preserve">12_2532369-16882-74_Orchard deciduous-r10L-A_USEPA Pond_0089_median                   </t>
  </si>
  <si>
    <t xml:space="preserve">12_146775-27192-66_Orchard deciduous-r10U-A_USEPA Pond_0089_median                    </t>
  </si>
  <si>
    <t xml:space="preserve">12_106593-15934-74_Orchard deciduous-r11-A_USEPA Pond_0089_median                     </t>
  </si>
  <si>
    <t xml:space="preserve">12_367880-12156-74_Orchard deciduous-r12-A_USEPA Pond_0089_median                     </t>
  </si>
  <si>
    <t xml:space="preserve">12_712158-9291-74_Orchard deciduous-r13-A_USEPA Pond_0089_median                      </t>
  </si>
  <si>
    <t xml:space="preserve">12_496634-17773-67_Orchard deciduous-r14-A_USEPA Pond_0089_median                     </t>
  </si>
  <si>
    <t xml:space="preserve">12_53675-11396-74_Orchard deciduous-r15-A_USEPA Pond_0089_median                      </t>
  </si>
  <si>
    <t xml:space="preserve">12_483390-18938-66_Orchard deciduous-r16-A_USEPA Pond_0089_median                     </t>
  </si>
  <si>
    <t xml:space="preserve">12_62699-22668-71_Orchard deciduous-r17-A_USEPA Pond_0089_median                      </t>
  </si>
  <si>
    <t xml:space="preserve">12_462066-17012-75_Orchard deciduous-r18-A_USEPA Pond_0089_median                     </t>
  </si>
  <si>
    <t xml:space="preserve">15_1151415-6314-212_Orchard evergreen-r03S-A_USEPA Pond_0010_median                   </t>
  </si>
  <si>
    <t xml:space="preserve">15_1017242-10309-212_Orchard evergreen-r03W-A_USEPA Pond_0010_median                  </t>
  </si>
  <si>
    <t xml:space="preserve">15_576089-12632-72_Orchard evergreen-r11-A_USEPA Pond_0010_median                     </t>
  </si>
  <si>
    <t xml:space="preserve">15_363322-6720-72_Orchard evergreen-r12-A_USEPA Pond_0010_median                      </t>
  </si>
  <si>
    <t xml:space="preserve">15_367672-5777-72_Orchard evergreen-r13-A_USEPA Pond_0010_median                      </t>
  </si>
  <si>
    <t xml:space="preserve">15_53259-11846-72_Orchard evergreen-r15-A_USEPA Pond_0010_median                      </t>
  </si>
  <si>
    <t xml:space="preserve">15_2424828-17725-212_Orchard evergreen-r16-A_USEPA Pond_0010_median                   </t>
  </si>
  <si>
    <t xml:space="preserve">15_2766125-18423-211_Orchard evergreen-r18-A_USEPA Pond_0010_median                   </t>
  </si>
  <si>
    <t xml:space="preserve">17_315670-22645-242_Small fruit trellised-r01-A_USEPA Pond_0089_median                </t>
  </si>
  <si>
    <t xml:space="preserve">17_545148-18838-69_Small fruit trellised-r02-A_USEPA Pond_0089_median                 </t>
  </si>
  <si>
    <t xml:space="preserve">17_130135-13170-242_Small fruit trellised-r03N-A_USEPA Pond_0089_median               </t>
  </si>
  <si>
    <t xml:space="preserve">17_125182-11031-242_Small fruit trellised-r03S-A_USEPA Pond_0089_median               </t>
  </si>
  <si>
    <t xml:space="preserve">17_325764-11732-242_Small fruit trellised-r03W-A_USEPA Pond_0089_median               </t>
  </si>
  <si>
    <t xml:space="preserve">17_289866-21191-69_Small fruit trellised-r04-A_USEPA Pond_0089_median                 </t>
  </si>
  <si>
    <t xml:space="preserve">17_2633044-20953-69_Small fruit trellised-r05-A_USEPA Pond_0089_median                </t>
  </si>
  <si>
    <t xml:space="preserve">17_529798-15281-69_Small fruit trellised-r06-A_USEPA Pond_0089_median                 </t>
  </si>
  <si>
    <t xml:space="preserve">17_487692-19376-69_Small fruit trellised-r16-A_USEPA Pond_0089_median                 </t>
  </si>
  <si>
    <t xml:space="preserve">17_68977-25039-56_Small fruit trellised-r17-A_USEPA Pond_0089_median                  </t>
  </si>
  <si>
    <t xml:space="preserve">17_463590-15133-69_Small fruit trellised-r18-A_USEPA Pond_0089_median                 </t>
  </si>
  <si>
    <t xml:space="preserve">19_286019-20746-12_Vegetable fresh or processing market-r01-A_USEPA Pond_0010_median  </t>
  </si>
  <si>
    <t xml:space="preserve">19_2950700-17902-12_Vegetable fresh or processing market-r02-A_USEPA Pond_0010_median </t>
  </si>
  <si>
    <t xml:space="preserve">19_111389-15064-57_Vegetable fresh or processing market-r03N-A_USEPA Pond_0010_median </t>
  </si>
  <si>
    <t xml:space="preserve">19_631572-5375-222_Vegetable fresh or processing market-r03S-A_USEPA Pond_0010_median </t>
  </si>
  <si>
    <t xml:space="preserve">19_332581-10063-48_Vegetable fresh or processing market-r03W-A_USEPA Pond_0010_median </t>
  </si>
  <si>
    <t xml:space="preserve">19_192466-22579-222_Vegetable fresh or processing market-r04-A_USEPA Pond_0010_median </t>
  </si>
  <si>
    <t xml:space="preserve">19_160822-18569-229_Vegetable fresh or processing market-r05-A_USEPA Pond_0010_median </t>
  </si>
  <si>
    <t>19_2423116-14329-219_Vegetable fresh or processing market-r06-A_USEPA Pond_0010_median</t>
  </si>
  <si>
    <t xml:space="preserve">19_397808-22314-12_Vegetable fresh or processing market-r07-A_USEPA Pond_0010_median  </t>
  </si>
  <si>
    <t xml:space="preserve">19_1715900-13351-54_Vegetable fresh or processing market-r08-A_USEPA Pond_0010_median </t>
  </si>
  <si>
    <t xml:space="preserve">19_356962-25371-12_Vegetable fresh or processing market-r09-A_USEPA Pond_0010_median  </t>
  </si>
  <si>
    <t>19_497748-19437-229_Vegetable fresh or processing market-r10L-A_USEPA Pond_0010_median</t>
  </si>
  <si>
    <t>19_2517301-22540-12_Vegetable fresh or processing market-r10U-A_USEPA Pond_0010_median</t>
  </si>
  <si>
    <t xml:space="preserve">19_382177-13799-57_Vegetable fresh or processing market-r11-A_USEPA Pond_0010_median  </t>
  </si>
  <si>
    <t xml:space="preserve">19_373519-10262-57_Vegetable fresh or processing market-r12-A_USEPA Pond_0010_median  </t>
  </si>
  <si>
    <t xml:space="preserve">19_58936-11176-216_Vegetable fresh or processing market-r13-A_USEPA Pond_0010_median  </t>
  </si>
  <si>
    <t xml:space="preserve">19_508783-17536-12_Vegetable fresh or processing market-r14-A_USEPA Pond_0010_median  </t>
  </si>
  <si>
    <t xml:space="preserve">19_53259-11846-227_Vegetable fresh or processing market-r15-A_USEPA Pond_0010_median  </t>
  </si>
  <si>
    <t xml:space="preserve">19_473920-17256-208_Vegetable fresh or processing market-r16-A_USEPA Pond_0010_median </t>
  </si>
  <si>
    <t xml:space="preserve">19_68754-25749-12_Vegetable fresh or processing market-r17-A_USEPA Pond_0010_median   </t>
  </si>
  <si>
    <t xml:space="preserve">19_455512-12315-12_Vegetable fresh or processing market-r18-A_USEPA Pond_0010_median  </t>
  </si>
  <si>
    <t xml:space="preserve">20_286019-20746-12_Vegetable fresh or processing market-r01-A_USEPA Pond_0010_median  </t>
  </si>
  <si>
    <t xml:space="preserve">20_2950700-17902-12_Vegetable fresh or processing market-r02-A_USEPA Pond_0010_median </t>
  </si>
  <si>
    <t xml:space="preserve">20_111389-15064-57_Vegetable fresh or processing market-r03N-A_USEPA Pond_0010_median </t>
  </si>
  <si>
    <t xml:space="preserve">20_631572-5375-222_Vegetable fresh or processing market-r03S-A_USEPA Pond_0010_median </t>
  </si>
  <si>
    <t xml:space="preserve">20_332581-10063-48_Vegetable fresh or processing market-r03W-A_USEPA Pond_0010_median </t>
  </si>
  <si>
    <t xml:space="preserve">20_192466-22579-222_Vegetable fresh or processing market-r04-A_USEPA Pond_0010_median </t>
  </si>
  <si>
    <t xml:space="preserve">20_160822-18569-229_Vegetable fresh or processing market-r05-A_USEPA Pond_0010_median </t>
  </si>
  <si>
    <t>20_2423116-14329-219_Vegetable fresh or processing market-r06-A_USEPA Pond_0010_median</t>
  </si>
  <si>
    <t xml:space="preserve">20_397808-22314-12_Vegetable fresh or processing market-r07-A_USEPA Pond_0010_median  </t>
  </si>
  <si>
    <t xml:space="preserve">20_1715900-13351-54_Vegetable fresh or processing market-r08-A_USEPA Pond_0010_median </t>
  </si>
  <si>
    <t xml:space="preserve">20_356962-25371-12_Vegetable fresh or processing market-r09-A_USEPA Pond_0010_median  </t>
  </si>
  <si>
    <t>20_497748-19437-229_Vegetable fresh or processing market-r10L-A_USEPA Pond_0010_median</t>
  </si>
  <si>
    <t>20_2517301-22540-12_Vegetable fresh or processing market-r10U-A_USEPA Pond_0010_median</t>
  </si>
  <si>
    <t xml:space="preserve">20_382177-13799-57_Vegetable fresh or processing market-r11-A_USEPA Pond_0010_median  </t>
  </si>
  <si>
    <t xml:space="preserve">20_373519-10262-57_Vegetable fresh or processing market-r12-A_USEPA Pond_0010_median  </t>
  </si>
  <si>
    <t xml:space="preserve">20_58936-11176-216_Vegetable fresh or processing market-r13-A_USEPA Pond_0010_median  </t>
  </si>
  <si>
    <t xml:space="preserve">20_508783-17536-12_Vegetable fresh or processing market-r14-A_USEPA Pond_0010_median  </t>
  </si>
  <si>
    <t xml:space="preserve">20_53259-11846-227_Vegetable fresh or processing market-r15-A_USEPA Pond_0010_median  </t>
  </si>
  <si>
    <t xml:space="preserve">20_473920-17256-208_Vegetable fresh or processing market-r16-A_USEPA Pond_0010_median </t>
  </si>
  <si>
    <t xml:space="preserve">20_68754-25749-12_Vegetable fresh or processing market-r17-A_USEPA Pond_0010_median   </t>
  </si>
  <si>
    <t xml:space="preserve">20_455512-12315-12_Vegetable fresh or processing market-r18-A_USEPA Pond_0010_median  </t>
  </si>
  <si>
    <t xml:space="preserve">21_614189-25013-23_Wheat spring-r01-A_USEPA Pond_0010_median                          </t>
  </si>
  <si>
    <t xml:space="preserve">21_416182-25639-23_Wheat spring-r04-A_USEPA Pond_0010_median                          </t>
  </si>
  <si>
    <t xml:space="preserve">21_436172-23727-23_Wheat spring-r07-A_USEPA Pond_0010_median                          </t>
  </si>
  <si>
    <t xml:space="preserve">21_2587263-26537-22_Wheat spring-r09-A_USEPA Pond_0010_median                         </t>
  </si>
  <si>
    <t xml:space="preserve">21_94517-19446-23_Wheat spring-r10L-A_USEPA Pond_0010_median                          </t>
  </si>
  <si>
    <t xml:space="preserve">21_2707169-25817-23_Wheat spring-r10U-A_USEPA Pond_0010_median                        </t>
  </si>
  <si>
    <t xml:space="preserve">21_363890-13328-23_Wheat spring-r11-A_USEPA Pond_0010_median                          </t>
  </si>
  <si>
    <t xml:space="preserve">21_365994-8605-23_Wheat spring-r12-A_USEPA Pond_0010_median                           </t>
  </si>
  <si>
    <t xml:space="preserve">21_373212-6953-23_Wheat spring-r13-A_USEPA Pond_0010_median                           </t>
  </si>
  <si>
    <t xml:space="preserve">21_497047-18952-23_Wheat spring-r14-A_USEPA Pond_0010_median                          </t>
  </si>
  <si>
    <t xml:space="preserve">21_53257-12085-23_Wheat spring-r15-A_USEPA Pond_0010_median                           </t>
  </si>
  <si>
    <t xml:space="preserve">21_154460-20827-23_Wheat spring-r16-A_USEPA Pond_0010_median                          </t>
  </si>
  <si>
    <t xml:space="preserve">21_84191-22242-23_Wheat spring-r17-A_USEPA Pond_0010_median                           </t>
  </si>
  <si>
    <t xml:space="preserve">21_455512-12078-22_Wheat spring-r18-A_USEPA Pond_0010_median                          </t>
  </si>
  <si>
    <t xml:space="preserve">24_279389-22634-37_Hay all-r01-A_USEPA Pond_0055_median                               </t>
  </si>
  <si>
    <t xml:space="preserve">24_548594-19557-37_Hay all-r02-A_USEPA Pond_0055_median                               </t>
  </si>
  <si>
    <t xml:space="preserve">24_2679272-15047-37_Hay all-r03N-A_USEPA Pond_0055_median                             </t>
  </si>
  <si>
    <t xml:space="preserve">24_124141-11970-37_Hay all-r03S-A_USEPA Pond_0055_median                              </t>
  </si>
  <si>
    <t xml:space="preserve">24_328641-11010-37_Hay all-r03W-A_USEPA Pond_0055_median                              </t>
  </si>
  <si>
    <t xml:space="preserve">24_186614-22349-37_Hay all-r04-A_USEPA Pond_0055_median                               </t>
  </si>
  <si>
    <t xml:space="preserve">24_549600-16679-37_Hay all-r05-A_USEPA Pond_0055_median                               </t>
  </si>
  <si>
    <t xml:space="preserve">24_527499-15022-37_Hay all-r06-A_USEPA Pond_0055_median                               </t>
  </si>
  <si>
    <t xml:space="preserve">24_397476-25376-37_Hay all-r07-A_USEPA Pond_0055_median                               </t>
  </si>
  <si>
    <t xml:space="preserve">24_2501144-16663-37_Hay all-r08-A_USEPA Pond_0055_median                              </t>
  </si>
  <si>
    <t xml:space="preserve">24_2799668-26078-37_Hay all-r09-A_USEPA Pond_0055_median                              </t>
  </si>
  <si>
    <t xml:space="preserve">24_104947-20380-37_Hay all-r10L-A_USEPA Pond_0055_median                              </t>
  </si>
  <si>
    <t xml:space="preserve">24_2580954-22752-37_Hay all-r10U-A_USEPA Pond_0055_median                             </t>
  </si>
  <si>
    <t xml:space="preserve">24_2605767-16402-36_Hay all-r11-A_USEPA Pond_0055_median                              </t>
  </si>
  <si>
    <t xml:space="preserve">24_365327-11680-37_Hay all-r12-A_USEPA Pond_0055_median                               </t>
  </si>
  <si>
    <t xml:space="preserve">24_55901-12123-36_Hay all-r13-A_USEPA Pond_0055_median                                </t>
  </si>
  <si>
    <t xml:space="preserve">24_508796-17301-36_Hay all-r14-A_USEPA Pond_0055_median                               </t>
  </si>
  <si>
    <t xml:space="preserve">24_464078-12554-36_Hay all-r15-A_USEPA Pond_0055_median                               </t>
  </si>
  <si>
    <t xml:space="preserve">24_476104-19392-36_Hay all-r16-A_USEPA Pond_0055_median                               </t>
  </si>
  <si>
    <t xml:space="preserve">24_155797-26007-37_Hay all-r17-A_USEPA Pond_0055_median                               </t>
  </si>
  <si>
    <t xml:space="preserve">24_488792-20788-37_Hay all-r18-A_USEPA Pond_0055_median                               </t>
  </si>
  <si>
    <t xml:space="preserve">28_286087-20273-68_Orchard deciduous-r01-A_USEPA Pond_0080_median                     </t>
  </si>
  <si>
    <t xml:space="preserve">28_295501-20504-68_Orchard deciduous-r02-A_USEPA Pond_0080_median                     </t>
  </si>
  <si>
    <t xml:space="preserve">28_130628-13873-74_Orchard deciduous-r03N-A_USEPA Pond_0080_median                    </t>
  </si>
  <si>
    <t xml:space="preserve">28_125133-11268-74_Orchard deciduous-r03S-A_USEPA Pond_0080_median                    </t>
  </si>
  <si>
    <t xml:space="preserve">28_2455410-11258-67_Orchard deciduous-r03W-A_USEPA Pond_0080_median                   </t>
  </si>
  <si>
    <t xml:space="preserve">28_292675-21905-68_Orchard deciduous-r04-A_USEPA Pond_0080_median                     </t>
  </si>
  <si>
    <t xml:space="preserve">28_298742-19770-68_Orchard deciduous-r05-A_USEPA Pond_0080_median                     </t>
  </si>
  <si>
    <t xml:space="preserve">28_546865-14571-68_Orchard deciduous-r06-A_USEPA Pond_0080_median                     </t>
  </si>
  <si>
    <t xml:space="preserve">28_396439-23493-68_Orchard deciduous-r07-A_USEPA Pond_0080_median                     </t>
  </si>
  <si>
    <t xml:space="preserve">28_567494-13121-74_Orchard deciduous-r08-A_USEPA Pond_0080_median                     </t>
  </si>
  <si>
    <t xml:space="preserve">28_2774572-26572-68_Orchard deciduous-r09-A_USEPA Pond_0080_median                    </t>
  </si>
  <si>
    <t xml:space="preserve">28_2532369-16882-74_Orchard deciduous-r10L-A_USEPA Pond_0080_median                   </t>
  </si>
  <si>
    <t xml:space="preserve">28_146775-27192-66_Orchard deciduous-r10U-A_USEPA Pond_0080_median                    </t>
  </si>
  <si>
    <t xml:space="preserve">28_106593-15934-74_Orchard deciduous-r11-A_USEPA Pond_0080_median                     </t>
  </si>
  <si>
    <t xml:space="preserve">28_367880-12156-74_Orchard deciduous-r12-A_USEPA Pond_0080_median                     </t>
  </si>
  <si>
    <t xml:space="preserve">28_712158-9291-74_Orchard deciduous-r13-A_USEPA Pond_0080_median                      </t>
  </si>
  <si>
    <t xml:space="preserve">28_496634-17773-67_Orchard deciduous-r14-A_USEPA Pond_0080_median                     </t>
  </si>
  <si>
    <t xml:space="preserve">28_53675-11396-74_Orchard deciduous-r15-A_USEPA Pond_0080_median                      </t>
  </si>
  <si>
    <t xml:space="preserve">28_483390-18938-66_Orchard deciduous-r16-A_USEPA Pond_0080_median                     </t>
  </si>
  <si>
    <t xml:space="preserve">28_62699-22668-71_Orchard deciduous-r17-A_USEPA Pond_0080_median                      </t>
  </si>
  <si>
    <t xml:space="preserve">28_462066-17012-75_Orchard deciduous-r18-A_USEPA Pond_0080_median                     </t>
  </si>
  <si>
    <t xml:space="preserve">31_301823-25720-176_Pasture or forage-r01-A_USEPA Pond_0030_median                    </t>
  </si>
  <si>
    <t xml:space="preserve">31_299355-20498-176_Pasture or forage-r02-A_USEPA Pond_0030_median                    </t>
  </si>
  <si>
    <t xml:space="preserve">31_120164-16000-176_Pasture or forage-r03N-A_USEPA Pond_0030_median                   </t>
  </si>
  <si>
    <t xml:space="preserve">31_1712910-8907-176_Pasture or forage-r03S-A_USEPA Pond_0030_median                   </t>
  </si>
  <si>
    <t xml:space="preserve">31_333408-12658-176_Pasture or forage-r03W-A_USEPA Pond_0030_median                   </t>
  </si>
  <si>
    <t xml:space="preserve">31_294979-23094-176_Pasture or forage-r04-A_USEPA Pond_0030_median                    </t>
  </si>
  <si>
    <t xml:space="preserve">31_519298-15994-176_Pasture or forage-r05-A_USEPA Pond_0030_median                    </t>
  </si>
  <si>
    <t xml:space="preserve">31_549483-15964-176_Pasture or forage-r06-A_USEPA Pond_0030_median                    </t>
  </si>
  <si>
    <t xml:space="preserve">31_809237-20921-176_Pasture or forage-r07-A_USEPA Pond_0030_median                    </t>
  </si>
  <si>
    <t xml:space="preserve">31_333640-10527-176_Pasture or forage-r08-A_USEPA Pond_0030_median                    </t>
  </si>
  <si>
    <t xml:space="preserve">31_2641300-25131-176_Pasture or forage-r09-A_USEPA Pond_0030_median                   </t>
  </si>
  <si>
    <t xml:space="preserve">31_2531219-18535-176_Pasture or forage-r10L-A_USEPA Pond_0030_median                  </t>
  </si>
  <si>
    <t xml:space="preserve">31_2525857-24643-176_Pasture or forage-r10U-A_USEPA Pond_0030_median                  </t>
  </si>
  <si>
    <t xml:space="preserve">31_381879-14271-176_Pasture or forage-r11-A_USEPA Pond_0030_median                    </t>
  </si>
  <si>
    <t xml:space="preserve">31_368179-11680-176_Pasture or forage-r12-A_USEPA Pond_0030_median                    </t>
  </si>
  <si>
    <t xml:space="preserve">31_370654-10952-176_Pasture or forage-r13-A_USEPA Pond_0030_median                    </t>
  </si>
  <si>
    <t xml:space="preserve">31_2958646-18940-176_Pasture or forage-r14-A_USEPA Pond_0030_median                   </t>
  </si>
  <si>
    <t xml:space="preserve">31_52697-14923-176_Pasture or forage-r15-A_USEPA Pond_0030_median                     </t>
  </si>
  <si>
    <t xml:space="preserve">31_475297-19385-176_Pasture or forage-r16-A_USEPA Pond_0030_median                    </t>
  </si>
  <si>
    <t xml:space="preserve">31_68546-25521-176_Pasture or forage-r17-A_USEPA Pond_0030_median                     </t>
  </si>
  <si>
    <t xml:space="preserve">31_463577-14897-176_Pasture or forage-r18-A_USEPA Pond_0030_median                    </t>
  </si>
  <si>
    <t xml:space="preserve">10_286087-20273-68_Orchard deciduous-r01-A_USEPA Pond_0089_median                     </t>
  </si>
  <si>
    <t xml:space="preserve">10_295501-20504-68_Orchard deciduous-r02-A_USEPA Pond_0089_median                     </t>
  </si>
  <si>
    <t xml:space="preserve">10_130628-13873-74_Orchard deciduous-r03N-A_USEPA Pond_0089_median                    </t>
  </si>
  <si>
    <t xml:space="preserve">10_125133-11268-74_Orchard deciduous-r03S-A_USEPA Pond_0089_median                    </t>
  </si>
  <si>
    <t xml:space="preserve">10_2455410-11258-67_Orchard deciduous-r03W-A_USEPA Pond_0089_median                   </t>
  </si>
  <si>
    <t xml:space="preserve">10_292675-21905-68_Orchard deciduous-r04-A_USEPA Pond_0089_median                     </t>
  </si>
  <si>
    <t xml:space="preserve">10_298742-19770-68_Orchard deciduous-r05-A_USEPA Pond_0089_median                     </t>
  </si>
  <si>
    <t xml:space="preserve">10_546865-14571-68_Orchard deciduous-r06-A_USEPA Pond_0089_median                     </t>
  </si>
  <si>
    <t xml:space="preserve">10_396439-23493-68_Orchard deciduous-r07-A_USEPA Pond_0089_median                     </t>
  </si>
  <si>
    <t xml:space="preserve">10_567494-13121-74_Orchard deciduous-r08-A_USEPA Pond_0089_median                     </t>
  </si>
  <si>
    <t xml:space="preserve">10_2774572-26572-68_Orchard deciduous-r09-A_USEPA Pond_0089_median                    </t>
  </si>
  <si>
    <t xml:space="preserve">10_2532369-16882-74_Orchard deciduous-r10L-A_USEPA Pond_0089_median                   </t>
  </si>
  <si>
    <t xml:space="preserve">10_146775-27192-66_Orchard deciduous-r10U-A_USEPA Pond_0089_median                    </t>
  </si>
  <si>
    <t xml:space="preserve">10_106593-15934-74_Orchard deciduous-r11-A_USEPA Pond_0089_median                     </t>
  </si>
  <si>
    <t xml:space="preserve">10_367880-12156-74_Orchard deciduous-r12-A_USEPA Pond_0089_median                     </t>
  </si>
  <si>
    <t xml:space="preserve">10_712158-9291-74_Orchard deciduous-r13-A_USEPA Pond_0089_median                      </t>
  </si>
  <si>
    <t xml:space="preserve">10_496634-17773-67_Orchard deciduous-r14-A_USEPA Pond_0089_median                     </t>
  </si>
  <si>
    <t xml:space="preserve">10_53675-11396-74_Orchard deciduous-r15-A_USEPA Pond_0089_median                      </t>
  </si>
  <si>
    <t xml:space="preserve">10_483390-18938-66_Orchard deciduous-r16-A_USEPA Pond_0089_median                     </t>
  </si>
  <si>
    <t xml:space="preserve">10_62699-22668-71_Orchard deciduous-r17-A_USEPA Pond_0089_median                      </t>
  </si>
  <si>
    <t xml:space="preserve">10_462066-17012-75_Orchard deciduous-r18-A_USEPA Pond_0089_median                     </t>
  </si>
  <si>
    <t xml:space="preserve">11_286087-20273-68_Orchard deciduous-r01-A_USEPA Pond_0089_median                     </t>
  </si>
  <si>
    <t xml:space="preserve">11_295501-20504-68_Orchard deciduous-r02-A_USEPA Pond_0089_median                     </t>
  </si>
  <si>
    <t xml:space="preserve">11_130628-13873-74_Orchard deciduous-r03N-A_USEPA Pond_0089_median                    </t>
  </si>
  <si>
    <t xml:space="preserve">11_125133-11268-74_Orchard deciduous-r03S-A_USEPA Pond_0089_median                    </t>
  </si>
  <si>
    <t xml:space="preserve">11_2455410-11258-67_Orchard deciduous-r03W-A_USEPA Pond_0089_median                   </t>
  </si>
  <si>
    <t xml:space="preserve">11_292675-21905-68_Orchard deciduous-r04-A_USEPA Pond_0089_median                     </t>
  </si>
  <si>
    <t xml:space="preserve">11_298742-19770-68_Orchard deciduous-r05-A_USEPA Pond_0089_median                     </t>
  </si>
  <si>
    <t xml:space="preserve">11_546865-14571-68_Orchard deciduous-r06-A_USEPA Pond_0089_median                     </t>
  </si>
  <si>
    <t xml:space="preserve">11_396439-23493-68_Orchard deciduous-r07-A_USEPA Pond_0089_median                     </t>
  </si>
  <si>
    <t xml:space="preserve">11_567494-13121-74_Orchard deciduous-r08-A_USEPA Pond_0089_median                     </t>
  </si>
  <si>
    <t xml:space="preserve">11_2774572-26572-68_Orchard deciduous-r09-A_USEPA Pond_0089_median                    </t>
  </si>
  <si>
    <t xml:space="preserve">11_2532369-16882-74_Orchard deciduous-r10L-A_USEPA Pond_0089_median                   </t>
  </si>
  <si>
    <t xml:space="preserve">11_146775-27192-66_Orchard deciduous-r10U-A_USEPA Pond_0089_median                    </t>
  </si>
  <si>
    <t xml:space="preserve">11_106593-15934-74_Orchard deciduous-r11-A_USEPA Pond_0089_median                     </t>
  </si>
  <si>
    <t xml:space="preserve">11_367880-12156-74_Orchard deciduous-r12-A_USEPA Pond_0089_median                     </t>
  </si>
  <si>
    <t xml:space="preserve">11_712158-9291-74_Orchard deciduous-r13-A_USEPA Pond_0089_median                      </t>
  </si>
  <si>
    <t xml:space="preserve">11_496634-17773-67_Orchard deciduous-r14-A_USEPA Pond_0089_median                     </t>
  </si>
  <si>
    <t xml:space="preserve">11_53675-11396-74_Orchard deciduous-r15-A_USEPA Pond_0089_median                      </t>
  </si>
  <si>
    <t xml:space="preserve">11_483390-18938-66_Orchard deciduous-r16-A_USEPA Pond_0089_median                     </t>
  </si>
  <si>
    <t xml:space="preserve">11_62699-22668-71_Orchard deciduous-r17-A_USEPA Pond_0089_median                      </t>
  </si>
  <si>
    <t xml:space="preserve">11_462066-17012-75_Orchard deciduous-r18-A_USEPA Pond_0089_median                     </t>
  </si>
  <si>
    <t xml:space="preserve">13_1151415-6314-212_Orchard evergreen-r03S-A_USEPA Pond_0010_median                   </t>
  </si>
  <si>
    <t xml:space="preserve">13_1017242-10309-212_Orchard evergreen-r03W-A_USEPA Pond_0010_median                  </t>
  </si>
  <si>
    <t xml:space="preserve">13_576089-12632-72_Orchard evergreen-r11-A_USEPA Pond_0010_median                     </t>
  </si>
  <si>
    <t xml:space="preserve">13_363322-6720-72_Orchard evergreen-r12-A_USEPA Pond_0010_median                      </t>
  </si>
  <si>
    <t xml:space="preserve">13_367672-5777-72_Orchard evergreen-r13-A_USEPA Pond_0010_median                      </t>
  </si>
  <si>
    <t xml:space="preserve">13_53259-11846-72_Orchard evergreen-r15-A_USEPA Pond_0010_median                      </t>
  </si>
  <si>
    <t xml:space="preserve">13_2424828-17725-212_Orchard evergreen-r16-A_USEPA Pond_0010_median                   </t>
  </si>
  <si>
    <t xml:space="preserve">13_2766125-18423-211_Orchard evergreen-r18-A_USEPA Pond_0010_median                   </t>
  </si>
  <si>
    <t xml:space="preserve">14_1151415-6314-212_Orchard evergreen-r03S-A_USEPA Pond_0010_median                   </t>
  </si>
  <si>
    <t xml:space="preserve">14_1017242-10309-212_Orchard evergreen-r03W-A_USEPA Pond_0010_median                  </t>
  </si>
  <si>
    <t xml:space="preserve">14_576089-12632-72_Orchard evergreen-r11-A_USEPA Pond_0010_median                     </t>
  </si>
  <si>
    <t xml:space="preserve">14_363322-6720-72_Orchard evergreen-r12-A_USEPA Pond_0010_median                      </t>
  </si>
  <si>
    <t xml:space="preserve">14_367672-5777-72_Orchard evergreen-r13-A_USEPA Pond_0010_median                      </t>
  </si>
  <si>
    <t xml:space="preserve">14_53259-11846-72_Orchard evergreen-r15-A_USEPA Pond_0010_median                      </t>
  </si>
  <si>
    <t xml:space="preserve">14_2424828-17725-212_Orchard evergreen-r16-A_USEPA Pond_0010_median                   </t>
  </si>
  <si>
    <t xml:space="preserve">14_2766125-18423-211_Orchard evergreen-r18-A_USEPA Pond_0010_median                   </t>
  </si>
  <si>
    <t xml:space="preserve">16_315670-22645-242_Small fruit trellised-r01-A_USEPA Pond_0089_median                </t>
  </si>
  <si>
    <t xml:space="preserve">16_545148-18838-69_Small fruit trellised-r02-A_USEPA Pond_0089_median                 </t>
  </si>
  <si>
    <t xml:space="preserve">16_130135-13170-242_Small fruit trellised-r03N-A_USEPA Pond_0089_median               </t>
  </si>
  <si>
    <t xml:space="preserve">16_125182-11031-242_Small fruit trellised-r03S-A_USEPA Pond_0089_median               </t>
  </si>
  <si>
    <t xml:space="preserve">16_325764-11732-242_Small fruit trellised-r03W-A_USEPA Pond_0089_median               </t>
  </si>
  <si>
    <t xml:space="preserve">16_289866-21191-69_Small fruit trellised-r04-A_USEPA Pond_0089_median                 </t>
  </si>
  <si>
    <t xml:space="preserve">16_2633044-20953-69_Small fruit trellised-r05-A_USEPA Pond_0089_median                </t>
  </si>
  <si>
    <t xml:space="preserve">16_529798-15281-69_Small fruit trellised-r06-A_USEPA Pond_0089_median                 </t>
  </si>
  <si>
    <t xml:space="preserve">16_487692-19376-69_Small fruit trellised-r16-A_USEPA Pond_0089_median                 </t>
  </si>
  <si>
    <t xml:space="preserve">16_68977-25039-56_Small fruit trellised-r17-A_USEPA Pond_0089_median                  </t>
  </si>
  <si>
    <t xml:space="preserve">16_463590-15133-69_Small fruit trellised-r18-A_USEPA Pond_0089_median                 </t>
  </si>
  <si>
    <t xml:space="preserve">18_286019-20746-12_Vegetable fresh or processing market-r01-A_USEPA Pond_0010_median  </t>
  </si>
  <si>
    <t xml:space="preserve">18_2950700-17902-12_Vegetable fresh or processing market-r02-A_USEPA Pond_0010_median </t>
  </si>
  <si>
    <t xml:space="preserve">18_111389-15064-57_Vegetable fresh or processing market-r03N-A_USEPA Pond_0010_median </t>
  </si>
  <si>
    <t xml:space="preserve">18_631572-5375-222_Vegetable fresh or processing market-r03S-A_USEPA Pond_0010_median </t>
  </si>
  <si>
    <t xml:space="preserve">18_332581-10063-48_Vegetable fresh or processing market-r03W-A_USEPA Pond_0010_median </t>
  </si>
  <si>
    <t xml:space="preserve">18_192466-22579-222_Vegetable fresh or processing market-r04-A_USEPA Pond_0010_median </t>
  </si>
  <si>
    <t xml:space="preserve">18_160822-18569-229_Vegetable fresh or processing market-r05-A_USEPA Pond_0010_median </t>
  </si>
  <si>
    <t>18_2423116-14329-219_Vegetable fresh or processing market-r06-A_USEPA Pond_0010_median</t>
  </si>
  <si>
    <t xml:space="preserve">18_397808-22314-12_Vegetable fresh or processing market-r07-A_USEPA Pond_0010_median  </t>
  </si>
  <si>
    <t xml:space="preserve">18_1715900-13351-54_Vegetable fresh or processing market-r08-A_USEPA Pond_0010_median </t>
  </si>
  <si>
    <t xml:space="preserve">18_356962-25371-12_Vegetable fresh or processing market-r09-A_USEPA Pond_0010_median  </t>
  </si>
  <si>
    <t>18_497748-19437-229_Vegetable fresh or processing market-r10L-A_USEPA Pond_0010_median</t>
  </si>
  <si>
    <t>18_2517301-22540-12_Vegetable fresh or processing market-r10U-A_USEPA Pond_0010_median</t>
  </si>
  <si>
    <t xml:space="preserve">18_382177-13799-57_Vegetable fresh or processing market-r11-A_USEPA Pond_0010_median  </t>
  </si>
  <si>
    <t xml:space="preserve">18_373519-10262-57_Vegetable fresh or processing market-r12-A_USEPA Pond_0010_median  </t>
  </si>
  <si>
    <t xml:space="preserve">18_58936-11176-216_Vegetable fresh or processing market-r13-A_USEPA Pond_0010_median  </t>
  </si>
  <si>
    <t xml:space="preserve">18_508783-17536-12_Vegetable fresh or processing market-r14-A_USEPA Pond_0010_median  </t>
  </si>
  <si>
    <t xml:space="preserve">18_53259-11846-227_Vegetable fresh or processing market-r15-A_USEPA Pond_0010_median  </t>
  </si>
  <si>
    <t xml:space="preserve">18_473920-17256-208_Vegetable fresh or processing market-r16-A_USEPA Pond_0010_median </t>
  </si>
  <si>
    <t xml:space="preserve">18_68754-25749-12_Vegetable fresh or processing market-r17-A_USEPA Pond_0010_median   </t>
  </si>
  <si>
    <t xml:space="preserve">18_455512-12315-12_Vegetable fresh or processing market-r18-A_USEPA Pond_0010_median  </t>
  </si>
  <si>
    <t xml:space="preserve">22_279389-22634-37_Hay all-r01-A_USEPA Pond_0055_median                               </t>
  </si>
  <si>
    <t xml:space="preserve">22_548594-19557-37_Hay all-r02-A_USEPA Pond_0055_median                               </t>
  </si>
  <si>
    <t xml:space="preserve">22_2679272-15047-37_Hay all-r03N-A_USEPA Pond_0055_median                             </t>
  </si>
  <si>
    <t xml:space="preserve">22_124141-11970-37_Hay all-r03S-A_USEPA Pond_0055_median                              </t>
  </si>
  <si>
    <t xml:space="preserve">22_328641-11010-37_Hay all-r03W-A_USEPA Pond_0055_median                              </t>
  </si>
  <si>
    <t xml:space="preserve">22_186614-22349-37_Hay all-r04-A_USEPA Pond_0055_median                               </t>
  </si>
  <si>
    <t xml:space="preserve">22_549600-16679-37_Hay all-r05-A_USEPA Pond_0055_median                               </t>
  </si>
  <si>
    <t xml:space="preserve">22_527499-15022-37_Hay all-r06-A_USEPA Pond_0055_median                               </t>
  </si>
  <si>
    <t xml:space="preserve">22_397476-25376-37_Hay all-r07-A_USEPA Pond_0055_median                               </t>
  </si>
  <si>
    <t xml:space="preserve">22_2501144-16663-37_Hay all-r08-A_USEPA Pond_0055_median                              </t>
  </si>
  <si>
    <t xml:space="preserve">22_2799668-26078-37_Hay all-r09-A_USEPA Pond_0055_median                              </t>
  </si>
  <si>
    <t xml:space="preserve">22_104947-20380-37_Hay all-r10L-A_USEPA Pond_0055_median                              </t>
  </si>
  <si>
    <t xml:space="preserve">22_2580954-22752-37_Hay all-r10U-A_USEPA Pond_0055_median                             </t>
  </si>
  <si>
    <t xml:space="preserve">22_2605767-16402-36_Hay all-r11-A_USEPA Pond_0055_median                              </t>
  </si>
  <si>
    <t xml:space="preserve">22_365327-11680-37_Hay all-r12-A_USEPA Pond_0055_median                               </t>
  </si>
  <si>
    <t xml:space="preserve">22_55901-12123-36_Hay all-r13-A_USEPA Pond_0055_median                                </t>
  </si>
  <si>
    <t xml:space="preserve">22_508796-17301-36_Hay all-r14-A_USEPA Pond_0055_median                               </t>
  </si>
  <si>
    <t xml:space="preserve">22_464078-12554-36_Hay all-r15-A_USEPA Pond_0055_median                               </t>
  </si>
  <si>
    <t xml:space="preserve">22_476104-19392-36_Hay all-r16-A_USEPA Pond_0055_median                               </t>
  </si>
  <si>
    <t xml:space="preserve">22_155797-26007-37_Hay all-r17-A_USEPA Pond_0055_median                               </t>
  </si>
  <si>
    <t xml:space="preserve">22_488792-20788-37_Hay all-r18-A_USEPA Pond_0055_median                               </t>
  </si>
  <si>
    <t xml:space="preserve">23_279389-22634-37_Hay all-r01-A_USEPA Pond_0055_median                               </t>
  </si>
  <si>
    <t xml:space="preserve">23_548594-19557-37_Hay all-r02-A_USEPA Pond_0055_median                               </t>
  </si>
  <si>
    <t xml:space="preserve">23_2679272-15047-37_Hay all-r03N-A_USEPA Pond_0055_median                             </t>
  </si>
  <si>
    <t xml:space="preserve">23_124141-11970-37_Hay all-r03S-A_USEPA Pond_0055_median                              </t>
  </si>
  <si>
    <t xml:space="preserve">23_328641-11010-37_Hay all-r03W-A_USEPA Pond_0055_median                              </t>
  </si>
  <si>
    <t xml:space="preserve">23_186614-22349-37_Hay all-r04-A_USEPA Pond_0055_median                               </t>
  </si>
  <si>
    <t xml:space="preserve">23_549600-16679-37_Hay all-r05-A_USEPA Pond_0055_median                               </t>
  </si>
  <si>
    <t xml:space="preserve">23_527499-15022-37_Hay all-r06-A_USEPA Pond_0055_median                               </t>
  </si>
  <si>
    <t xml:space="preserve">23_397476-25376-37_Hay all-r07-A_USEPA Pond_0055_median                               </t>
  </si>
  <si>
    <t xml:space="preserve">23_2501144-16663-37_Hay all-r08-A_USEPA Pond_0055_median                              </t>
  </si>
  <si>
    <t xml:space="preserve">23_2799668-26078-37_Hay all-r09-A_USEPA Pond_0055_median                              </t>
  </si>
  <si>
    <t xml:space="preserve">23_104947-20380-37_Hay all-r10L-A_USEPA Pond_0055_median                              </t>
  </si>
  <si>
    <t xml:space="preserve">23_2580954-22752-37_Hay all-r10U-A_USEPA Pond_0055_median                             </t>
  </si>
  <si>
    <t xml:space="preserve">23_2605767-16402-36_Hay all-r11-A_USEPA Pond_0055_median                              </t>
  </si>
  <si>
    <t xml:space="preserve">23_365327-11680-37_Hay all-r12-A_USEPA Pond_0055_median                               </t>
  </si>
  <si>
    <t xml:space="preserve">23_55901-12123-36_Hay all-r13-A_USEPA Pond_0055_median                                </t>
  </si>
  <si>
    <t xml:space="preserve">23_508796-17301-36_Hay all-r14-A_USEPA Pond_0055_median                               </t>
  </si>
  <si>
    <t xml:space="preserve">23_464078-12554-36_Hay all-r15-A_USEPA Pond_0055_median                               </t>
  </si>
  <si>
    <t xml:space="preserve">23_476104-19392-36_Hay all-r16-A_USEPA Pond_0055_median                               </t>
  </si>
  <si>
    <t xml:space="preserve">23_155797-26007-37_Hay all-r17-A_USEPA Pond_0055_median                               </t>
  </si>
  <si>
    <t xml:space="preserve">23_488792-20788-37_Hay all-r18-A_USEPA Pond_0055_median                               </t>
  </si>
  <si>
    <t xml:space="preserve">25_286087-20273-68_Orchard deciduous-r01-A_USEPA Pond_0080_median                     </t>
  </si>
  <si>
    <t xml:space="preserve">25_295501-20504-68_Orchard deciduous-r02-A_USEPA Pond_0080_median                     </t>
  </si>
  <si>
    <t xml:space="preserve">25_130628-13873-74_Orchard deciduous-r03N-A_USEPA Pond_0080_median                    </t>
  </si>
  <si>
    <t xml:space="preserve">25_125133-11268-74_Orchard deciduous-r03S-A_USEPA Pond_0080_median                    </t>
  </si>
  <si>
    <t xml:space="preserve">25_2455410-11258-67_Orchard deciduous-r03W-A_USEPA Pond_0080_median                   </t>
  </si>
  <si>
    <t xml:space="preserve">25_292675-21905-68_Orchard deciduous-r04-A_USEPA Pond_0080_median                     </t>
  </si>
  <si>
    <t xml:space="preserve">25_298742-19770-68_Orchard deciduous-r05-A_USEPA Pond_0080_median                     </t>
  </si>
  <si>
    <t xml:space="preserve">25_546865-14571-68_Orchard deciduous-r06-A_USEPA Pond_0080_median                     </t>
  </si>
  <si>
    <t xml:space="preserve">25_396439-23493-68_Orchard deciduous-r07-A_USEPA Pond_0080_median                     </t>
  </si>
  <si>
    <t xml:space="preserve">25_567494-13121-74_Orchard deciduous-r08-A_USEPA Pond_0080_median                     </t>
  </si>
  <si>
    <t xml:space="preserve">25_2774572-26572-68_Orchard deciduous-r09-A_USEPA Pond_0080_median                    </t>
  </si>
  <si>
    <t xml:space="preserve">25_2532369-16882-74_Orchard deciduous-r10L-A_USEPA Pond_0080_median                   </t>
  </si>
  <si>
    <t xml:space="preserve">25_146775-27192-66_Orchard deciduous-r10U-A_USEPA Pond_0080_median                    </t>
  </si>
  <si>
    <t xml:space="preserve">25_106593-15934-74_Orchard deciduous-r11-A_USEPA Pond_0080_median                     </t>
  </si>
  <si>
    <t xml:space="preserve">25_367880-12156-74_Orchard deciduous-r12-A_USEPA Pond_0080_median                     </t>
  </si>
  <si>
    <t xml:space="preserve">25_712158-9291-74_Orchard deciduous-r13-A_USEPA Pond_0080_median                      </t>
  </si>
  <si>
    <t xml:space="preserve">25_496634-17773-67_Orchard deciduous-r14-A_USEPA Pond_0080_median                     </t>
  </si>
  <si>
    <t xml:space="preserve">25_53675-11396-74_Orchard deciduous-r15-A_USEPA Pond_0080_median                      </t>
  </si>
  <si>
    <t xml:space="preserve">25_483390-18938-66_Orchard deciduous-r16-A_USEPA Pond_0080_median                     </t>
  </si>
  <si>
    <t xml:space="preserve">25_62699-22668-71_Orchard deciduous-r17-A_USEPA Pond_0080_median                      </t>
  </si>
  <si>
    <t xml:space="preserve">25_462066-17012-75_Orchard deciduous-r18-A_USEPA Pond_0080_median                     </t>
  </si>
  <si>
    <t xml:space="preserve">26_286087-20273-68_Orchard deciduous-r01-A_USEPA Pond_0080_median                     </t>
  </si>
  <si>
    <t xml:space="preserve">26_295501-20504-68_Orchard deciduous-r02-A_USEPA Pond_0080_median                     </t>
  </si>
  <si>
    <t xml:space="preserve">26_130628-13873-74_Orchard deciduous-r03N-A_USEPA Pond_0080_median                    </t>
  </si>
  <si>
    <t xml:space="preserve">26_125133-11268-74_Orchard deciduous-r03S-A_USEPA Pond_0080_median                    </t>
  </si>
  <si>
    <t xml:space="preserve">26_2455410-11258-67_Orchard deciduous-r03W-A_USEPA Pond_0080_median                   </t>
  </si>
  <si>
    <t xml:space="preserve">26_292675-21905-68_Orchard deciduous-r04-A_USEPA Pond_0080_median                     </t>
  </si>
  <si>
    <t xml:space="preserve">26_298742-19770-68_Orchard deciduous-r05-A_USEPA Pond_0080_median                     </t>
  </si>
  <si>
    <t xml:space="preserve">26_546865-14571-68_Orchard deciduous-r06-A_USEPA Pond_0080_median                     </t>
  </si>
  <si>
    <t xml:space="preserve">26_396439-23493-68_Orchard deciduous-r07-A_USEPA Pond_0080_median                     </t>
  </si>
  <si>
    <t xml:space="preserve">26_567494-13121-74_Orchard deciduous-r08-A_USEPA Pond_0080_median                     </t>
  </si>
  <si>
    <t xml:space="preserve">26_2774572-26572-68_Orchard deciduous-r09-A_USEPA Pond_0080_median                    </t>
  </si>
  <si>
    <t xml:space="preserve">26_2532369-16882-74_Orchard deciduous-r10L-A_USEPA Pond_0080_median                   </t>
  </si>
  <si>
    <t xml:space="preserve">26_146775-27192-66_Orchard deciduous-r10U-A_USEPA Pond_0080_median                    </t>
  </si>
  <si>
    <t xml:space="preserve">26_106593-15934-74_Orchard deciduous-r11-A_USEPA Pond_0080_median                     </t>
  </si>
  <si>
    <t xml:space="preserve">26_367880-12156-74_Orchard deciduous-r12-A_USEPA Pond_0080_median                     </t>
  </si>
  <si>
    <t xml:space="preserve">26_712158-9291-74_Orchard deciduous-r13-A_USEPA Pond_0080_median                      </t>
  </si>
  <si>
    <t xml:space="preserve">26_496634-17773-67_Orchard deciduous-r14-A_USEPA Pond_0080_median                     </t>
  </si>
  <si>
    <t xml:space="preserve">26_53675-11396-74_Orchard deciduous-r15-A_USEPA Pond_0080_median                      </t>
  </si>
  <si>
    <t xml:space="preserve">26_483390-18938-66_Orchard deciduous-r16-A_USEPA Pond_0080_median                     </t>
  </si>
  <si>
    <t xml:space="preserve">26_62699-22668-71_Orchard deciduous-r17-A_USEPA Pond_0080_median                      </t>
  </si>
  <si>
    <t xml:space="preserve">26_462066-17012-75_Orchard deciduous-r18-A_USEPA Pond_0080_median                     </t>
  </si>
  <si>
    <t xml:space="preserve">27_286087-20273-68_Orchard deciduous-r01-A_USEPA Pond_0080_median                     </t>
  </si>
  <si>
    <t xml:space="preserve">27_295501-20504-68_Orchard deciduous-r02-A_USEPA Pond_0080_median                     </t>
  </si>
  <si>
    <t xml:space="preserve">27_130628-13873-74_Orchard deciduous-r03N-A_USEPA Pond_0080_median                    </t>
  </si>
  <si>
    <t xml:space="preserve">27_125133-11268-74_Orchard deciduous-r03S-A_USEPA Pond_0080_median                    </t>
  </si>
  <si>
    <t xml:space="preserve">27_2455410-11258-67_Orchard deciduous-r03W-A_USEPA Pond_0080_median                   </t>
  </si>
  <si>
    <t xml:space="preserve">27_292675-21905-68_Orchard deciduous-r04-A_USEPA Pond_0080_median                     </t>
  </si>
  <si>
    <t xml:space="preserve">27_298742-19770-68_Orchard deciduous-r05-A_USEPA Pond_0080_median                     </t>
  </si>
  <si>
    <t xml:space="preserve">27_546865-14571-68_Orchard deciduous-r06-A_USEPA Pond_0080_median                     </t>
  </si>
  <si>
    <t xml:space="preserve">27_396439-23493-68_Orchard deciduous-r07-A_USEPA Pond_0080_median                     </t>
  </si>
  <si>
    <t xml:space="preserve">27_567494-13121-74_Orchard deciduous-r08-A_USEPA Pond_0080_median                     </t>
  </si>
  <si>
    <t xml:space="preserve">27_2774572-26572-68_Orchard deciduous-r09-A_USEPA Pond_0080_median                    </t>
  </si>
  <si>
    <t xml:space="preserve">27_2532369-16882-74_Orchard deciduous-r10L-A_USEPA Pond_0080_median                   </t>
  </si>
  <si>
    <t xml:space="preserve">27_146775-27192-66_Orchard deciduous-r10U-A_USEPA Pond_0080_median                    </t>
  </si>
  <si>
    <t xml:space="preserve">27_106593-15934-74_Orchard deciduous-r11-A_USEPA Pond_0080_median                     </t>
  </si>
  <si>
    <t xml:space="preserve">27_367880-12156-74_Orchard deciduous-r12-A_USEPA Pond_0080_median                     </t>
  </si>
  <si>
    <t xml:space="preserve">27_712158-9291-74_Orchard deciduous-r13-A_USEPA Pond_0080_median                      </t>
  </si>
  <si>
    <t xml:space="preserve">27_496634-17773-67_Orchard deciduous-r14-A_USEPA Pond_0080_median                     </t>
  </si>
  <si>
    <t xml:space="preserve">27_53675-11396-74_Orchard deciduous-r15-A_USEPA Pond_0080_median                      </t>
  </si>
  <si>
    <t xml:space="preserve">27_483390-18938-66_Orchard deciduous-r16-A_USEPA Pond_0080_median                     </t>
  </si>
  <si>
    <t xml:space="preserve">27_62699-22668-71_Orchard deciduous-r17-A_USEPA Pond_0080_median                      </t>
  </si>
  <si>
    <t xml:space="preserve">27_462066-17012-75_Orchard deciduous-r18-A_USEPA Pond_0080_median                     </t>
  </si>
  <si>
    <t xml:space="preserve">29_301823-25720-176_Pasture or forage-r01-A_USEPA Pond_0030_median                    </t>
  </si>
  <si>
    <t xml:space="preserve">29_299355-20498-176_Pasture or forage-r02-A_USEPA Pond_0030_median                    </t>
  </si>
  <si>
    <t xml:space="preserve">29_120164-16000-176_Pasture or forage-r03N-A_USEPA Pond_0030_median                   </t>
  </si>
  <si>
    <t xml:space="preserve">29_1712910-8907-176_Pasture or forage-r03S-A_USEPA Pond_0030_median                   </t>
  </si>
  <si>
    <t xml:space="preserve">29_333408-12658-176_Pasture or forage-r03W-A_USEPA Pond_0030_median                   </t>
  </si>
  <si>
    <t xml:space="preserve">29_294979-23094-176_Pasture or forage-r04-A_USEPA Pond_0030_median                    </t>
  </si>
  <si>
    <t xml:space="preserve">29_519298-15994-176_Pasture or forage-r05-A_USEPA Pond_0030_median                    </t>
  </si>
  <si>
    <t xml:space="preserve">29_549483-15964-176_Pasture or forage-r06-A_USEPA Pond_0030_median                    </t>
  </si>
  <si>
    <t xml:space="preserve">29_809237-20921-176_Pasture or forage-r07-A_USEPA Pond_0030_median                    </t>
  </si>
  <si>
    <t xml:space="preserve">29_333640-10527-176_Pasture or forage-r08-A_USEPA Pond_0030_median                    </t>
  </si>
  <si>
    <t xml:space="preserve">29_2641300-25131-176_Pasture or forage-r09-A_USEPA Pond_0030_median                   </t>
  </si>
  <si>
    <t xml:space="preserve">29_2531219-18535-176_Pasture or forage-r10L-A_USEPA Pond_0030_median                  </t>
  </si>
  <si>
    <t xml:space="preserve">29_2525857-24643-176_Pasture or forage-r10U-A_USEPA Pond_0030_median                  </t>
  </si>
  <si>
    <t xml:space="preserve">29_381879-14271-176_Pasture or forage-r11-A_USEPA Pond_0030_median                    </t>
  </si>
  <si>
    <t xml:space="preserve">29_368179-11680-176_Pasture or forage-r12-A_USEPA Pond_0030_median                    </t>
  </si>
  <si>
    <t xml:space="preserve">29_370654-10952-176_Pasture or forage-r13-A_USEPA Pond_0030_median                    </t>
  </si>
  <si>
    <t xml:space="preserve">29_2958646-18940-176_Pasture or forage-r14-A_USEPA Pond_0030_median                   </t>
  </si>
  <si>
    <t xml:space="preserve">29_52697-14923-176_Pasture or forage-r15-A_USEPA Pond_0030_median                     </t>
  </si>
  <si>
    <t xml:space="preserve">29_475297-19385-176_Pasture or forage-r16-A_USEPA Pond_0030_median                    </t>
  </si>
  <si>
    <t xml:space="preserve">29_68546-25521-176_Pasture or forage-r17-A_USEPA Pond_0030_median                     </t>
  </si>
  <si>
    <t xml:space="preserve">29_463577-14897-176_Pasture or forage-r18-A_USEPA Pond_0030_median                    </t>
  </si>
  <si>
    <t xml:space="preserve">30_301823-25720-176_Pasture or forage-r01-A_USEPA Pond_0030_median                    </t>
  </si>
  <si>
    <t xml:space="preserve">30_299355-20498-176_Pasture or forage-r02-A_USEPA Pond_0030_median                    </t>
  </si>
  <si>
    <t xml:space="preserve">30_120164-16000-176_Pasture or forage-r03N-A_USEPA Pond_0030_median                   </t>
  </si>
  <si>
    <t xml:space="preserve">30_1712910-8907-176_Pasture or forage-r03S-A_USEPA Pond_0030_median                   </t>
  </si>
  <si>
    <t xml:space="preserve">30_333408-12658-176_Pasture or forage-r03W-A_USEPA Pond_0030_median                   </t>
  </si>
  <si>
    <t xml:space="preserve">30_294979-23094-176_Pasture or forage-r04-A_USEPA Pond_0030_median                    </t>
  </si>
  <si>
    <t xml:space="preserve">30_519298-15994-176_Pasture or forage-r05-A_USEPA Pond_0030_median                    </t>
  </si>
  <si>
    <t xml:space="preserve">30_549483-15964-176_Pasture or forage-r06-A_USEPA Pond_0030_median                    </t>
  </si>
  <si>
    <t xml:space="preserve">30_809237-20921-176_Pasture or forage-r07-A_USEPA Pond_0030_median                    </t>
  </si>
  <si>
    <t xml:space="preserve">30_333640-10527-176_Pasture or forage-r08-A_USEPA Pond_0030_median                    </t>
  </si>
  <si>
    <t xml:space="preserve">30_2641300-25131-176_Pasture or forage-r09-A_USEPA Pond_0030_median                   </t>
  </si>
  <si>
    <t xml:space="preserve">30_2531219-18535-176_Pasture or forage-r10L-A_USEPA Pond_0030_median                  </t>
  </si>
  <si>
    <t xml:space="preserve">30_2525857-24643-176_Pasture or forage-r10U-A_USEPA Pond_0030_median                  </t>
  </si>
  <si>
    <t xml:space="preserve">30_381879-14271-176_Pasture or forage-r11-A_USEPA Pond_0030_median                    </t>
  </si>
  <si>
    <t xml:space="preserve">30_368179-11680-176_Pasture or forage-r12-A_USEPA Pond_0030_median                    </t>
  </si>
  <si>
    <t xml:space="preserve">30_370654-10952-176_Pasture or forage-r13-A_USEPA Pond_0030_median                    </t>
  </si>
  <si>
    <t xml:space="preserve">30_2958646-18940-176_Pasture or forage-r14-A_USEPA Pond_0030_median                   </t>
  </si>
  <si>
    <t xml:space="preserve">30_52697-14923-176_Pasture or forage-r15-A_USEPA Pond_0030_median                     </t>
  </si>
  <si>
    <t xml:space="preserve">30_475297-19385-176_Pasture or forage-r16-A_USEPA Pond_0030_median                    </t>
  </si>
  <si>
    <t xml:space="preserve">30_68546-25521-176_Pasture or forage-r17-A_USEPA Pond_0030_median                     </t>
  </si>
  <si>
    <t xml:space="preserve">30_463577-14897-176_Pasture or forage-r18-A_USEPA Pond_0030_median                    </t>
  </si>
  <si>
    <t>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</si>
</sst>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46" x14ac:knownFonts="1">
    <font>
      <sz val="11"/>
      <color theme="1"/>
      <name val="Aptos Narrow"/>
      <family val="2"/>
      <scheme val="minor"/>
    </font>
    <font>
      <b/>
      <sz val="11"/>
      <color theme="1"/>
      <name val="Aptos Narrow"/>
      <family val="2"/>
      <scheme val="minor"/>
    </font>
    <font>
      <sz val="10"/>
      <color theme="1"/>
      <name val="Aptos Narrow"/>
      <family val="2"/>
      <scheme val="minor"/>
    </font>
    <font>
      <sz val="11"/>
      <name val="Aptos Narrow"/>
      <family val="2"/>
      <scheme val="minor"/>
    </font>
    <font>
      <b/>
      <sz val="10"/>
      <color theme="1"/>
      <name val="Aptos Narrow"/>
      <family val="2"/>
      <scheme val="minor"/>
    </font>
    <font>
      <sz val="10"/>
      <name val="Aptos Narrow"/>
      <family val="2"/>
      <scheme val="minor"/>
    </font>
    <font>
      <b/>
      <sz val="10"/>
      <name val="Aptos Narrow"/>
      <family val="2"/>
      <scheme val="minor"/>
    </font>
    <font>
      <sz val="11"/>
      <color rgb="FFFF0000"/>
      <name val="Aptos Narrow"/>
      <family val="2"/>
      <scheme val="minor"/>
    </font>
    <font>
      <sz val="10"/>
      <color theme="1"/>
      <name val="Calibri"/>
      <family val="2"/>
    </font>
    <font>
      <b/>
      <sz val="10"/>
      <color theme="1"/>
      <name val="Calibri"/>
      <family val="2"/>
    </font>
    <font>
      <b/>
      <sz val="10"/>
      <color rgb="FF000000"/>
      <name val="Calibri"/>
      <family val="2"/>
    </font>
    <font>
      <sz val="10"/>
      <color rgb="FF000000"/>
      <name val="Calibri"/>
      <family val="2"/>
    </font>
    <font>
      <b/>
      <sz val="10"/>
      <name val="Calibri"/>
      <family val="2"/>
    </font>
    <font>
      <sz val="10"/>
      <name val="Calibri"/>
      <family val="2"/>
    </font>
    <font>
      <b/>
      <vertAlign val="subscript"/>
      <sz val="10"/>
      <color rgb="FF000000"/>
      <name val="Calibri"/>
      <family val="2"/>
    </font>
    <font>
      <b/>
      <vertAlign val="subscript"/>
      <sz val="10"/>
      <name val="Calibri"/>
      <family val="2"/>
    </font>
    <font>
      <i/>
      <sz val="10"/>
      <name val="Calibri"/>
      <family val="2"/>
    </font>
    <font>
      <i/>
      <sz val="11"/>
      <color theme="1"/>
      <name val="Aptos Narrow"/>
      <family val="2"/>
      <scheme val="minor"/>
    </font>
    <font>
      <b/>
      <sz val="10"/>
      <color theme="4" tint="0.39997558519241921"/>
      <name val="Calibri"/>
      <family val="2"/>
    </font>
    <font>
      <sz val="10"/>
      <color rgb="FFC00000"/>
      <name val="Calibri"/>
      <family val="2"/>
    </font>
    <font>
      <sz val="10"/>
      <color rgb="FFFF0000"/>
      <name val="Calibri"/>
      <family val="2"/>
    </font>
    <font>
      <b/>
      <sz val="10"/>
      <color theme="8"/>
      <name val="Calibri"/>
      <family val="2"/>
    </font>
    <font>
      <b/>
      <sz val="11"/>
      <color rgb="FF7030A0"/>
      <name val="Aptos Narrow"/>
      <family val="2"/>
      <scheme val="minor"/>
    </font>
    <font>
      <sz val="10"/>
      <color indexed="81"/>
      <name val="Calibri"/>
      <family val="2"/>
    </font>
    <font>
      <vertAlign val="subscript"/>
      <sz val="10"/>
      <color indexed="81"/>
      <name val="Calibri"/>
      <family val="2"/>
    </font>
    <font>
      <b/>
      <sz val="10"/>
      <color theme="8" tint="0.39997558519241921"/>
      <name val="Calibri"/>
      <family val="2"/>
    </font>
    <font>
      <strike/>
      <sz val="10"/>
      <name val="Calibri"/>
      <family val="2"/>
    </font>
    <font>
      <b/>
      <strike/>
      <sz val="10"/>
      <color rgb="FF000000"/>
      <name val="Calibri"/>
      <family val="2"/>
    </font>
    <font>
      <strike/>
      <sz val="10"/>
      <color theme="1"/>
      <name val="Calibri"/>
      <family val="2"/>
    </font>
    <font>
      <strike/>
      <sz val="10"/>
      <color rgb="FF000000"/>
      <name val="Calibri"/>
      <family val="2"/>
    </font>
    <font>
      <sz val="10"/>
      <color theme="1"/>
      <name val="Calibri"/>
      <family val="2"/>
    </font>
    <font>
      <sz val="10"/>
      <name val="Calibri"/>
      <family val="2"/>
    </font>
    <font>
      <b/>
      <sz val="11"/>
      <color theme="1"/>
      <name val="Aptos Narrow"/>
      <family val="2"/>
    </font>
    <font>
      <b/>
      <vertAlign val="superscript"/>
      <sz val="11"/>
      <color theme="1"/>
      <name val="Aptos Narrow"/>
      <family val="2"/>
      <scheme val="minor"/>
    </font>
    <font>
      <b/>
      <strike/>
      <sz val="10"/>
      <name val="Calibri"/>
      <family val="2"/>
    </font>
    <font>
      <b/>
      <sz val="10"/>
      <color theme="9" tint="0.39997558519241921"/>
      <name val="Calibri"/>
      <family val="2"/>
    </font>
    <font>
      <b/>
      <sz val="10"/>
      <color theme="1"/>
      <name val="Calibri"/>
      <family val="2"/>
    </font>
    <font>
      <b/>
      <sz val="18"/>
      <color rgb="FFC00000"/>
      <name val="Calibri"/>
      <family val="2"/>
    </font>
    <font>
      <b/>
      <sz val="10"/>
      <color theme="7" tint="0.39997558519241921"/>
      <name val="Calibri"/>
      <family val="2"/>
    </font>
    <font>
      <b/>
      <sz val="18"/>
      <color rgb="FFC00000"/>
      <name val="Calibri"/>
      <family val="2"/>
    </font>
    <font>
      <b/>
      <sz val="10"/>
      <color theme="5"/>
      <name val="Calibri"/>
      <family val="2"/>
    </font>
    <font>
      <sz val="10"/>
      <color theme="5"/>
      <name val="Calibri"/>
      <family val="2"/>
    </font>
    <font>
      <sz val="10"/>
      <name val="Arial"/>
      <family val="2"/>
    </font>
    <font>
      <b/>
      <sz val="10"/>
      <color rgb="FF000000"/>
      <name val="Calibri"/>
      <family val="2"/>
    </font>
    <font>
      <b/>
      <i/>
      <u/>
      <sz val="10"/>
      <name val="Aptos Narrow"/>
      <family val="2"/>
      <scheme val="minor"/>
    </font>
    <font>
      <b/>
      <sz val="11"/>
      <name val="Calibri"/>
      <family val="2"/>
    </font>
  </fonts>
  <fills count="26">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1"/>
        <bgColor indexed="64"/>
      </patternFill>
    </fill>
    <fill>
      <patternFill patternType="solid">
        <fgColor theme="1"/>
        <bgColor rgb="FF000000"/>
      </patternFill>
    </fill>
    <fill>
      <patternFill patternType="solid">
        <fgColor theme="9" tint="0.79998168889431442"/>
        <bgColor rgb="FF000000"/>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4.9989318521683403E-2"/>
        <bgColor rgb="FF000000"/>
      </patternFill>
    </fill>
    <fill>
      <patternFill patternType="solid">
        <fgColor theme="7" tint="0.79998168889431442"/>
        <bgColor indexed="64"/>
      </patternFill>
    </fill>
    <fill>
      <patternFill patternType="solid">
        <fgColor rgb="FFFFFF66"/>
        <bgColor indexed="64"/>
      </patternFill>
    </fill>
    <fill>
      <patternFill patternType="solid">
        <fgColor rgb="FF00B050"/>
        <bgColor indexed="64"/>
      </patternFill>
    </fill>
    <fill>
      <patternFill patternType="solid">
        <fgColor rgb="FF0070C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1" tint="0.14999847407452621"/>
        <bgColor indexed="64"/>
      </patternFill>
    </fill>
    <fill>
      <patternFill patternType="solid">
        <fgColor theme="7" tint="0.79998168889431442"/>
        <bgColor rgb="FF000000"/>
      </patternFill>
    </fill>
    <fill>
      <patternFill patternType="solid">
        <fgColor theme="1" tint="0.34998626667073579"/>
        <bgColor indexed="64"/>
      </patternFill>
    </fill>
    <fill>
      <patternFill patternType="solid">
        <fgColor theme="0" tint="-0.34998626667073579"/>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style="thin">
        <color auto="1"/>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ck">
        <color indexed="64"/>
      </right>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44">
    <xf numFmtId="0" fontId="0" fillId="0" borderId="0" xfId="0"/>
    <xf numFmtId="0" fontId="1" fillId="0" borderId="0" xfId="0" applyFont="1"/>
    <xf numFmtId="0" fontId="0" fillId="0" borderId="1" xfId="0" applyBorder="1"/>
    <xf numFmtId="0" fontId="0" fillId="0" borderId="0" xfId="0" applyFill="1"/>
    <xf numFmtId="0" fontId="0" fillId="0" borderId="1" xfId="0" applyFont="1" applyBorder="1"/>
    <xf numFmtId="0" fontId="0" fillId="0" borderId="0" xfId="0" applyFont="1"/>
    <xf numFmtId="0" fontId="0" fillId="6" borderId="0" xfId="0" applyFill="1"/>
    <xf numFmtId="0" fontId="0" fillId="4" borderId="0" xfId="0" applyFill="1"/>
    <xf numFmtId="0" fontId="1" fillId="0" borderId="0" xfId="0" applyFont="1" applyAlignment="1">
      <alignment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xf numFmtId="0" fontId="9" fillId="0" borderId="0" xfId="0" applyFont="1"/>
    <xf numFmtId="0" fontId="1" fillId="0" borderId="1" xfId="0" applyFont="1" applyBorder="1"/>
    <xf numFmtId="0" fontId="9" fillId="0" borderId="1" xfId="0" quotePrefix="1" applyFont="1" applyBorder="1" applyAlignment="1">
      <alignment horizontal="center" vertical="center" wrapText="1"/>
    </xf>
    <xf numFmtId="0" fontId="17" fillId="0" borderId="0" xfId="0" applyFont="1"/>
    <xf numFmtId="0" fontId="17" fillId="0" borderId="1" xfId="0" applyFont="1" applyBorder="1"/>
    <xf numFmtId="0" fontId="13" fillId="0" borderId="0" xfId="0" applyFont="1" applyAlignment="1">
      <alignment horizontal="center" vertical="center" wrapText="1"/>
    </xf>
    <xf numFmtId="0" fontId="8" fillId="0" borderId="0" xfId="0" applyFont="1" applyAlignment="1">
      <alignment horizontal="left" vertical="center"/>
    </xf>
    <xf numFmtId="0" fontId="1" fillId="0" borderId="6" xfId="0" applyFont="1" applyBorder="1"/>
    <xf numFmtId="0" fontId="3" fillId="0" borderId="1" xfId="0" applyFont="1" applyBorder="1"/>
    <xf numFmtId="0" fontId="20" fillId="0" borderId="0" xfId="0" applyFont="1"/>
    <xf numFmtId="0" fontId="10" fillId="0" borderId="16" xfId="0" applyFont="1" applyBorder="1" applyAlignment="1">
      <alignment horizontal="center" vertical="center" wrapText="1"/>
    </xf>
    <xf numFmtId="0" fontId="8" fillId="0" borderId="22" xfId="0" applyFont="1" applyBorder="1" applyAlignment="1">
      <alignment horizontal="center" vertical="center" wrapText="1"/>
    </xf>
    <xf numFmtId="0" fontId="10" fillId="0" borderId="22" xfId="0" applyFont="1" applyBorder="1" applyAlignment="1">
      <alignment horizontal="center" vertical="center" wrapText="1"/>
    </xf>
    <xf numFmtId="0" fontId="12" fillId="0" borderId="22" xfId="0" applyFont="1" applyBorder="1" applyAlignment="1">
      <alignment horizontal="center" vertical="center" wrapText="1"/>
    </xf>
    <xf numFmtId="0" fontId="9" fillId="0" borderId="0" xfId="0" applyFont="1" applyBorder="1" applyAlignment="1">
      <alignment horizontal="center" vertical="center" wrapText="1"/>
    </xf>
    <xf numFmtId="0" fontId="12" fillId="0" borderId="10" xfId="0" applyFont="1" applyBorder="1" applyAlignment="1">
      <alignment horizontal="center" vertical="center" wrapText="1"/>
    </xf>
    <xf numFmtId="0" fontId="21" fillId="0" borderId="0" xfId="0" applyFont="1"/>
    <xf numFmtId="0" fontId="13" fillId="0" borderId="1" xfId="0" applyFont="1" applyFill="1" applyBorder="1" applyAlignment="1">
      <alignment vertical="center" wrapText="1"/>
    </xf>
    <xf numFmtId="0" fontId="8" fillId="0" borderId="0" xfId="0" applyFont="1" applyBorder="1"/>
    <xf numFmtId="0" fontId="21" fillId="0" borderId="0" xfId="0" applyFont="1" applyAlignment="1">
      <alignment horizontal="center" vertical="center"/>
    </xf>
    <xf numFmtId="2" fontId="11" fillId="2" borderId="14"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0" borderId="10" xfId="0" applyFont="1" applyBorder="1" applyAlignment="1">
      <alignment horizontal="center" vertical="center" wrapText="1"/>
    </xf>
    <xf numFmtId="0" fontId="9" fillId="2" borderId="0" xfId="0" applyFont="1" applyFill="1" applyBorder="1" applyAlignment="1">
      <alignment vertical="center" wrapText="1"/>
    </xf>
    <xf numFmtId="0" fontId="12" fillId="2" borderId="0" xfId="0" applyFont="1" applyFill="1" applyBorder="1" applyAlignment="1">
      <alignment vertical="center" wrapText="1"/>
    </xf>
    <xf numFmtId="2" fontId="13" fillId="2" borderId="0" xfId="0" applyNumberFormat="1" applyFont="1" applyFill="1" applyBorder="1" applyAlignment="1">
      <alignment vertical="center" wrapText="1"/>
    </xf>
    <xf numFmtId="0" fontId="12" fillId="2" borderId="14" xfId="0" applyFont="1" applyFill="1" applyBorder="1" applyAlignment="1">
      <alignment vertical="center" wrapText="1"/>
    </xf>
    <xf numFmtId="0" fontId="10" fillId="2" borderId="0" xfId="0" applyFont="1" applyFill="1" applyBorder="1" applyAlignment="1">
      <alignment vertical="center" wrapText="1"/>
    </xf>
    <xf numFmtId="0" fontId="10" fillId="0" borderId="5" xfId="0" applyFont="1" applyBorder="1" applyAlignment="1">
      <alignment horizontal="center" vertical="center" wrapText="1"/>
    </xf>
    <xf numFmtId="0" fontId="10" fillId="2" borderId="7" xfId="0" applyFont="1" applyFill="1" applyBorder="1" applyAlignment="1">
      <alignment vertical="center" wrapText="1"/>
    </xf>
    <xf numFmtId="0" fontId="9" fillId="0" borderId="17" xfId="0" applyFont="1" applyBorder="1" applyAlignment="1">
      <alignment horizontal="center" vertical="center" wrapText="1"/>
    </xf>
    <xf numFmtId="0" fontId="10" fillId="2" borderId="15" xfId="0" applyFont="1" applyFill="1" applyBorder="1" applyAlignment="1">
      <alignment vertical="center" wrapText="1"/>
    </xf>
    <xf numFmtId="0" fontId="9" fillId="2" borderId="11" xfId="0" applyFont="1" applyFill="1" applyBorder="1" applyAlignment="1">
      <alignment horizontal="center" vertical="center" wrapText="1"/>
    </xf>
    <xf numFmtId="0" fontId="12" fillId="2" borderId="11" xfId="0" applyFont="1" applyFill="1" applyBorder="1" applyAlignment="1">
      <alignment horizontal="center" vertical="center" wrapText="1"/>
    </xf>
    <xf numFmtId="2" fontId="13" fillId="12" borderId="11"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12" fillId="0" borderId="13" xfId="0" applyFont="1" applyBorder="1" applyAlignment="1">
      <alignment horizontal="center" vertical="center" wrapText="1"/>
    </xf>
    <xf numFmtId="0" fontId="10" fillId="2" borderId="11" xfId="0" applyFont="1" applyFill="1" applyBorder="1" applyAlignment="1">
      <alignment horizontal="center" vertical="center" wrapText="1"/>
    </xf>
    <xf numFmtId="0" fontId="10" fillId="0" borderId="1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2" xfId="0" applyFont="1" applyBorder="1" applyAlignment="1">
      <alignment horizontal="center" vertical="center" wrapText="1"/>
    </xf>
    <xf numFmtId="2" fontId="13" fillId="2" borderId="9" xfId="0" applyNumberFormat="1" applyFont="1" applyFill="1" applyBorder="1" applyAlignment="1">
      <alignment vertical="center" wrapText="1"/>
    </xf>
    <xf numFmtId="2" fontId="13" fillId="2" borderId="14" xfId="0" applyNumberFormat="1" applyFont="1" applyFill="1" applyBorder="1" applyAlignment="1">
      <alignment vertical="center" wrapText="1"/>
    </xf>
    <xf numFmtId="0" fontId="10" fillId="2" borderId="8" xfId="0" applyFont="1" applyFill="1" applyBorder="1" applyAlignment="1">
      <alignment vertical="center" wrapText="1"/>
    </xf>
    <xf numFmtId="0" fontId="10" fillId="0" borderId="17" xfId="0" applyFont="1" applyBorder="1" applyAlignment="1">
      <alignment horizontal="center" vertical="center" wrapText="1"/>
    </xf>
    <xf numFmtId="0" fontId="10" fillId="2" borderId="18" xfId="0" applyFont="1" applyFill="1" applyBorder="1" applyAlignment="1">
      <alignment horizontal="center" vertical="center" wrapText="1"/>
    </xf>
    <xf numFmtId="0" fontId="12" fillId="2" borderId="18" xfId="0" applyFont="1" applyFill="1" applyBorder="1" applyAlignment="1">
      <alignment horizontal="center" vertical="center" wrapText="1"/>
    </xf>
    <xf numFmtId="2" fontId="13" fillId="12" borderId="18" xfId="0" applyNumberFormat="1" applyFont="1" applyFill="1" applyBorder="1" applyAlignment="1">
      <alignment horizontal="center" vertical="center" wrapText="1"/>
    </xf>
    <xf numFmtId="0" fontId="9" fillId="2" borderId="18" xfId="0" applyFont="1" applyFill="1" applyBorder="1" applyAlignment="1">
      <alignment horizontal="center" vertical="center" wrapText="1"/>
    </xf>
    <xf numFmtId="2" fontId="13" fillId="2" borderId="26" xfId="0" applyNumberFormat="1" applyFont="1" applyFill="1" applyBorder="1" applyAlignment="1">
      <alignment vertical="center" wrapText="1"/>
    </xf>
    <xf numFmtId="0" fontId="10" fillId="0" borderId="4"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2" fillId="2" borderId="26" xfId="0" applyFont="1" applyFill="1" applyBorder="1" applyAlignment="1">
      <alignment vertical="center" wrapText="1"/>
    </xf>
    <xf numFmtId="0" fontId="10" fillId="2" borderId="21" xfId="0" applyFont="1" applyFill="1" applyBorder="1" applyAlignment="1">
      <alignment vertical="center" wrapText="1"/>
    </xf>
    <xf numFmtId="2" fontId="13" fillId="2" borderId="14" xfId="0" applyNumberFormat="1" applyFont="1" applyFill="1" applyBorder="1" applyAlignment="1">
      <alignment horizontal="center" vertical="center" wrapText="1"/>
    </xf>
    <xf numFmtId="2" fontId="13" fillId="2" borderId="26" xfId="0" applyNumberFormat="1" applyFont="1" applyFill="1" applyBorder="1" applyAlignment="1">
      <alignment horizontal="center" vertical="center" wrapText="1"/>
    </xf>
    <xf numFmtId="0" fontId="13" fillId="0" borderId="2" xfId="0" applyFont="1" applyFill="1" applyBorder="1" applyAlignment="1">
      <alignment vertical="center" wrapText="1"/>
    </xf>
    <xf numFmtId="0" fontId="11" fillId="0" borderId="2" xfId="0" applyFont="1" applyFill="1" applyBorder="1" applyAlignment="1">
      <alignment vertical="center" wrapText="1"/>
    </xf>
    <xf numFmtId="0" fontId="13" fillId="0" borderId="5" xfId="0" applyFont="1" applyFill="1" applyBorder="1" applyAlignment="1">
      <alignment vertical="center" wrapText="1"/>
    </xf>
    <xf numFmtId="0" fontId="10" fillId="2" borderId="13"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2" fillId="0" borderId="17" xfId="0" applyFont="1" applyBorder="1" applyAlignment="1">
      <alignment horizontal="center" vertical="center" wrapText="1"/>
    </xf>
    <xf numFmtId="0" fontId="12" fillId="2" borderId="7" xfId="0" applyFont="1" applyFill="1" applyBorder="1" applyAlignment="1">
      <alignment vertical="center" wrapText="1"/>
    </xf>
    <xf numFmtId="0" fontId="12" fillId="2" borderId="21" xfId="0" applyFont="1" applyFill="1" applyBorder="1" applyAlignment="1">
      <alignment vertical="center" wrapText="1"/>
    </xf>
    <xf numFmtId="0" fontId="13" fillId="2" borderId="8" xfId="0" applyFont="1" applyFill="1" applyBorder="1" applyAlignment="1">
      <alignment horizontal="center" vertical="center" wrapText="1"/>
    </xf>
    <xf numFmtId="2" fontId="11" fillId="8" borderId="5" xfId="0" applyNumberFormat="1" applyFont="1" applyFill="1" applyBorder="1" applyAlignment="1">
      <alignment horizontal="center" vertical="center" wrapText="1"/>
    </xf>
    <xf numFmtId="0" fontId="11" fillId="0" borderId="8" xfId="0" applyFont="1" applyFill="1" applyBorder="1" applyAlignment="1">
      <alignment vertical="center" wrapText="1"/>
    </xf>
    <xf numFmtId="0" fontId="1" fillId="5" borderId="1" xfId="0" applyFont="1" applyFill="1" applyBorder="1" applyAlignment="1">
      <alignment horizontal="center" vertical="center" wrapText="1"/>
    </xf>
    <xf numFmtId="0" fontId="2" fillId="0" borderId="0" xfId="0" applyFont="1" applyAlignment="1">
      <alignment horizontal="center" vertical="center"/>
    </xf>
    <xf numFmtId="0" fontId="4" fillId="0" borderId="31" xfId="0" applyFont="1" applyBorder="1" applyAlignment="1">
      <alignment horizontal="center" vertical="center"/>
    </xf>
    <xf numFmtId="0" fontId="2" fillId="15" borderId="31" xfId="0" applyFont="1" applyFill="1" applyBorder="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xf>
    <xf numFmtId="0" fontId="4" fillId="0" borderId="32" xfId="0" applyFont="1" applyBorder="1" applyAlignment="1">
      <alignment horizontal="center" vertical="center"/>
    </xf>
    <xf numFmtId="0" fontId="5" fillId="16" borderId="32" xfId="0" applyFont="1" applyFill="1" applyBorder="1" applyAlignment="1">
      <alignment vertical="center"/>
    </xf>
    <xf numFmtId="0" fontId="5" fillId="17" borderId="32" xfId="0" applyFont="1" applyFill="1" applyBorder="1" applyAlignment="1">
      <alignment vertical="center"/>
    </xf>
    <xf numFmtId="0" fontId="4" fillId="0" borderId="33" xfId="0" applyFont="1" applyBorder="1" applyAlignment="1">
      <alignment horizontal="center" vertical="center"/>
    </xf>
    <xf numFmtId="0" fontId="2" fillId="5" borderId="33" xfId="0" applyFont="1" applyFill="1" applyBorder="1" applyAlignment="1">
      <alignment vertical="center"/>
    </xf>
    <xf numFmtId="0" fontId="4" fillId="0" borderId="0" xfId="0" applyFont="1" applyAlignment="1">
      <alignment horizontal="center" vertical="center"/>
    </xf>
    <xf numFmtId="0" fontId="4" fillId="18" borderId="34" xfId="0" applyFont="1" applyFill="1" applyBorder="1" applyAlignment="1">
      <alignment horizontal="center" vertical="center"/>
    </xf>
    <xf numFmtId="0" fontId="4" fillId="18" borderId="35" xfId="0" applyFont="1" applyFill="1" applyBorder="1" applyAlignment="1">
      <alignment horizontal="center" vertical="center"/>
    </xf>
    <xf numFmtId="0" fontId="2" fillId="18" borderId="34" xfId="0" applyFont="1" applyFill="1" applyBorder="1" applyAlignment="1">
      <alignment horizontal="center" vertical="center" wrapText="1"/>
    </xf>
    <xf numFmtId="0" fontId="6" fillId="18" borderId="21" xfId="0" applyFont="1" applyFill="1" applyBorder="1" applyAlignment="1">
      <alignment horizontal="center" vertical="center" wrapText="1"/>
    </xf>
    <xf numFmtId="0" fontId="2" fillId="20" borderId="39" xfId="0" applyFont="1" applyFill="1" applyBorder="1" applyAlignment="1">
      <alignment horizontal="center" vertical="center" wrapText="1"/>
    </xf>
    <xf numFmtId="0" fontId="4" fillId="0" borderId="0" xfId="0" applyFont="1" applyAlignment="1">
      <alignment vertical="center"/>
    </xf>
    <xf numFmtId="0" fontId="2" fillId="9" borderId="0" xfId="0" applyFont="1" applyFill="1" applyAlignment="1">
      <alignment horizontal="center" vertical="center"/>
    </xf>
    <xf numFmtId="0" fontId="2" fillId="20" borderId="36" xfId="0" applyFont="1" applyFill="1" applyBorder="1" applyAlignment="1">
      <alignment horizontal="center" vertical="center" wrapText="1"/>
    </xf>
    <xf numFmtId="0" fontId="2" fillId="5" borderId="0" xfId="0" applyFont="1" applyFill="1" applyAlignment="1">
      <alignment horizontal="center" vertical="center"/>
    </xf>
    <xf numFmtId="0" fontId="2" fillId="15" borderId="0" xfId="0" applyFont="1" applyFill="1" applyAlignment="1">
      <alignment horizontal="center" vertical="center"/>
    </xf>
    <xf numFmtId="0" fontId="0" fillId="0" borderId="0" xfId="0" applyAlignment="1">
      <alignment vertical="top" wrapText="1"/>
    </xf>
    <xf numFmtId="0" fontId="4" fillId="4" borderId="1" xfId="0" applyFont="1" applyFill="1" applyBorder="1" applyAlignment="1">
      <alignment horizontal="center" vertical="center" wrapText="1"/>
    </xf>
    <xf numFmtId="0" fontId="2" fillId="4" borderId="1" xfId="0" applyFont="1" applyFill="1" applyBorder="1" applyAlignment="1" applyProtection="1">
      <alignment wrapText="1"/>
      <protection locked="0"/>
    </xf>
    <xf numFmtId="0" fontId="0" fillId="13" borderId="0" xfId="0" applyFill="1"/>
    <xf numFmtId="11" fontId="0" fillId="0" borderId="0" xfId="0" applyNumberFormat="1"/>
    <xf numFmtId="11" fontId="0" fillId="13" borderId="0" xfId="0" applyNumberFormat="1" applyFill="1"/>
    <xf numFmtId="0" fontId="0" fillId="0" borderId="0" xfId="0" applyAlignment="1">
      <alignment horizontal="left"/>
    </xf>
    <xf numFmtId="0" fontId="0" fillId="19" borderId="0" xfId="0" applyFill="1"/>
    <xf numFmtId="11" fontId="0" fillId="0" borderId="0" xfId="0" applyNumberFormat="1" applyFill="1"/>
    <xf numFmtId="0" fontId="1" fillId="19" borderId="0" xfId="0" applyFont="1" applyFill="1" applyAlignment="1">
      <alignment vertical="top"/>
    </xf>
    <xf numFmtId="0" fontId="1" fillId="6" borderId="0" xfId="0" applyFont="1" applyFill="1" applyAlignment="1">
      <alignment vertical="top"/>
    </xf>
    <xf numFmtId="11" fontId="0" fillId="6" borderId="0" xfId="0" applyNumberFormat="1" applyFill="1"/>
    <xf numFmtId="0" fontId="0" fillId="9" borderId="0" xfId="0" applyFill="1"/>
    <xf numFmtId="11" fontId="0" fillId="9" borderId="0" xfId="0" applyNumberFormat="1" applyFill="1"/>
    <xf numFmtId="0" fontId="0" fillId="21" borderId="0" xfId="0" applyFill="1"/>
    <xf numFmtId="0" fontId="4" fillId="21" borderId="38" xfId="0" applyFont="1" applyFill="1" applyBorder="1" applyAlignment="1" applyProtection="1">
      <alignment horizontal="center" vertical="center" wrapText="1"/>
      <protection locked="0"/>
    </xf>
    <xf numFmtId="0" fontId="0" fillId="0" borderId="0" xfId="0" applyAlignment="1">
      <alignment wrapText="1"/>
    </xf>
    <xf numFmtId="0" fontId="4" fillId="21" borderId="26" xfId="0" applyFont="1" applyFill="1" applyBorder="1" applyAlignment="1" applyProtection="1">
      <alignment horizontal="center" vertical="center" wrapText="1"/>
      <protection locked="0"/>
    </xf>
    <xf numFmtId="0" fontId="4" fillId="21" borderId="37" xfId="0" applyFont="1" applyFill="1" applyBorder="1" applyAlignment="1" applyProtection="1">
      <alignment horizontal="center" vertical="center" wrapText="1"/>
      <protection locked="0"/>
    </xf>
    <xf numFmtId="0" fontId="1" fillId="21" borderId="1" xfId="0" applyFont="1" applyFill="1" applyBorder="1" applyAlignment="1">
      <alignment horizontal="center" vertical="center" wrapText="1"/>
    </xf>
    <xf numFmtId="0" fontId="1" fillId="21" borderId="0" xfId="0" applyFont="1" applyFill="1" applyAlignment="1">
      <alignment wrapText="1"/>
    </xf>
    <xf numFmtId="0" fontId="0" fillId="0" borderId="0" xfId="0" applyNumberFormat="1"/>
    <xf numFmtId="0" fontId="7" fillId="21" borderId="0" xfId="0" applyFont="1" applyFill="1"/>
    <xf numFmtId="0" fontId="1" fillId="0" borderId="5" xfId="0" applyFont="1" applyBorder="1"/>
    <xf numFmtId="0" fontId="1" fillId="0" borderId="31" xfId="0" applyFont="1" applyBorder="1"/>
    <xf numFmtId="0" fontId="17" fillId="0" borderId="5" xfId="0" applyFont="1" applyBorder="1"/>
    <xf numFmtId="0" fontId="8" fillId="0" borderId="26" xfId="0" applyFont="1" applyBorder="1" applyAlignment="1">
      <alignment horizontal="center" vertical="center" wrapText="1"/>
    </xf>
    <xf numFmtId="0" fontId="9" fillId="0" borderId="0" xfId="0" applyFont="1" applyFill="1" applyAlignment="1">
      <alignment horizontal="center" vertical="center" wrapText="1"/>
    </xf>
    <xf numFmtId="0" fontId="25" fillId="0" borderId="0" xfId="0" applyFont="1"/>
    <xf numFmtId="0" fontId="19" fillId="0" borderId="0" xfId="0" applyFont="1"/>
    <xf numFmtId="0" fontId="1" fillId="0" borderId="0" xfId="0" applyFont="1" applyBorder="1"/>
    <xf numFmtId="0" fontId="2" fillId="0" borderId="0" xfId="0" applyFont="1" applyBorder="1" applyAlignment="1">
      <alignment horizontal="center" vertical="center" wrapText="1"/>
    </xf>
    <xf numFmtId="0" fontId="1" fillId="0" borderId="0" xfId="0" applyFont="1" applyFill="1" applyBorder="1" applyAlignment="1">
      <alignment wrapText="1"/>
    </xf>
    <xf numFmtId="0" fontId="28" fillId="22" borderId="5" xfId="0" applyFont="1" applyFill="1" applyBorder="1" applyAlignment="1">
      <alignment horizontal="center" vertical="center" wrapText="1"/>
    </xf>
    <xf numFmtId="0" fontId="28" fillId="22" borderId="1" xfId="0" applyFont="1" applyFill="1" applyBorder="1" applyAlignment="1">
      <alignment horizontal="center" vertical="center" wrapText="1"/>
    </xf>
    <xf numFmtId="0" fontId="28" fillId="22" borderId="3" xfId="0" applyFont="1" applyFill="1" applyBorder="1" applyAlignment="1">
      <alignment horizontal="center" vertical="center" wrapText="1"/>
    </xf>
    <xf numFmtId="0" fontId="28" fillId="22" borderId="22" xfId="0" applyFont="1" applyFill="1" applyBorder="1" applyAlignment="1">
      <alignment horizontal="center" vertical="center" wrapText="1"/>
    </xf>
    <xf numFmtId="0" fontId="28" fillId="22" borderId="16" xfId="0" applyFont="1" applyFill="1" applyBorder="1" applyAlignment="1">
      <alignment horizontal="center" vertical="center" wrapText="1"/>
    </xf>
    <xf numFmtId="0" fontId="29" fillId="22" borderId="22" xfId="0" applyFont="1" applyFill="1" applyBorder="1" applyAlignment="1">
      <alignment horizontal="center" vertical="center" wrapText="1"/>
    </xf>
    <xf numFmtId="0" fontId="26" fillId="22" borderId="3" xfId="0" applyFont="1" applyFill="1" applyBorder="1" applyAlignment="1">
      <alignment horizontal="center" vertical="center" wrapText="1"/>
    </xf>
    <xf numFmtId="0" fontId="26" fillId="22" borderId="6" xfId="0" applyFont="1" applyFill="1" applyBorder="1" applyAlignment="1">
      <alignment horizontal="center" vertical="center" wrapText="1"/>
    </xf>
    <xf numFmtId="0" fontId="29" fillId="22" borderId="5" xfId="0" applyFont="1" applyFill="1" applyBorder="1" applyAlignment="1">
      <alignment horizontal="center" vertical="center" wrapText="1"/>
    </xf>
    <xf numFmtId="0" fontId="29" fillId="22" borderId="3" xfId="0" applyFont="1" applyFill="1" applyBorder="1" applyAlignment="1">
      <alignment horizontal="center" vertical="center" wrapText="1"/>
    </xf>
    <xf numFmtId="0" fontId="29" fillId="22" borderId="6" xfId="0" applyFont="1" applyFill="1" applyBorder="1" applyAlignment="1">
      <alignment horizontal="center" vertical="center" wrapText="1"/>
    </xf>
    <xf numFmtId="0" fontId="29" fillId="22" borderId="4" xfId="0" applyFont="1" applyFill="1" applyBorder="1" applyAlignment="1">
      <alignment horizontal="center" vertical="center" wrapText="1"/>
    </xf>
    <xf numFmtId="0" fontId="29" fillId="22" borderId="17" xfId="0" applyFont="1" applyFill="1" applyBorder="1" applyAlignment="1">
      <alignment horizontal="center" vertical="center" wrapText="1"/>
    </xf>
    <xf numFmtId="0" fontId="28" fillId="22" borderId="4" xfId="0" applyFont="1" applyFill="1" applyBorder="1" applyAlignment="1">
      <alignment horizontal="center" vertical="center" wrapText="1"/>
    </xf>
    <xf numFmtId="0" fontId="8" fillId="0" borderId="0" xfId="0" applyFont="1" applyBorder="1" applyAlignment="1">
      <alignment horizontal="left" vertical="center"/>
    </xf>
    <xf numFmtId="0" fontId="8" fillId="0" borderId="0" xfId="0" applyFont="1" applyBorder="1" applyAlignment="1">
      <alignment horizontal="center" vertical="center" wrapText="1"/>
    </xf>
    <xf numFmtId="0" fontId="0" fillId="0" borderId="0" xfId="0" applyBorder="1"/>
    <xf numFmtId="0" fontId="17" fillId="0" borderId="3" xfId="0" applyFont="1" applyBorder="1"/>
    <xf numFmtId="0" fontId="17" fillId="0" borderId="0" xfId="0" applyFont="1" applyBorder="1"/>
    <xf numFmtId="0" fontId="10" fillId="0" borderId="5" xfId="0" applyFont="1" applyFill="1" applyBorder="1" applyAlignment="1">
      <alignment horizontal="center" vertical="center" wrapText="1"/>
    </xf>
    <xf numFmtId="2" fontId="13" fillId="8" borderId="4" xfId="0" applyNumberFormat="1" applyFont="1" applyFill="1" applyBorder="1" applyAlignment="1">
      <alignment horizontal="center" vertical="center" wrapText="1"/>
    </xf>
    <xf numFmtId="2" fontId="13" fillId="8" borderId="3" xfId="0" applyNumberFormat="1" applyFont="1" applyFill="1" applyBorder="1" applyAlignment="1">
      <alignment horizontal="center" vertical="center" wrapText="1"/>
    </xf>
    <xf numFmtId="0" fontId="28" fillId="22" borderId="17" xfId="0" applyFont="1" applyFill="1" applyBorder="1" applyAlignment="1">
      <alignment horizontal="center" vertical="center" wrapText="1"/>
    </xf>
    <xf numFmtId="0" fontId="39" fillId="0" borderId="24" xfId="0" applyFont="1" applyBorder="1" applyAlignment="1">
      <alignment vertical="center" wrapText="1"/>
    </xf>
    <xf numFmtId="0" fontId="1" fillId="21" borderId="0" xfId="0" applyFont="1" applyFill="1"/>
    <xf numFmtId="0" fontId="1" fillId="4" borderId="1" xfId="0" applyFont="1" applyFill="1" applyBorder="1" applyAlignment="1">
      <alignment horizontal="center" vertical="center" wrapText="1"/>
    </xf>
    <xf numFmtId="0" fontId="1" fillId="4" borderId="1" xfId="0" applyFont="1" applyFill="1" applyBorder="1" applyAlignment="1">
      <alignment wrapText="1"/>
    </xf>
    <xf numFmtId="0" fontId="42" fillId="0" borderId="0" xfId="0" applyFont="1" applyFill="1"/>
    <xf numFmtId="0" fontId="1" fillId="0" borderId="1" xfId="0" applyFont="1" applyFill="1" applyBorder="1"/>
    <xf numFmtId="0" fontId="41" fillId="0" borderId="24" xfId="0" applyFont="1" applyBorder="1" applyAlignment="1"/>
    <xf numFmtId="0" fontId="30" fillId="0" borderId="24" xfId="0" applyFont="1" applyBorder="1" applyAlignment="1"/>
    <xf numFmtId="0" fontId="1" fillId="0" borderId="33" xfId="0" applyFont="1" applyBorder="1" applyAlignment="1">
      <alignment wrapText="1"/>
    </xf>
    <xf numFmtId="0" fontId="1" fillId="0" borderId="1" xfId="0" applyFont="1" applyBorder="1" applyAlignment="1">
      <alignment wrapText="1"/>
    </xf>
    <xf numFmtId="0" fontId="1" fillId="0" borderId="1" xfId="0" applyFont="1" applyFill="1" applyBorder="1" applyAlignment="1">
      <alignment wrapText="1"/>
    </xf>
    <xf numFmtId="0" fontId="0" fillId="0" borderId="0" xfId="0" applyFont="1" applyAlignment="1">
      <alignment horizontal="center" vertical="center"/>
    </xf>
    <xf numFmtId="0" fontId="0" fillId="4" borderId="1" xfId="0" applyFont="1" applyFill="1" applyBorder="1" applyAlignment="1" applyProtection="1">
      <alignment horizontal="left" vertical="top"/>
      <protection locked="0"/>
    </xf>
    <xf numFmtId="0" fontId="0" fillId="14" borderId="1" xfId="0" applyFont="1" applyFill="1" applyBorder="1" applyAlignment="1" applyProtection="1">
      <alignment horizontal="left" vertical="top"/>
      <protection locked="0"/>
    </xf>
    <xf numFmtId="49" fontId="0" fillId="14" borderId="1" xfId="0" applyNumberFormat="1" applyFont="1" applyFill="1" applyBorder="1" applyAlignment="1" applyProtection="1">
      <alignment horizontal="left" vertical="top"/>
      <protection locked="0"/>
    </xf>
    <xf numFmtId="0" fontId="0" fillId="24" borderId="0" xfId="0" applyFont="1" applyFill="1"/>
    <xf numFmtId="0" fontId="1" fillId="2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1" fillId="0" borderId="8" xfId="0" applyFont="1" applyFill="1" applyBorder="1" applyAlignment="1">
      <alignment horizontal="center" vertical="center" wrapText="1"/>
    </xf>
    <xf numFmtId="0" fontId="8" fillId="0" borderId="2" xfId="0" applyFont="1" applyBorder="1" applyAlignment="1">
      <alignment horizontal="center" vertical="center" wrapText="1"/>
    </xf>
    <xf numFmtId="0" fontId="1" fillId="0" borderId="0" xfId="0" applyFont="1" applyBorder="1" applyAlignment="1">
      <alignment horizontal="center"/>
    </xf>
    <xf numFmtId="0" fontId="8" fillId="3" borderId="5" xfId="0" applyFont="1" applyFill="1" applyBorder="1" applyAlignment="1">
      <alignment horizontal="center" vertical="center" wrapText="1"/>
    </xf>
    <xf numFmtId="0" fontId="9"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9" fillId="0" borderId="13" xfId="0" applyFont="1" applyBorder="1" applyAlignment="1">
      <alignment horizontal="center" vertical="center" wrapText="1"/>
    </xf>
    <xf numFmtId="0" fontId="10" fillId="0" borderId="6" xfId="0" applyFont="1" applyBorder="1" applyAlignment="1">
      <alignment horizontal="center" vertical="center" wrapText="1"/>
    </xf>
    <xf numFmtId="0" fontId="12" fillId="2" borderId="12" xfId="0" applyFont="1" applyFill="1" applyBorder="1" applyAlignment="1">
      <alignment horizontal="center" vertical="center" wrapText="1"/>
    </xf>
    <xf numFmtId="2" fontId="13" fillId="2" borderId="0" xfId="0" applyNumberFormat="1" applyFont="1" applyFill="1" applyBorder="1" applyAlignment="1">
      <alignment horizontal="center" vertical="center" wrapText="1"/>
    </xf>
    <xf numFmtId="2" fontId="13" fillId="2" borderId="9" xfId="0" applyNumberFormat="1"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43" fillId="0" borderId="16" xfId="0" applyFont="1" applyBorder="1" applyAlignment="1">
      <alignment horizontal="center" vertical="center" wrapText="1"/>
    </xf>
    <xf numFmtId="16" fontId="0" fillId="0" borderId="0" xfId="0" applyNumberFormat="1"/>
    <xf numFmtId="0" fontId="6" fillId="25" borderId="40" xfId="0" applyFont="1" applyFill="1" applyBorder="1" applyAlignment="1">
      <alignment horizontal="center" vertical="center" wrapText="1"/>
    </xf>
    <xf numFmtId="0" fontId="6" fillId="16"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15" borderId="1" xfId="0" applyFont="1" applyFill="1" applyBorder="1" applyAlignment="1">
      <alignment horizontal="center" vertical="center"/>
    </xf>
    <xf numFmtId="0" fontId="5" fillId="17" borderId="1" xfId="0" applyFont="1" applyFill="1" applyBorder="1" applyAlignment="1">
      <alignment horizontal="center" vertical="center"/>
    </xf>
    <xf numFmtId="0" fontId="6" fillId="16" borderId="1" xfId="0" quotePrefix="1" applyFont="1" applyFill="1" applyBorder="1" applyAlignment="1">
      <alignment horizontal="center" vertical="center"/>
    </xf>
    <xf numFmtId="16" fontId="5" fillId="5" borderId="1" xfId="0" quotePrefix="1" applyNumberFormat="1" applyFont="1" applyFill="1" applyBorder="1" applyAlignment="1">
      <alignment horizontal="center" vertical="center"/>
    </xf>
    <xf numFmtId="16" fontId="5" fillId="15" borderId="1" xfId="0" quotePrefix="1" applyNumberFormat="1" applyFont="1" applyFill="1" applyBorder="1" applyAlignment="1">
      <alignment horizontal="center" vertical="center"/>
    </xf>
    <xf numFmtId="16" fontId="6" fillId="16" borderId="1" xfId="0" quotePrefix="1" applyNumberFormat="1" applyFont="1" applyFill="1" applyBorder="1" applyAlignment="1">
      <alignment horizontal="center" vertical="center"/>
    </xf>
    <xf numFmtId="0" fontId="5" fillId="5" borderId="1" xfId="0" quotePrefix="1" applyFont="1" applyFill="1" applyBorder="1" applyAlignment="1">
      <alignment horizontal="center" vertical="center"/>
    </xf>
    <xf numFmtId="0" fontId="5" fillId="15" borderId="1" xfId="0" quotePrefix="1" applyFont="1" applyFill="1" applyBorder="1" applyAlignment="1">
      <alignment horizontal="center" vertical="center"/>
    </xf>
    <xf numFmtId="16" fontId="5" fillId="17" borderId="1" xfId="0" quotePrefix="1" applyNumberFormat="1" applyFont="1" applyFill="1" applyBorder="1" applyAlignment="1">
      <alignment horizontal="center" vertical="center"/>
    </xf>
    <xf numFmtId="0" fontId="5" fillId="17" borderId="1" xfId="0" quotePrefix="1" applyFont="1" applyFill="1" applyBorder="1" applyAlignment="1">
      <alignment horizontal="center" vertical="center"/>
    </xf>
    <xf numFmtId="0" fontId="6" fillId="16" borderId="1" xfId="0" applyFont="1" applyFill="1" applyBorder="1" applyAlignment="1">
      <alignment vertical="center" wrapText="1"/>
    </xf>
    <xf numFmtId="0" fontId="5" fillId="5" borderId="1" xfId="0" applyFont="1" applyFill="1" applyBorder="1" applyAlignment="1">
      <alignment horizontal="left" vertical="center" wrapText="1"/>
    </xf>
    <xf numFmtId="0" fontId="44" fillId="5"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vertical="center" wrapText="1"/>
    </xf>
    <xf numFmtId="0" fontId="6" fillId="16" borderId="1" xfId="0" applyFont="1" applyFill="1" applyBorder="1" applyAlignment="1">
      <alignment horizontal="left" vertical="center" wrapText="1"/>
    </xf>
    <xf numFmtId="0" fontId="6" fillId="16" borderId="4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2" fillId="18" borderId="0" xfId="0" applyFont="1" applyFill="1" applyBorder="1" applyAlignment="1">
      <alignment horizontal="center" vertical="center" wrapText="1"/>
    </xf>
    <xf numFmtId="0" fontId="6" fillId="25" borderId="15" xfId="0" applyFont="1" applyFill="1" applyBorder="1" applyAlignment="1">
      <alignment horizontal="center" vertical="center" wrapText="1"/>
    </xf>
    <xf numFmtId="0" fontId="1" fillId="19" borderId="0" xfId="0" applyFont="1" applyFill="1"/>
    <xf numFmtId="0" fontId="36" fillId="0" borderId="1" xfId="0" applyFont="1" applyBorder="1" applyAlignment="1">
      <alignment horizontal="center" vertical="center" wrapText="1"/>
    </xf>
    <xf numFmtId="2" fontId="30" fillId="3" borderId="1" xfId="0" applyNumberFormat="1" applyFont="1" applyFill="1" applyBorder="1" applyAlignment="1">
      <alignment horizontal="center" vertical="center" wrapText="1"/>
    </xf>
    <xf numFmtId="0" fontId="36" fillId="0" borderId="16" xfId="0" applyFont="1" applyBorder="1" applyAlignment="1">
      <alignment horizontal="center" vertical="center" wrapText="1"/>
    </xf>
    <xf numFmtId="0" fontId="8" fillId="3" borderId="6" xfId="0" applyFont="1" applyFill="1" applyBorder="1" applyAlignment="1">
      <alignment horizontal="center" vertical="center" wrapText="1"/>
    </xf>
    <xf numFmtId="2" fontId="30" fillId="3" borderId="6" xfId="0" applyNumberFormat="1" applyFont="1" applyFill="1" applyBorder="1" applyAlignment="1">
      <alignment horizontal="center" vertical="center" wrapText="1"/>
    </xf>
    <xf numFmtId="2" fontId="30" fillId="3" borderId="17" xfId="0" applyNumberFormat="1" applyFont="1" applyFill="1" applyBorder="1" applyAlignment="1">
      <alignment horizontal="center" vertical="center" wrapText="1"/>
    </xf>
    <xf numFmtId="0" fontId="43" fillId="0" borderId="1" xfId="0" applyFont="1" applyBorder="1" applyAlignment="1">
      <alignment horizontal="center" vertical="center" wrapText="1"/>
    </xf>
    <xf numFmtId="0" fontId="9" fillId="0" borderId="4" xfId="0" applyFont="1" applyBorder="1" applyAlignment="1">
      <alignment horizontal="center" vertical="center" wrapText="1"/>
    </xf>
    <xf numFmtId="0" fontId="28" fillId="22" borderId="0" xfId="0" applyFont="1" applyFill="1" applyBorder="1" applyAlignment="1">
      <alignment horizontal="center" vertical="center" wrapText="1"/>
    </xf>
    <xf numFmtId="0" fontId="28" fillId="22" borderId="15" xfId="0" applyFont="1" applyFill="1" applyBorder="1" applyAlignment="1">
      <alignment horizontal="center" vertical="center" wrapText="1"/>
    </xf>
    <xf numFmtId="0" fontId="39" fillId="0" borderId="0" xfId="0" applyFont="1" applyBorder="1" applyAlignment="1">
      <alignment vertical="center" wrapText="1"/>
    </xf>
    <xf numFmtId="0" fontId="37" fillId="0" borderId="0" xfId="0" applyFont="1" applyBorder="1" applyAlignment="1">
      <alignment vertical="center" wrapText="1"/>
    </xf>
    <xf numFmtId="0" fontId="28" fillId="22" borderId="14" xfId="0" applyFont="1" applyFill="1" applyBorder="1" applyAlignment="1">
      <alignment horizontal="center" vertical="center" wrapText="1"/>
    </xf>
    <xf numFmtId="0" fontId="28" fillId="22" borderId="18" xfId="0" applyFont="1" applyFill="1" applyBorder="1" applyAlignment="1">
      <alignment horizontal="center" vertical="center" wrapText="1"/>
    </xf>
    <xf numFmtId="0" fontId="43" fillId="0" borderId="3" xfId="0" applyFont="1" applyBorder="1" applyAlignment="1">
      <alignment horizontal="center" vertical="center" wrapText="1"/>
    </xf>
    <xf numFmtId="0" fontId="43" fillId="0" borderId="3"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 fillId="21" borderId="4" xfId="0" applyFont="1" applyFill="1" applyBorder="1" applyAlignment="1">
      <alignment horizontal="center" vertical="center" wrapText="1"/>
    </xf>
    <xf numFmtId="2" fontId="0" fillId="0" borderId="0" xfId="0" applyNumberFormat="1"/>
    <xf numFmtId="0" fontId="13" fillId="3" borderId="1" xfId="0" applyFont="1" applyFill="1" applyBorder="1" applyAlignment="1">
      <alignment horizontal="center" vertical="center" wrapText="1"/>
    </xf>
    <xf numFmtId="0" fontId="8" fillId="13" borderId="5" xfId="0" applyFont="1" applyFill="1" applyBorder="1" applyAlignment="1" applyProtection="1">
      <alignment horizontal="center" vertical="center" wrapText="1"/>
      <protection locked="0"/>
    </xf>
    <xf numFmtId="0" fontId="8" fillId="13" borderId="1" xfId="0" applyFont="1" applyFill="1" applyBorder="1" applyAlignment="1" applyProtection="1">
      <alignment horizontal="center" vertical="center" wrapText="1"/>
      <protection locked="0"/>
    </xf>
    <xf numFmtId="0" fontId="11" fillId="13" borderId="22" xfId="0" applyFont="1" applyFill="1" applyBorder="1" applyAlignment="1" applyProtection="1">
      <alignment horizontal="center" vertical="center" wrapText="1"/>
      <protection locked="0"/>
    </xf>
    <xf numFmtId="0" fontId="13" fillId="13" borderId="1" xfId="0" applyFont="1" applyFill="1" applyBorder="1" applyAlignment="1" applyProtection="1">
      <alignment horizontal="center" vertical="center" wrapText="1"/>
      <protection locked="0"/>
    </xf>
    <xf numFmtId="0" fontId="11" fillId="13" borderId="1" xfId="0" applyFont="1" applyFill="1" applyBorder="1" applyAlignment="1" applyProtection="1">
      <alignment horizontal="center" vertical="center" wrapText="1"/>
      <protection locked="0"/>
    </xf>
    <xf numFmtId="0" fontId="13" fillId="13" borderId="3" xfId="0" applyFont="1" applyFill="1" applyBorder="1" applyAlignment="1" applyProtection="1">
      <alignment horizontal="center" vertical="center" wrapText="1"/>
      <protection locked="0"/>
    </xf>
    <xf numFmtId="0" fontId="13" fillId="13" borderId="16" xfId="0" applyFont="1" applyFill="1" applyBorder="1" applyAlignment="1" applyProtection="1">
      <alignment horizontal="center" vertical="center" wrapText="1"/>
      <protection locked="0"/>
    </xf>
    <xf numFmtId="0" fontId="13" fillId="13" borderId="5" xfId="0" applyFont="1" applyFill="1" applyBorder="1" applyAlignment="1" applyProtection="1">
      <alignment horizontal="center" vertical="center" wrapText="1"/>
      <protection locked="0"/>
    </xf>
    <xf numFmtId="0" fontId="13" fillId="13" borderId="4" xfId="0" applyFont="1" applyFill="1" applyBorder="1" applyAlignment="1" applyProtection="1">
      <alignment horizontal="center" vertical="center" wrapText="1"/>
      <protection locked="0"/>
    </xf>
    <xf numFmtId="0" fontId="13" fillId="3" borderId="4" xfId="0" applyFont="1" applyFill="1" applyBorder="1" applyAlignment="1">
      <alignment horizontal="center" vertical="center" wrapText="1"/>
    </xf>
    <xf numFmtId="0" fontId="11" fillId="23" borderId="3" xfId="0" applyFont="1" applyFill="1" applyBorder="1" applyAlignment="1" applyProtection="1">
      <alignment horizontal="center" vertical="center" wrapText="1"/>
      <protection locked="0"/>
    </xf>
    <xf numFmtId="0" fontId="11" fillId="23" borderId="4" xfId="0" applyFont="1" applyFill="1" applyBorder="1" applyAlignment="1" applyProtection="1">
      <alignment horizontal="center" vertical="center" wrapText="1"/>
      <protection locked="0"/>
    </xf>
    <xf numFmtId="0" fontId="11" fillId="23" borderId="5" xfId="0" applyFont="1" applyFill="1" applyBorder="1" applyAlignment="1" applyProtection="1">
      <alignment horizontal="center" vertical="center" wrapText="1"/>
      <protection locked="0"/>
    </xf>
    <xf numFmtId="0" fontId="11" fillId="23"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16" fillId="0" borderId="22" xfId="0" applyFont="1" applyBorder="1" applyAlignment="1" applyProtection="1">
      <alignment horizontal="center" vertical="center" wrapText="1"/>
      <protection locked="0"/>
    </xf>
    <xf numFmtId="0" fontId="8" fillId="0" borderId="22"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4" xfId="0" applyFont="1" applyBorder="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37" fillId="0" borderId="0" xfId="0" applyFont="1" applyBorder="1" applyAlignment="1" applyProtection="1">
      <alignment vertical="center" wrapText="1"/>
      <protection locked="0"/>
    </xf>
    <xf numFmtId="0" fontId="30" fillId="13" borderId="22" xfId="0" applyFont="1" applyFill="1" applyBorder="1" applyAlignment="1" applyProtection="1">
      <alignment horizontal="center" vertical="center" wrapText="1"/>
      <protection locked="0"/>
    </xf>
    <xf numFmtId="0" fontId="30" fillId="13" borderId="1" xfId="0" applyFont="1" applyFill="1" applyBorder="1" applyAlignment="1" applyProtection="1">
      <alignment horizontal="center" vertical="center" wrapText="1"/>
      <protection locked="0"/>
    </xf>
    <xf numFmtId="0" fontId="30" fillId="13" borderId="16" xfId="0" applyFont="1" applyFill="1" applyBorder="1" applyAlignment="1" applyProtection="1">
      <alignment horizontal="center" vertical="center" wrapText="1"/>
      <protection locked="0"/>
    </xf>
    <xf numFmtId="0" fontId="31" fillId="13" borderId="5" xfId="0" applyFont="1" applyFill="1" applyBorder="1" applyAlignment="1" applyProtection="1">
      <alignment horizontal="center" vertical="center" wrapText="1"/>
      <protection locked="0"/>
    </xf>
    <xf numFmtId="0" fontId="31" fillId="13" borderId="1" xfId="0" applyFont="1" applyFill="1" applyBorder="1" applyAlignment="1" applyProtection="1">
      <alignment horizontal="center" vertical="center" wrapText="1"/>
      <protection locked="0"/>
    </xf>
    <xf numFmtId="0" fontId="30" fillId="13" borderId="3" xfId="0" applyFont="1" applyFill="1" applyBorder="1" applyAlignment="1" applyProtection="1">
      <alignment horizontal="center" vertical="center" wrapText="1"/>
      <protection locked="0"/>
    </xf>
    <xf numFmtId="0" fontId="31" fillId="13" borderId="16" xfId="0" applyFont="1" applyFill="1" applyBorder="1" applyAlignment="1" applyProtection="1">
      <alignment horizontal="center" vertical="center" wrapText="1"/>
      <protection locked="0"/>
    </xf>
    <xf numFmtId="0" fontId="13" fillId="10" borderId="1" xfId="0" applyFont="1" applyFill="1" applyBorder="1" applyAlignment="1" applyProtection="1">
      <alignment horizontal="center" vertical="center" wrapText="1"/>
      <protection locked="0"/>
    </xf>
    <xf numFmtId="0" fontId="13" fillId="10" borderId="5" xfId="0" applyFont="1" applyFill="1" applyBorder="1" applyAlignment="1" applyProtection="1">
      <alignment horizontal="center" vertical="center" wrapText="1"/>
      <protection locked="0"/>
    </xf>
    <xf numFmtId="0" fontId="0" fillId="24" borderId="1" xfId="0" applyFont="1" applyFill="1" applyBorder="1" applyAlignment="1" applyProtection="1">
      <alignment horizontal="left" vertical="top"/>
      <protection locked="0"/>
    </xf>
    <xf numFmtId="0" fontId="0" fillId="0" borderId="0" xfId="0" applyFont="1" applyProtection="1">
      <protection locked="0"/>
    </xf>
    <xf numFmtId="0" fontId="0" fillId="11" borderId="1" xfId="0" applyFill="1" applyBorder="1" applyProtection="1">
      <protection locked="0"/>
    </xf>
    <xf numFmtId="0" fontId="0" fillId="11" borderId="2" xfId="0" applyFill="1" applyBorder="1" applyProtection="1">
      <protection locked="0"/>
    </xf>
    <xf numFmtId="11" fontId="0" fillId="11" borderId="0" xfId="0" applyNumberFormat="1" applyFill="1" applyProtection="1">
      <protection locked="0"/>
    </xf>
    <xf numFmtId="11" fontId="0" fillId="11" borderId="1" xfId="0" applyNumberFormat="1" applyFill="1" applyBorder="1" applyProtection="1">
      <protection locked="0"/>
    </xf>
    <xf numFmtId="11" fontId="0" fillId="11" borderId="0" xfId="0" applyNumberFormat="1" applyFill="1" applyBorder="1" applyProtection="1">
      <protection locked="0"/>
    </xf>
    <xf numFmtId="0" fontId="1" fillId="0" borderId="0" xfId="0" applyFont="1" applyFill="1" applyBorder="1"/>
    <xf numFmtId="164" fontId="0" fillId="0" borderId="1" xfId="0" applyNumberFormat="1" applyFill="1" applyBorder="1" applyProtection="1"/>
    <xf numFmtId="0" fontId="45" fillId="0" borderId="1" xfId="0" applyFont="1" applyBorder="1" applyAlignment="1">
      <alignment horizontal="center" vertical="top"/>
    </xf>
    <xf numFmtId="0" fontId="9" fillId="0" borderId="5" xfId="0" applyFont="1" applyBorder="1" applyAlignment="1">
      <alignment horizontal="center" vertical="center" wrapText="1"/>
    </xf>
    <xf numFmtId="2" fontId="30" fillId="6" borderId="6" xfId="0" applyNumberFormat="1" applyFont="1" applyFill="1" applyBorder="1" applyAlignment="1">
      <alignment horizontal="center" vertical="center" wrapText="1"/>
    </xf>
    <xf numFmtId="0" fontId="43" fillId="6" borderId="1" xfId="0" applyFont="1" applyFill="1" applyBorder="1" applyAlignment="1">
      <alignment horizontal="center" vertical="center" wrapText="1"/>
    </xf>
    <xf numFmtId="2" fontId="13" fillId="7" borderId="3" xfId="0" applyNumberFormat="1" applyFont="1" applyFill="1" applyBorder="1" applyAlignment="1">
      <alignment horizontal="center" vertical="center" wrapText="1"/>
    </xf>
    <xf numFmtId="0" fontId="12" fillId="6" borderId="13" xfId="0" applyFont="1" applyFill="1" applyBorder="1" applyAlignment="1">
      <alignment horizontal="center" vertical="center" wrapText="1"/>
    </xf>
    <xf numFmtId="0" fontId="26" fillId="6" borderId="13"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7" xfId="0" applyFont="1" applyFill="1" applyBorder="1" applyAlignment="1">
      <alignment horizontal="center" vertical="center" wrapText="1"/>
    </xf>
    <xf numFmtId="2" fontId="13" fillId="7" borderId="11" xfId="0" applyNumberFormat="1" applyFont="1" applyFill="1" applyBorder="1" applyAlignment="1">
      <alignment horizontal="center" vertical="center" wrapText="1"/>
    </xf>
    <xf numFmtId="0" fontId="12" fillId="6" borderId="11" xfId="0" applyFont="1" applyFill="1" applyBorder="1" applyAlignment="1">
      <alignment horizontal="center" vertical="center" wrapText="1"/>
    </xf>
    <xf numFmtId="0" fontId="26" fillId="6" borderId="9"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8" xfId="0" applyFont="1" applyFill="1" applyBorder="1" applyAlignment="1">
      <alignment horizontal="center" vertical="center" wrapText="1"/>
    </xf>
    <xf numFmtId="2" fontId="11" fillId="7" borderId="1" xfId="0" applyNumberFormat="1" applyFont="1" applyFill="1" applyBorder="1" applyAlignment="1">
      <alignment horizontal="center" vertical="center" wrapText="1"/>
    </xf>
    <xf numFmtId="0" fontId="12" fillId="6" borderId="10"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8" fillId="0" borderId="3"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12" fillId="0" borderId="1" xfId="0" applyFont="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3" fillId="0" borderId="5" xfId="0" applyFont="1" applyBorder="1" applyAlignment="1" applyProtection="1">
      <alignment horizontal="center" vertical="center" wrapText="1"/>
      <protection locked="0"/>
    </xf>
    <xf numFmtId="0" fontId="9" fillId="0" borderId="15" xfId="0" applyFont="1" applyBorder="1" applyAlignment="1">
      <alignment horizontal="center" vertical="center" wrapText="1"/>
    </xf>
    <xf numFmtId="3" fontId="16" fillId="0" borderId="3" xfId="0" applyNumberFormat="1" applyFont="1" applyBorder="1" applyAlignment="1" applyProtection="1">
      <alignment horizontal="center" vertical="center" wrapText="1"/>
      <protection locked="0"/>
    </xf>
    <xf numFmtId="0" fontId="10" fillId="0" borderId="1" xfId="0" applyFont="1" applyBorder="1" applyAlignment="1">
      <alignment horizontal="center" vertical="center" wrapText="1"/>
    </xf>
    <xf numFmtId="3" fontId="16" fillId="0" borderId="5" xfId="0" applyNumberFormat="1" applyFont="1" applyBorder="1" applyAlignment="1" applyProtection="1">
      <alignment horizontal="center" vertical="center" wrapText="1"/>
      <protection locked="0"/>
    </xf>
    <xf numFmtId="0" fontId="10" fillId="0" borderId="1"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22" xfId="0" applyFont="1" applyFill="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9"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43" fillId="0"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8" fillId="0" borderId="4" xfId="0" applyFont="1" applyBorder="1" applyAlignment="1" applyProtection="1">
      <alignment horizontal="center" vertical="center" wrapText="1"/>
      <protection locked="0"/>
    </xf>
    <xf numFmtId="0" fontId="9" fillId="0" borderId="21" xfId="0" applyFont="1" applyBorder="1" applyAlignment="1">
      <alignment horizontal="center" vertical="center" wrapText="1"/>
    </xf>
    <xf numFmtId="0" fontId="8" fillId="0" borderId="16" xfId="0" applyFont="1" applyBorder="1" applyAlignment="1" applyProtection="1">
      <alignment horizontal="center" vertical="center" wrapText="1"/>
      <protection locked="0"/>
    </xf>
    <xf numFmtId="0" fontId="9" fillId="0" borderId="19" xfId="0" applyFont="1" applyBorder="1" applyAlignment="1">
      <alignment horizontal="center" vertical="center" wrapText="1"/>
    </xf>
    <xf numFmtId="0" fontId="9" fillId="0" borderId="16" xfId="0" applyFont="1" applyBorder="1" applyAlignment="1">
      <alignment horizontal="center" vertical="center" wrapText="1"/>
    </xf>
    <xf numFmtId="165" fontId="30" fillId="3" borderId="1" xfId="0" applyNumberFormat="1" applyFont="1" applyFill="1" applyBorder="1" applyAlignment="1">
      <alignment horizontal="center" vertical="center" wrapText="1"/>
    </xf>
    <xf numFmtId="0" fontId="8" fillId="13" borderId="5" xfId="0" applyFont="1" applyFill="1" applyBorder="1" applyAlignment="1">
      <alignment horizontal="center" vertical="center" wrapText="1"/>
    </xf>
    <xf numFmtId="0" fontId="8" fillId="13" borderId="22" xfId="0" applyFont="1" applyFill="1" applyBorder="1" applyAlignment="1" applyProtection="1">
      <alignment horizontal="center" vertical="center" wrapText="1"/>
      <protection locked="0"/>
    </xf>
    <xf numFmtId="0" fontId="8" fillId="13" borderId="1" xfId="0" applyFont="1" applyFill="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3" fillId="0" borderId="4"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27" fillId="6" borderId="16" xfId="0" applyFont="1" applyFill="1" applyBorder="1" applyAlignment="1">
      <alignment horizontal="center" vertical="center" wrapText="1"/>
    </xf>
    <xf numFmtId="0" fontId="28" fillId="6" borderId="5" xfId="0" applyFont="1" applyFill="1" applyBorder="1" applyAlignment="1">
      <alignment horizontal="center" vertical="center" wrapText="1"/>
    </xf>
    <xf numFmtId="0" fontId="34" fillId="6" borderId="12" xfId="0" applyFont="1" applyFill="1" applyBorder="1" applyAlignment="1">
      <alignment vertical="center" wrapText="1"/>
    </xf>
    <xf numFmtId="0" fontId="34" fillId="6" borderId="0" xfId="0" applyFont="1" applyFill="1" applyBorder="1" applyAlignment="1">
      <alignment vertical="center" wrapText="1"/>
    </xf>
    <xf numFmtId="0" fontId="28" fillId="6" borderId="3" xfId="0" applyFont="1" applyFill="1" applyBorder="1" applyAlignment="1">
      <alignment horizontal="center" vertical="center" wrapText="1"/>
    </xf>
    <xf numFmtId="0" fontId="34" fillId="6" borderId="13" xfId="0" applyFont="1" applyFill="1" applyBorder="1" applyAlignment="1">
      <alignment vertical="center" wrapText="1"/>
    </xf>
    <xf numFmtId="0" fontId="34" fillId="6" borderId="26" xfId="0" applyFont="1" applyFill="1" applyBorder="1" applyAlignment="1">
      <alignment vertical="center" wrapText="1"/>
    </xf>
    <xf numFmtId="0" fontId="34" fillId="6" borderId="9" xfId="0" applyFont="1" applyFill="1" applyBorder="1" applyAlignment="1">
      <alignment vertical="center" wrapText="1"/>
    </xf>
    <xf numFmtId="0" fontId="28" fillId="6" borderId="9"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39" fillId="6" borderId="0" xfId="0" applyFont="1" applyFill="1" applyBorder="1" applyAlignment="1">
      <alignment vertical="center" wrapText="1"/>
    </xf>
    <xf numFmtId="0" fontId="8" fillId="6" borderId="0" xfId="0" applyFont="1" applyFill="1" applyAlignment="1">
      <alignment horizontal="center" vertical="center" wrapText="1"/>
    </xf>
    <xf numFmtId="0" fontId="29" fillId="7" borderId="5" xfId="0" applyFont="1" applyFill="1" applyBorder="1" applyAlignment="1">
      <alignment horizontal="center" vertical="center" wrapText="1"/>
    </xf>
    <xf numFmtId="0" fontId="26" fillId="6" borderId="3" xfId="0" applyFont="1" applyFill="1" applyBorder="1" applyAlignment="1">
      <alignment horizontal="center" vertical="center" wrapText="1"/>
    </xf>
    <xf numFmtId="0" fontId="26" fillId="6" borderId="11" xfId="0" applyFont="1" applyFill="1" applyBorder="1" applyAlignment="1">
      <alignment horizontal="center" vertical="center" wrapText="1"/>
    </xf>
    <xf numFmtId="0" fontId="29" fillId="7" borderId="22" xfId="0" applyFont="1" applyFill="1" applyBorder="1" applyAlignment="1">
      <alignment horizontal="center" vertical="center" wrapText="1"/>
    </xf>
    <xf numFmtId="0" fontId="26" fillId="6" borderId="4" xfId="0" applyFont="1" applyFill="1" applyBorder="1" applyAlignment="1">
      <alignment horizontal="center" vertical="center" wrapText="1"/>
    </xf>
    <xf numFmtId="0" fontId="26" fillId="6" borderId="18" xfId="0" applyFont="1" applyFill="1" applyBorder="1" applyAlignment="1">
      <alignment horizontal="center" vertical="center" wrapText="1"/>
    </xf>
    <xf numFmtId="0" fontId="28" fillId="6" borderId="16" xfId="0" applyFont="1" applyFill="1" applyBorder="1" applyAlignment="1">
      <alignment horizontal="center" vertical="center" wrapText="1"/>
    </xf>
    <xf numFmtId="0" fontId="28" fillId="6" borderId="12" xfId="0" applyFont="1" applyFill="1" applyBorder="1" applyAlignment="1">
      <alignment horizontal="center" vertical="center" wrapText="1"/>
    </xf>
    <xf numFmtId="0" fontId="28" fillId="6" borderId="0" xfId="0" applyFont="1" applyFill="1" applyBorder="1" applyAlignment="1">
      <alignment horizontal="center" vertical="center" wrapText="1"/>
    </xf>
    <xf numFmtId="0" fontId="28" fillId="6" borderId="14" xfId="0" applyFont="1" applyFill="1" applyBorder="1" applyAlignment="1">
      <alignment horizontal="center" vertical="center" wrapText="1"/>
    </xf>
    <xf numFmtId="0" fontId="28" fillId="6" borderId="18" xfId="0" applyFont="1" applyFill="1" applyBorder="1" applyAlignment="1">
      <alignment horizontal="center" vertical="center" wrapText="1"/>
    </xf>
    <xf numFmtId="0" fontId="13" fillId="0" borderId="22" xfId="0" applyFont="1" applyBorder="1" applyAlignment="1" applyProtection="1">
      <alignment horizontal="center" vertical="center" wrapText="1"/>
      <protection locked="0"/>
    </xf>
    <xf numFmtId="0" fontId="13" fillId="13" borderId="22" xfId="0" applyFont="1" applyFill="1" applyBorder="1" applyAlignment="1" applyProtection="1">
      <alignment horizontal="center" vertical="center" wrapText="1"/>
      <protection locked="0"/>
    </xf>
    <xf numFmtId="0" fontId="8" fillId="3" borderId="22" xfId="0" applyFont="1" applyFill="1" applyBorder="1" applyAlignment="1">
      <alignment horizontal="center" vertical="center" wrapText="1"/>
    </xf>
    <xf numFmtId="0" fontId="28" fillId="6" borderId="22" xfId="0" applyFont="1" applyFill="1" applyBorder="1" applyAlignment="1">
      <alignment horizontal="center" vertical="center" wrapText="1"/>
    </xf>
    <xf numFmtId="0" fontId="28" fillId="6" borderId="25" xfId="0" applyFont="1" applyFill="1" applyBorder="1" applyAlignment="1">
      <alignment horizontal="center" vertical="center" wrapText="1"/>
    </xf>
    <xf numFmtId="0" fontId="11" fillId="23" borderId="25" xfId="0" applyFont="1" applyFill="1" applyBorder="1" applyAlignment="1" applyProtection="1">
      <alignment horizontal="center" vertical="center" wrapText="1"/>
      <protection locked="0"/>
    </xf>
    <xf numFmtId="0" fontId="10" fillId="0" borderId="25" xfId="0" applyFont="1" applyFill="1" applyBorder="1" applyAlignment="1">
      <alignment horizontal="center" vertical="center" wrapText="1"/>
    </xf>
    <xf numFmtId="0" fontId="8" fillId="0" borderId="22" xfId="0" applyFont="1" applyBorder="1" applyAlignment="1" applyProtection="1">
      <alignment horizontal="center" vertical="center"/>
      <protection locked="0"/>
    </xf>
    <xf numFmtId="0" fontId="8" fillId="0" borderId="24" xfId="0" applyFont="1" applyBorder="1" applyAlignment="1">
      <alignment horizontal="left" vertical="center"/>
    </xf>
    <xf numFmtId="0" fontId="8" fillId="0" borderId="24" xfId="0" applyFont="1" applyBorder="1" applyAlignment="1">
      <alignment horizontal="center" vertical="center" wrapText="1"/>
    </xf>
    <xf numFmtId="0" fontId="0" fillId="0" borderId="24" xfId="0" applyBorder="1"/>
    <xf numFmtId="0" fontId="17" fillId="0" borderId="22" xfId="0" applyFont="1" applyBorder="1"/>
    <xf numFmtId="0" fontId="9" fillId="0" borderId="42" xfId="0" applyFont="1" applyBorder="1" applyAlignment="1">
      <alignment horizontal="center" vertical="center" wrapText="1"/>
    </xf>
    <xf numFmtId="0" fontId="9" fillId="0" borderId="43" xfId="0" applyFont="1" applyBorder="1" applyAlignment="1">
      <alignment horizontal="center" vertical="center" wrapText="1"/>
    </xf>
    <xf numFmtId="0" fontId="13" fillId="0" borderId="16" xfId="0" applyFont="1" applyBorder="1" applyAlignment="1" applyProtection="1">
      <alignment horizontal="center" vertical="center" wrapText="1"/>
      <protection locked="0"/>
    </xf>
    <xf numFmtId="0" fontId="28" fillId="22" borderId="21" xfId="0" applyFont="1" applyFill="1" applyBorder="1" applyAlignment="1">
      <alignment horizontal="center" vertical="center" wrapText="1"/>
    </xf>
    <xf numFmtId="0" fontId="28" fillId="22" borderId="19"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28" fillId="6" borderId="20"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43" fillId="0" borderId="16" xfId="0" applyFont="1" applyFill="1" applyBorder="1" applyAlignment="1">
      <alignment horizontal="center" vertical="center" wrapText="1"/>
    </xf>
    <xf numFmtId="0" fontId="8" fillId="0" borderId="26" xfId="0" applyFont="1" applyBorder="1" applyAlignment="1">
      <alignment horizontal="left" vertical="center"/>
    </xf>
    <xf numFmtId="0" fontId="0" fillId="0" borderId="26" xfId="0" applyBorder="1"/>
    <xf numFmtId="0" fontId="17" fillId="0" borderId="16" xfId="0" applyFont="1" applyBorder="1"/>
    <xf numFmtId="0" fontId="28" fillId="22" borderId="30" xfId="0" applyFont="1" applyFill="1" applyBorder="1" applyAlignment="1">
      <alignment horizontal="center" vertical="center" wrapText="1"/>
    </xf>
    <xf numFmtId="0" fontId="13" fillId="13" borderId="25" xfId="0" applyFont="1" applyFill="1" applyBorder="1" applyAlignment="1" applyProtection="1">
      <alignment horizontal="center" vertical="center" wrapText="1"/>
      <protection locked="0"/>
    </xf>
    <xf numFmtId="0" fontId="9" fillId="0" borderId="25" xfId="0" applyFont="1" applyBorder="1" applyAlignment="1">
      <alignment horizontal="center" vertical="center" wrapText="1"/>
    </xf>
    <xf numFmtId="0" fontId="28" fillId="22" borderId="25" xfId="0" applyFont="1" applyFill="1" applyBorder="1" applyAlignment="1">
      <alignment horizontal="center" vertical="center" wrapText="1"/>
    </xf>
    <xf numFmtId="0" fontId="8" fillId="13" borderId="22" xfId="0" applyFont="1" applyFill="1" applyBorder="1" applyAlignment="1">
      <alignment horizontal="center" vertical="center" wrapText="1"/>
    </xf>
    <xf numFmtId="0" fontId="28" fillId="6" borderId="23" xfId="0" applyFont="1" applyFill="1" applyBorder="1" applyAlignment="1">
      <alignment horizontal="center" vertical="center" wrapText="1"/>
    </xf>
    <xf numFmtId="0" fontId="28" fillId="22" borderId="26"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28" fillId="6" borderId="26"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8" fillId="0" borderId="16" xfId="0" applyFont="1" applyBorder="1" applyAlignment="1" applyProtection="1">
      <alignment horizontal="center" vertical="center"/>
      <protection locked="0"/>
    </xf>
    <xf numFmtId="0" fontId="17" fillId="0" borderId="26" xfId="0" applyFont="1" applyBorder="1"/>
    <xf numFmtId="2" fontId="30" fillId="3" borderId="16" xfId="0" applyNumberFormat="1" applyFont="1" applyFill="1" applyBorder="1" applyAlignment="1">
      <alignment horizontal="center" vertical="center" wrapText="1"/>
    </xf>
    <xf numFmtId="2" fontId="11" fillId="8" borderId="22"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3" fillId="6" borderId="1" xfId="0" applyFont="1" applyFill="1" applyBorder="1" applyAlignment="1" applyProtection="1">
      <alignment horizontal="center" vertical="center" wrapText="1"/>
      <protection locked="0"/>
    </xf>
    <xf numFmtId="0" fontId="29" fillId="6" borderId="13" xfId="0" applyFont="1" applyFill="1" applyBorder="1" applyAlignment="1">
      <alignment horizontal="center" vertical="center" wrapText="1"/>
    </xf>
    <xf numFmtId="0" fontId="12" fillId="0" borderId="5" xfId="0" applyFont="1" applyBorder="1" applyAlignment="1">
      <alignment horizontal="center" vertical="center" wrapText="1"/>
    </xf>
    <xf numFmtId="0" fontId="11" fillId="13" borderId="5" xfId="0" applyFont="1" applyFill="1" applyBorder="1" applyAlignment="1" applyProtection="1">
      <alignment horizontal="center" vertical="center" wrapText="1"/>
      <protection locked="0"/>
    </xf>
    <xf numFmtId="0" fontId="11" fillId="23" borderId="22" xfId="0" applyFont="1" applyFill="1" applyBorder="1" applyAlignment="1" applyProtection="1">
      <alignment horizontal="center" vertical="center" wrapText="1"/>
      <protection locked="0"/>
    </xf>
    <xf numFmtId="0" fontId="34" fillId="6" borderId="20" xfId="0" applyFont="1" applyFill="1" applyBorder="1" applyAlignment="1">
      <alignment vertical="center" wrapText="1"/>
    </xf>
    <xf numFmtId="0" fontId="10" fillId="2" borderId="26" xfId="0" applyFont="1" applyFill="1" applyBorder="1" applyAlignment="1">
      <alignment vertical="center" wrapText="1"/>
    </xf>
    <xf numFmtId="0" fontId="8" fillId="0" borderId="24" xfId="0" applyFont="1" applyBorder="1"/>
    <xf numFmtId="0" fontId="8" fillId="13" borderId="16" xfId="0" applyFont="1" applyFill="1" applyBorder="1" applyAlignment="1" applyProtection="1">
      <alignment horizontal="center" vertical="center" wrapText="1"/>
      <protection locked="0"/>
    </xf>
    <xf numFmtId="0" fontId="8" fillId="0" borderId="26" xfId="0" applyFont="1" applyBorder="1"/>
    <xf numFmtId="0" fontId="9" fillId="2" borderId="26" xfId="0" applyFont="1" applyFill="1" applyBorder="1" applyAlignment="1">
      <alignment vertical="center" wrapText="1"/>
    </xf>
    <xf numFmtId="0" fontId="27" fillId="22" borderId="3" xfId="0" applyFont="1" applyFill="1" applyBorder="1" applyAlignment="1">
      <alignment horizontal="center" vertical="center" wrapText="1"/>
    </xf>
    <xf numFmtId="0" fontId="27" fillId="6" borderId="3" xfId="0" applyFont="1" applyFill="1" applyBorder="1" applyAlignment="1">
      <alignment horizontal="center" vertical="center" wrapText="1"/>
    </xf>
    <xf numFmtId="0" fontId="9" fillId="0" borderId="5" xfId="0" quotePrefix="1" applyFont="1" applyBorder="1" applyAlignment="1">
      <alignment horizontal="center" vertical="center" wrapText="1"/>
    </xf>
    <xf numFmtId="0" fontId="1" fillId="0" borderId="22" xfId="0" applyFont="1" applyBorder="1"/>
    <xf numFmtId="0" fontId="1" fillId="0" borderId="29" xfId="0" applyFont="1" applyBorder="1"/>
    <xf numFmtId="0" fontId="0" fillId="0" borderId="22" xfId="0" applyFont="1" applyBorder="1"/>
    <xf numFmtId="2" fontId="13" fillId="2" borderId="18" xfId="0" applyNumberFormat="1" applyFont="1" applyFill="1" applyBorder="1" applyAlignment="1">
      <alignment horizontal="center" vertical="center" wrapText="1"/>
    </xf>
    <xf numFmtId="0" fontId="9" fillId="0" borderId="16" xfId="0" quotePrefix="1" applyFont="1" applyBorder="1" applyAlignment="1">
      <alignment horizontal="center" vertical="center" wrapText="1"/>
    </xf>
    <xf numFmtId="0" fontId="0" fillId="0" borderId="16" xfId="0" applyFont="1" applyBorder="1"/>
    <xf numFmtId="0" fontId="9" fillId="6" borderId="0" xfId="0" applyFont="1" applyFill="1" applyBorder="1" applyAlignment="1">
      <alignment horizontal="center" vertical="center" wrapText="1"/>
    </xf>
    <xf numFmtId="0" fontId="34" fillId="6" borderId="13" xfId="0" applyFont="1" applyFill="1" applyBorder="1" applyAlignment="1">
      <alignment horizontal="center" vertical="center" wrapText="1"/>
    </xf>
    <xf numFmtId="0" fontId="34" fillId="6" borderId="9" xfId="0" applyFont="1" applyFill="1" applyBorder="1" applyAlignment="1">
      <alignment horizontal="center" vertical="center" wrapText="1"/>
    </xf>
    <xf numFmtId="0" fontId="34" fillId="6" borderId="12" xfId="0" applyFont="1" applyFill="1" applyBorder="1" applyAlignment="1">
      <alignment horizontal="center" vertical="center" wrapText="1"/>
    </xf>
    <xf numFmtId="0" fontId="34" fillId="6" borderId="26" xfId="0" applyFont="1" applyFill="1" applyBorder="1" applyAlignment="1">
      <alignment horizontal="center" vertical="center" wrapText="1"/>
    </xf>
    <xf numFmtId="0" fontId="26" fillId="6" borderId="0" xfId="0" applyFont="1" applyFill="1" applyBorder="1" applyAlignment="1">
      <alignment horizontal="center" vertical="center" wrapText="1"/>
    </xf>
    <xf numFmtId="0" fontId="26" fillId="6" borderId="12" xfId="0" applyFont="1" applyFill="1" applyBorder="1" applyAlignment="1">
      <alignment horizontal="center" vertical="center" wrapText="1"/>
    </xf>
    <xf numFmtId="0" fontId="26" fillId="6" borderId="26" xfId="0" applyFont="1" applyFill="1" applyBorder="1" applyAlignment="1">
      <alignment horizontal="center" vertical="center" wrapText="1"/>
    </xf>
    <xf numFmtId="0" fontId="30" fillId="6" borderId="24" xfId="0" applyFont="1" applyFill="1" applyBorder="1" applyAlignment="1"/>
    <xf numFmtId="0" fontId="9" fillId="6" borderId="0" xfId="0" applyFont="1" applyFill="1"/>
    <xf numFmtId="0" fontId="29" fillId="7" borderId="30" xfId="0" applyFont="1" applyFill="1" applyBorder="1" applyAlignment="1">
      <alignment horizontal="center" vertical="center" wrapText="1"/>
    </xf>
    <xf numFmtId="0" fontId="29" fillId="7" borderId="2" xfId="0" applyFont="1" applyFill="1" applyBorder="1" applyAlignment="1">
      <alignment horizontal="center" vertical="center" wrapText="1"/>
    </xf>
    <xf numFmtId="0" fontId="34" fillId="6" borderId="7" xfId="0" applyFont="1" applyFill="1" applyBorder="1" applyAlignment="1">
      <alignment horizontal="center" vertical="center" wrapText="1"/>
    </xf>
    <xf numFmtId="0" fontId="34" fillId="6" borderId="11" xfId="0" applyFont="1" applyFill="1" applyBorder="1" applyAlignment="1">
      <alignment horizontal="center" vertical="center" wrapText="1"/>
    </xf>
    <xf numFmtId="0" fontId="29" fillId="7" borderId="8" xfId="0" applyFont="1" applyFill="1" applyBorder="1" applyAlignment="1">
      <alignment horizontal="center" vertical="center" wrapText="1"/>
    </xf>
    <xf numFmtId="0" fontId="34" fillId="6" borderId="15" xfId="0" applyFont="1" applyFill="1" applyBorder="1" applyAlignment="1">
      <alignment horizontal="center" vertical="center" wrapText="1"/>
    </xf>
    <xf numFmtId="0" fontId="34" fillId="6" borderId="18" xfId="0" applyFont="1" applyFill="1" applyBorder="1" applyAlignment="1">
      <alignment horizontal="center" vertical="center" wrapText="1"/>
    </xf>
    <xf numFmtId="0" fontId="28" fillId="6" borderId="29" xfId="0" applyFont="1" applyFill="1" applyBorder="1" applyAlignment="1">
      <alignment horizontal="center" vertical="center" wrapText="1"/>
    </xf>
    <xf numFmtId="0" fontId="28" fillId="6" borderId="6" xfId="0" applyFont="1" applyFill="1" applyBorder="1" applyAlignment="1">
      <alignment horizontal="center" vertical="center" wrapText="1"/>
    </xf>
    <xf numFmtId="0" fontId="28" fillId="6" borderId="13" xfId="0" applyFont="1" applyFill="1" applyBorder="1" applyAlignment="1">
      <alignment horizontal="center" vertical="center" wrapText="1"/>
    </xf>
    <xf numFmtId="0" fontId="28" fillId="6" borderId="10" xfId="0" applyFont="1" applyFill="1" applyBorder="1" applyAlignment="1">
      <alignment horizontal="center" vertical="center" wrapText="1"/>
    </xf>
    <xf numFmtId="0" fontId="28" fillId="6" borderId="17" xfId="0" applyFont="1" applyFill="1" applyBorder="1" applyAlignment="1">
      <alignment horizontal="center" vertical="center" wrapText="1"/>
    </xf>
    <xf numFmtId="0" fontId="8" fillId="6" borderId="0" xfId="0" applyFont="1" applyFill="1"/>
    <xf numFmtId="0" fontId="8" fillId="0" borderId="3" xfId="0" applyFont="1" applyBorder="1" applyAlignment="1" applyProtection="1">
      <alignment horizontal="center" vertical="center" wrapText="1"/>
      <protection locked="0"/>
    </xf>
    <xf numFmtId="0" fontId="8" fillId="0" borderId="19" xfId="0" applyFont="1" applyBorder="1" applyAlignment="1" applyProtection="1">
      <alignment horizontal="center" vertical="center" wrapText="1"/>
      <protection locked="0"/>
    </xf>
    <xf numFmtId="0" fontId="12" fillId="0" borderId="25"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9" xfId="0" applyFont="1" applyBorder="1" applyAlignment="1">
      <alignment horizontal="center" vertical="center" wrapText="1"/>
    </xf>
    <xf numFmtId="0" fontId="8" fillId="0" borderId="25"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12" fillId="0" borderId="22"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6" xfId="0" applyFont="1" applyBorder="1" applyAlignment="1">
      <alignment horizontal="center" vertical="center" wrapText="1"/>
    </xf>
    <xf numFmtId="0" fontId="16" fillId="0" borderId="3" xfId="0" applyFont="1" applyBorder="1" applyAlignment="1" applyProtection="1">
      <alignment horizontal="center" vertical="center" wrapText="1"/>
      <protection locked="0"/>
    </xf>
    <xf numFmtId="0" fontId="16" fillId="0" borderId="19" xfId="0" applyFont="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9" fillId="0" borderId="34"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15" xfId="0" applyFont="1" applyBorder="1" applyAlignment="1">
      <alignment horizontal="center" vertical="center" wrapText="1"/>
    </xf>
    <xf numFmtId="3" fontId="16" fillId="0" borderId="3" xfId="0" applyNumberFormat="1" applyFont="1" applyBorder="1" applyAlignment="1" applyProtection="1">
      <alignment horizontal="center" vertical="center" wrapText="1"/>
      <protection locked="0"/>
    </xf>
    <xf numFmtId="3" fontId="16" fillId="0" borderId="19" xfId="0" applyNumberFormat="1" applyFont="1" applyBorder="1" applyAlignment="1" applyProtection="1">
      <alignment horizontal="center" vertical="center" wrapText="1"/>
      <protection locked="0"/>
    </xf>
    <xf numFmtId="0" fontId="10" fillId="0" borderId="1" xfId="0" applyFont="1" applyBorder="1" applyAlignment="1">
      <alignment horizontal="center" vertical="center" wrapText="1"/>
    </xf>
    <xf numFmtId="3" fontId="16" fillId="0" borderId="5" xfId="0" applyNumberFormat="1" applyFont="1" applyBorder="1" applyAlignment="1" applyProtection="1">
      <alignment horizontal="center" vertical="center" wrapText="1"/>
      <protection locked="0"/>
    </xf>
    <xf numFmtId="0" fontId="10" fillId="0" borderId="22"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10" fillId="0" borderId="22" xfId="0" applyFont="1" applyBorder="1" applyAlignment="1">
      <alignment horizontal="center" vertical="center" wrapText="1"/>
    </xf>
    <xf numFmtId="3" fontId="16" fillId="0" borderId="25" xfId="0" applyNumberFormat="1"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9" fillId="0" borderId="22" xfId="0" applyFont="1" applyBorder="1" applyAlignment="1">
      <alignment horizontal="center" vertical="center" wrapText="1"/>
    </xf>
    <xf numFmtId="0" fontId="9" fillId="0" borderId="1" xfId="0" applyFont="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9" fillId="0" borderId="22"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16" xfId="0" applyFont="1" applyBorder="1" applyAlignment="1">
      <alignment horizontal="center" vertical="center" wrapText="1"/>
    </xf>
    <xf numFmtId="0" fontId="8" fillId="0" borderId="1" xfId="0" applyFont="1" applyBorder="1" applyAlignment="1" applyProtection="1">
      <alignment horizontal="center" vertical="center" wrapText="1"/>
      <protection locked="0"/>
    </xf>
    <xf numFmtId="0" fontId="8" fillId="0" borderId="16" xfId="0" applyFont="1" applyBorder="1" applyAlignment="1" applyProtection="1">
      <alignment horizontal="center" vertical="center" wrapText="1"/>
      <protection locked="0"/>
    </xf>
    <xf numFmtId="0" fontId="10" fillId="0" borderId="16" xfId="0" applyFont="1" applyBorder="1" applyAlignment="1">
      <alignment horizontal="center" vertical="center" wrapText="1"/>
    </xf>
    <xf numFmtId="0" fontId="9" fillId="0" borderId="1"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8" fillId="0" borderId="13" xfId="0" applyFont="1" applyBorder="1" applyAlignment="1">
      <alignment horizontal="center" vertical="center" wrapText="1"/>
    </xf>
    <xf numFmtId="0" fontId="8" fillId="0" borderId="7"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9" xfId="0" applyFont="1" applyBorder="1" applyAlignment="1">
      <alignment horizontal="center" vertical="center" wrapText="1"/>
    </xf>
    <xf numFmtId="0" fontId="12" fillId="0" borderId="3"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46" xfId="0" applyFont="1" applyBorder="1" applyAlignment="1">
      <alignment horizontal="center" vertical="center" wrapText="1"/>
    </xf>
    <xf numFmtId="0" fontId="43" fillId="0" borderId="1" xfId="0" applyFont="1" applyFill="1" applyBorder="1" applyAlignment="1">
      <alignment horizontal="center" vertical="center" wrapText="1"/>
    </xf>
    <xf numFmtId="0" fontId="43" fillId="0" borderId="16" xfId="0" applyFont="1" applyFill="1" applyBorder="1" applyAlignment="1">
      <alignment horizontal="center" vertical="center" wrapText="1"/>
    </xf>
    <xf numFmtId="0" fontId="36" fillId="0" borderId="9" xfId="0" applyFont="1" applyBorder="1" applyAlignment="1">
      <alignment horizontal="center" vertical="center" wrapText="1"/>
    </xf>
    <xf numFmtId="0" fontId="11" fillId="0" borderId="3"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9" fillId="0" borderId="21" xfId="0" applyFont="1" applyBorder="1" applyAlignment="1">
      <alignment horizontal="center" vertical="center" wrapText="1"/>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1" fillId="0" borderId="21"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9" fillId="0" borderId="7" xfId="0" applyFont="1" applyBorder="1" applyAlignment="1">
      <alignment horizontal="center" vertical="center" wrapText="1"/>
    </xf>
    <xf numFmtId="0" fontId="13" fillId="0" borderId="3"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13"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28" xfId="0" applyFont="1" applyBorder="1" applyAlignment="1">
      <alignment horizontal="center" vertical="center" wrapText="1"/>
    </xf>
    <xf numFmtId="0" fontId="9"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9" xfId="0" applyFont="1" applyBorder="1" applyAlignment="1">
      <alignment horizontal="center" vertical="center" wrapText="1"/>
    </xf>
    <xf numFmtId="0" fontId="9" fillId="13" borderId="3" xfId="0" applyFont="1" applyFill="1" applyBorder="1" applyAlignment="1">
      <alignment horizontal="center" vertical="center" wrapText="1"/>
    </xf>
    <xf numFmtId="0" fontId="9" fillId="13" borderId="19" xfId="0" applyFont="1" applyFill="1" applyBorder="1" applyAlignment="1">
      <alignment horizontal="center" vertical="center" wrapText="1"/>
    </xf>
    <xf numFmtId="0" fontId="8" fillId="0" borderId="3"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1" fillId="0" borderId="0" xfId="0" applyFont="1" applyBorder="1" applyAlignment="1">
      <alignment horizontal="center"/>
    </xf>
    <xf numFmtId="0" fontId="1" fillId="0" borderId="42" xfId="0" applyFont="1" applyBorder="1" applyAlignment="1">
      <alignment horizontal="center"/>
    </xf>
    <xf numFmtId="0" fontId="1" fillId="0" borderId="0" xfId="0" applyFont="1" applyAlignment="1">
      <alignment horizontal="center"/>
    </xf>
    <xf numFmtId="0" fontId="4" fillId="18" borderId="31" xfId="0" applyFont="1" applyFill="1" applyBorder="1" applyAlignment="1">
      <alignment horizontal="center" vertical="center" wrapText="1"/>
    </xf>
    <xf numFmtId="0" fontId="4" fillId="18" borderId="33" xfId="0" applyFont="1" applyFill="1" applyBorder="1" applyAlignment="1">
      <alignment horizontal="center" vertical="center" wrapText="1"/>
    </xf>
    <xf numFmtId="0" fontId="1" fillId="19" borderId="0" xfId="0" applyFont="1" applyFill="1" applyAlignment="1">
      <alignment horizontal="center"/>
    </xf>
    <xf numFmtId="0" fontId="1" fillId="19" borderId="0" xfId="0" applyFont="1" applyFill="1" applyAlignment="1">
      <alignment horizontal="center" vertical="top"/>
    </xf>
    <xf numFmtId="0" fontId="1" fillId="19" borderId="0" xfId="0" applyFont="1" applyFill="1" applyAlignment="1">
      <alignment horizontal="left" vertical="top"/>
    </xf>
  </cellXfs>
  <cellStyles count="1">
    <cellStyle name="Normal" xfId="0" builtinId="0"/>
  </cellStyles>
  <dxfs count="2">
    <dxf>
      <font>
        <color theme="0"/>
      </font>
      <fill>
        <patternFill>
          <bgColor theme="0"/>
        </patternFill>
      </fill>
      <border>
        <left/>
        <right/>
        <top/>
        <bottom/>
      </border>
    </dxf>
    <dxf>
      <font>
        <color theme="0"/>
      </font>
      <fill>
        <patternFill>
          <bgColor theme="0"/>
        </patternFill>
      </fill>
      <border>
        <left/>
        <right/>
        <top style="thin">
          <color auto="1"/>
        </top>
        <bottom/>
        <vertical/>
        <horizontal/>
      </border>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6402-3FFB-4B30-B08F-EEED54606BB0}">
  <sheetPr codeName="Sheet6">
    <tabColor theme="1" tint="4.9989318521683403E-2"/>
  </sheetPr>
  <dimension ref="A1:BD118"/>
  <sheetViews>
    <sheetView showZeros="0" zoomScale="85" zoomScaleNormal="85" workbookViewId="0">
      <selection activeCell="L52" sqref="L52"/>
    </sheetView>
  </sheetViews>
  <sheetFormatPr defaultColWidth="8.578125" defaultRowHeight="12.9" x14ac:dyDescent="0.55000000000000004"/>
  <cols>
    <col min="1" max="1" width="24.15625" style="10" customWidth="1"/>
    <col min="2" max="2" width="24.26171875" style="9" customWidth="1"/>
    <col min="3" max="3" width="27.578125" style="9" customWidth="1"/>
    <col min="4" max="5" width="23.578125" style="17" customWidth="1"/>
    <col min="6" max="6" width="14.41796875" style="10" customWidth="1"/>
    <col min="7" max="7" width="8" style="10" customWidth="1"/>
    <col min="8" max="8" width="10.68359375" style="10" customWidth="1"/>
    <col min="9" max="9" width="14.41796875" style="9" customWidth="1"/>
    <col min="10" max="10" width="8.578125" style="9"/>
    <col min="11" max="11" width="28.5234375" style="10" customWidth="1"/>
    <col min="12" max="12" width="19.15625" style="10" customWidth="1"/>
    <col min="13" max="13" width="10.83984375" style="362" customWidth="1"/>
    <col min="14" max="14" width="34.41796875" style="10" customWidth="1"/>
    <col min="15" max="15" width="18.578125" style="10" customWidth="1"/>
    <col min="16" max="16" width="10.83984375" style="362" customWidth="1"/>
    <col min="17" max="17" width="14.41796875" style="10" customWidth="1"/>
    <col min="18" max="18" width="18.578125" style="10" customWidth="1"/>
    <col min="19" max="19" width="23" style="276" customWidth="1"/>
    <col min="20" max="20" width="8.578125" style="18"/>
    <col min="21" max="50" width="8.578125" style="10"/>
    <col min="51" max="53" width="8.578125" style="10" customWidth="1"/>
    <col min="54" max="54" width="17.41796875" style="10" customWidth="1"/>
    <col min="55" max="55" width="44.83984375" style="10" bestFit="1" customWidth="1"/>
    <col min="56" max="16384" width="8.578125" style="10"/>
  </cols>
  <sheetData>
    <row r="1" spans="1:55" ht="13" customHeight="1" x14ac:dyDescent="0.5">
      <c r="A1" s="135" t="s">
        <v>35</v>
      </c>
      <c r="G1" s="512" t="s">
        <v>36</v>
      </c>
      <c r="H1" s="512"/>
      <c r="I1" s="512"/>
      <c r="J1" s="512"/>
      <c r="K1" s="512"/>
      <c r="L1" s="512"/>
      <c r="M1" s="512"/>
      <c r="N1" s="512"/>
      <c r="O1" s="512"/>
      <c r="P1" s="512"/>
      <c r="Q1" s="512"/>
      <c r="R1" s="512"/>
    </row>
    <row r="2" spans="1:55" x14ac:dyDescent="0.55000000000000004">
      <c r="A2" s="500"/>
      <c r="B2" s="501"/>
      <c r="C2" s="504" t="s">
        <v>8</v>
      </c>
      <c r="D2" s="506" t="s">
        <v>16</v>
      </c>
      <c r="E2" s="506" t="s">
        <v>37</v>
      </c>
      <c r="F2" s="504" t="s">
        <v>38</v>
      </c>
      <c r="G2" s="479" t="s">
        <v>0</v>
      </c>
      <c r="H2" s="479"/>
      <c r="I2" s="479"/>
      <c r="J2" s="479" t="s">
        <v>39</v>
      </c>
      <c r="K2" s="479"/>
      <c r="L2" s="479"/>
      <c r="M2" s="479" t="s">
        <v>40</v>
      </c>
      <c r="N2" s="479"/>
      <c r="O2" s="479"/>
      <c r="P2" s="479" t="s">
        <v>41</v>
      </c>
      <c r="Q2" s="479"/>
      <c r="R2" s="479"/>
      <c r="S2" s="498" t="s">
        <v>42</v>
      </c>
    </row>
    <row r="3" spans="1:55" ht="26.1" thickBot="1" x14ac:dyDescent="0.6">
      <c r="A3" s="502"/>
      <c r="B3" s="503"/>
      <c r="C3" s="505"/>
      <c r="D3" s="461"/>
      <c r="E3" s="461"/>
      <c r="F3" s="505"/>
      <c r="G3" s="425" t="s">
        <v>43</v>
      </c>
      <c r="H3" s="333" t="s">
        <v>44</v>
      </c>
      <c r="I3" s="333" t="s">
        <v>45</v>
      </c>
      <c r="J3" s="425" t="s">
        <v>43</v>
      </c>
      <c r="K3" s="333" t="s">
        <v>44</v>
      </c>
      <c r="L3" s="333" t="s">
        <v>45</v>
      </c>
      <c r="M3" s="426" t="s">
        <v>43</v>
      </c>
      <c r="N3" s="333" t="s">
        <v>44</v>
      </c>
      <c r="O3" s="333" t="s">
        <v>45</v>
      </c>
      <c r="P3" s="426" t="s">
        <v>43</v>
      </c>
      <c r="Q3" s="333" t="s">
        <v>44</v>
      </c>
      <c r="R3" s="333" t="s">
        <v>45</v>
      </c>
      <c r="S3" s="499"/>
      <c r="AZ3" s="10" t="s">
        <v>46</v>
      </c>
    </row>
    <row r="4" spans="1:55" s="421" customFormat="1" ht="25.8" x14ac:dyDescent="0.55000000000000004">
      <c r="A4" s="459" t="s">
        <v>47</v>
      </c>
      <c r="B4" s="488" t="s">
        <v>30</v>
      </c>
      <c r="C4" s="24" t="s">
        <v>3204</v>
      </c>
      <c r="D4" s="272" t="s">
        <v>49</v>
      </c>
      <c r="E4" s="271"/>
      <c r="F4" s="272"/>
      <c r="G4" s="143" t="s">
        <v>50</v>
      </c>
      <c r="H4" s="344">
        <v>100</v>
      </c>
      <c r="I4" s="328" t="s">
        <v>12</v>
      </c>
      <c r="J4" s="143" t="str">
        <f>IF(G4="","",G4)</f>
        <v>=</v>
      </c>
      <c r="K4" s="376">
        <f>IF((LEN(TRIM(H4))=0),"--",H4)</f>
        <v>100</v>
      </c>
      <c r="L4" s="328" t="s">
        <v>12</v>
      </c>
      <c r="M4" s="366" t="str">
        <f>G4</f>
        <v>=</v>
      </c>
      <c r="N4" s="412">
        <f>IF((LEN(TRIM(H4))=0),"Enter LC50 in Column H",H4*0.5)</f>
        <v>50</v>
      </c>
      <c r="O4" s="413" t="s">
        <v>51</v>
      </c>
      <c r="P4" s="377"/>
      <c r="Q4" s="418">
        <v>100</v>
      </c>
      <c r="R4" s="330" t="s">
        <v>52</v>
      </c>
      <c r="S4" s="272"/>
      <c r="AZ4" s="428" t="s">
        <v>53</v>
      </c>
      <c r="BA4" s="384"/>
      <c r="BB4" s="429" t="s">
        <v>54</v>
      </c>
      <c r="BC4" s="430" t="s">
        <v>55</v>
      </c>
    </row>
    <row r="5" spans="1:55" s="30" customFormat="1" ht="14.5" customHeight="1" x14ac:dyDescent="0.55000000000000004">
      <c r="A5" s="460"/>
      <c r="B5" s="489"/>
      <c r="C5" s="489" t="s">
        <v>56</v>
      </c>
      <c r="D5" s="457"/>
      <c r="E5" s="457"/>
      <c r="F5" s="457"/>
      <c r="G5" s="141" t="s">
        <v>57</v>
      </c>
      <c r="H5" s="345">
        <v>0.1</v>
      </c>
      <c r="I5" s="329" t="s">
        <v>10</v>
      </c>
      <c r="J5" s="142" t="str">
        <f>IF(G5="","",G5)</f>
        <v>&gt;</v>
      </c>
      <c r="K5" s="190">
        <f>IF((LEN(TRIM(H5))=0),"--",H5)</f>
        <v>0.1</v>
      </c>
      <c r="L5" s="336" t="s">
        <v>10</v>
      </c>
      <c r="M5" s="364" t="str">
        <f>IF(AND(G5="=",G6="="),G5,(IF(G5="&lt;",G5,G6)))</f>
        <v>=</v>
      </c>
      <c r="N5" s="161">
        <f>IF(OR(H5="",H6=""),"Enter NOAEC &amp; LOAEC in Column H", (GEOMEAN(H5:H6)))</f>
        <v>1.5811388300841898</v>
      </c>
      <c r="O5" s="193" t="s">
        <v>27</v>
      </c>
      <c r="P5" s="353"/>
      <c r="Q5" s="37"/>
      <c r="R5" s="35"/>
      <c r="S5" s="457"/>
      <c r="AZ5" s="14" t="s">
        <v>50</v>
      </c>
      <c r="BA5" s="156"/>
      <c r="BB5" s="156"/>
      <c r="BC5" s="4" t="s">
        <v>58</v>
      </c>
    </row>
    <row r="6" spans="1:55" s="423" customFormat="1" ht="14.5" customHeight="1" thickBot="1" x14ac:dyDescent="0.6">
      <c r="A6" s="460"/>
      <c r="B6" s="494"/>
      <c r="C6" s="494"/>
      <c r="D6" s="458"/>
      <c r="E6" s="458"/>
      <c r="F6" s="458"/>
      <c r="G6" s="144" t="s">
        <v>50</v>
      </c>
      <c r="H6" s="422">
        <v>25</v>
      </c>
      <c r="I6" s="42" t="s">
        <v>11</v>
      </c>
      <c r="J6" s="162"/>
      <c r="K6" s="411">
        <f>IFERROR(IF(OR(H5="",H6=""),"Check NOAEC and LOAEC Data Entry",GEOMEAN(H5:H6)),"Check NOAEC and LOAEC Data Entry")</f>
        <v>1.5811388300841898</v>
      </c>
      <c r="L6" s="238" t="s">
        <v>27</v>
      </c>
      <c r="M6" s="368"/>
      <c r="N6" s="431"/>
      <c r="O6" s="60"/>
      <c r="P6" s="357"/>
      <c r="Q6" s="61"/>
      <c r="R6" s="424"/>
      <c r="S6" s="458"/>
      <c r="AZ6" s="432" t="s">
        <v>57</v>
      </c>
      <c r="BA6" s="397"/>
      <c r="BB6" s="397"/>
      <c r="BC6" s="433" t="s">
        <v>59</v>
      </c>
    </row>
    <row r="7" spans="1:55" s="30" customFormat="1" ht="25.8" x14ac:dyDescent="0.55000000000000004">
      <c r="A7" s="460"/>
      <c r="B7" s="488" t="s">
        <v>31</v>
      </c>
      <c r="C7" s="332" t="s">
        <v>48</v>
      </c>
      <c r="D7" s="318"/>
      <c r="E7" s="318"/>
      <c r="F7" s="318"/>
      <c r="G7" s="140" t="s">
        <v>57</v>
      </c>
      <c r="H7" s="256">
        <v>26</v>
      </c>
      <c r="I7" s="332" t="s">
        <v>12</v>
      </c>
      <c r="J7" s="140" t="str">
        <f>IF(G7="","",G7)</f>
        <v>&gt;</v>
      </c>
      <c r="K7" s="190">
        <f>IF((LEN(TRIM(H7))=0),"--",H7)</f>
        <v>26</v>
      </c>
      <c r="L7" s="332" t="s">
        <v>12</v>
      </c>
      <c r="M7" s="363" t="str">
        <f>G7</f>
        <v>&gt;</v>
      </c>
      <c r="N7" s="82">
        <f>IF((LEN(TRIM(H7))=0),"Enter LC50 in Column H",H7*0.5)</f>
        <v>13</v>
      </c>
      <c r="O7" s="34" t="s">
        <v>51</v>
      </c>
      <c r="P7" s="352"/>
      <c r="Q7" s="268">
        <v>26</v>
      </c>
      <c r="R7" s="159" t="s">
        <v>52</v>
      </c>
      <c r="S7" s="318"/>
      <c r="AZ7" s="427" t="s">
        <v>60</v>
      </c>
      <c r="BA7" s="156"/>
      <c r="BB7" s="156"/>
      <c r="BC7" s="132" t="s">
        <v>61</v>
      </c>
    </row>
    <row r="8" spans="1:55" s="30" customFormat="1" ht="15" customHeight="1" x14ac:dyDescent="0.55000000000000004">
      <c r="A8" s="460"/>
      <c r="B8" s="489"/>
      <c r="C8" s="489" t="s">
        <v>56</v>
      </c>
      <c r="D8" s="457"/>
      <c r="E8" s="457"/>
      <c r="F8" s="457"/>
      <c r="G8" s="141"/>
      <c r="H8" s="345">
        <v>2</v>
      </c>
      <c r="I8" s="329" t="s">
        <v>10</v>
      </c>
      <c r="J8" s="142" t="str">
        <f>IF(G8="","",G8)</f>
        <v/>
      </c>
      <c r="K8" s="190">
        <f>IF((LEN(TRIM(H8))=0),"--",H8)</f>
        <v>2</v>
      </c>
      <c r="L8" s="336" t="s">
        <v>10</v>
      </c>
      <c r="M8" s="364">
        <f>IF(AND(G8="=",G9="="),G8,(IF(G8="&lt;",G8,G9)))</f>
        <v>0</v>
      </c>
      <c r="N8" s="161">
        <f>IF(OR(H8="",H9=""),"Enter NOAEC &amp; LOAEC in Column H", (GEOMEAN(H8:H9)))</f>
        <v>3.7416573867739413</v>
      </c>
      <c r="O8" s="193" t="s">
        <v>27</v>
      </c>
      <c r="P8" s="353"/>
      <c r="Q8" s="37"/>
      <c r="R8" s="35"/>
      <c r="S8" s="457"/>
      <c r="AZ8" s="156"/>
      <c r="BA8" s="156"/>
      <c r="BB8" s="156"/>
      <c r="BC8" s="16" t="s">
        <v>62</v>
      </c>
    </row>
    <row r="9" spans="1:55" s="423" customFormat="1" ht="14.5" customHeight="1" thickBot="1" x14ac:dyDescent="0.6">
      <c r="A9" s="460"/>
      <c r="B9" s="494"/>
      <c r="C9" s="494"/>
      <c r="D9" s="458"/>
      <c r="E9" s="458"/>
      <c r="F9" s="458"/>
      <c r="G9" s="144"/>
      <c r="H9" s="422">
        <v>7</v>
      </c>
      <c r="I9" s="42" t="s">
        <v>11</v>
      </c>
      <c r="J9" s="162"/>
      <c r="K9" s="411">
        <f>IFERROR(IF(OR(H8="",H9=""),"Check NOAEC and LOAEC Data Entry",GEOMEAN(H8:H9)),"Check NOAEC and LOAEC Data Entry")</f>
        <v>3.7416573867739413</v>
      </c>
      <c r="L9" s="238" t="s">
        <v>27</v>
      </c>
      <c r="M9" s="368"/>
      <c r="N9" s="59"/>
      <c r="O9" s="60"/>
      <c r="P9" s="357"/>
      <c r="Q9" s="61"/>
      <c r="R9" s="424"/>
      <c r="S9" s="458"/>
      <c r="AZ9" s="397"/>
      <c r="BA9" s="397"/>
      <c r="BB9" s="397"/>
      <c r="BC9" s="398" t="s">
        <v>63</v>
      </c>
    </row>
    <row r="10" spans="1:55" s="30" customFormat="1" ht="25.8" x14ac:dyDescent="0.55000000000000004">
      <c r="A10" s="460"/>
      <c r="B10" s="491" t="s">
        <v>32</v>
      </c>
      <c r="C10" s="332" t="s">
        <v>48</v>
      </c>
      <c r="D10" s="318"/>
      <c r="E10" s="318"/>
      <c r="F10" s="318"/>
      <c r="G10" s="140"/>
      <c r="H10" s="256">
        <v>4</v>
      </c>
      <c r="I10" s="332" t="s">
        <v>12</v>
      </c>
      <c r="J10" s="140" t="str">
        <f>IF(G10="","",G10)</f>
        <v/>
      </c>
      <c r="K10" s="190">
        <f>IF((LEN(TRIM(H10))=0),"--",H10)</f>
        <v>4</v>
      </c>
      <c r="L10" s="332" t="s">
        <v>12</v>
      </c>
      <c r="M10" s="363">
        <f>G10</f>
        <v>0</v>
      </c>
      <c r="N10" s="82">
        <f>IF((LEN(TRIM(H10))=0),"Enter LC50 in Column H",H10*0.5)</f>
        <v>2</v>
      </c>
      <c r="O10" s="34" t="s">
        <v>51</v>
      </c>
      <c r="P10" s="360"/>
      <c r="Q10" s="267">
        <v>4</v>
      </c>
      <c r="R10" s="62" t="s">
        <v>52</v>
      </c>
      <c r="S10" s="318"/>
      <c r="AZ10" s="156"/>
      <c r="BA10" s="156"/>
      <c r="BB10" s="156"/>
      <c r="BC10" s="132" t="s">
        <v>64</v>
      </c>
    </row>
    <row r="11" spans="1:55" s="30" customFormat="1" ht="13" customHeight="1" x14ac:dyDescent="0.55000000000000004">
      <c r="A11" s="460"/>
      <c r="B11" s="492"/>
      <c r="C11" s="489" t="s">
        <v>56</v>
      </c>
      <c r="D11" s="495"/>
      <c r="E11" s="495"/>
      <c r="F11" s="495"/>
      <c r="G11" s="141"/>
      <c r="H11" s="345">
        <v>1</v>
      </c>
      <c r="I11" s="329" t="s">
        <v>10</v>
      </c>
      <c r="J11" s="142" t="str">
        <f>IF(G11="","",G11)</f>
        <v/>
      </c>
      <c r="K11" s="190">
        <f>IF((LEN(TRIM(H11))=0),"--",H11)</f>
        <v>1</v>
      </c>
      <c r="L11" s="336" t="s">
        <v>10</v>
      </c>
      <c r="M11" s="364">
        <f>IF(AND(G11="=",G12="="),G11,(IF(G11="&lt;",G11,G12)))</f>
        <v>0</v>
      </c>
      <c r="N11" s="161">
        <f>IF(OR(H11="",H12=""),"Enter NOAEC &amp; LOAEC in Column H", (GEOMEAN(H11:H12)))</f>
        <v>2.6457513110645907</v>
      </c>
      <c r="O11" s="193" t="s">
        <v>27</v>
      </c>
      <c r="P11" s="356"/>
      <c r="Q11" s="38"/>
      <c r="R11" s="79"/>
      <c r="S11" s="486"/>
      <c r="AZ11" s="156"/>
      <c r="BA11" s="156"/>
      <c r="BB11" s="156"/>
      <c r="BC11" s="16" t="s">
        <v>18</v>
      </c>
    </row>
    <row r="12" spans="1:55" s="423" customFormat="1" ht="15" customHeight="1" thickBot="1" x14ac:dyDescent="0.6">
      <c r="A12" s="461"/>
      <c r="B12" s="493"/>
      <c r="C12" s="494"/>
      <c r="D12" s="496"/>
      <c r="E12" s="496"/>
      <c r="F12" s="496"/>
      <c r="G12" s="144"/>
      <c r="H12" s="422">
        <v>7</v>
      </c>
      <c r="I12" s="42" t="s">
        <v>11</v>
      </c>
      <c r="J12" s="162"/>
      <c r="K12" s="411">
        <f>IFERROR(IF(OR(H11="",H12=""),"Check NOAEC and LOAEC Data Entry",GEOMEAN(H11:H12)),"Check NOAEC and LOAEC Data Entry")</f>
        <v>2.6457513110645907</v>
      </c>
      <c r="L12" s="238" t="s">
        <v>27</v>
      </c>
      <c r="M12" s="368"/>
      <c r="N12" s="59"/>
      <c r="O12" s="60"/>
      <c r="P12" s="357"/>
      <c r="Q12" s="65"/>
      <c r="R12" s="80"/>
      <c r="S12" s="487"/>
      <c r="AZ12" s="397"/>
      <c r="BA12" s="397"/>
      <c r="BB12" s="397"/>
      <c r="BC12" s="398" t="s">
        <v>65</v>
      </c>
    </row>
    <row r="13" spans="1:55" s="383" customFormat="1" ht="25.8" x14ac:dyDescent="0.55000000000000004">
      <c r="A13" s="488" t="s">
        <v>66</v>
      </c>
      <c r="B13" s="481" t="s">
        <v>3199</v>
      </c>
      <c r="C13" s="24" t="s">
        <v>3205</v>
      </c>
      <c r="D13" s="271" t="s">
        <v>17</v>
      </c>
      <c r="E13" s="271"/>
      <c r="F13" s="272"/>
      <c r="G13" s="143"/>
      <c r="H13" s="258">
        <v>200</v>
      </c>
      <c r="I13" s="24" t="s">
        <v>67</v>
      </c>
      <c r="J13" s="145" t="str">
        <f>IF(G13="","",G13)</f>
        <v/>
      </c>
      <c r="K13" s="376">
        <f>IF((LEN(TRIM(H13))=0),"--",H13)</f>
        <v>200</v>
      </c>
      <c r="L13" s="24" t="s">
        <v>9</v>
      </c>
      <c r="M13" s="366">
        <f>G13</f>
        <v>0</v>
      </c>
      <c r="N13" s="412">
        <f>IF((LEN(TRIM(H13))=0),"Enter LC50 in Column H",H13*0.5)</f>
        <v>100</v>
      </c>
      <c r="O13" s="413" t="s">
        <v>51</v>
      </c>
      <c r="P13" s="377"/>
      <c r="Q13" s="418">
        <v>200</v>
      </c>
      <c r="R13" s="330" t="s">
        <v>52</v>
      </c>
      <c r="S13" s="272"/>
      <c r="T13" s="382"/>
      <c r="AZ13" s="384"/>
      <c r="BA13" s="384"/>
      <c r="BB13" s="384"/>
      <c r="BC13" s="385" t="s">
        <v>68</v>
      </c>
    </row>
    <row r="14" spans="1:55" s="155" customFormat="1" ht="14.4" x14ac:dyDescent="0.55000000000000004">
      <c r="A14" s="489"/>
      <c r="B14" s="482"/>
      <c r="C14" s="467" t="s">
        <v>69</v>
      </c>
      <c r="D14" s="469" t="s">
        <v>17</v>
      </c>
      <c r="E14" s="469"/>
      <c r="F14" s="457"/>
      <c r="G14" s="141" t="s">
        <v>57</v>
      </c>
      <c r="H14" s="259">
        <v>0.1</v>
      </c>
      <c r="I14" s="319" t="s">
        <v>10</v>
      </c>
      <c r="J14" s="146" t="str">
        <f>IF(G14="","",G14)</f>
        <v>&gt;</v>
      </c>
      <c r="K14" s="190">
        <f>IF((LEN(TRIM(H14))=0),"--",H14)</f>
        <v>0.1</v>
      </c>
      <c r="L14" s="334" t="s">
        <v>10</v>
      </c>
      <c r="M14" s="364" t="str">
        <f>IF(AND(G14="=",G15="="),G14,(IF(G14="&lt;",G14,G15)))</f>
        <v>=</v>
      </c>
      <c r="N14" s="161">
        <f>IF(OR(H14="",H15=""),"Enter NOAEC &amp; LOAEC in Column H", (GEOMEAN(H14:H15)))</f>
        <v>0.70710678118654757</v>
      </c>
      <c r="O14" s="48" t="s">
        <v>27</v>
      </c>
      <c r="P14" s="353"/>
      <c r="Q14" s="37"/>
      <c r="R14" s="36"/>
      <c r="S14" s="457"/>
      <c r="T14" s="154"/>
      <c r="AZ14" s="156"/>
      <c r="BA14" s="156"/>
      <c r="BB14" s="156"/>
      <c r="BC14" s="16" t="s">
        <v>70</v>
      </c>
    </row>
    <row r="15" spans="1:55" s="155" customFormat="1" ht="14.4" x14ac:dyDescent="0.55000000000000004">
      <c r="A15" s="489"/>
      <c r="B15" s="482"/>
      <c r="C15" s="467"/>
      <c r="D15" s="490"/>
      <c r="E15" s="490"/>
      <c r="F15" s="463"/>
      <c r="G15" s="141" t="s">
        <v>50</v>
      </c>
      <c r="H15" s="259">
        <v>5</v>
      </c>
      <c r="I15" s="192" t="s">
        <v>11</v>
      </c>
      <c r="J15" s="147"/>
      <c r="K15" s="237">
        <f>IFERROR(IF(OR(H14="",H15=""),"Check NOAEC and LOAEC Data Entry",GEOMEAN(H14:H15)),"Check NOAEC and LOAEC Data Entry")</f>
        <v>0.70710678118654757</v>
      </c>
      <c r="L15" s="236" t="s">
        <v>27</v>
      </c>
      <c r="M15" s="365"/>
      <c r="N15" s="46"/>
      <c r="O15" s="45"/>
      <c r="P15" s="354"/>
      <c r="Q15" s="37"/>
      <c r="R15" s="36"/>
      <c r="S15" s="463"/>
      <c r="T15" s="154"/>
      <c r="AZ15" s="156"/>
      <c r="BA15" s="156"/>
      <c r="BB15" s="156"/>
      <c r="BC15" s="16" t="s">
        <v>71</v>
      </c>
    </row>
    <row r="16" spans="1:55" s="154" customFormat="1" ht="25.8" x14ac:dyDescent="0.55000000000000004">
      <c r="A16" s="489"/>
      <c r="B16" s="482"/>
      <c r="C16" s="325" t="s">
        <v>3206</v>
      </c>
      <c r="D16" s="273" t="s">
        <v>18</v>
      </c>
      <c r="E16" s="273"/>
      <c r="F16" s="331"/>
      <c r="G16" s="141" t="s">
        <v>57</v>
      </c>
      <c r="H16" s="260">
        <v>0.01</v>
      </c>
      <c r="I16" s="325" t="s">
        <v>9</v>
      </c>
      <c r="J16" s="148" t="str">
        <f>IF(G16="","",G16)</f>
        <v>&gt;</v>
      </c>
      <c r="K16" s="190">
        <f>IF((LEN(TRIM(H16))=0),"--",H16)</f>
        <v>0.01</v>
      </c>
      <c r="L16" s="40" t="s">
        <v>9</v>
      </c>
      <c r="M16" s="363" t="str">
        <f>G16</f>
        <v>&gt;</v>
      </c>
      <c r="N16" s="82">
        <f>IF((LEN(TRIM(H16))=0),"Enter LC50 in Column H",H16*0.5)</f>
        <v>5.0000000000000001E-3</v>
      </c>
      <c r="O16" s="34" t="s">
        <v>51</v>
      </c>
      <c r="P16" s="314"/>
      <c r="Q16" s="269">
        <v>0.01</v>
      </c>
      <c r="R16" s="327" t="s">
        <v>52</v>
      </c>
      <c r="S16" s="331"/>
      <c r="AZ16" s="156"/>
      <c r="BA16" s="156"/>
      <c r="BB16" s="156"/>
      <c r="BC16" s="16" t="s">
        <v>72</v>
      </c>
    </row>
    <row r="17" spans="1:55" s="154" customFormat="1" ht="14.4" x14ac:dyDescent="0.55000000000000004">
      <c r="A17" s="489"/>
      <c r="B17" s="482"/>
      <c r="C17" s="479" t="s">
        <v>3207</v>
      </c>
      <c r="D17" s="469" t="s">
        <v>18</v>
      </c>
      <c r="E17" s="469"/>
      <c r="F17" s="457"/>
      <c r="G17" s="141"/>
      <c r="H17" s="259">
        <v>2</v>
      </c>
      <c r="I17" s="319" t="s">
        <v>10</v>
      </c>
      <c r="J17" s="149" t="str">
        <f>IF(G17="","",G17)</f>
        <v/>
      </c>
      <c r="K17" s="190">
        <f>IF((LEN(TRIM(H17))=0),"--",H17)</f>
        <v>2</v>
      </c>
      <c r="L17" s="333" t="s">
        <v>10</v>
      </c>
      <c r="M17" s="364">
        <f>IF(AND(G17="=",G18="="),G17,(IF(G17="&lt;",G17,G18)))</f>
        <v>0</v>
      </c>
      <c r="N17" s="161">
        <f>IF(OR(H17="",H18=""),"Enter NOAEC &amp; LOAEC in Column H", (GEOMEAN(H17:H18)))</f>
        <v>4.6904157598234297</v>
      </c>
      <c r="O17" s="48" t="s">
        <v>27</v>
      </c>
      <c r="P17" s="353"/>
      <c r="Q17" s="37"/>
      <c r="R17" s="36"/>
      <c r="S17" s="457"/>
      <c r="AZ17" s="156"/>
      <c r="BA17" s="156"/>
      <c r="BB17" s="156"/>
      <c r="BC17" s="16" t="s">
        <v>73</v>
      </c>
    </row>
    <row r="18" spans="1:55" s="396" customFormat="1" ht="14.7" thickBot="1" x14ac:dyDescent="0.6">
      <c r="A18" s="489"/>
      <c r="B18" s="483"/>
      <c r="C18" s="497"/>
      <c r="D18" s="470"/>
      <c r="E18" s="470"/>
      <c r="F18" s="458"/>
      <c r="G18" s="144"/>
      <c r="H18" s="262">
        <v>11</v>
      </c>
      <c r="I18" s="78" t="s">
        <v>11</v>
      </c>
      <c r="J18" s="152"/>
      <c r="K18" s="411">
        <f>IFERROR(IF(OR(H17="",H18=""),"Check NOAEC and LOAEC Data Entry",GEOMEAN(H17:H18)),"Check NOAEC and LOAEC Data Entry")</f>
        <v>4.6904157598234297</v>
      </c>
      <c r="L18" s="238" t="s">
        <v>27</v>
      </c>
      <c r="M18" s="368"/>
      <c r="N18" s="59"/>
      <c r="O18" s="58"/>
      <c r="P18" s="357"/>
      <c r="Q18" s="61"/>
      <c r="R18" s="65"/>
      <c r="S18" s="458"/>
      <c r="AZ18" s="397"/>
      <c r="BA18" s="397"/>
      <c r="BB18" s="397"/>
      <c r="BC18" s="398" t="s">
        <v>74</v>
      </c>
    </row>
    <row r="19" spans="1:55" s="154" customFormat="1" ht="25.8" x14ac:dyDescent="0.55000000000000004">
      <c r="A19" s="489"/>
      <c r="B19" s="481" t="s">
        <v>4</v>
      </c>
      <c r="C19" s="40" t="s">
        <v>75</v>
      </c>
      <c r="D19" s="320" t="s">
        <v>18</v>
      </c>
      <c r="E19" s="320"/>
      <c r="F19" s="318"/>
      <c r="G19" s="140" t="s">
        <v>57</v>
      </c>
      <c r="H19" s="417">
        <v>5</v>
      </c>
      <c r="I19" s="40" t="s">
        <v>12</v>
      </c>
      <c r="J19" s="148" t="str">
        <f>IF(G19="","",G19)</f>
        <v>&gt;</v>
      </c>
      <c r="K19" s="190">
        <f>IF((LEN(TRIM(H19))=0),"--",H19)</f>
        <v>5</v>
      </c>
      <c r="L19" s="40" t="s">
        <v>12</v>
      </c>
      <c r="M19" s="363" t="str">
        <f>G19</f>
        <v>&gt;</v>
      </c>
      <c r="N19" s="82">
        <f>IF((LEN(TRIM(H19))=0),"Enter LC50 in Column H",H19*0.5)</f>
        <v>2.5</v>
      </c>
      <c r="O19" s="34" t="s">
        <v>51</v>
      </c>
      <c r="P19" s="352"/>
      <c r="Q19" s="268">
        <v>5</v>
      </c>
      <c r="R19" s="159" t="s">
        <v>52</v>
      </c>
      <c r="S19" s="318"/>
      <c r="AZ19" s="156"/>
      <c r="BA19" s="156"/>
      <c r="BB19" s="156"/>
      <c r="BC19" s="132" t="s">
        <v>76</v>
      </c>
    </row>
    <row r="20" spans="1:55" s="154" customFormat="1" ht="13" customHeight="1" x14ac:dyDescent="0.55000000000000004">
      <c r="A20" s="489"/>
      <c r="B20" s="482"/>
      <c r="C20" s="479" t="s">
        <v>77</v>
      </c>
      <c r="D20" s="469" t="s">
        <v>18</v>
      </c>
      <c r="E20" s="469"/>
      <c r="F20" s="457"/>
      <c r="G20" s="141"/>
      <c r="H20" s="259">
        <v>10</v>
      </c>
      <c r="I20" s="325" t="s">
        <v>10</v>
      </c>
      <c r="J20" s="149" t="str">
        <f>IF(G20="","",G20)</f>
        <v/>
      </c>
      <c r="K20" s="190">
        <f>IF((LEN(TRIM(H20))=0),"--",H20)</f>
        <v>10</v>
      </c>
      <c r="L20" s="333" t="s">
        <v>10</v>
      </c>
      <c r="M20" s="364">
        <f>IF(AND(G20="=",G21="="),G20,(IF(G20="&lt;",G20,G21)))</f>
        <v>0</v>
      </c>
      <c r="N20" s="161">
        <f>IF(OR(H20="",H21=""),"Enter NOAEC &amp; LOAEC in Column H", (GEOMEAN(H20:H21)))</f>
        <v>14.142135623730951</v>
      </c>
      <c r="O20" s="50" t="s">
        <v>15</v>
      </c>
      <c r="P20" s="356"/>
      <c r="Q20" s="37"/>
      <c r="R20" s="39"/>
      <c r="S20" s="457"/>
      <c r="AZ20" s="156"/>
      <c r="BA20" s="156"/>
      <c r="BB20" s="156"/>
      <c r="BC20" s="16" t="s">
        <v>78</v>
      </c>
    </row>
    <row r="21" spans="1:55" s="396" customFormat="1" ht="14.7" thickBot="1" x14ac:dyDescent="0.6">
      <c r="A21" s="489"/>
      <c r="B21" s="483"/>
      <c r="C21" s="497"/>
      <c r="D21" s="470"/>
      <c r="E21" s="470"/>
      <c r="F21" s="458"/>
      <c r="G21" s="144"/>
      <c r="H21" s="262">
        <v>20</v>
      </c>
      <c r="I21" s="56" t="s">
        <v>11</v>
      </c>
      <c r="J21" s="152"/>
      <c r="K21" s="411">
        <f>IFERROR(IF(OR(H20="",H21=""),"Check NOAEC and LOAEC Data Entry",GEOMEAN(H20:H21)),"Check NOAEC and LOAEC Data Entry")</f>
        <v>14.142135623730951</v>
      </c>
      <c r="L21" s="238" t="s">
        <v>27</v>
      </c>
      <c r="M21" s="368"/>
      <c r="N21" s="59"/>
      <c r="O21" s="57"/>
      <c r="P21" s="357"/>
      <c r="Q21" s="61"/>
      <c r="R21" s="420"/>
      <c r="S21" s="458"/>
      <c r="AZ21" s="397"/>
      <c r="BA21" s="397"/>
      <c r="BB21" s="397"/>
      <c r="BC21" s="398" t="s">
        <v>79</v>
      </c>
    </row>
    <row r="22" spans="1:55" s="154" customFormat="1" ht="25.8" x14ac:dyDescent="0.55000000000000004">
      <c r="A22" s="489"/>
      <c r="B22" s="464" t="s">
        <v>5</v>
      </c>
      <c r="C22" s="416" t="s">
        <v>80</v>
      </c>
      <c r="D22" s="322" t="s">
        <v>55</v>
      </c>
      <c r="E22" s="322"/>
      <c r="F22" s="318"/>
      <c r="G22" s="140" t="s">
        <v>50</v>
      </c>
      <c r="H22" s="417">
        <v>2E-3</v>
      </c>
      <c r="I22" s="40" t="s">
        <v>12</v>
      </c>
      <c r="J22" s="148" t="str">
        <f>IF(G22="","",G22)</f>
        <v>=</v>
      </c>
      <c r="K22" s="190">
        <f>IF((LEN(TRIM(H22))=0),"--",H22)</f>
        <v>2E-3</v>
      </c>
      <c r="L22" s="40" t="s">
        <v>12</v>
      </c>
      <c r="M22" s="363" t="str">
        <f>G22</f>
        <v>=</v>
      </c>
      <c r="N22" s="82">
        <f>IF((LEN(TRIM(H22))=0),"Enter LC50 in Column H",H22*0.5)</f>
        <v>1E-3</v>
      </c>
      <c r="O22" s="34" t="s">
        <v>51</v>
      </c>
      <c r="P22" s="352"/>
      <c r="Q22" s="268">
        <v>2E-3</v>
      </c>
      <c r="R22" s="159" t="s">
        <v>52</v>
      </c>
      <c r="S22" s="318"/>
      <c r="AZ22" s="156"/>
      <c r="BA22" s="156"/>
      <c r="BB22" s="156"/>
      <c r="BC22" s="132" t="s">
        <v>81</v>
      </c>
    </row>
    <row r="23" spans="1:55" s="154" customFormat="1" ht="12.9" customHeight="1" x14ac:dyDescent="0.55000000000000004">
      <c r="A23" s="489"/>
      <c r="B23" s="465"/>
      <c r="C23" s="467" t="s">
        <v>82</v>
      </c>
      <c r="D23" s="471" t="s">
        <v>55</v>
      </c>
      <c r="E23" s="471"/>
      <c r="F23" s="457"/>
      <c r="G23" s="141"/>
      <c r="H23" s="259">
        <v>0.01</v>
      </c>
      <c r="I23" s="325" t="s">
        <v>10</v>
      </c>
      <c r="J23" s="149" t="str">
        <f>IF(G23="","",G23)</f>
        <v/>
      </c>
      <c r="K23" s="190">
        <f>IF((LEN(TRIM(H23))=0),"--",H23)</f>
        <v>0.01</v>
      </c>
      <c r="L23" s="333" t="s">
        <v>10</v>
      </c>
      <c r="M23" s="364">
        <f>IF(AND(G23="=",G24="="),G23,(IF(G23="&lt;",G23,G24)))</f>
        <v>0</v>
      </c>
      <c r="N23" s="161">
        <f>IF(OR(H23="",H24=""),"Enter NOAEC &amp; LOAEC in Column H", (GEOMEAN(H23:H24)))</f>
        <v>1.4142135623730951E-2</v>
      </c>
      <c r="O23" s="50" t="s">
        <v>15</v>
      </c>
      <c r="P23" s="353"/>
      <c r="Q23" s="37"/>
      <c r="R23" s="39"/>
      <c r="S23" s="457"/>
      <c r="AZ23" s="156"/>
      <c r="BA23" s="156"/>
      <c r="BB23" s="156"/>
      <c r="BC23" s="16" t="s">
        <v>83</v>
      </c>
    </row>
    <row r="24" spans="1:55" s="396" customFormat="1" ht="14.7" thickBot="1" x14ac:dyDescent="0.6">
      <c r="A24" s="489"/>
      <c r="B24" s="466"/>
      <c r="C24" s="468"/>
      <c r="D24" s="472"/>
      <c r="E24" s="472"/>
      <c r="F24" s="458"/>
      <c r="G24" s="144"/>
      <c r="H24" s="262">
        <v>0.02</v>
      </c>
      <c r="I24" s="56" t="s">
        <v>11</v>
      </c>
      <c r="J24" s="152"/>
      <c r="K24" s="411">
        <f>IFERROR(IF(OR(H23="",H24=""),"Check NOAEC and LOAEC Data Entry",GEOMEAN(H23:H24)),"Check NOAEC and LOAEC Data Entry")</f>
        <v>1.4142135623730951E-2</v>
      </c>
      <c r="L24" s="238" t="s">
        <v>27</v>
      </c>
      <c r="M24" s="368"/>
      <c r="N24" s="59"/>
      <c r="O24" s="57"/>
      <c r="P24" s="419"/>
      <c r="Q24" s="61"/>
      <c r="R24" s="420"/>
      <c r="S24" s="458"/>
      <c r="AZ24" s="397"/>
      <c r="BA24" s="397"/>
      <c r="BB24" s="397"/>
      <c r="BC24" s="398" t="s">
        <v>84</v>
      </c>
    </row>
    <row r="25" spans="1:55" s="154" customFormat="1" ht="25.8" x14ac:dyDescent="0.55000000000000004">
      <c r="A25" s="489"/>
      <c r="B25" s="464" t="s">
        <v>6</v>
      </c>
      <c r="C25" s="416" t="s">
        <v>80</v>
      </c>
      <c r="D25" s="320" t="s">
        <v>85</v>
      </c>
      <c r="E25" s="320"/>
      <c r="F25" s="318"/>
      <c r="G25" s="140" t="s">
        <v>57</v>
      </c>
      <c r="H25" s="417">
        <v>9</v>
      </c>
      <c r="I25" s="40" t="s">
        <v>12</v>
      </c>
      <c r="J25" s="148" t="str">
        <f>IF(G25="","",G25)</f>
        <v>&gt;</v>
      </c>
      <c r="K25" s="190">
        <f>IF((LEN(TRIM(H25))=0),"--",H25)</f>
        <v>9</v>
      </c>
      <c r="L25" s="40" t="s">
        <v>12</v>
      </c>
      <c r="M25" s="363" t="str">
        <f>G25</f>
        <v>&gt;</v>
      </c>
      <c r="N25" s="82">
        <f>IF((LEN(TRIM(H25))=0),"Enter LC50 in Column H",H25*0.5)</f>
        <v>4.5</v>
      </c>
      <c r="O25" s="34" t="s">
        <v>51</v>
      </c>
      <c r="P25" s="360"/>
      <c r="Q25" s="267">
        <v>9</v>
      </c>
      <c r="R25" s="62" t="s">
        <v>52</v>
      </c>
      <c r="S25" s="318"/>
      <c r="AZ25" s="156"/>
      <c r="BA25" s="156"/>
      <c r="BB25" s="156"/>
      <c r="BC25" s="132" t="s">
        <v>86</v>
      </c>
    </row>
    <row r="26" spans="1:55" s="154" customFormat="1" ht="13" customHeight="1" x14ac:dyDescent="0.55000000000000004">
      <c r="A26" s="489"/>
      <c r="B26" s="465"/>
      <c r="C26" s="467" t="s">
        <v>82</v>
      </c>
      <c r="D26" s="469" t="s">
        <v>55</v>
      </c>
      <c r="E26" s="469"/>
      <c r="F26" s="457"/>
      <c r="G26" s="141"/>
      <c r="H26" s="259">
        <v>10</v>
      </c>
      <c r="I26" s="325" t="s">
        <v>10</v>
      </c>
      <c r="J26" s="149" t="str">
        <f>IF(G26="","",G26)</f>
        <v/>
      </c>
      <c r="K26" s="190">
        <f>IF((LEN(TRIM(H26))=0),"--",H26)</f>
        <v>10</v>
      </c>
      <c r="L26" s="333" t="s">
        <v>10</v>
      </c>
      <c r="M26" s="364">
        <f>IF(AND(G26="=",G27="="),G26,(IF(G26="&lt;",G26,G27)))</f>
        <v>0</v>
      </c>
      <c r="N26" s="161">
        <f>IF(OR(H26="",H27=""),"Enter NOAEC &amp; LOAEC in Column H", (GEOMEAN(H26:H27)))</f>
        <v>14.142135623730951</v>
      </c>
      <c r="O26" s="50" t="s">
        <v>15</v>
      </c>
      <c r="P26" s="356"/>
      <c r="Q26" s="54"/>
      <c r="R26" s="41"/>
      <c r="S26" s="457"/>
      <c r="AZ26" s="156"/>
      <c r="BA26" s="156"/>
      <c r="BB26" s="156"/>
      <c r="BC26" s="16" t="s">
        <v>87</v>
      </c>
    </row>
    <row r="27" spans="1:55" s="396" customFormat="1" ht="14.7" thickBot="1" x14ac:dyDescent="0.6">
      <c r="A27" s="489"/>
      <c r="B27" s="466"/>
      <c r="C27" s="468"/>
      <c r="D27" s="470"/>
      <c r="E27" s="470"/>
      <c r="F27" s="458"/>
      <c r="G27" s="144"/>
      <c r="H27" s="262">
        <v>20</v>
      </c>
      <c r="I27" s="56" t="s">
        <v>11</v>
      </c>
      <c r="J27" s="152"/>
      <c r="K27" s="411">
        <f>IFERROR(IF(OR(H26="",H27=""),"Check NOAEC and LOAEC Data Entry",GEOMEAN(H26:H27)),"Check NOAEC and LOAEC Data Entry")</f>
        <v>14.142135623730951</v>
      </c>
      <c r="L27" s="238" t="s">
        <v>27</v>
      </c>
      <c r="M27" s="368"/>
      <c r="N27" s="59"/>
      <c r="O27" s="57"/>
      <c r="P27" s="357"/>
      <c r="Q27" s="61"/>
      <c r="R27" s="66"/>
      <c r="S27" s="458"/>
      <c r="AZ27" s="397"/>
      <c r="BA27" s="397"/>
      <c r="BB27" s="397"/>
      <c r="BC27" s="398" t="s">
        <v>88</v>
      </c>
    </row>
    <row r="28" spans="1:55" s="154" customFormat="1" ht="13" customHeight="1" x14ac:dyDescent="0.55000000000000004">
      <c r="A28" s="489"/>
      <c r="B28" s="481" t="s">
        <v>7</v>
      </c>
      <c r="C28" s="484" t="s">
        <v>3208</v>
      </c>
      <c r="D28" s="485" t="s">
        <v>19</v>
      </c>
      <c r="E28" s="485"/>
      <c r="F28" s="462"/>
      <c r="G28" s="140"/>
      <c r="H28" s="263">
        <v>1000</v>
      </c>
      <c r="I28" s="40" t="s">
        <v>10</v>
      </c>
      <c r="J28" s="151" t="str">
        <f>IF(G28="","",G28)</f>
        <v/>
      </c>
      <c r="K28" s="190">
        <f>IF((LEN(TRIM(H28))=0),"--",H28)</f>
        <v>1000</v>
      </c>
      <c r="L28" s="51" t="s">
        <v>10</v>
      </c>
      <c r="M28" s="367">
        <f>IF(AND(G28="=",G29="="),G28,(IF(G28="&lt;",G28,G29)))</f>
        <v>0</v>
      </c>
      <c r="N28" s="160">
        <f>IF(OR(H28="",H29=""),"Enter NOAEC &amp; LOAEC in Column H", (GEOMEAN(H28:H29)))</f>
        <v>1414.2135623730951</v>
      </c>
      <c r="O28" s="52" t="s">
        <v>15</v>
      </c>
      <c r="P28" s="353"/>
      <c r="Q28" s="37"/>
      <c r="R28" s="43"/>
      <c r="S28" s="462"/>
      <c r="AZ28" s="156"/>
      <c r="BA28" s="156"/>
      <c r="BB28" s="156"/>
      <c r="BC28" s="132" t="s">
        <v>89</v>
      </c>
    </row>
    <row r="29" spans="1:55" s="154" customFormat="1" ht="14.4" x14ac:dyDescent="0.55000000000000004">
      <c r="A29" s="489"/>
      <c r="B29" s="482"/>
      <c r="C29" s="467"/>
      <c r="D29" s="480"/>
      <c r="E29" s="480"/>
      <c r="F29" s="463"/>
      <c r="G29" s="141"/>
      <c r="H29" s="259">
        <v>2000</v>
      </c>
      <c r="I29" s="194" t="s">
        <v>11</v>
      </c>
      <c r="J29" s="150"/>
      <c r="K29" s="237">
        <f>IFERROR(IF(OR(H28="",H29=""),"Check NOAEC and LOAEC Data Entry",GEOMEAN(H28:H29)),"Check NOAEC and LOAEC Data Entry")</f>
        <v>1414.2135623730951</v>
      </c>
      <c r="L29" s="236" t="s">
        <v>27</v>
      </c>
      <c r="M29" s="365"/>
      <c r="N29" s="46"/>
      <c r="O29" s="49"/>
      <c r="P29" s="358"/>
      <c r="Q29" s="53"/>
      <c r="R29" s="55"/>
      <c r="S29" s="463"/>
      <c r="AZ29" s="156"/>
      <c r="BA29" s="156"/>
      <c r="BB29" s="156"/>
      <c r="BC29" s="16" t="s">
        <v>17</v>
      </c>
    </row>
    <row r="30" spans="1:55" s="154" customFormat="1" ht="13" customHeight="1" x14ac:dyDescent="0.55000000000000004">
      <c r="A30" s="489"/>
      <c r="B30" s="482"/>
      <c r="C30" s="479" t="s">
        <v>3209</v>
      </c>
      <c r="D30" s="477" t="s">
        <v>19</v>
      </c>
      <c r="E30" s="324"/>
      <c r="F30" s="457"/>
      <c r="G30" s="141" t="s">
        <v>50</v>
      </c>
      <c r="H30" s="259">
        <v>2</v>
      </c>
      <c r="I30" s="325" t="s">
        <v>10</v>
      </c>
      <c r="J30" s="151" t="str">
        <f>IF(G30="","",G30)</f>
        <v>=</v>
      </c>
      <c r="K30" s="190">
        <f>IF((LEN(TRIM(H30))=0),"--",H30)</f>
        <v>2</v>
      </c>
      <c r="L30" s="51" t="s">
        <v>10</v>
      </c>
      <c r="M30" s="367" t="str">
        <f>IF(AND(G30="=",G31="="),G30,(IF(G30="&lt;",G30,G31)))</f>
        <v>=</v>
      </c>
      <c r="N30" s="160">
        <f>IF(OR(H30="",H31=""),"Enter NOAEC &amp; LOAEC in Column H", (GEOMEAN(H30:H31)))</f>
        <v>6.4807406984078604</v>
      </c>
      <c r="O30" s="52" t="s">
        <v>15</v>
      </c>
      <c r="P30" s="353"/>
      <c r="Q30" s="37"/>
      <c r="R30" s="43"/>
      <c r="S30" s="457"/>
      <c r="AZ30" s="156"/>
      <c r="BA30" s="156"/>
      <c r="BB30" s="156"/>
      <c r="BC30" s="16" t="s">
        <v>90</v>
      </c>
    </row>
    <row r="31" spans="1:55" s="154" customFormat="1" ht="14.4" x14ac:dyDescent="0.55000000000000004">
      <c r="A31" s="489"/>
      <c r="B31" s="482"/>
      <c r="C31" s="467"/>
      <c r="D31" s="480"/>
      <c r="E31" s="326"/>
      <c r="F31" s="463"/>
      <c r="G31" s="141" t="s">
        <v>50</v>
      </c>
      <c r="H31" s="259">
        <v>21</v>
      </c>
      <c r="I31" s="194" t="s">
        <v>11</v>
      </c>
      <c r="J31" s="150"/>
      <c r="K31" s="237">
        <f>IFERROR(IF(OR(H30="",H31=""),"Check NOAEC and LOAEC Data Entry",GEOMEAN(H30:H31)),"Check NOAEC and LOAEC Data Entry")</f>
        <v>6.4807406984078604</v>
      </c>
      <c r="L31" s="236" t="s">
        <v>27</v>
      </c>
      <c r="M31" s="365"/>
      <c r="N31" s="46"/>
      <c r="O31" s="49"/>
      <c r="P31" s="358"/>
      <c r="Q31" s="53"/>
      <c r="R31" s="55"/>
      <c r="S31" s="463"/>
      <c r="AZ31" s="156"/>
      <c r="BA31" s="156"/>
      <c r="BB31" s="156"/>
      <c r="BC31" s="16" t="s">
        <v>91</v>
      </c>
    </row>
    <row r="32" spans="1:55" s="154" customFormat="1" ht="13" customHeight="1" x14ac:dyDescent="0.55000000000000004">
      <c r="A32" s="489"/>
      <c r="B32" s="482"/>
      <c r="C32" s="479" t="s">
        <v>3210</v>
      </c>
      <c r="D32" s="477" t="s">
        <v>83</v>
      </c>
      <c r="E32" s="477"/>
      <c r="F32" s="457"/>
      <c r="G32" s="141"/>
      <c r="H32" s="259">
        <v>5000</v>
      </c>
      <c r="I32" s="325" t="s">
        <v>10</v>
      </c>
      <c r="J32" s="151" t="str">
        <f>IF(G32="","",G32)</f>
        <v/>
      </c>
      <c r="K32" s="190">
        <f>IF((LEN(TRIM(H32))=0),"--",H32)</f>
        <v>5000</v>
      </c>
      <c r="L32" s="51" t="s">
        <v>10</v>
      </c>
      <c r="M32" s="367">
        <f>IF(AND(G32="=",G33="="),G32,(IF(G32="&lt;",G32,G33)))</f>
        <v>0</v>
      </c>
      <c r="N32" s="160">
        <f>IF(OR(H32="",H33=""),"Enter NOAEC &amp; LOAEC in Column H", (GEOMEAN(H32:H33)))</f>
        <v>5477.2255750516606</v>
      </c>
      <c r="O32" s="52" t="s">
        <v>15</v>
      </c>
      <c r="P32" s="353"/>
      <c r="Q32" s="37"/>
      <c r="R32" s="43"/>
      <c r="S32" s="457"/>
      <c r="AZ32" s="156"/>
      <c r="BA32" s="156"/>
      <c r="BB32" s="156"/>
      <c r="BC32" s="16" t="s">
        <v>89</v>
      </c>
    </row>
    <row r="33" spans="1:55" s="154" customFormat="1" ht="14.4" x14ac:dyDescent="0.55000000000000004">
      <c r="A33" s="489"/>
      <c r="B33" s="482"/>
      <c r="C33" s="467"/>
      <c r="D33" s="480"/>
      <c r="E33" s="480"/>
      <c r="F33" s="463"/>
      <c r="G33" s="141"/>
      <c r="H33" s="259">
        <v>6000</v>
      </c>
      <c r="I33" s="194" t="s">
        <v>11</v>
      </c>
      <c r="J33" s="150"/>
      <c r="K33" s="237">
        <f>IFERROR(IF(OR(H32="",H33=""),"Check NOAEC and LOAEC Data Entry",GEOMEAN(H32:H33)),"Check NOAEC and LOAEC Data Entry")</f>
        <v>5477.2255750516606</v>
      </c>
      <c r="L33" s="236" t="s">
        <v>27</v>
      </c>
      <c r="M33" s="365"/>
      <c r="N33" s="46"/>
      <c r="O33" s="49"/>
      <c r="P33" s="358"/>
      <c r="Q33" s="53"/>
      <c r="R33" s="55"/>
      <c r="S33" s="463"/>
      <c r="AZ33" s="156"/>
      <c r="BA33" s="156"/>
      <c r="BB33" s="156"/>
      <c r="BC33" s="16" t="s">
        <v>17</v>
      </c>
    </row>
    <row r="34" spans="1:55" s="154" customFormat="1" ht="13" customHeight="1" x14ac:dyDescent="0.55000000000000004">
      <c r="A34" s="489"/>
      <c r="B34" s="482"/>
      <c r="C34" s="479" t="s">
        <v>3211</v>
      </c>
      <c r="D34" s="477" t="s">
        <v>83</v>
      </c>
      <c r="E34" s="324"/>
      <c r="F34" s="457"/>
      <c r="G34" s="141" t="s">
        <v>50</v>
      </c>
      <c r="H34" s="259">
        <v>2</v>
      </c>
      <c r="I34" s="325" t="s">
        <v>10</v>
      </c>
      <c r="J34" s="151" t="str">
        <f>IF(G34="","",G34)</f>
        <v>=</v>
      </c>
      <c r="K34" s="190">
        <f>IF((LEN(TRIM(H34))=0),"--",H34)</f>
        <v>2</v>
      </c>
      <c r="L34" s="51" t="s">
        <v>10</v>
      </c>
      <c r="M34" s="367" t="str">
        <f>IF(AND(G34="=",G35="="),G34,(IF(G34="&lt;",G34,G35)))</f>
        <v>=</v>
      </c>
      <c r="N34" s="160">
        <f>IF(OR(H34="",H35=""),"Enter NOAEC &amp; LOAEC in Column H", (GEOMEAN(H34:H35)))</f>
        <v>6.4807406984078604</v>
      </c>
      <c r="O34" s="52" t="s">
        <v>15</v>
      </c>
      <c r="P34" s="353"/>
      <c r="Q34" s="37"/>
      <c r="R34" s="43"/>
      <c r="S34" s="457"/>
      <c r="AZ34" s="156"/>
      <c r="BA34" s="156"/>
      <c r="BB34" s="156"/>
      <c r="BC34" s="16" t="s">
        <v>90</v>
      </c>
    </row>
    <row r="35" spans="1:55" s="154" customFormat="1" ht="14.4" x14ac:dyDescent="0.55000000000000004">
      <c r="A35" s="489"/>
      <c r="B35" s="482"/>
      <c r="C35" s="467"/>
      <c r="D35" s="480"/>
      <c r="E35" s="326"/>
      <c r="F35" s="463"/>
      <c r="G35" s="141" t="s">
        <v>50</v>
      </c>
      <c r="H35" s="259">
        <v>21</v>
      </c>
      <c r="I35" s="194" t="s">
        <v>11</v>
      </c>
      <c r="J35" s="150"/>
      <c r="K35" s="237">
        <f>IFERROR(IF(OR(H34="",H35=""),"Check NOAEC and LOAEC Data Entry",GEOMEAN(H34:H35)),"Check NOAEC and LOAEC Data Entry")</f>
        <v>6.4807406984078604</v>
      </c>
      <c r="L35" s="236" t="s">
        <v>27</v>
      </c>
      <c r="M35" s="365"/>
      <c r="N35" s="46"/>
      <c r="O35" s="49"/>
      <c r="P35" s="358"/>
      <c r="Q35" s="53"/>
      <c r="R35" s="55"/>
      <c r="S35" s="463"/>
      <c r="AZ35" s="156"/>
      <c r="BA35" s="156"/>
      <c r="BB35" s="156"/>
      <c r="BC35" s="16" t="s">
        <v>91</v>
      </c>
    </row>
    <row r="36" spans="1:55" s="155" customFormat="1" ht="13" customHeight="1" x14ac:dyDescent="0.55000000000000004">
      <c r="A36" s="489"/>
      <c r="B36" s="482"/>
      <c r="C36" s="479" t="s">
        <v>3212</v>
      </c>
      <c r="D36" s="477" t="s">
        <v>20</v>
      </c>
      <c r="E36" s="477"/>
      <c r="F36" s="457"/>
      <c r="G36" s="141"/>
      <c r="H36" s="259">
        <v>5500</v>
      </c>
      <c r="I36" s="325" t="s">
        <v>10</v>
      </c>
      <c r="J36" s="151" t="str">
        <f>IF(G36="","",G36)</f>
        <v/>
      </c>
      <c r="K36" s="190">
        <f>IF((LEN(TRIM(H36))=0),"--",H36)</f>
        <v>5500</v>
      </c>
      <c r="L36" s="51" t="s">
        <v>10</v>
      </c>
      <c r="M36" s="367">
        <f>IF(AND(G36="=",G37="="),G36,(IF(G36="&lt;",G36,G37)))</f>
        <v>0</v>
      </c>
      <c r="N36" s="160">
        <f>IF(OR(H36="",H37=""),"Enter NOAEC &amp; LOAEC in Column H", (GEOMEAN(H36:H37)))</f>
        <v>5744.5626465380283</v>
      </c>
      <c r="O36" s="52" t="s">
        <v>15</v>
      </c>
      <c r="P36" s="353"/>
      <c r="Q36" s="37"/>
      <c r="R36" s="43"/>
      <c r="S36" s="457"/>
      <c r="T36" s="154"/>
      <c r="AZ36" s="156"/>
      <c r="BA36" s="156"/>
      <c r="BB36" s="156"/>
      <c r="BC36" s="16" t="s">
        <v>92</v>
      </c>
    </row>
    <row r="37" spans="1:55" s="155" customFormat="1" ht="14.4" x14ac:dyDescent="0.55000000000000004">
      <c r="A37" s="489"/>
      <c r="B37" s="482"/>
      <c r="C37" s="467"/>
      <c r="D37" s="480"/>
      <c r="E37" s="480"/>
      <c r="F37" s="463"/>
      <c r="G37" s="141"/>
      <c r="H37" s="259">
        <v>6000</v>
      </c>
      <c r="I37" s="194" t="s">
        <v>11</v>
      </c>
      <c r="J37" s="150"/>
      <c r="K37" s="237">
        <f>IFERROR(IF(OR(H36="",H37=""),"Check NOAEC and LOAEC Data Entry",GEOMEAN(H36:H37)),"Check NOAEC and LOAEC Data Entry")</f>
        <v>5744.5626465380283</v>
      </c>
      <c r="L37" s="236" t="s">
        <v>27</v>
      </c>
      <c r="M37" s="365"/>
      <c r="N37" s="46"/>
      <c r="O37" s="49"/>
      <c r="P37" s="359"/>
      <c r="Q37" s="201"/>
      <c r="R37" s="202"/>
      <c r="S37" s="463"/>
      <c r="T37" s="154"/>
      <c r="AZ37" s="156"/>
      <c r="BA37" s="156"/>
      <c r="BB37" s="156"/>
      <c r="BC37" s="16" t="s">
        <v>93</v>
      </c>
    </row>
    <row r="38" spans="1:55" s="155" customFormat="1" ht="13" customHeight="1" x14ac:dyDescent="0.55000000000000004">
      <c r="A38" s="489"/>
      <c r="B38" s="482"/>
      <c r="C38" s="479" t="s">
        <v>3213</v>
      </c>
      <c r="D38" s="477" t="s">
        <v>20</v>
      </c>
      <c r="E38" s="477"/>
      <c r="F38" s="457"/>
      <c r="G38" s="142"/>
      <c r="H38" s="261">
        <v>21</v>
      </c>
      <c r="I38" s="333" t="s">
        <v>10</v>
      </c>
      <c r="J38" s="151" t="str">
        <f>IF(G38="","",G38)</f>
        <v/>
      </c>
      <c r="K38" s="190">
        <f>IF((LEN(TRIM(H38))=0),"--",H38)</f>
        <v>21</v>
      </c>
      <c r="L38" s="51" t="s">
        <v>10</v>
      </c>
      <c r="M38" s="367">
        <f>IF(AND(G38="=",G39="="),G38,(IF(G38="&lt;",G38,G39)))</f>
        <v>0</v>
      </c>
      <c r="N38" s="160">
        <f>IF(OR(H38="",H39=""),"Enter NOAEC &amp; LOAEC in Column H", (GEOMEAN(H38:H39)))</f>
        <v>30.397368307141328</v>
      </c>
      <c r="O38" s="52" t="s">
        <v>15</v>
      </c>
      <c r="P38" s="353"/>
      <c r="Q38" s="37"/>
      <c r="R38" s="43"/>
      <c r="S38" s="457"/>
      <c r="T38" s="154"/>
      <c r="AZ38" s="156"/>
      <c r="BA38" s="156"/>
      <c r="BB38" s="156"/>
      <c r="BC38" s="16" t="s">
        <v>94</v>
      </c>
    </row>
    <row r="39" spans="1:55" s="133" customFormat="1" ht="14.7" thickBot="1" x14ac:dyDescent="0.6">
      <c r="A39" s="489"/>
      <c r="B39" s="483"/>
      <c r="C39" s="468"/>
      <c r="D39" s="478"/>
      <c r="E39" s="478"/>
      <c r="F39" s="458"/>
      <c r="G39" s="144"/>
      <c r="H39" s="262">
        <v>44</v>
      </c>
      <c r="I39" s="56" t="s">
        <v>11</v>
      </c>
      <c r="J39" s="152"/>
      <c r="K39" s="411">
        <f>IFERROR(GEOMEAN(H39:H40),"Check NOAEC and LOAEC Data Entry")</f>
        <v>3.8105117766515302</v>
      </c>
      <c r="L39" s="238" t="s">
        <v>27</v>
      </c>
      <c r="M39" s="368"/>
      <c r="N39" s="59"/>
      <c r="O39" s="57"/>
      <c r="P39" s="357"/>
      <c r="Q39" s="61"/>
      <c r="R39" s="66"/>
      <c r="S39" s="458"/>
      <c r="T39" s="396"/>
      <c r="AZ39" s="397"/>
      <c r="BA39" s="397"/>
      <c r="BB39" s="397"/>
      <c r="BC39" s="398" t="s">
        <v>95</v>
      </c>
    </row>
    <row r="40" spans="1:55" s="383" customFormat="1" ht="25.8" x14ac:dyDescent="0.55000000000000004">
      <c r="A40" s="473" t="s">
        <v>2</v>
      </c>
      <c r="B40" s="474"/>
      <c r="C40" s="24" t="s">
        <v>864</v>
      </c>
      <c r="D40" s="374"/>
      <c r="E40" s="374"/>
      <c r="F40" s="272"/>
      <c r="G40" s="143"/>
      <c r="H40" s="375">
        <v>0.33</v>
      </c>
      <c r="I40" s="328" t="s">
        <v>96</v>
      </c>
      <c r="J40" s="143"/>
      <c r="K40" s="376">
        <f>IF((LEN(TRIM(H41))=0),"--",H41)</f>
        <v>0.1</v>
      </c>
      <c r="L40" s="328" t="s">
        <v>97</v>
      </c>
      <c r="M40" s="377"/>
      <c r="N40" s="375">
        <v>0.33</v>
      </c>
      <c r="O40" s="328" t="s">
        <v>98</v>
      </c>
      <c r="P40" s="378"/>
      <c r="Q40" s="379">
        <v>0.33</v>
      </c>
      <c r="R40" s="380" t="s">
        <v>99</v>
      </c>
      <c r="S40" s="381"/>
      <c r="T40" s="382"/>
      <c r="AZ40" s="384"/>
      <c r="BA40" s="384"/>
      <c r="BB40" s="384"/>
      <c r="BC40" s="385" t="s">
        <v>20</v>
      </c>
    </row>
    <row r="41" spans="1:55" s="155" customFormat="1" ht="14.4" x14ac:dyDescent="0.55000000000000004">
      <c r="A41" s="475"/>
      <c r="B41" s="476"/>
      <c r="C41" s="51"/>
      <c r="D41" s="275"/>
      <c r="E41" s="275"/>
      <c r="F41" s="337"/>
      <c r="G41" s="153"/>
      <c r="H41" s="259">
        <v>0.1</v>
      </c>
      <c r="I41" s="329" t="s">
        <v>10</v>
      </c>
      <c r="J41" s="153"/>
      <c r="K41" s="237">
        <f>IFERROR(GEOMEAN(H41:H42),"Check NOAEC and LOAEC Data Entry")</f>
        <v>0.14142135623730953</v>
      </c>
      <c r="L41" s="329" t="s">
        <v>27</v>
      </c>
      <c r="M41" s="360"/>
      <c r="N41" s="347"/>
      <c r="O41" s="243"/>
      <c r="P41" s="360"/>
      <c r="Q41" s="349"/>
      <c r="R41" s="62"/>
      <c r="S41" s="277"/>
      <c r="T41" s="154"/>
      <c r="AZ41" s="156"/>
      <c r="BA41" s="156"/>
      <c r="BB41" s="156"/>
      <c r="BC41" s="16"/>
    </row>
    <row r="42" spans="1:55" s="155" customFormat="1" ht="14.4" x14ac:dyDescent="0.55000000000000004">
      <c r="A42" s="475"/>
      <c r="B42" s="476"/>
      <c r="C42" s="51"/>
      <c r="D42" s="275"/>
      <c r="E42" s="275"/>
      <c r="F42" s="337"/>
      <c r="G42" s="153"/>
      <c r="H42" s="259">
        <v>0.2</v>
      </c>
      <c r="I42" s="329" t="s">
        <v>11</v>
      </c>
      <c r="J42" s="153"/>
      <c r="K42" s="265"/>
      <c r="L42" s="243"/>
      <c r="M42" s="360"/>
      <c r="N42" s="347"/>
      <c r="O42" s="243"/>
      <c r="P42" s="360"/>
      <c r="Q42" s="349"/>
      <c r="R42" s="62"/>
      <c r="S42" s="277"/>
      <c r="T42" s="154"/>
      <c r="AZ42" s="156"/>
      <c r="BA42" s="156"/>
      <c r="BB42" s="156"/>
      <c r="BC42" s="16"/>
    </row>
    <row r="43" spans="1:55" s="155" customFormat="1" ht="26.1" thickBot="1" x14ac:dyDescent="0.6">
      <c r="A43" s="475"/>
      <c r="B43" s="476"/>
      <c r="C43" s="250" t="s">
        <v>100</v>
      </c>
      <c r="D43" s="321"/>
      <c r="E43" s="321"/>
      <c r="F43" s="317"/>
      <c r="G43" s="144"/>
      <c r="H43" s="262">
        <v>1.1000000000000001</v>
      </c>
      <c r="I43" s="341" t="s">
        <v>96</v>
      </c>
      <c r="J43" s="144"/>
      <c r="K43" s="190">
        <f>IF((LEN(TRIM(H44))=0),"--",H44)</f>
        <v>2.4E-2</v>
      </c>
      <c r="L43" s="341" t="s">
        <v>97</v>
      </c>
      <c r="M43" s="369"/>
      <c r="N43" s="261">
        <v>1.1000000000000001</v>
      </c>
      <c r="O43" s="336" t="s">
        <v>98</v>
      </c>
      <c r="P43" s="355"/>
      <c r="Q43" s="266">
        <v>1.1000000000000001</v>
      </c>
      <c r="R43" s="251" t="s">
        <v>101</v>
      </c>
      <c r="S43" s="317"/>
      <c r="T43" s="154"/>
      <c r="AZ43" s="156"/>
      <c r="BA43" s="156"/>
      <c r="BB43" s="156"/>
      <c r="BC43" s="16" t="s">
        <v>102</v>
      </c>
    </row>
    <row r="44" spans="1:55" s="155" customFormat="1" ht="14.4" x14ac:dyDescent="0.55000000000000004">
      <c r="A44" s="386"/>
      <c r="B44" s="323"/>
      <c r="C44" s="250"/>
      <c r="D44" s="321"/>
      <c r="E44" s="321"/>
      <c r="F44" s="317"/>
      <c r="G44" s="245"/>
      <c r="H44" s="259">
        <v>2.4E-2</v>
      </c>
      <c r="I44" s="329" t="s">
        <v>10</v>
      </c>
      <c r="J44" s="153"/>
      <c r="K44" s="237">
        <f>IFERROR(GEOMEAN(H44:H45),"Check NOAEC and LOAEC Data Entry")</f>
        <v>3.2863353450309968E-2</v>
      </c>
      <c r="L44" s="329" t="s">
        <v>27</v>
      </c>
      <c r="M44" s="370"/>
      <c r="N44" s="348"/>
      <c r="O44" s="329"/>
      <c r="P44" s="314"/>
      <c r="Q44" s="350"/>
      <c r="R44" s="335"/>
      <c r="S44" s="331"/>
      <c r="T44" s="154"/>
      <c r="AZ44" s="156"/>
      <c r="BA44" s="156"/>
      <c r="BB44" s="156"/>
      <c r="BC44" s="16"/>
    </row>
    <row r="45" spans="1:55" s="133" customFormat="1" ht="14.7" thickBot="1" x14ac:dyDescent="0.6">
      <c r="A45" s="387"/>
      <c r="B45" s="338"/>
      <c r="C45" s="209"/>
      <c r="D45" s="388"/>
      <c r="E45" s="388"/>
      <c r="F45" s="339"/>
      <c r="G45" s="389"/>
      <c r="H45" s="262">
        <v>4.4999999999999998E-2</v>
      </c>
      <c r="I45" s="341" t="s">
        <v>11</v>
      </c>
      <c r="J45" s="390"/>
      <c r="K45" s="391"/>
      <c r="L45" s="340"/>
      <c r="M45" s="392"/>
      <c r="N45" s="393"/>
      <c r="O45" s="341"/>
      <c r="P45" s="369"/>
      <c r="Q45" s="394"/>
      <c r="R45" s="395"/>
      <c r="S45" s="339"/>
      <c r="T45" s="396"/>
      <c r="AZ45" s="397"/>
      <c r="BA45" s="397"/>
      <c r="BB45" s="397"/>
      <c r="BC45" s="398"/>
    </row>
    <row r="46" spans="1:55" s="383" customFormat="1" ht="25.8" customHeight="1" x14ac:dyDescent="0.55000000000000004">
      <c r="A46" s="507" t="s">
        <v>1</v>
      </c>
      <c r="B46" s="488"/>
      <c r="C46" s="488" t="s">
        <v>103</v>
      </c>
      <c r="D46" s="374" t="s">
        <v>59</v>
      </c>
      <c r="E46" s="374"/>
      <c r="F46" s="272"/>
      <c r="G46" s="399" t="s">
        <v>60</v>
      </c>
      <c r="H46" s="400">
        <v>7.1999999999999998E-3</v>
      </c>
      <c r="I46" s="401" t="s">
        <v>104</v>
      </c>
      <c r="J46" s="402"/>
      <c r="K46" s="403">
        <v>2.3999999999999998E-3</v>
      </c>
      <c r="L46" s="401" t="s">
        <v>105</v>
      </c>
      <c r="M46" s="404"/>
      <c r="N46" s="375">
        <v>4.7999999999999996E-3</v>
      </c>
      <c r="O46" s="328" t="s">
        <v>106</v>
      </c>
      <c r="P46" s="377"/>
      <c r="Q46" s="375">
        <v>1.2999999999999999E-2</v>
      </c>
      <c r="R46" s="330" t="s">
        <v>107</v>
      </c>
      <c r="S46" s="381"/>
      <c r="T46" s="382"/>
      <c r="AZ46" s="384"/>
      <c r="BA46" s="384"/>
      <c r="BB46" s="384"/>
      <c r="BC46" s="385" t="s">
        <v>108</v>
      </c>
    </row>
    <row r="47" spans="1:55" s="155" customFormat="1" ht="14.4" x14ac:dyDescent="0.55000000000000004">
      <c r="A47" s="508"/>
      <c r="B47" s="489"/>
      <c r="C47" s="489"/>
      <c r="D47" s="274"/>
      <c r="E47" s="274"/>
      <c r="F47" s="331"/>
      <c r="G47" s="244"/>
      <c r="H47" s="259">
        <v>2.3999999999999998E-3</v>
      </c>
      <c r="I47" s="329" t="s">
        <v>10</v>
      </c>
      <c r="J47" s="141"/>
      <c r="K47" s="342">
        <f>IFERROR(IF(OR(H47="",H48=""),"Check NOAEC and LOAEC Data Entry",GEOMEAN(H47:H48)),"Check NOAEC and LOAEC Data Entry")</f>
        <v>3.2863353450309964E-3</v>
      </c>
      <c r="L47" s="329" t="s">
        <v>27</v>
      </c>
      <c r="M47" s="371"/>
      <c r="N47" s="348"/>
      <c r="O47" s="329"/>
      <c r="P47" s="314"/>
      <c r="Q47" s="348"/>
      <c r="R47" s="327"/>
      <c r="S47" s="278"/>
      <c r="T47" s="154"/>
      <c r="AZ47" s="156"/>
      <c r="BA47" s="156"/>
      <c r="BB47" s="156"/>
      <c r="BC47" s="16"/>
    </row>
    <row r="48" spans="1:55" s="155" customFormat="1" ht="14.4" x14ac:dyDescent="0.55000000000000004">
      <c r="A48" s="508"/>
      <c r="B48" s="489"/>
      <c r="C48" s="489"/>
      <c r="D48" s="274"/>
      <c r="E48" s="274"/>
      <c r="F48" s="331"/>
      <c r="G48" s="244"/>
      <c r="H48" s="259">
        <v>4.4999999999999997E-3</v>
      </c>
      <c r="I48" s="329" t="s">
        <v>11</v>
      </c>
      <c r="J48" s="141"/>
      <c r="K48" s="255"/>
      <c r="M48" s="371"/>
      <c r="N48" s="348"/>
      <c r="O48" s="329"/>
      <c r="P48" s="314"/>
      <c r="Q48" s="348"/>
      <c r="R48" s="327"/>
      <c r="S48" s="278"/>
      <c r="T48" s="154"/>
      <c r="AZ48" s="156"/>
      <c r="BA48" s="156"/>
      <c r="BB48" s="156"/>
      <c r="BC48" s="16"/>
    </row>
    <row r="49" spans="1:56" s="155" customFormat="1" ht="25.8" customHeight="1" x14ac:dyDescent="0.55000000000000004">
      <c r="A49" s="508"/>
      <c r="B49" s="489"/>
      <c r="C49" s="489" t="s">
        <v>109</v>
      </c>
      <c r="D49" s="274" t="s">
        <v>59</v>
      </c>
      <c r="E49" s="274"/>
      <c r="F49" s="331"/>
      <c r="G49" s="248" t="s">
        <v>57</v>
      </c>
      <c r="H49" s="259">
        <v>2.8000000000000001E-2</v>
      </c>
      <c r="I49" s="329" t="s">
        <v>104</v>
      </c>
      <c r="J49" s="141"/>
      <c r="K49" s="343">
        <v>6.4999999999999997E-4</v>
      </c>
      <c r="L49" s="329" t="s">
        <v>105</v>
      </c>
      <c r="M49" s="372"/>
      <c r="N49" s="259">
        <v>2.8000000000000001E-2</v>
      </c>
      <c r="O49" s="329" t="s">
        <v>106</v>
      </c>
      <c r="P49" s="314"/>
      <c r="Q49" s="259">
        <v>1.2999999999999999E-2</v>
      </c>
      <c r="R49" s="327" t="s">
        <v>107</v>
      </c>
      <c r="S49" s="278"/>
      <c r="T49" s="154"/>
      <c r="AZ49" s="156"/>
      <c r="BA49" s="156"/>
      <c r="BB49" s="156"/>
      <c r="BC49" s="16" t="s">
        <v>85</v>
      </c>
    </row>
    <row r="50" spans="1:56" s="155" customFormat="1" ht="14.4" x14ac:dyDescent="0.55000000000000004">
      <c r="A50" s="508"/>
      <c r="B50" s="489"/>
      <c r="C50" s="489"/>
      <c r="D50" s="274"/>
      <c r="E50" s="274"/>
      <c r="F50" s="331"/>
      <c r="G50" s="248"/>
      <c r="H50" s="259">
        <v>6.4999999999999997E-4</v>
      </c>
      <c r="I50" s="329" t="s">
        <v>10</v>
      </c>
      <c r="J50" s="141"/>
      <c r="K50" s="255">
        <f>IFERROR(GEOMEAN(H50:H51),"Check NOAEC and LOAEC Data Entry")</f>
        <v>8.8317608663278466E-4</v>
      </c>
      <c r="L50" s="329" t="s">
        <v>27</v>
      </c>
      <c r="M50" s="372"/>
      <c r="N50" s="348"/>
      <c r="O50" s="329"/>
      <c r="P50" s="314"/>
      <c r="Q50" s="348"/>
      <c r="R50" s="327"/>
      <c r="S50" s="278"/>
      <c r="T50" s="154"/>
      <c r="AZ50" s="156"/>
      <c r="BA50" s="156"/>
      <c r="BB50" s="156"/>
      <c r="BC50" s="157"/>
    </row>
    <row r="51" spans="1:56" s="155" customFormat="1" ht="14.4" x14ac:dyDescent="0.55000000000000004">
      <c r="A51" s="508"/>
      <c r="B51" s="489"/>
      <c r="C51" s="489"/>
      <c r="D51" s="274"/>
      <c r="E51" s="274"/>
      <c r="F51" s="331"/>
      <c r="G51" s="248"/>
      <c r="H51" s="259">
        <v>1.1999999999999999E-3</v>
      </c>
      <c r="I51" s="329" t="s">
        <v>11</v>
      </c>
      <c r="J51" s="141"/>
      <c r="K51" s="255"/>
      <c r="L51" s="329"/>
      <c r="M51" s="372"/>
      <c r="N51" s="348"/>
      <c r="O51" s="329"/>
      <c r="P51" s="314"/>
      <c r="Q51" s="348"/>
      <c r="R51" s="327"/>
      <c r="S51" s="278"/>
      <c r="T51" s="154"/>
      <c r="AZ51" s="156"/>
      <c r="BA51" s="156"/>
      <c r="BB51" s="156"/>
      <c r="BC51" s="157"/>
    </row>
    <row r="52" spans="1:56" s="133" customFormat="1" ht="26.1" customHeight="1" thickBot="1" x14ac:dyDescent="0.6">
      <c r="A52" s="508"/>
      <c r="B52" s="489"/>
      <c r="C52" s="510" t="s">
        <v>110</v>
      </c>
      <c r="D52" s="274" t="s">
        <v>58</v>
      </c>
      <c r="E52" s="274"/>
      <c r="F52" s="331"/>
      <c r="G52" s="249" t="s">
        <v>50</v>
      </c>
      <c r="H52" s="259">
        <v>7.1999999999999998E-3</v>
      </c>
      <c r="I52" s="329" t="s">
        <v>104</v>
      </c>
      <c r="J52" s="141"/>
      <c r="K52" s="343">
        <v>2.3999999999999998E-3</v>
      </c>
      <c r="L52" s="329" t="s">
        <v>105</v>
      </c>
      <c r="M52" s="373"/>
      <c r="N52" s="259">
        <v>4.7999999999999996E-3</v>
      </c>
      <c r="O52" s="329" t="s">
        <v>111</v>
      </c>
      <c r="P52" s="314"/>
      <c r="Q52" s="259">
        <v>1.2999999999999999E-2</v>
      </c>
      <c r="R52" s="327" t="s">
        <v>107</v>
      </c>
      <c r="S52" s="278"/>
      <c r="T52" s="154"/>
      <c r="U52" s="155"/>
      <c r="V52" s="155"/>
      <c r="W52" s="155"/>
      <c r="X52" s="155"/>
      <c r="Y52" s="155"/>
      <c r="Z52" s="155"/>
      <c r="AA52" s="155"/>
      <c r="AB52" s="155"/>
      <c r="AC52" s="155"/>
      <c r="AD52" s="155"/>
      <c r="AE52" s="155"/>
      <c r="AF52" s="155"/>
      <c r="AG52" s="155"/>
      <c r="AH52" s="155"/>
      <c r="AI52" s="155"/>
      <c r="AJ52" s="155"/>
      <c r="AK52" s="155"/>
      <c r="AL52" s="155"/>
      <c r="AM52" s="155"/>
      <c r="AN52" s="155"/>
      <c r="AO52" s="155"/>
      <c r="AP52" s="155"/>
      <c r="AQ52" s="155"/>
      <c r="AR52" s="155"/>
      <c r="AS52" s="155"/>
      <c r="AT52" s="155"/>
      <c r="AU52" s="155"/>
      <c r="AV52" s="155"/>
      <c r="AW52" s="155"/>
      <c r="AX52" s="155"/>
      <c r="AY52" s="155"/>
      <c r="AZ52" s="156"/>
      <c r="BA52" s="156"/>
      <c r="BB52" s="156"/>
      <c r="BC52" s="157" t="s">
        <v>112</v>
      </c>
      <c r="BD52" s="155"/>
    </row>
    <row r="53" spans="1:56" s="155" customFormat="1" ht="14.4" x14ac:dyDescent="0.55000000000000004">
      <c r="A53" s="508"/>
      <c r="B53" s="489"/>
      <c r="C53" s="510"/>
      <c r="D53" s="274"/>
      <c r="E53" s="274"/>
      <c r="F53" s="331"/>
      <c r="G53" s="244"/>
      <c r="H53" s="259">
        <v>2.3999999999999998E-3</v>
      </c>
      <c r="I53" s="329" t="s">
        <v>10</v>
      </c>
      <c r="J53" s="141"/>
      <c r="K53" s="255">
        <f>IFERROR(IF(OR(H53="",H54=""),"Check NOAEC and LOAEC Data Entry",GEOMEAN(H53:H54)),"Check NOAEC and LOAEC Data Entry")</f>
        <v>3.2863353450309964E-3</v>
      </c>
      <c r="L53" s="329" t="s">
        <v>27</v>
      </c>
      <c r="M53" s="371"/>
      <c r="N53" s="348"/>
      <c r="O53" s="329"/>
      <c r="P53" s="314"/>
      <c r="Q53" s="348"/>
      <c r="R53" s="327"/>
      <c r="S53" s="278"/>
      <c r="T53" s="154"/>
      <c r="AZ53" s="156"/>
      <c r="BA53" s="156"/>
      <c r="BB53" s="156"/>
      <c r="BC53" s="158"/>
    </row>
    <row r="54" spans="1:56" s="133" customFormat="1" ht="14.7" thickBot="1" x14ac:dyDescent="0.6">
      <c r="A54" s="509"/>
      <c r="B54" s="494"/>
      <c r="C54" s="511"/>
      <c r="D54" s="388"/>
      <c r="E54" s="388"/>
      <c r="F54" s="339"/>
      <c r="G54" s="405"/>
      <c r="H54" s="262">
        <v>4.4999999999999997E-3</v>
      </c>
      <c r="I54" s="341" t="s">
        <v>11</v>
      </c>
      <c r="J54" s="144"/>
      <c r="K54" s="406"/>
      <c r="L54" s="341"/>
      <c r="M54" s="407"/>
      <c r="N54" s="393"/>
      <c r="O54" s="341"/>
      <c r="P54" s="369"/>
      <c r="Q54" s="393"/>
      <c r="R54" s="408"/>
      <c r="S54" s="409"/>
      <c r="T54" s="396"/>
      <c r="AZ54" s="397"/>
      <c r="BA54" s="397"/>
      <c r="BB54" s="397"/>
      <c r="BC54" s="410"/>
    </row>
    <row r="55" spans="1:56" s="155" customFormat="1" ht="25.9" customHeight="1" x14ac:dyDescent="0.55000000000000004">
      <c r="A55" s="246"/>
      <c r="B55" s="246"/>
      <c r="C55" s="247"/>
      <c r="D55" s="246"/>
      <c r="E55" s="247"/>
      <c r="F55" s="246"/>
      <c r="G55" s="246"/>
      <c r="H55" s="246"/>
      <c r="I55" s="246"/>
      <c r="J55" s="246"/>
      <c r="K55" s="247"/>
      <c r="L55" s="246"/>
      <c r="M55" s="361"/>
      <c r="N55" s="246"/>
      <c r="O55" s="246"/>
      <c r="P55" s="361"/>
      <c r="Q55" s="247"/>
      <c r="R55" s="246"/>
      <c r="S55" s="279"/>
      <c r="T55" s="154"/>
      <c r="AZ55" s="156"/>
      <c r="BA55" s="156"/>
      <c r="BB55" s="156"/>
      <c r="BC55" s="158"/>
    </row>
    <row r="56" spans="1:56" ht="14.4" x14ac:dyDescent="0.55000000000000004">
      <c r="A56" s="134"/>
      <c r="K56" s="31"/>
      <c r="AZ56"/>
      <c r="BA56"/>
      <c r="BB56"/>
      <c r="BC56" s="132" t="s">
        <v>114</v>
      </c>
    </row>
    <row r="57" spans="1:56" ht="14.4" x14ac:dyDescent="0.55000000000000004">
      <c r="AZ57"/>
      <c r="BA57"/>
      <c r="BB57"/>
      <c r="BC57" s="16" t="s">
        <v>115</v>
      </c>
    </row>
    <row r="58" spans="1:56" ht="14.4" x14ac:dyDescent="0.55000000000000004">
      <c r="AZ58"/>
      <c r="BA58"/>
      <c r="BB58"/>
      <c r="BC58" s="16" t="s">
        <v>116</v>
      </c>
    </row>
    <row r="59" spans="1:56" ht="14.4" x14ac:dyDescent="0.55000000000000004">
      <c r="AZ59"/>
      <c r="BA59"/>
      <c r="BB59"/>
      <c r="BC59" s="16" t="s">
        <v>117</v>
      </c>
    </row>
    <row r="60" spans="1:56" ht="14.4" x14ac:dyDescent="0.55000000000000004">
      <c r="AZ60"/>
      <c r="BA60"/>
      <c r="BB60"/>
      <c r="BC60" s="16" t="s">
        <v>118</v>
      </c>
    </row>
    <row r="61" spans="1:56" ht="14.4" x14ac:dyDescent="0.55000000000000004">
      <c r="AZ61"/>
      <c r="BA61"/>
      <c r="BB61"/>
      <c r="BC61" s="16" t="s">
        <v>119</v>
      </c>
    </row>
    <row r="62" spans="1:56" ht="14.4" x14ac:dyDescent="0.55000000000000004">
      <c r="AZ62"/>
      <c r="BA62"/>
      <c r="BB62"/>
      <c r="BC62" s="16" t="s">
        <v>120</v>
      </c>
    </row>
    <row r="63" spans="1:56" ht="14.4" x14ac:dyDescent="0.55000000000000004">
      <c r="AZ63"/>
      <c r="BA63"/>
      <c r="BB63"/>
      <c r="BC63" s="16" t="s">
        <v>121</v>
      </c>
    </row>
    <row r="64" spans="1:56" ht="14.4" x14ac:dyDescent="0.55000000000000004">
      <c r="AZ64"/>
      <c r="BA64"/>
      <c r="BB64"/>
      <c r="BC64" s="16" t="s">
        <v>122</v>
      </c>
    </row>
    <row r="65" spans="52:55" ht="14.4" x14ac:dyDescent="0.55000000000000004">
      <c r="AZ65"/>
      <c r="BA65"/>
      <c r="BB65"/>
      <c r="BC65" s="16" t="s">
        <v>123</v>
      </c>
    </row>
    <row r="66" spans="52:55" ht="14.4" x14ac:dyDescent="0.55000000000000004">
      <c r="AZ66"/>
      <c r="BA66"/>
      <c r="BB66"/>
      <c r="BC66" s="16" t="s">
        <v>124</v>
      </c>
    </row>
    <row r="67" spans="52:55" ht="14.4" x14ac:dyDescent="0.55000000000000004">
      <c r="AZ67"/>
      <c r="BA67"/>
      <c r="BB67"/>
      <c r="BC67" s="16" t="s">
        <v>125</v>
      </c>
    </row>
    <row r="68" spans="52:55" ht="14.4" x14ac:dyDescent="0.55000000000000004">
      <c r="AZ68"/>
      <c r="BA68"/>
      <c r="BB68"/>
      <c r="BC68" s="16" t="s">
        <v>126</v>
      </c>
    </row>
    <row r="69" spans="52:55" ht="14.4" x14ac:dyDescent="0.55000000000000004">
      <c r="AZ69"/>
      <c r="BA69"/>
      <c r="BB69"/>
      <c r="BC69" s="16" t="s">
        <v>127</v>
      </c>
    </row>
    <row r="70" spans="52:55" ht="14.4" x14ac:dyDescent="0.55000000000000004">
      <c r="AZ70"/>
      <c r="BA70"/>
      <c r="BB70"/>
      <c r="BC70" s="16" t="s">
        <v>128</v>
      </c>
    </row>
    <row r="71" spans="52:55" ht="14.4" x14ac:dyDescent="0.55000000000000004">
      <c r="AZ71"/>
      <c r="BA71"/>
      <c r="BB71"/>
      <c r="BC71" s="16" t="s">
        <v>129</v>
      </c>
    </row>
    <row r="72" spans="52:55" ht="14.4" x14ac:dyDescent="0.55000000000000004">
      <c r="AZ72"/>
      <c r="BA72"/>
      <c r="BB72"/>
      <c r="BC72" s="16" t="s">
        <v>130</v>
      </c>
    </row>
    <row r="73" spans="52:55" ht="14.4" x14ac:dyDescent="0.55000000000000004">
      <c r="AZ73"/>
      <c r="BA73"/>
      <c r="BB73"/>
      <c r="BC73" s="16" t="s">
        <v>131</v>
      </c>
    </row>
    <row r="74" spans="52:55" ht="14.4" x14ac:dyDescent="0.55000000000000004">
      <c r="AZ74"/>
      <c r="BA74"/>
      <c r="BB74"/>
      <c r="BC74" s="16" t="s">
        <v>132</v>
      </c>
    </row>
    <row r="75" spans="52:55" ht="14.4" x14ac:dyDescent="0.55000000000000004">
      <c r="AZ75"/>
      <c r="BA75"/>
      <c r="BB75"/>
      <c r="BC75" s="16" t="s">
        <v>133</v>
      </c>
    </row>
    <row r="76" spans="52:55" ht="14.4" x14ac:dyDescent="0.55000000000000004">
      <c r="AZ76"/>
      <c r="BA76"/>
      <c r="BB76"/>
      <c r="BC76" s="16" t="s">
        <v>134</v>
      </c>
    </row>
    <row r="77" spans="52:55" ht="14.4" x14ac:dyDescent="0.55000000000000004">
      <c r="AZ77"/>
      <c r="BA77"/>
      <c r="BB77"/>
      <c r="BC77" s="16" t="s">
        <v>135</v>
      </c>
    </row>
    <row r="78" spans="52:55" ht="14.4" x14ac:dyDescent="0.55000000000000004">
      <c r="AZ78"/>
      <c r="BA78"/>
      <c r="BB78"/>
      <c r="BC78" s="16" t="s">
        <v>136</v>
      </c>
    </row>
    <row r="79" spans="52:55" ht="14.4" x14ac:dyDescent="0.55000000000000004">
      <c r="AZ79"/>
      <c r="BA79"/>
      <c r="BB79"/>
      <c r="BC79" s="16" t="s">
        <v>137</v>
      </c>
    </row>
    <row r="80" spans="52:55" ht="14.4" x14ac:dyDescent="0.55000000000000004">
      <c r="AZ80"/>
      <c r="BA80"/>
      <c r="BB80"/>
      <c r="BC80" s="16" t="s">
        <v>138</v>
      </c>
    </row>
    <row r="81" spans="52:55" ht="14.4" x14ac:dyDescent="0.55000000000000004">
      <c r="AZ81"/>
      <c r="BA81"/>
      <c r="BB81"/>
      <c r="BC81" s="16" t="s">
        <v>139</v>
      </c>
    </row>
    <row r="82" spans="52:55" ht="14.4" x14ac:dyDescent="0.55000000000000004">
      <c r="AZ82"/>
      <c r="BA82"/>
      <c r="BB82"/>
      <c r="BC82" s="16" t="s">
        <v>140</v>
      </c>
    </row>
    <row r="83" spans="52:55" ht="14.4" x14ac:dyDescent="0.55000000000000004">
      <c r="AZ83"/>
      <c r="BA83"/>
      <c r="BB83"/>
      <c r="BC83" s="16" t="s">
        <v>141</v>
      </c>
    </row>
    <row r="84" spans="52:55" ht="14.4" x14ac:dyDescent="0.55000000000000004">
      <c r="AZ84"/>
      <c r="BA84"/>
      <c r="BB84"/>
      <c r="BC84" s="16" t="s">
        <v>142</v>
      </c>
    </row>
    <row r="85" spans="52:55" ht="14.4" x14ac:dyDescent="0.55000000000000004">
      <c r="AZ85"/>
      <c r="BA85"/>
      <c r="BB85"/>
      <c r="BC85" s="16" t="s">
        <v>143</v>
      </c>
    </row>
    <row r="86" spans="52:55" ht="14.4" x14ac:dyDescent="0.55000000000000004">
      <c r="AZ86"/>
      <c r="BA86"/>
      <c r="BB86"/>
      <c r="BC86" s="2" t="s">
        <v>144</v>
      </c>
    </row>
    <row r="87" spans="52:55" ht="14.4" x14ac:dyDescent="0.55000000000000004">
      <c r="AZ87"/>
      <c r="BA87"/>
      <c r="BB87"/>
      <c r="BC87" s="2" t="s">
        <v>145</v>
      </c>
    </row>
    <row r="88" spans="52:55" ht="14.4" x14ac:dyDescent="0.55000000000000004">
      <c r="AZ88"/>
      <c r="BA88"/>
      <c r="BB88"/>
      <c r="BC88" s="2" t="s">
        <v>146</v>
      </c>
    </row>
    <row r="89" spans="52:55" ht="14.4" x14ac:dyDescent="0.55000000000000004">
      <c r="AZ89"/>
      <c r="BA89"/>
      <c r="BB89"/>
      <c r="BC89" s="2" t="s">
        <v>147</v>
      </c>
    </row>
    <row r="90" spans="52:55" ht="14.4" x14ac:dyDescent="0.55000000000000004">
      <c r="AZ90"/>
      <c r="BA90"/>
      <c r="BB90"/>
      <c r="BC90" s="2" t="s">
        <v>148</v>
      </c>
    </row>
    <row r="91" spans="52:55" ht="14.4" x14ac:dyDescent="0.55000000000000004">
      <c r="AZ91"/>
      <c r="BA91"/>
      <c r="BB91"/>
      <c r="BC91" s="2" t="s">
        <v>149</v>
      </c>
    </row>
    <row r="92" spans="52:55" ht="14.4" x14ac:dyDescent="0.55000000000000004">
      <c r="AZ92"/>
      <c r="BA92"/>
      <c r="BB92"/>
      <c r="BC92" s="2" t="s">
        <v>150</v>
      </c>
    </row>
    <row r="93" spans="52:55" ht="14.4" x14ac:dyDescent="0.55000000000000004">
      <c r="AZ93"/>
      <c r="BA93"/>
      <c r="BB93"/>
      <c r="BC93" s="2" t="s">
        <v>49</v>
      </c>
    </row>
    <row r="94" spans="52:55" ht="14.4" x14ac:dyDescent="0.55000000000000004">
      <c r="AZ94"/>
      <c r="BA94"/>
      <c r="BB94"/>
      <c r="BC94" s="2" t="s">
        <v>151</v>
      </c>
    </row>
    <row r="95" spans="52:55" ht="14.4" x14ac:dyDescent="0.55000000000000004">
      <c r="AZ95"/>
      <c r="BA95"/>
      <c r="BB95"/>
      <c r="BC95" s="2" t="s">
        <v>152</v>
      </c>
    </row>
    <row r="96" spans="52:55" ht="14.4" x14ac:dyDescent="0.55000000000000004">
      <c r="AZ96"/>
      <c r="BA96"/>
      <c r="BB96"/>
      <c r="BC96" s="2" t="s">
        <v>153</v>
      </c>
    </row>
    <row r="97" spans="52:55" ht="14.4" x14ac:dyDescent="0.55000000000000004">
      <c r="AZ97"/>
      <c r="BA97"/>
      <c r="BB97"/>
      <c r="BC97" s="2" t="s">
        <v>154</v>
      </c>
    </row>
    <row r="98" spans="52:55" ht="14.4" x14ac:dyDescent="0.55000000000000004">
      <c r="AZ98"/>
      <c r="BA98"/>
      <c r="BB98"/>
      <c r="BC98" s="2" t="s">
        <v>155</v>
      </c>
    </row>
    <row r="99" spans="52:55" ht="14.4" x14ac:dyDescent="0.55000000000000004">
      <c r="AZ99"/>
      <c r="BA99"/>
      <c r="BB99"/>
      <c r="BC99" s="2" t="s">
        <v>156</v>
      </c>
    </row>
    <row r="100" spans="52:55" ht="14.4" x14ac:dyDescent="0.55000000000000004">
      <c r="AZ100"/>
      <c r="BA100"/>
      <c r="BB100"/>
      <c r="BC100" s="2" t="s">
        <v>157</v>
      </c>
    </row>
    <row r="101" spans="52:55" ht="14.4" x14ac:dyDescent="0.55000000000000004">
      <c r="AZ101"/>
      <c r="BA101"/>
      <c r="BB101"/>
      <c r="BC101" s="2" t="s">
        <v>158</v>
      </c>
    </row>
    <row r="102" spans="52:55" ht="14.4" x14ac:dyDescent="0.55000000000000004">
      <c r="AZ102"/>
      <c r="BA102"/>
      <c r="BB102"/>
      <c r="BC102" s="2" t="s">
        <v>159</v>
      </c>
    </row>
    <row r="103" spans="52:55" ht="14.4" x14ac:dyDescent="0.55000000000000004">
      <c r="AZ103"/>
      <c r="BA103"/>
      <c r="BB103"/>
      <c r="BC103" s="2" t="s">
        <v>160</v>
      </c>
    </row>
    <row r="104" spans="52:55" ht="14.4" x14ac:dyDescent="0.55000000000000004">
      <c r="AZ104"/>
      <c r="BA104"/>
      <c r="BB104"/>
      <c r="BC104" s="2" t="s">
        <v>161</v>
      </c>
    </row>
    <row r="105" spans="52:55" ht="14.4" x14ac:dyDescent="0.55000000000000004">
      <c r="AZ105"/>
      <c r="BA105"/>
      <c r="BB105"/>
      <c r="BC105" s="2" t="s">
        <v>162</v>
      </c>
    </row>
    <row r="106" spans="52:55" ht="14.4" x14ac:dyDescent="0.55000000000000004">
      <c r="AZ106"/>
      <c r="BA106"/>
      <c r="BB106"/>
      <c r="BC106" s="20" t="s">
        <v>163</v>
      </c>
    </row>
    <row r="107" spans="52:55" ht="14.4" x14ac:dyDescent="0.55000000000000004">
      <c r="AZ107"/>
      <c r="BA107"/>
      <c r="BB107"/>
      <c r="BC107" s="2" t="s">
        <v>164</v>
      </c>
    </row>
    <row r="108" spans="52:55" ht="14.4" x14ac:dyDescent="0.55000000000000004">
      <c r="AZ108"/>
      <c r="BA108"/>
      <c r="BB108"/>
      <c r="BC108" s="2" t="s">
        <v>165</v>
      </c>
    </row>
    <row r="109" spans="52:55" ht="14.4" x14ac:dyDescent="0.55000000000000004">
      <c r="AZ109"/>
      <c r="BA109"/>
      <c r="BB109"/>
      <c r="BC109" s="2" t="s">
        <v>166</v>
      </c>
    </row>
    <row r="110" spans="52:55" ht="14.4" x14ac:dyDescent="0.55000000000000004">
      <c r="AZ110"/>
      <c r="BA110"/>
      <c r="BB110"/>
      <c r="BC110" s="2" t="s">
        <v>167</v>
      </c>
    </row>
    <row r="111" spans="52:55" ht="14.4" x14ac:dyDescent="0.55000000000000004">
      <c r="AZ111"/>
      <c r="BA111"/>
      <c r="BB111"/>
      <c r="BC111" s="2" t="s">
        <v>168</v>
      </c>
    </row>
    <row r="112" spans="52:55" ht="14.4" x14ac:dyDescent="0.55000000000000004">
      <c r="AZ112"/>
      <c r="BA112"/>
      <c r="BB112"/>
      <c r="BC112" s="2" t="s">
        <v>169</v>
      </c>
    </row>
    <row r="113" spans="52:55" ht="14.4" x14ac:dyDescent="0.55000000000000004">
      <c r="AZ113"/>
      <c r="BA113"/>
      <c r="BB113"/>
      <c r="BC113" s="2" t="s">
        <v>170</v>
      </c>
    </row>
    <row r="114" spans="52:55" ht="14.4" x14ac:dyDescent="0.55000000000000004">
      <c r="AZ114"/>
      <c r="BA114"/>
      <c r="BB114"/>
      <c r="BC114" s="2" t="s">
        <v>171</v>
      </c>
    </row>
    <row r="115" spans="52:55" ht="14.4" x14ac:dyDescent="0.55000000000000004">
      <c r="AZ115"/>
      <c r="BA115"/>
      <c r="BB115"/>
      <c r="BC115" s="2" t="s">
        <v>172</v>
      </c>
    </row>
    <row r="116" spans="52:55" ht="14.4" x14ac:dyDescent="0.55000000000000004">
      <c r="AZ116"/>
      <c r="BA116"/>
      <c r="BB116"/>
      <c r="BC116" s="2" t="s">
        <v>173</v>
      </c>
    </row>
    <row r="117" spans="52:55" ht="14.4" x14ac:dyDescent="0.55000000000000004">
      <c r="AZ117"/>
      <c r="BA117"/>
      <c r="BB117"/>
      <c r="BC117" s="2" t="s">
        <v>174</v>
      </c>
    </row>
    <row r="118" spans="52:55" ht="14.4" x14ac:dyDescent="0.55000000000000004">
      <c r="AZ118"/>
      <c r="BA118"/>
      <c r="BB118"/>
      <c r="BC118" s="2" t="s">
        <v>175</v>
      </c>
    </row>
  </sheetData>
  <mergeCells count="94">
    <mergeCell ref="C46:C48"/>
    <mergeCell ref="A46:B54"/>
    <mergeCell ref="C52:C54"/>
    <mergeCell ref="C49:C51"/>
    <mergeCell ref="G1:R1"/>
    <mergeCell ref="P2:R2"/>
    <mergeCell ref="B7:B9"/>
    <mergeCell ref="C8:C9"/>
    <mergeCell ref="D8:D9"/>
    <mergeCell ref="E8:E9"/>
    <mergeCell ref="F8:F9"/>
    <mergeCell ref="F14:F15"/>
    <mergeCell ref="B19:B21"/>
    <mergeCell ref="C20:C21"/>
    <mergeCell ref="D20:D21"/>
    <mergeCell ref="E20:E21"/>
    <mergeCell ref="S2:S3"/>
    <mergeCell ref="B4:B6"/>
    <mergeCell ref="C5:C6"/>
    <mergeCell ref="D5:D6"/>
    <mergeCell ref="E5:E6"/>
    <mergeCell ref="F5:F6"/>
    <mergeCell ref="A2:B3"/>
    <mergeCell ref="C2:C3"/>
    <mergeCell ref="D2:D3"/>
    <mergeCell ref="E2:E3"/>
    <mergeCell ref="F2:F3"/>
    <mergeCell ref="G2:I2"/>
    <mergeCell ref="J2:L2"/>
    <mergeCell ref="M2:O2"/>
    <mergeCell ref="S11:S12"/>
    <mergeCell ref="A13:A39"/>
    <mergeCell ref="B13:B18"/>
    <mergeCell ref="C14:C15"/>
    <mergeCell ref="D14:D15"/>
    <mergeCell ref="E14:E15"/>
    <mergeCell ref="B10:B12"/>
    <mergeCell ref="C11:C12"/>
    <mergeCell ref="D11:D12"/>
    <mergeCell ref="E11:E12"/>
    <mergeCell ref="F11:F12"/>
    <mergeCell ref="S14:S15"/>
    <mergeCell ref="C17:C18"/>
    <mergeCell ref="D17:D18"/>
    <mergeCell ref="E17:E18"/>
    <mergeCell ref="F17:F18"/>
    <mergeCell ref="F20:F21"/>
    <mergeCell ref="C38:C39"/>
    <mergeCell ref="S30:S31"/>
    <mergeCell ref="C30:C31"/>
    <mergeCell ref="D30:D31"/>
    <mergeCell ref="F30:F31"/>
    <mergeCell ref="S36:S37"/>
    <mergeCell ref="S38:S39"/>
    <mergeCell ref="S20:S21"/>
    <mergeCell ref="S32:S33"/>
    <mergeCell ref="S34:S35"/>
    <mergeCell ref="C36:C37"/>
    <mergeCell ref="D36:D37"/>
    <mergeCell ref="E36:E37"/>
    <mergeCell ref="F36:F37"/>
    <mergeCell ref="D38:D39"/>
    <mergeCell ref="A40:B43"/>
    <mergeCell ref="E38:E39"/>
    <mergeCell ref="F38:F39"/>
    <mergeCell ref="F23:F24"/>
    <mergeCell ref="C32:C33"/>
    <mergeCell ref="D32:D33"/>
    <mergeCell ref="E32:E33"/>
    <mergeCell ref="F32:F33"/>
    <mergeCell ref="C34:C35"/>
    <mergeCell ref="D34:D35"/>
    <mergeCell ref="F34:F35"/>
    <mergeCell ref="B28:B39"/>
    <mergeCell ref="C28:C29"/>
    <mergeCell ref="D28:D29"/>
    <mergeCell ref="E28:E29"/>
    <mergeCell ref="F28:F29"/>
    <mergeCell ref="S17:S18"/>
    <mergeCell ref="A4:A12"/>
    <mergeCell ref="S8:S9"/>
    <mergeCell ref="S5:S6"/>
    <mergeCell ref="S28:S29"/>
    <mergeCell ref="S26:S27"/>
    <mergeCell ref="S23:S24"/>
    <mergeCell ref="B25:B27"/>
    <mergeCell ref="C26:C27"/>
    <mergeCell ref="D26:D27"/>
    <mergeCell ref="E26:E27"/>
    <mergeCell ref="F26:F27"/>
    <mergeCell ref="B22:B24"/>
    <mergeCell ref="C23:C24"/>
    <mergeCell ref="D23:D24"/>
    <mergeCell ref="E23:E24"/>
  </mergeCells>
  <dataValidations count="2">
    <dataValidation type="list" allowBlank="1" showInputMessage="1" showErrorMessage="1" sqref="P25 J40:J54 M40:M54 P40:P54 P4 P7 P10 P13 P16 P19 P22 G4:G54" xr:uid="{FD6D24CC-A23F-4E55-9B30-387492A9A96B}">
      <formula1>$AZ$5:$AZ$7</formula1>
    </dataValidation>
    <dataValidation type="list" allowBlank="1" showInputMessage="1" showErrorMessage="1" sqref="D4:D54" xr:uid="{60FDA94A-C46C-4890-AF70-DC68A50DA1AA}">
      <formula1>$BC:$BC</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E52A-3541-4FB9-A3A0-26F3B6A43521}">
  <sheetPr codeName="Sheet7">
    <tabColor theme="1"/>
  </sheetPr>
  <dimension ref="A1:BC107"/>
  <sheetViews>
    <sheetView showZeros="0" tabSelected="1" topLeftCell="C1" zoomScale="85" zoomScaleNormal="85" workbookViewId="0">
      <selection activeCell="K4" sqref="K4"/>
    </sheetView>
  </sheetViews>
  <sheetFormatPr defaultColWidth="0" defaultRowHeight="12.9" x14ac:dyDescent="0.5"/>
  <cols>
    <col min="1" max="1" width="17.26171875" style="11" customWidth="1"/>
    <col min="2" max="2" width="19.68359375" style="11" customWidth="1"/>
    <col min="3" max="3" width="21.15625" style="11" customWidth="1"/>
    <col min="4" max="4" width="24" style="11" customWidth="1"/>
    <col min="5" max="5" width="16.26171875" style="11" customWidth="1"/>
    <col min="6" max="6" width="8.578125" style="11" customWidth="1"/>
    <col min="7" max="7" width="8.578125" style="456" customWidth="1"/>
    <col min="8" max="8" width="8.578125" style="11" customWidth="1"/>
    <col min="9" max="9" width="10.68359375" style="12" customWidth="1"/>
    <col min="10" max="10" width="8.578125" style="443" customWidth="1"/>
    <col min="11" max="11" width="29" style="11" customWidth="1"/>
    <col min="12" max="12" width="8.578125" style="12" customWidth="1"/>
    <col min="13" max="13" width="8.578125" style="443" customWidth="1"/>
    <col min="14" max="14" width="34.83984375" style="11" customWidth="1"/>
    <col min="15" max="15" width="8.578125" style="12" customWidth="1"/>
    <col min="16" max="16" width="8.578125" style="443" customWidth="1"/>
    <col min="17" max="17" width="16.15625" style="11" customWidth="1"/>
    <col min="18" max="18" width="14.41796875" style="12" customWidth="1"/>
    <col min="19" max="19" width="21.83984375" style="11" customWidth="1"/>
    <col min="20" max="51" width="8.578125" style="11" hidden="1" customWidth="1"/>
    <col min="52" max="52" width="9.83984375" style="11" hidden="1" customWidth="1"/>
    <col min="53" max="53" width="8.578125" style="11" hidden="1" customWidth="1"/>
    <col min="54" max="54" width="12.578125" style="11" hidden="1" customWidth="1"/>
    <col min="55" max="55" width="38.83984375" style="11" hidden="1" customWidth="1"/>
    <col min="56" max="16384" width="8.578125" style="11" hidden="1"/>
  </cols>
  <sheetData>
    <row r="1" spans="1:55" x14ac:dyDescent="0.5">
      <c r="A1" s="135"/>
      <c r="D1" s="21"/>
      <c r="G1" s="512" t="s">
        <v>176</v>
      </c>
      <c r="H1" s="528"/>
      <c r="I1" s="528"/>
      <c r="J1" s="528"/>
      <c r="K1" s="528"/>
      <c r="L1" s="528"/>
      <c r="M1" s="528"/>
      <c r="N1" s="528"/>
      <c r="O1" s="528"/>
      <c r="P1" s="434"/>
      <c r="Q1" s="26"/>
      <c r="R1" s="26"/>
    </row>
    <row r="2" spans="1:55" x14ac:dyDescent="0.5">
      <c r="A2" s="500"/>
      <c r="B2" s="501"/>
      <c r="C2" s="530" t="s">
        <v>177</v>
      </c>
      <c r="D2" s="532" t="s">
        <v>3625</v>
      </c>
      <c r="E2" s="506" t="s">
        <v>37</v>
      </c>
      <c r="F2" s="530" t="s">
        <v>3</v>
      </c>
      <c r="G2" s="479" t="s">
        <v>0</v>
      </c>
      <c r="H2" s="479"/>
      <c r="I2" s="479"/>
      <c r="J2" s="479" t="s">
        <v>13</v>
      </c>
      <c r="K2" s="479"/>
      <c r="L2" s="479"/>
      <c r="M2" s="479" t="s">
        <v>14</v>
      </c>
      <c r="N2" s="479"/>
      <c r="O2" s="479"/>
      <c r="P2" s="479" t="s">
        <v>178</v>
      </c>
      <c r="Q2" s="479"/>
      <c r="R2" s="479"/>
      <c r="S2" s="489" t="s">
        <v>42</v>
      </c>
    </row>
    <row r="3" spans="1:55" ht="26.1" thickBot="1" x14ac:dyDescent="0.55000000000000004">
      <c r="A3" s="529"/>
      <c r="B3" s="503"/>
      <c r="C3" s="531"/>
      <c r="D3" s="533"/>
      <c r="E3" s="461"/>
      <c r="F3" s="531"/>
      <c r="G3" s="351" t="s">
        <v>43</v>
      </c>
      <c r="H3" s="22" t="s">
        <v>44</v>
      </c>
      <c r="I3" s="22" t="s">
        <v>45</v>
      </c>
      <c r="J3" s="351" t="s">
        <v>43</v>
      </c>
      <c r="K3" s="207" t="s">
        <v>44</v>
      </c>
      <c r="L3" s="207" t="s">
        <v>45</v>
      </c>
      <c r="M3" s="351" t="s">
        <v>43</v>
      </c>
      <c r="N3" s="22" t="s">
        <v>44</v>
      </c>
      <c r="O3" s="22" t="s">
        <v>45</v>
      </c>
      <c r="P3" s="351" t="s">
        <v>43</v>
      </c>
      <c r="Q3" s="22" t="s">
        <v>44</v>
      </c>
      <c r="R3" s="22" t="s">
        <v>45</v>
      </c>
      <c r="S3" s="494"/>
      <c r="AZ3" s="11" t="s">
        <v>46</v>
      </c>
    </row>
    <row r="4" spans="1:55" ht="27.6" x14ac:dyDescent="0.55000000000000004">
      <c r="A4" s="521" t="s">
        <v>179</v>
      </c>
      <c r="B4" s="488" t="s">
        <v>28</v>
      </c>
      <c r="C4" s="182" t="s">
        <v>180</v>
      </c>
      <c r="D4" s="344" t="s">
        <v>158</v>
      </c>
      <c r="E4" s="272"/>
      <c r="F4" s="272"/>
      <c r="G4" s="377" t="s">
        <v>50</v>
      </c>
      <c r="H4" s="280">
        <v>125</v>
      </c>
      <c r="I4" s="182" t="s">
        <v>24</v>
      </c>
      <c r="J4" s="451" t="str">
        <f>G4</f>
        <v>=</v>
      </c>
      <c r="K4" s="239">
        <f>IF((LEN(TRIM(H4))=0),"--",H4)</f>
        <v>125</v>
      </c>
      <c r="L4" s="205" t="s">
        <v>24</v>
      </c>
      <c r="M4" s="444" t="str">
        <f>G4</f>
        <v>=</v>
      </c>
      <c r="N4" s="82">
        <f>IF((LEN(TRIM(H4))=0),"Enter LC50 in Column H",H4*0.5)</f>
        <v>62.5</v>
      </c>
      <c r="O4" s="24" t="s">
        <v>181</v>
      </c>
      <c r="P4" s="360"/>
      <c r="Q4" s="264">
        <v>125</v>
      </c>
      <c r="R4" s="62" t="s">
        <v>182</v>
      </c>
      <c r="S4" s="23"/>
      <c r="AZ4" s="13" t="s">
        <v>53</v>
      </c>
      <c r="BA4"/>
      <c r="BB4" s="19" t="s">
        <v>54</v>
      </c>
      <c r="BC4" s="4" t="s">
        <v>55</v>
      </c>
    </row>
    <row r="5" spans="1:55" ht="27.6" x14ac:dyDescent="0.55000000000000004">
      <c r="A5" s="476"/>
      <c r="B5" s="489"/>
      <c r="C5" s="183" t="s">
        <v>183</v>
      </c>
      <c r="D5" s="257" t="s">
        <v>159</v>
      </c>
      <c r="E5" s="270"/>
      <c r="F5" s="270"/>
      <c r="G5" s="314" t="s">
        <v>60</v>
      </c>
      <c r="H5" s="281">
        <v>56</v>
      </c>
      <c r="I5" s="183" t="s">
        <v>12</v>
      </c>
      <c r="J5" s="452" t="str">
        <f>G5</f>
        <v>&lt;</v>
      </c>
      <c r="K5" s="239">
        <f>IF((LEN(TRIM(H5))=0),"--",H5)</f>
        <v>56</v>
      </c>
      <c r="L5" s="205" t="s">
        <v>12</v>
      </c>
      <c r="M5" s="445" t="str">
        <f>G5</f>
        <v>&lt;</v>
      </c>
      <c r="N5" s="82">
        <f>IF((LEN(TRIM(H5))=0),"Enter LC50 in Column H",H5*0.5)</f>
        <v>28</v>
      </c>
      <c r="O5" s="194" t="s">
        <v>51</v>
      </c>
      <c r="P5" s="415"/>
      <c r="Q5" s="32"/>
      <c r="R5" s="33"/>
      <c r="S5" s="188"/>
      <c r="AZ5" s="14" t="s">
        <v>50</v>
      </c>
      <c r="BA5"/>
      <c r="BB5"/>
      <c r="BC5" s="4" t="s">
        <v>58</v>
      </c>
    </row>
    <row r="6" spans="1:55" ht="14.4" x14ac:dyDescent="0.55000000000000004">
      <c r="A6" s="476"/>
      <c r="B6" s="489"/>
      <c r="C6" s="489" t="s">
        <v>184</v>
      </c>
      <c r="D6" s="525" t="s">
        <v>158</v>
      </c>
      <c r="E6" s="457"/>
      <c r="F6" s="495"/>
      <c r="G6" s="314" t="s">
        <v>50</v>
      </c>
      <c r="H6" s="281">
        <v>2</v>
      </c>
      <c r="I6" s="183" t="s">
        <v>10</v>
      </c>
      <c r="J6" s="453" t="str">
        <f>G6</f>
        <v>=</v>
      </c>
      <c r="K6" s="239">
        <f>IF((LEN(TRIM(H6))=0),"--",H6)</f>
        <v>2</v>
      </c>
      <c r="L6" s="205" t="s">
        <v>10</v>
      </c>
      <c r="M6" s="446" t="str">
        <f>IF(AND(G6="=",G7="="),G6,(IF(G6="&lt;",G6,G7)))</f>
        <v>&gt;</v>
      </c>
      <c r="N6" s="161">
        <f>IF(OR(H6="",H7=""),"Enter NOAEC &amp; LOAEC in Column H", (GEOMEAN(H6:H7)))</f>
        <v>10</v>
      </c>
      <c r="O6" s="50" t="s">
        <v>27</v>
      </c>
      <c r="P6" s="435"/>
      <c r="Q6" s="67"/>
      <c r="R6" s="33"/>
      <c r="S6" s="501"/>
      <c r="AZ6" s="14" t="s">
        <v>57</v>
      </c>
      <c r="BA6"/>
      <c r="BB6"/>
      <c r="BC6" s="4" t="s">
        <v>59</v>
      </c>
    </row>
    <row r="7" spans="1:55" ht="14.7" thickBot="1" x14ac:dyDescent="0.6">
      <c r="A7" s="476"/>
      <c r="B7" s="489"/>
      <c r="C7" s="489"/>
      <c r="D7" s="525"/>
      <c r="E7" s="463"/>
      <c r="F7" s="495"/>
      <c r="G7" s="314" t="s">
        <v>57</v>
      </c>
      <c r="H7" s="281">
        <v>50</v>
      </c>
      <c r="I7" s="191" t="s">
        <v>11</v>
      </c>
      <c r="J7" s="452"/>
      <c r="K7" s="240">
        <f>IF(OR(H6="",H7=""),"Enter NOAEC &amp; LOAEC in Column H", (GEOMEAN(H6:H7)))</f>
        <v>10</v>
      </c>
      <c r="L7" s="242" t="s">
        <v>27</v>
      </c>
      <c r="M7" s="447"/>
      <c r="N7" s="46"/>
      <c r="O7" s="49"/>
      <c r="P7" s="436"/>
      <c r="Q7" s="197"/>
      <c r="R7" s="200"/>
      <c r="S7" s="524"/>
      <c r="AZ7" s="14" t="s">
        <v>60</v>
      </c>
      <c r="BA7"/>
      <c r="BB7"/>
      <c r="BC7" s="16" t="s">
        <v>61</v>
      </c>
    </row>
    <row r="8" spans="1:55" ht="27.6" x14ac:dyDescent="0.55000000000000004">
      <c r="A8" s="476"/>
      <c r="B8" s="492" t="s">
        <v>29</v>
      </c>
      <c r="C8" s="184" t="s">
        <v>185</v>
      </c>
      <c r="D8" s="257" t="s">
        <v>173</v>
      </c>
      <c r="E8" s="270"/>
      <c r="F8" s="270"/>
      <c r="G8" s="314" t="s">
        <v>50</v>
      </c>
      <c r="H8" s="281">
        <v>450</v>
      </c>
      <c r="I8" s="183" t="s">
        <v>24</v>
      </c>
      <c r="J8" s="454" t="str">
        <f>G8</f>
        <v>=</v>
      </c>
      <c r="K8" s="239">
        <f>IF((LEN(TRIM(H8))=0),"--",H8)</f>
        <v>450</v>
      </c>
      <c r="L8" s="205" t="s">
        <v>24</v>
      </c>
      <c r="M8" s="448" t="str">
        <f>G8</f>
        <v>=</v>
      </c>
      <c r="N8" s="82">
        <f>IF((LEN(TRIM(H8))=0),"Enter LC50 in Column H",H8*0.5)</f>
        <v>225</v>
      </c>
      <c r="O8" s="24" t="s">
        <v>181</v>
      </c>
      <c r="P8" s="360"/>
      <c r="Q8" s="264">
        <v>450</v>
      </c>
      <c r="R8" s="62" t="s">
        <v>182</v>
      </c>
      <c r="S8" s="185"/>
      <c r="AZ8"/>
      <c r="BA8"/>
      <c r="BB8"/>
      <c r="BC8" s="16" t="s">
        <v>62</v>
      </c>
    </row>
    <row r="9" spans="1:55" ht="14.4" x14ac:dyDescent="0.55000000000000004">
      <c r="A9" s="476"/>
      <c r="B9" s="492"/>
      <c r="C9" s="492" t="s">
        <v>186</v>
      </c>
      <c r="D9" s="525" t="s">
        <v>173</v>
      </c>
      <c r="E9" s="457"/>
      <c r="F9" s="534"/>
      <c r="G9" s="314" t="s">
        <v>60</v>
      </c>
      <c r="H9" s="281">
        <v>8</v>
      </c>
      <c r="I9" s="183" t="s">
        <v>25</v>
      </c>
      <c r="J9" s="453" t="str">
        <f>G9</f>
        <v>&lt;</v>
      </c>
      <c r="K9" s="239">
        <f>IF((LEN(TRIM(H9))=0),"--",H9)</f>
        <v>8</v>
      </c>
      <c r="L9" s="205" t="s">
        <v>25</v>
      </c>
      <c r="M9" s="446" t="str">
        <f t="shared" ref="M9" si="0">IF(AND(G9="=",G10="="),G9,(IF(G9="&lt;",G9,G10)))</f>
        <v>&lt;</v>
      </c>
      <c r="N9" s="161">
        <f>IF(OR(H9="",H10=""),"Enter NOAEL &amp; LOAEL in Column H", (GEOMEAN(H9:H10)))</f>
        <v>24.494897427831781</v>
      </c>
      <c r="O9" s="64" t="s">
        <v>34</v>
      </c>
      <c r="P9" s="435"/>
      <c r="Q9" s="67"/>
      <c r="R9" s="47"/>
      <c r="S9" s="501"/>
      <c r="AZ9"/>
      <c r="BA9"/>
      <c r="BB9"/>
      <c r="BC9" s="16" t="s">
        <v>63</v>
      </c>
    </row>
    <row r="10" spans="1:55" ht="14.4" x14ac:dyDescent="0.55000000000000004">
      <c r="A10" s="476"/>
      <c r="B10" s="492"/>
      <c r="C10" s="492"/>
      <c r="D10" s="525"/>
      <c r="E10" s="463"/>
      <c r="F10" s="535"/>
      <c r="G10" s="314" t="s">
        <v>50</v>
      </c>
      <c r="H10" s="281">
        <v>75</v>
      </c>
      <c r="I10" s="191" t="s">
        <v>26</v>
      </c>
      <c r="J10" s="452"/>
      <c r="K10" s="240">
        <f>IF(OR(H9="",H10=""),"Enter NOAEC &amp; LOAEC in Column H", (GEOMEAN(H9:H10)))</f>
        <v>24.494897427831781</v>
      </c>
      <c r="L10" s="242" t="s">
        <v>34</v>
      </c>
      <c r="M10" s="447"/>
      <c r="N10" s="46"/>
      <c r="O10" s="44"/>
      <c r="P10" s="436"/>
      <c r="Q10" s="197"/>
      <c r="R10" s="199"/>
      <c r="S10" s="524"/>
      <c r="AZ10"/>
      <c r="BA10"/>
      <c r="BB10"/>
      <c r="BC10" s="16" t="s">
        <v>64</v>
      </c>
    </row>
    <row r="11" spans="1:55" ht="14.4" x14ac:dyDescent="0.55000000000000004">
      <c r="A11" s="476"/>
      <c r="B11" s="492"/>
      <c r="C11" s="492" t="s">
        <v>187</v>
      </c>
      <c r="D11" s="525" t="s">
        <v>173</v>
      </c>
      <c r="E11" s="457"/>
      <c r="F11" s="457"/>
      <c r="G11" s="314" t="s">
        <v>50</v>
      </c>
      <c r="H11" s="281">
        <v>12</v>
      </c>
      <c r="I11" s="183" t="s">
        <v>10</v>
      </c>
      <c r="J11" s="370" t="str">
        <f>G11</f>
        <v>=</v>
      </c>
      <c r="K11" s="239">
        <f>IF((LEN(TRIM(H11))=0),"--",H11)</f>
        <v>12</v>
      </c>
      <c r="L11" s="205" t="s">
        <v>10</v>
      </c>
      <c r="M11" s="449" t="str">
        <f t="shared" ref="M11" si="1">IF(AND(G11="=",G12="="),G11,(IF(G11="&lt;",G11,G12)))</f>
        <v>=</v>
      </c>
      <c r="N11" s="160">
        <f>IF(OR(H11="",H12=""),"Enter NOAEC &amp; LOAEC in Column H", (GEOMEAN(H11:H12)))</f>
        <v>24</v>
      </c>
      <c r="O11" s="195" t="s">
        <v>27</v>
      </c>
      <c r="P11" s="437"/>
      <c r="Q11" s="196"/>
      <c r="R11" s="198"/>
      <c r="S11" s="501"/>
      <c r="AZ11"/>
      <c r="BA11"/>
      <c r="BB11"/>
      <c r="BC11" s="16" t="s">
        <v>18</v>
      </c>
    </row>
    <row r="12" spans="1:55" ht="14.7" thickBot="1" x14ac:dyDescent="0.6">
      <c r="A12" s="476"/>
      <c r="B12" s="492"/>
      <c r="C12" s="492"/>
      <c r="D12" s="525"/>
      <c r="E12" s="463"/>
      <c r="F12" s="463"/>
      <c r="G12" s="314" t="s">
        <v>50</v>
      </c>
      <c r="H12" s="281">
        <v>48</v>
      </c>
      <c r="I12" s="191" t="s">
        <v>11</v>
      </c>
      <c r="J12" s="452"/>
      <c r="K12" s="240">
        <f>IF(OR(H11="",H12=""),"Enter NOAEC &amp; LOAEC in Column H", (GEOMEAN(H11:H12)))</f>
        <v>24</v>
      </c>
      <c r="L12" s="242" t="s">
        <v>27</v>
      </c>
      <c r="M12" s="447"/>
      <c r="N12" s="46"/>
      <c r="O12" s="45"/>
      <c r="P12" s="436"/>
      <c r="Q12" s="197"/>
      <c r="R12" s="199"/>
      <c r="S12" s="524"/>
      <c r="AZ12"/>
      <c r="BA12"/>
      <c r="BB12"/>
      <c r="BC12" s="16" t="s">
        <v>65</v>
      </c>
    </row>
    <row r="13" spans="1:55" ht="27.6" x14ac:dyDescent="0.55000000000000004">
      <c r="A13" s="476"/>
      <c r="B13" s="492" t="s">
        <v>33</v>
      </c>
      <c r="C13" s="184" t="s">
        <v>180</v>
      </c>
      <c r="D13" s="257" t="s">
        <v>158</v>
      </c>
      <c r="E13" s="270"/>
      <c r="F13" s="270"/>
      <c r="G13" s="314" t="s">
        <v>50</v>
      </c>
      <c r="H13" s="281">
        <v>125</v>
      </c>
      <c r="I13" s="183" t="s">
        <v>24</v>
      </c>
      <c r="J13" s="454" t="str">
        <f>G13</f>
        <v>=</v>
      </c>
      <c r="K13" s="239">
        <f>IF((LEN(TRIM(H13))=0),"--",H13)</f>
        <v>125</v>
      </c>
      <c r="L13" s="205" t="s">
        <v>24</v>
      </c>
      <c r="M13" s="448" t="str">
        <f>G13</f>
        <v>=</v>
      </c>
      <c r="N13" s="82">
        <f>IF((LEN(TRIM(H13))=0),"Enter LC50 in Column H",H13*0.5)</f>
        <v>62.5</v>
      </c>
      <c r="O13" s="24" t="s">
        <v>181</v>
      </c>
      <c r="P13" s="360"/>
      <c r="Q13" s="264">
        <v>125</v>
      </c>
      <c r="R13" s="62" t="s">
        <v>182</v>
      </c>
      <c r="S13" s="185"/>
      <c r="AZ13"/>
      <c r="BA13"/>
      <c r="BB13"/>
      <c r="BC13" s="16" t="s">
        <v>68</v>
      </c>
    </row>
    <row r="14" spans="1:55" ht="27.6" x14ac:dyDescent="0.55000000000000004">
      <c r="A14" s="476"/>
      <c r="B14" s="492"/>
      <c r="C14" s="184" t="s">
        <v>183</v>
      </c>
      <c r="D14" s="257" t="s">
        <v>159</v>
      </c>
      <c r="E14" s="270"/>
      <c r="F14" s="270"/>
      <c r="G14" s="314" t="s">
        <v>50</v>
      </c>
      <c r="H14" s="281">
        <v>56</v>
      </c>
      <c r="I14" s="183" t="s">
        <v>12</v>
      </c>
      <c r="J14" s="452" t="str">
        <f>G14</f>
        <v>=</v>
      </c>
      <c r="K14" s="239">
        <f>IF((LEN(TRIM(H14))=0),"--",H14)</f>
        <v>56</v>
      </c>
      <c r="L14" s="205" t="s">
        <v>12</v>
      </c>
      <c r="M14" s="445" t="str">
        <f>G14</f>
        <v>=</v>
      </c>
      <c r="N14" s="82">
        <f>IF((LEN(TRIM(H14))=0),"Enter LC50 in Column H",H14*0.5)</f>
        <v>28</v>
      </c>
      <c r="O14" s="194" t="s">
        <v>51</v>
      </c>
      <c r="P14" s="415"/>
      <c r="Q14" s="32"/>
      <c r="R14" s="33"/>
      <c r="S14" s="188"/>
      <c r="AZ14"/>
      <c r="BA14"/>
      <c r="BB14"/>
      <c r="BC14" s="16" t="s">
        <v>70</v>
      </c>
    </row>
    <row r="15" spans="1:55" ht="14.4" x14ac:dyDescent="0.55000000000000004">
      <c r="A15" s="476"/>
      <c r="B15" s="492"/>
      <c r="C15" s="492" t="s">
        <v>184</v>
      </c>
      <c r="D15" s="525" t="s">
        <v>158</v>
      </c>
      <c r="E15" s="495"/>
      <c r="F15" s="495"/>
      <c r="G15" s="314" t="s">
        <v>50</v>
      </c>
      <c r="H15" s="281">
        <v>2</v>
      </c>
      <c r="I15" s="183" t="s">
        <v>10</v>
      </c>
      <c r="J15" s="453" t="str">
        <f>G15</f>
        <v>=</v>
      </c>
      <c r="K15" s="239">
        <f>IF((LEN(TRIM(H15))=0),"--",H15)</f>
        <v>2</v>
      </c>
      <c r="L15" s="205" t="s">
        <v>10</v>
      </c>
      <c r="M15" s="446" t="str">
        <f>IF(AND(G15="=",G16="="),G15,(IF(G15="&lt;",G15,G16)))</f>
        <v>=</v>
      </c>
      <c r="N15" s="161">
        <f>IF(OR(H15="",H16=""),"Enter NOAEC &amp; LOAEC in Column H", (GEOMEAN(H15:H16)))</f>
        <v>10</v>
      </c>
      <c r="O15" s="72" t="s">
        <v>27</v>
      </c>
      <c r="P15" s="435"/>
      <c r="Q15" s="67"/>
      <c r="R15" s="33"/>
      <c r="S15" s="526"/>
      <c r="AZ15"/>
      <c r="BA15"/>
      <c r="BB15"/>
      <c r="BC15" s="16" t="s">
        <v>71</v>
      </c>
    </row>
    <row r="16" spans="1:55" s="30" customFormat="1" ht="14.7" thickBot="1" x14ac:dyDescent="0.6">
      <c r="A16" s="515"/>
      <c r="B16" s="492"/>
      <c r="C16" s="492"/>
      <c r="D16" s="525"/>
      <c r="E16" s="495"/>
      <c r="F16" s="495"/>
      <c r="G16" s="369" t="s">
        <v>50</v>
      </c>
      <c r="H16" s="282">
        <v>50</v>
      </c>
      <c r="I16" s="42" t="s">
        <v>11</v>
      </c>
      <c r="J16" s="455"/>
      <c r="K16" s="241">
        <f>IF(OR(H15="",H16=""),"Enter NOAEC &amp; LOAEC in Column H", (GEOMEAN(H15:H16)))</f>
        <v>10</v>
      </c>
      <c r="L16" s="209" t="s">
        <v>27</v>
      </c>
      <c r="M16" s="450"/>
      <c r="N16" s="59"/>
      <c r="O16" s="57"/>
      <c r="P16" s="438"/>
      <c r="Q16" s="68"/>
      <c r="R16" s="73"/>
      <c r="S16" s="527"/>
      <c r="AZ16"/>
      <c r="BA16"/>
      <c r="BB16"/>
      <c r="BC16" s="16" t="s">
        <v>72</v>
      </c>
    </row>
    <row r="17" spans="1:55" ht="26.25" customHeight="1" thickBot="1" x14ac:dyDescent="0.6">
      <c r="A17" s="474" t="s">
        <v>21</v>
      </c>
      <c r="B17" s="464" t="s">
        <v>22</v>
      </c>
      <c r="C17" s="25" t="s">
        <v>3623</v>
      </c>
      <c r="D17" s="272"/>
      <c r="E17" s="272"/>
      <c r="F17" s="272"/>
      <c r="G17" s="352" t="s">
        <v>50</v>
      </c>
      <c r="H17" s="283">
        <v>5</v>
      </c>
      <c r="I17" s="27" t="s">
        <v>24</v>
      </c>
      <c r="J17" s="454" t="str">
        <f>G17</f>
        <v>=</v>
      </c>
      <c r="K17" s="239">
        <f>IF((LEN(TRIM(H17))=0),"--",H17)</f>
        <v>5</v>
      </c>
      <c r="L17" s="206" t="s">
        <v>24</v>
      </c>
      <c r="M17" s="448" t="str">
        <f>G17</f>
        <v>=</v>
      </c>
      <c r="N17" s="82">
        <f>IF((LEN(TRIM(H17))=0),"Enter LC50 in Column H",H17*0.4)</f>
        <v>2</v>
      </c>
      <c r="O17" s="24" t="s">
        <v>189</v>
      </c>
      <c r="P17" s="352"/>
      <c r="Q17" s="288">
        <v>5</v>
      </c>
      <c r="R17" s="159" t="s">
        <v>190</v>
      </c>
      <c r="S17" s="71"/>
      <c r="AZ17"/>
      <c r="BA17"/>
      <c r="BB17"/>
      <c r="BC17" s="16" t="s">
        <v>73</v>
      </c>
    </row>
    <row r="18" spans="1:55" ht="27.6" x14ac:dyDescent="0.55000000000000004">
      <c r="A18" s="476"/>
      <c r="B18" s="465"/>
      <c r="C18" s="180" t="s">
        <v>191</v>
      </c>
      <c r="D18" s="270"/>
      <c r="E18" s="270"/>
      <c r="F18" s="270"/>
      <c r="G18" s="314" t="s">
        <v>57</v>
      </c>
      <c r="H18" s="284">
        <v>10</v>
      </c>
      <c r="I18" s="192" t="s">
        <v>24</v>
      </c>
      <c r="J18" s="452" t="str">
        <f>G18</f>
        <v>&gt;</v>
      </c>
      <c r="K18" s="239">
        <f>IF((LEN(TRIM(H18))=0),"--",H18)</f>
        <v>10</v>
      </c>
      <c r="L18" s="205" t="s">
        <v>24</v>
      </c>
      <c r="M18" s="445" t="str">
        <f>G18</f>
        <v>&gt;</v>
      </c>
      <c r="N18" s="82">
        <f>IF((LEN(TRIM(H18))=0),"Enter LC50 in Column H",H18*0.4)</f>
        <v>4</v>
      </c>
      <c r="O18" s="24" t="s">
        <v>189</v>
      </c>
      <c r="P18" s="314"/>
      <c r="Q18" s="287">
        <v>10</v>
      </c>
      <c r="R18" s="252" t="s">
        <v>192</v>
      </c>
      <c r="S18" s="29"/>
      <c r="AZ18"/>
      <c r="BA18"/>
      <c r="BB18"/>
      <c r="BC18" s="16" t="s">
        <v>74</v>
      </c>
    </row>
    <row r="19" spans="1:55" ht="14.5" customHeight="1" x14ac:dyDescent="0.55000000000000004">
      <c r="A19" s="476"/>
      <c r="B19" s="465"/>
      <c r="C19" s="467" t="s">
        <v>193</v>
      </c>
      <c r="D19" s="495"/>
      <c r="E19" s="457"/>
      <c r="F19" s="495"/>
      <c r="G19" s="314" t="s">
        <v>50</v>
      </c>
      <c r="H19" s="284">
        <v>8</v>
      </c>
      <c r="I19" s="192" t="s">
        <v>25</v>
      </c>
      <c r="J19" s="453" t="str">
        <f>G19</f>
        <v>=</v>
      </c>
      <c r="K19" s="239">
        <f>IF((LEN(TRIM(H19))=0),"--",H19)</f>
        <v>8</v>
      </c>
      <c r="L19" s="208" t="s">
        <v>25</v>
      </c>
      <c r="M19" s="446" t="str">
        <f>IF(AND(G19="=",G20="="),G19,(IF(G19="&lt;",G19,G20)))</f>
        <v>=</v>
      </c>
      <c r="N19" s="161">
        <f>IF(OR(H19="",H20=""),"Enter NOAEL &amp; LOAEL in Column H", (GEOMEAN(H19:H20)))</f>
        <v>8.4852813742385695</v>
      </c>
      <c r="O19" s="48" t="s">
        <v>34</v>
      </c>
      <c r="P19" s="304"/>
      <c r="Q19" s="63"/>
      <c r="R19" s="74"/>
      <c r="S19" s="522"/>
      <c r="AZ19"/>
      <c r="BA19"/>
      <c r="BB19"/>
      <c r="BC19" s="16" t="s">
        <v>76</v>
      </c>
    </row>
    <row r="20" spans="1:55" ht="14.5" customHeight="1" thickBot="1" x14ac:dyDescent="0.6">
      <c r="A20" s="476"/>
      <c r="B20" s="465"/>
      <c r="C20" s="467"/>
      <c r="D20" s="495"/>
      <c r="E20" s="463"/>
      <c r="F20" s="495"/>
      <c r="G20" s="314" t="s">
        <v>50</v>
      </c>
      <c r="H20" s="284">
        <v>9</v>
      </c>
      <c r="I20" s="192" t="s">
        <v>26</v>
      </c>
      <c r="J20" s="452"/>
      <c r="K20" s="240">
        <f>IF(OR(H19="",H20=""),"Enter NOAEC &amp; LOAEC in Column H", (GEOMEAN(H19:H20)))</f>
        <v>8.4852813742385695</v>
      </c>
      <c r="L20" s="242" t="s">
        <v>34</v>
      </c>
      <c r="M20" s="447"/>
      <c r="N20" s="46"/>
      <c r="O20" s="45"/>
      <c r="P20" s="439"/>
      <c r="Q20" s="203"/>
      <c r="R20" s="75"/>
      <c r="S20" s="523"/>
      <c r="AZ20"/>
      <c r="BA20"/>
      <c r="BB20"/>
      <c r="BC20" s="16" t="s">
        <v>78</v>
      </c>
    </row>
    <row r="21" spans="1:55" ht="27.6" x14ac:dyDescent="0.55000000000000004">
      <c r="A21" s="476"/>
      <c r="B21" s="465" t="s">
        <v>23</v>
      </c>
      <c r="C21" s="180" t="s">
        <v>194</v>
      </c>
      <c r="D21" s="270"/>
      <c r="E21" s="270"/>
      <c r="F21" s="270"/>
      <c r="G21" s="314" t="s">
        <v>50</v>
      </c>
      <c r="H21" s="284">
        <v>50</v>
      </c>
      <c r="I21" s="180" t="s">
        <v>24</v>
      </c>
      <c r="J21" s="454" t="str">
        <f>G21</f>
        <v>=</v>
      </c>
      <c r="K21" s="239">
        <f>IF((LEN(TRIM(H21))=0),"--",H21)</f>
        <v>50</v>
      </c>
      <c r="L21" s="205" t="s">
        <v>24</v>
      </c>
      <c r="M21" s="448" t="str">
        <f>G21</f>
        <v>=</v>
      </c>
      <c r="N21" s="82">
        <f>IF((LEN(TRIM(H21))=0),"Enter LC50 in Column H",H21*0.4)</f>
        <v>20</v>
      </c>
      <c r="O21" s="24" t="s">
        <v>189</v>
      </c>
      <c r="P21" s="314"/>
      <c r="Q21" s="414"/>
      <c r="R21" s="316" t="s">
        <v>195</v>
      </c>
      <c r="S21" s="69"/>
      <c r="AZ21"/>
      <c r="BA21"/>
      <c r="BB21"/>
      <c r="BC21" s="16" t="s">
        <v>79</v>
      </c>
    </row>
    <row r="22" spans="1:55" ht="14.5" customHeight="1" x14ac:dyDescent="0.55000000000000004">
      <c r="A22" s="476"/>
      <c r="B22" s="465"/>
      <c r="C22" s="467" t="s">
        <v>196</v>
      </c>
      <c r="D22" s="495"/>
      <c r="E22" s="457"/>
      <c r="F22" s="495"/>
      <c r="G22" s="314" t="s">
        <v>50</v>
      </c>
      <c r="H22" s="281">
        <v>1</v>
      </c>
      <c r="I22" s="180" t="s">
        <v>25</v>
      </c>
      <c r="J22" s="453" t="str">
        <f>G22</f>
        <v>=</v>
      </c>
      <c r="K22" s="239">
        <f>IF((LEN(TRIM(H22))=0),"--",H22)</f>
        <v>1</v>
      </c>
      <c r="L22" s="208" t="s">
        <v>25</v>
      </c>
      <c r="M22" s="446" t="str">
        <f>IF(AND(G22="=",G23="="),G22,(IF(G22="&lt;",G22,G23)))</f>
        <v>=</v>
      </c>
      <c r="N22" s="161">
        <f>IF(OR(H22="",H23=""),"Enter NOAEL &amp; LOAEL in Column H", (GEOMEAN(H22:H23)))</f>
        <v>2.2360679774997898</v>
      </c>
      <c r="O22" s="48" t="s">
        <v>34</v>
      </c>
      <c r="P22" s="440"/>
      <c r="Q22" s="203"/>
      <c r="R22" s="75"/>
      <c r="S22" s="522"/>
      <c r="AZ22"/>
      <c r="BA22"/>
      <c r="BB22"/>
      <c r="BC22" s="16" t="s">
        <v>81</v>
      </c>
    </row>
    <row r="23" spans="1:55" ht="14.5" customHeight="1" x14ac:dyDescent="0.55000000000000004">
      <c r="A23" s="476"/>
      <c r="B23" s="465"/>
      <c r="C23" s="467"/>
      <c r="D23" s="495"/>
      <c r="E23" s="463"/>
      <c r="F23" s="495"/>
      <c r="G23" s="314" t="s">
        <v>50</v>
      </c>
      <c r="H23" s="284">
        <v>5</v>
      </c>
      <c r="I23" s="192" t="s">
        <v>26</v>
      </c>
      <c r="J23" s="452"/>
      <c r="K23" s="240">
        <f>IF(OR(H22="",H23=""),"Enter NOAEC &amp; LOAEC in Column H", (GEOMEAN(H22:H23)))</f>
        <v>2.2360679774997898</v>
      </c>
      <c r="L23" s="242" t="s">
        <v>34</v>
      </c>
      <c r="M23" s="447"/>
      <c r="N23" s="46"/>
      <c r="O23" s="45"/>
      <c r="P23" s="439"/>
      <c r="Q23" s="203"/>
      <c r="R23" s="75"/>
      <c r="S23" s="523"/>
      <c r="AZ23"/>
      <c r="BA23"/>
      <c r="BB23"/>
      <c r="BC23" s="16" t="s">
        <v>83</v>
      </c>
    </row>
    <row r="24" spans="1:55" ht="27.6" x14ac:dyDescent="0.55000000000000004">
      <c r="A24" s="476"/>
      <c r="B24" s="465" t="s">
        <v>3197</v>
      </c>
      <c r="C24" s="180" t="s">
        <v>197</v>
      </c>
      <c r="D24" s="270"/>
      <c r="E24" s="270"/>
      <c r="F24" s="270"/>
      <c r="G24" s="314" t="s">
        <v>50</v>
      </c>
      <c r="H24" s="284">
        <v>2</v>
      </c>
      <c r="I24" s="180" t="s">
        <v>12</v>
      </c>
      <c r="J24" s="454" t="str">
        <f>G24</f>
        <v>=</v>
      </c>
      <c r="K24" s="239">
        <f>IF((LEN(TRIM(H24))=0),"--",H24)</f>
        <v>2</v>
      </c>
      <c r="L24" s="208" t="s">
        <v>12</v>
      </c>
      <c r="M24" s="448" t="str">
        <f>G24</f>
        <v>=</v>
      </c>
      <c r="N24" s="82">
        <f>IF((LEN(TRIM(H24))=0),"Enter LC50 in Column H",H24*0.4)</f>
        <v>0.8</v>
      </c>
      <c r="O24" s="27" t="s">
        <v>198</v>
      </c>
      <c r="P24" s="314"/>
      <c r="Q24" s="259">
        <v>2</v>
      </c>
      <c r="R24" s="181" t="s">
        <v>182</v>
      </c>
      <c r="S24" s="70"/>
      <c r="AZ24"/>
      <c r="BA24"/>
      <c r="BB24"/>
      <c r="BC24" s="16" t="s">
        <v>84</v>
      </c>
    </row>
    <row r="25" spans="1:55" ht="14.5" customHeight="1" x14ac:dyDescent="0.55000000000000004">
      <c r="A25" s="476"/>
      <c r="B25" s="465"/>
      <c r="C25" s="467" t="s">
        <v>199</v>
      </c>
      <c r="D25" s="495"/>
      <c r="E25" s="457"/>
      <c r="F25" s="495"/>
      <c r="G25" s="314" t="s">
        <v>50</v>
      </c>
      <c r="H25" s="281">
        <v>0.4</v>
      </c>
      <c r="I25" s="180" t="s">
        <v>10</v>
      </c>
      <c r="J25" s="453" t="str">
        <f>G25</f>
        <v>=</v>
      </c>
      <c r="K25" s="239">
        <f>IF((LEN(TRIM(H25))=0),"--",H25)</f>
        <v>0.4</v>
      </c>
      <c r="L25" s="208" t="s">
        <v>10</v>
      </c>
      <c r="M25" s="446" t="str">
        <f>IF(AND(G25="=",G26="="),G25,(IF(G25="&lt;",G25,G26)))</f>
        <v>=</v>
      </c>
      <c r="N25" s="161">
        <f>IF(OR(H25="",H26=""),"Enter NOAEC &amp; LOAEC in Column H", (GEOMEAN(H25:H26)))</f>
        <v>0.63245553203367588</v>
      </c>
      <c r="O25" s="48" t="s">
        <v>27</v>
      </c>
      <c r="P25" s="440"/>
      <c r="Q25" s="203"/>
      <c r="R25" s="75"/>
      <c r="S25" s="513"/>
      <c r="AZ25"/>
      <c r="BA25"/>
      <c r="BB25"/>
      <c r="BC25" s="16" t="s">
        <v>86</v>
      </c>
    </row>
    <row r="26" spans="1:55" ht="14.5" customHeight="1" x14ac:dyDescent="0.55000000000000004">
      <c r="A26" s="476"/>
      <c r="B26" s="465"/>
      <c r="C26" s="467"/>
      <c r="D26" s="495"/>
      <c r="E26" s="463"/>
      <c r="F26" s="495"/>
      <c r="G26" s="314" t="s">
        <v>50</v>
      </c>
      <c r="H26" s="284">
        <v>1</v>
      </c>
      <c r="I26" s="192" t="s">
        <v>11</v>
      </c>
      <c r="J26" s="452"/>
      <c r="K26" s="240">
        <f>IF(OR(H25="",H26=""),"Enter NOAEC &amp; LOAEC in Column H", (GEOMEAN(H25:H26)))</f>
        <v>0.63245553203367588</v>
      </c>
      <c r="L26" s="242" t="s">
        <v>27</v>
      </c>
      <c r="M26" s="447"/>
      <c r="N26" s="46"/>
      <c r="O26" s="45"/>
      <c r="P26" s="439"/>
      <c r="Q26" s="203"/>
      <c r="R26" s="75"/>
      <c r="S26" s="520"/>
      <c r="AZ26"/>
      <c r="BA26"/>
      <c r="BB26"/>
      <c r="BC26" s="16" t="s">
        <v>87</v>
      </c>
    </row>
    <row r="27" spans="1:55" ht="27.6" x14ac:dyDescent="0.55000000000000004">
      <c r="A27" s="476"/>
      <c r="B27" s="465" t="s">
        <v>3198</v>
      </c>
      <c r="C27" s="180" t="s">
        <v>197</v>
      </c>
      <c r="D27" s="270"/>
      <c r="E27" s="270"/>
      <c r="F27" s="270"/>
      <c r="G27" s="314" t="s">
        <v>50</v>
      </c>
      <c r="H27" s="284">
        <v>12</v>
      </c>
      <c r="I27" s="180" t="s">
        <v>12</v>
      </c>
      <c r="J27" s="454" t="str">
        <f>G27</f>
        <v>=</v>
      </c>
      <c r="K27" s="239">
        <f>IF((LEN(TRIM(H27))=0),"--",H27)</f>
        <v>12</v>
      </c>
      <c r="L27" s="208" t="s">
        <v>12</v>
      </c>
      <c r="M27" s="448" t="str">
        <f>G27</f>
        <v>=</v>
      </c>
      <c r="N27" s="82">
        <f>IF((LEN(TRIM(H27))=0),"Enter LC50 in Column H",H27*0.4)</f>
        <v>4.8000000000000007</v>
      </c>
      <c r="O27" s="27" t="s">
        <v>198</v>
      </c>
      <c r="P27" s="314"/>
      <c r="Q27" s="414"/>
      <c r="R27" s="316" t="s">
        <v>195</v>
      </c>
      <c r="S27" s="70"/>
      <c r="AZ27"/>
      <c r="BA27"/>
      <c r="BB27"/>
      <c r="BC27" s="16" t="s">
        <v>88</v>
      </c>
    </row>
    <row r="28" spans="1:55" ht="14.5" customHeight="1" x14ac:dyDescent="0.55000000000000004">
      <c r="A28" s="476"/>
      <c r="B28" s="465"/>
      <c r="C28" s="467" t="s">
        <v>200</v>
      </c>
      <c r="D28" s="495"/>
      <c r="E28" s="457"/>
      <c r="F28" s="495"/>
      <c r="G28" s="314" t="s">
        <v>50</v>
      </c>
      <c r="H28" s="281">
        <v>2</v>
      </c>
      <c r="I28" s="180" t="s">
        <v>10</v>
      </c>
      <c r="J28" s="453" t="str">
        <f>G28</f>
        <v>=</v>
      </c>
      <c r="K28" s="239">
        <f>IF((LEN(TRIM(H28))=0),"--",H28)</f>
        <v>2</v>
      </c>
      <c r="L28" s="208" t="s">
        <v>10</v>
      </c>
      <c r="M28" s="446" t="str">
        <f>IF(AND(G28="=",G29="="),G28,(IF(G28="&lt;",G28,G29)))</f>
        <v>=</v>
      </c>
      <c r="N28" s="161">
        <f>IF(OR(H28="",H29=""),"Enter NOAEC &amp; LOAEC in Column H", (GEOMEAN(H28:H29)))</f>
        <v>3.4641016151377548</v>
      </c>
      <c r="O28" s="48" t="s">
        <v>27</v>
      </c>
      <c r="P28" s="440"/>
      <c r="Q28" s="203"/>
      <c r="R28" s="75"/>
      <c r="S28" s="513"/>
      <c r="AZ28"/>
      <c r="BA28"/>
      <c r="BB28"/>
      <c r="BC28" s="16" t="s">
        <v>89</v>
      </c>
    </row>
    <row r="29" spans="1:55" ht="14.5" customHeight="1" x14ac:dyDescent="0.55000000000000004">
      <c r="A29" s="476"/>
      <c r="B29" s="465"/>
      <c r="C29" s="467"/>
      <c r="D29" s="495"/>
      <c r="E29" s="463"/>
      <c r="F29" s="495"/>
      <c r="G29" s="314" t="s">
        <v>50</v>
      </c>
      <c r="H29" s="284">
        <v>6</v>
      </c>
      <c r="I29" s="192" t="s">
        <v>11</v>
      </c>
      <c r="J29" s="452"/>
      <c r="K29" s="240">
        <f>IF(OR(H28="",H29=""),"Enter NOAEC &amp; LOAEC in Column H", (GEOMEAN(H28:H29)))</f>
        <v>3.4641016151377548</v>
      </c>
      <c r="L29" s="242" t="s">
        <v>27</v>
      </c>
      <c r="M29" s="447"/>
      <c r="N29" s="46"/>
      <c r="O29" s="45"/>
      <c r="P29" s="439"/>
      <c r="Q29" s="203"/>
      <c r="R29" s="75"/>
      <c r="S29" s="520"/>
      <c r="AZ29"/>
      <c r="BA29"/>
      <c r="BB29"/>
      <c r="BC29" s="16" t="s">
        <v>17</v>
      </c>
    </row>
    <row r="30" spans="1:55" ht="27.6" x14ac:dyDescent="0.55000000000000004">
      <c r="A30" s="476"/>
      <c r="B30" s="465" t="s">
        <v>201</v>
      </c>
      <c r="C30" s="180" t="s">
        <v>202</v>
      </c>
      <c r="D30" s="270"/>
      <c r="E30" s="270"/>
      <c r="F30" s="270"/>
      <c r="G30" s="314" t="s">
        <v>50</v>
      </c>
      <c r="H30" s="284">
        <v>20</v>
      </c>
      <c r="I30" s="180" t="s">
        <v>12</v>
      </c>
      <c r="J30" s="452" t="str">
        <f>G30</f>
        <v>=</v>
      </c>
      <c r="K30" s="239">
        <f>IF((LEN(TRIM(H30))=0),"--",H30)</f>
        <v>20</v>
      </c>
      <c r="L30" s="208" t="s">
        <v>12</v>
      </c>
      <c r="M30" s="445" t="str">
        <f>G30</f>
        <v>=</v>
      </c>
      <c r="N30" s="82">
        <f>IF((LEN(TRIM(H30))=0),"Enter LC50 in Column H",H30*0.4)</f>
        <v>8</v>
      </c>
      <c r="O30" s="27" t="s">
        <v>198</v>
      </c>
      <c r="P30" s="314"/>
      <c r="Q30" s="287">
        <v>20</v>
      </c>
      <c r="R30" s="252" t="s">
        <v>192</v>
      </c>
      <c r="S30" s="70"/>
      <c r="AZ30"/>
      <c r="BA30"/>
      <c r="BB30"/>
      <c r="BC30" s="16" t="s">
        <v>90</v>
      </c>
    </row>
    <row r="31" spans="1:55" ht="14.5" customHeight="1" x14ac:dyDescent="0.55000000000000004">
      <c r="A31" s="476"/>
      <c r="B31" s="465"/>
      <c r="C31" s="467" t="s">
        <v>203</v>
      </c>
      <c r="D31" s="495"/>
      <c r="E31" s="457"/>
      <c r="F31" s="495"/>
      <c r="G31" s="355" t="s">
        <v>50</v>
      </c>
      <c r="H31" s="285">
        <v>5</v>
      </c>
      <c r="I31" s="186" t="s">
        <v>10</v>
      </c>
      <c r="J31" s="453" t="str">
        <f>G31</f>
        <v>=</v>
      </c>
      <c r="K31" s="239">
        <f>IF((LEN(TRIM(H31))=0),"--",H31)</f>
        <v>5</v>
      </c>
      <c r="L31" s="208" t="s">
        <v>10</v>
      </c>
      <c r="M31" s="446" t="str">
        <f>IF(AND(G31="=",G32="="),G31,(IF(G31="&lt;",G31,G32)))</f>
        <v>=</v>
      </c>
      <c r="N31" s="161">
        <f>IF(OR(H31="",H32=""),"Enter NOAEC &amp; LOAEC in Column H", (GEOMEAN(H31:H32)))</f>
        <v>7.0710678118654755</v>
      </c>
      <c r="O31" s="48" t="s">
        <v>27</v>
      </c>
      <c r="P31" s="304"/>
      <c r="Q31" s="63"/>
      <c r="R31" s="74"/>
      <c r="S31" s="513"/>
      <c r="AZ31"/>
      <c r="BA31"/>
      <c r="BB31"/>
      <c r="BC31" s="16" t="s">
        <v>91</v>
      </c>
    </row>
    <row r="32" spans="1:55" ht="14.5" customHeight="1" x14ac:dyDescent="0.55000000000000004">
      <c r="A32" s="476"/>
      <c r="B32" s="465"/>
      <c r="C32" s="467"/>
      <c r="D32" s="495"/>
      <c r="E32" s="463"/>
      <c r="F32" s="495"/>
      <c r="G32" s="314" t="s">
        <v>50</v>
      </c>
      <c r="H32" s="284">
        <v>10</v>
      </c>
      <c r="I32" s="192" t="s">
        <v>11</v>
      </c>
      <c r="J32" s="452"/>
      <c r="K32" s="240">
        <f>IF(OR(H31="",H32=""),"Enter NOAEC &amp; LOAEC in Column H", (GEOMEAN(H31:H32)))</f>
        <v>7.0710678118654755</v>
      </c>
      <c r="L32" s="242" t="s">
        <v>27</v>
      </c>
      <c r="M32" s="447"/>
      <c r="N32" s="46"/>
      <c r="O32" s="45"/>
      <c r="P32" s="309"/>
      <c r="Q32" s="204"/>
      <c r="R32" s="81"/>
      <c r="S32" s="520"/>
      <c r="AZ32"/>
      <c r="BA32"/>
      <c r="BB32"/>
      <c r="BC32" s="16" t="s">
        <v>92</v>
      </c>
    </row>
    <row r="33" spans="1:55" ht="27.6" x14ac:dyDescent="0.55000000000000004">
      <c r="A33" s="476"/>
      <c r="B33" s="465" t="s">
        <v>204</v>
      </c>
      <c r="C33" s="180" t="s">
        <v>197</v>
      </c>
      <c r="D33" s="270"/>
      <c r="E33" s="270"/>
      <c r="F33" s="270"/>
      <c r="G33" s="314" t="s">
        <v>50</v>
      </c>
      <c r="H33" s="284">
        <v>20</v>
      </c>
      <c r="I33" s="180" t="s">
        <v>12</v>
      </c>
      <c r="J33" s="452" t="str">
        <f>G33</f>
        <v>=</v>
      </c>
      <c r="K33" s="239">
        <f>IF((LEN(TRIM(H33))=0),"--",H33)</f>
        <v>20</v>
      </c>
      <c r="L33" s="208" t="s">
        <v>12</v>
      </c>
      <c r="M33" s="445" t="str">
        <f>G33</f>
        <v>=</v>
      </c>
      <c r="N33" s="82">
        <f>IF((LEN(TRIM(H33))=0),"Enter LC50 in Column H",H33*0.4)</f>
        <v>8</v>
      </c>
      <c r="O33" s="27" t="s">
        <v>198</v>
      </c>
      <c r="P33" s="314"/>
      <c r="Q33" s="315"/>
      <c r="R33" s="316" t="s">
        <v>192</v>
      </c>
      <c r="S33" s="70"/>
      <c r="AZ33"/>
      <c r="BA33"/>
      <c r="BB33"/>
      <c r="BC33" s="16" t="s">
        <v>93</v>
      </c>
    </row>
    <row r="34" spans="1:55" ht="14.5" customHeight="1" x14ac:dyDescent="0.55000000000000004">
      <c r="A34" s="476"/>
      <c r="B34" s="465"/>
      <c r="C34" s="467" t="s">
        <v>199</v>
      </c>
      <c r="D34" s="495"/>
      <c r="E34" s="457"/>
      <c r="F34" s="495"/>
      <c r="G34" s="355" t="s">
        <v>50</v>
      </c>
      <c r="H34" s="285">
        <v>5</v>
      </c>
      <c r="I34" s="186" t="s">
        <v>10</v>
      </c>
      <c r="J34" s="453" t="str">
        <f>G34</f>
        <v>=</v>
      </c>
      <c r="K34" s="239">
        <f>IF((LEN(TRIM(H34))=0),"--",H34)</f>
        <v>5</v>
      </c>
      <c r="L34" s="208" t="s">
        <v>10</v>
      </c>
      <c r="M34" s="446" t="str">
        <f>IF(AND(G34="=",G35="="),G34,(IF(G34="&lt;",G34,G35)))</f>
        <v>=</v>
      </c>
      <c r="N34" s="161">
        <f>IF(OR(H34="",H35=""),"Enter NOAEC &amp; LOAEC in Column H", (GEOMEAN(H34:H35)))</f>
        <v>7.0710678118654755</v>
      </c>
      <c r="O34" s="48" t="s">
        <v>27</v>
      </c>
      <c r="P34" s="304"/>
      <c r="Q34" s="63"/>
      <c r="R34" s="74"/>
      <c r="S34" s="513"/>
      <c r="AZ34"/>
      <c r="BA34"/>
      <c r="BB34"/>
      <c r="BC34" s="16" t="s">
        <v>94</v>
      </c>
    </row>
    <row r="35" spans="1:55" ht="14.5" customHeight="1" x14ac:dyDescent="0.55000000000000004">
      <c r="A35" s="476"/>
      <c r="B35" s="465"/>
      <c r="C35" s="467"/>
      <c r="D35" s="495"/>
      <c r="E35" s="463"/>
      <c r="F35" s="495"/>
      <c r="G35" s="314" t="s">
        <v>50</v>
      </c>
      <c r="H35" s="284">
        <v>10</v>
      </c>
      <c r="I35" s="192" t="s">
        <v>11</v>
      </c>
      <c r="J35" s="452"/>
      <c r="K35" s="240">
        <f>IF(OR(H34="",H35=""),"Enter NOAEC &amp; LOAEC in Column H", (GEOMEAN(H34:H35)))</f>
        <v>7.0710678118654755</v>
      </c>
      <c r="L35" s="242" t="s">
        <v>27</v>
      </c>
      <c r="M35" s="447"/>
      <c r="N35" s="46"/>
      <c r="O35" s="45"/>
      <c r="P35" s="309"/>
      <c r="Q35" s="204"/>
      <c r="R35" s="81"/>
      <c r="S35" s="520"/>
      <c r="AZ35"/>
      <c r="BA35"/>
      <c r="BB35"/>
      <c r="BC35" s="16" t="s">
        <v>95</v>
      </c>
    </row>
    <row r="36" spans="1:55" ht="27.6" x14ac:dyDescent="0.55000000000000004">
      <c r="A36" s="476"/>
      <c r="B36" s="465" t="s">
        <v>205</v>
      </c>
      <c r="C36" s="180" t="s">
        <v>197</v>
      </c>
      <c r="D36" s="270"/>
      <c r="E36" s="270"/>
      <c r="F36" s="270"/>
      <c r="G36" s="314" t="s">
        <v>50</v>
      </c>
      <c r="H36" s="284">
        <v>20</v>
      </c>
      <c r="I36" s="180" t="s">
        <v>12</v>
      </c>
      <c r="J36" s="452" t="str">
        <f>G36</f>
        <v>=</v>
      </c>
      <c r="K36" s="239">
        <f>IF((LEN(TRIM(H36))=0),"--",H36)</f>
        <v>20</v>
      </c>
      <c r="L36" s="208" t="s">
        <v>12</v>
      </c>
      <c r="M36" s="445" t="str">
        <f>G36</f>
        <v>=</v>
      </c>
      <c r="N36" s="82">
        <f>IF((LEN(TRIM(H36))=0),"Enter LC50 in Column H",H36*0.4)</f>
        <v>8</v>
      </c>
      <c r="O36" s="27" t="s">
        <v>198</v>
      </c>
      <c r="P36" s="314"/>
      <c r="Q36" s="315"/>
      <c r="R36" s="316" t="s">
        <v>192</v>
      </c>
      <c r="S36" s="70"/>
      <c r="AZ36"/>
      <c r="BA36"/>
      <c r="BB36"/>
      <c r="BC36" s="16" t="s">
        <v>20</v>
      </c>
    </row>
    <row r="37" spans="1:55" ht="14.5" customHeight="1" x14ac:dyDescent="0.55000000000000004">
      <c r="A37" s="476"/>
      <c r="B37" s="465"/>
      <c r="C37" s="467" t="s">
        <v>199</v>
      </c>
      <c r="D37" s="495"/>
      <c r="E37" s="457"/>
      <c r="F37" s="495"/>
      <c r="G37" s="355" t="s">
        <v>50</v>
      </c>
      <c r="H37" s="285">
        <v>5</v>
      </c>
      <c r="I37" s="186" t="s">
        <v>10</v>
      </c>
      <c r="J37" s="453" t="str">
        <f>G37</f>
        <v>=</v>
      </c>
      <c r="K37" s="239">
        <f>IF((LEN(TRIM(H37))=0),"--",H37)</f>
        <v>5</v>
      </c>
      <c r="L37" s="208" t="s">
        <v>10</v>
      </c>
      <c r="M37" s="446" t="str">
        <f>IF(AND(G37="=",G38="="),G37,(IF(G37="&lt;",G37,G38)))</f>
        <v>=</v>
      </c>
      <c r="N37" s="161">
        <f>IF(OR(H37="",H38=""),"Enter NOAEC &amp; LOAEC in Column H", (GEOMEAN(H37:H38)))</f>
        <v>7.0710678118654755</v>
      </c>
      <c r="O37" s="48" t="s">
        <v>27</v>
      </c>
      <c r="P37" s="304"/>
      <c r="Q37" s="63"/>
      <c r="R37" s="74"/>
      <c r="S37" s="513"/>
      <c r="AZ37"/>
      <c r="BA37"/>
      <c r="BB37"/>
      <c r="BC37" s="16" t="s">
        <v>102</v>
      </c>
    </row>
    <row r="38" spans="1:55" ht="14.5" customHeight="1" x14ac:dyDescent="0.55000000000000004">
      <c r="A38" s="476"/>
      <c r="B38" s="465"/>
      <c r="C38" s="467"/>
      <c r="D38" s="495"/>
      <c r="E38" s="463"/>
      <c r="F38" s="495"/>
      <c r="G38" s="314" t="s">
        <v>50</v>
      </c>
      <c r="H38" s="284">
        <v>10</v>
      </c>
      <c r="I38" s="192" t="s">
        <v>11</v>
      </c>
      <c r="J38" s="452"/>
      <c r="K38" s="240">
        <f>IF(OR(H37="",H38=""),"Enter NOAEC &amp; LOAEC in Column H", (GEOMEAN(H37:H38)))</f>
        <v>7.0710678118654755</v>
      </c>
      <c r="L38" s="242" t="s">
        <v>27</v>
      </c>
      <c r="M38" s="447"/>
      <c r="N38" s="46"/>
      <c r="O38" s="45"/>
      <c r="P38" s="309"/>
      <c r="Q38" s="204"/>
      <c r="R38" s="81"/>
      <c r="S38" s="520"/>
      <c r="AZ38"/>
      <c r="BA38"/>
      <c r="BB38"/>
      <c r="BC38" s="16" t="s">
        <v>108</v>
      </c>
    </row>
    <row r="39" spans="1:55" ht="27.6" x14ac:dyDescent="0.55000000000000004">
      <c r="A39" s="476"/>
      <c r="B39" s="465" t="s">
        <v>206</v>
      </c>
      <c r="C39" s="180" t="s">
        <v>207</v>
      </c>
      <c r="D39" s="270"/>
      <c r="E39" s="270"/>
      <c r="F39" s="270"/>
      <c r="G39" s="314" t="s">
        <v>50</v>
      </c>
      <c r="H39" s="284">
        <v>20</v>
      </c>
      <c r="I39" s="180" t="s">
        <v>12</v>
      </c>
      <c r="J39" s="452" t="str">
        <f>G39</f>
        <v>=</v>
      </c>
      <c r="K39" s="239">
        <f>IF((LEN(TRIM(H39))=0),"--",H39)</f>
        <v>20</v>
      </c>
      <c r="L39" s="208" t="s">
        <v>12</v>
      </c>
      <c r="M39" s="445" t="str">
        <f>G39</f>
        <v>=</v>
      </c>
      <c r="N39" s="82">
        <f>IF((LEN(TRIM(H39))=0),"Enter LC50 in Column H",H39*0.4)</f>
        <v>8</v>
      </c>
      <c r="O39" s="27" t="s">
        <v>198</v>
      </c>
      <c r="P39" s="314"/>
      <c r="Q39" s="315"/>
      <c r="R39" s="316" t="s">
        <v>192</v>
      </c>
      <c r="S39" s="187"/>
      <c r="AZ39"/>
      <c r="BA39"/>
      <c r="BB39"/>
      <c r="BC39" s="16" t="s">
        <v>208</v>
      </c>
    </row>
    <row r="40" spans="1:55" ht="14.5" customHeight="1" x14ac:dyDescent="0.55000000000000004">
      <c r="A40" s="476"/>
      <c r="B40" s="465"/>
      <c r="C40" s="467" t="s">
        <v>209</v>
      </c>
      <c r="D40" s="495"/>
      <c r="E40" s="457"/>
      <c r="F40" s="495"/>
      <c r="G40" s="355" t="s">
        <v>50</v>
      </c>
      <c r="H40" s="285">
        <v>5</v>
      </c>
      <c r="I40" s="186" t="s">
        <v>10</v>
      </c>
      <c r="J40" s="453" t="str">
        <f>G40</f>
        <v>=</v>
      </c>
      <c r="K40" s="239">
        <f>IF((LEN(TRIM(H40))=0),"--",H40)</f>
        <v>5</v>
      </c>
      <c r="L40" s="208" t="s">
        <v>10</v>
      </c>
      <c r="M40" s="446" t="str">
        <f>IF(AND(G40="=",G41="="),G40,(IF(G40="&lt;",G40,G41)))</f>
        <v>=</v>
      </c>
      <c r="N40" s="161">
        <f>IF(OR(H40="",H41=""),"Enter NOAEC &amp; LOAEC in Column H", (GEOMEAN(H40:H41)))</f>
        <v>7.0710678118654755</v>
      </c>
      <c r="O40" s="48" t="s">
        <v>27</v>
      </c>
      <c r="P40" s="304"/>
      <c r="Q40" s="63"/>
      <c r="R40" s="74"/>
      <c r="S40" s="513"/>
      <c r="AZ40"/>
      <c r="BA40"/>
      <c r="BB40"/>
      <c r="BC40" s="16" t="s">
        <v>85</v>
      </c>
    </row>
    <row r="41" spans="1:55" ht="14.5" customHeight="1" x14ac:dyDescent="0.55000000000000004">
      <c r="A41" s="476"/>
      <c r="B41" s="465"/>
      <c r="C41" s="467"/>
      <c r="D41" s="495"/>
      <c r="E41" s="463"/>
      <c r="F41" s="495"/>
      <c r="G41" s="314" t="s">
        <v>50</v>
      </c>
      <c r="H41" s="284">
        <v>10</v>
      </c>
      <c r="I41" s="192" t="s">
        <v>11</v>
      </c>
      <c r="J41" s="452"/>
      <c r="K41" s="240">
        <f>IF(OR(H40="",H41=""),"Enter NOAEC &amp; LOAEC in Column H", (GEOMEAN(H40:H41)))</f>
        <v>7.0710678118654755</v>
      </c>
      <c r="L41" s="242" t="s">
        <v>27</v>
      </c>
      <c r="M41" s="447"/>
      <c r="N41" s="46"/>
      <c r="O41" s="45"/>
      <c r="P41" s="309"/>
      <c r="Q41" s="204"/>
      <c r="R41" s="81"/>
      <c r="S41" s="520"/>
      <c r="AZ41"/>
      <c r="BA41"/>
      <c r="BB41"/>
      <c r="BC41" s="16" t="s">
        <v>210</v>
      </c>
    </row>
    <row r="42" spans="1:55" ht="29.25" customHeight="1" x14ac:dyDescent="0.55000000000000004">
      <c r="A42" s="476"/>
      <c r="B42" s="516" t="s">
        <v>211</v>
      </c>
      <c r="C42" s="180" t="s">
        <v>212</v>
      </c>
      <c r="D42" s="270"/>
      <c r="E42" s="270"/>
      <c r="F42" s="270"/>
      <c r="G42" s="314" t="s">
        <v>50</v>
      </c>
      <c r="H42" s="284">
        <v>20</v>
      </c>
      <c r="I42" s="180" t="s">
        <v>12</v>
      </c>
      <c r="J42" s="452" t="str">
        <f>G42</f>
        <v>=</v>
      </c>
      <c r="K42" s="239">
        <f>IF((LEN(TRIM(H42))=0),"--",H42)</f>
        <v>20</v>
      </c>
      <c r="L42" s="208" t="s">
        <v>12</v>
      </c>
      <c r="M42" s="445" t="str">
        <f>G42</f>
        <v>=</v>
      </c>
      <c r="N42" s="312"/>
      <c r="O42" s="313"/>
      <c r="P42" s="314"/>
      <c r="Q42" s="315"/>
      <c r="R42" s="316"/>
      <c r="S42" s="70"/>
      <c r="AZ42"/>
      <c r="BA42"/>
      <c r="BB42"/>
      <c r="BC42" s="16" t="s">
        <v>112</v>
      </c>
    </row>
    <row r="43" spans="1:55" ht="14.4" x14ac:dyDescent="0.55000000000000004">
      <c r="A43" s="476"/>
      <c r="B43" s="517"/>
      <c r="C43" s="467" t="s">
        <v>213</v>
      </c>
      <c r="D43" s="495"/>
      <c r="E43" s="457"/>
      <c r="F43" s="495"/>
      <c r="G43" s="355" t="s">
        <v>50</v>
      </c>
      <c r="H43" s="285">
        <v>5</v>
      </c>
      <c r="I43" s="186" t="s">
        <v>10</v>
      </c>
      <c r="J43" s="453" t="str">
        <f>G43</f>
        <v>=</v>
      </c>
      <c r="K43" s="239">
        <f>IF((LEN(TRIM(H43))=0),"--",H43)</f>
        <v>5</v>
      </c>
      <c r="L43" s="208" t="s">
        <v>10</v>
      </c>
      <c r="M43" s="446" t="str">
        <f>IF(AND(G43="=",G44="="),G43,(IF(G43="&lt;",G43,G44)))</f>
        <v>=</v>
      </c>
      <c r="N43" s="302"/>
      <c r="O43" s="303"/>
      <c r="P43" s="304"/>
      <c r="Q43" s="305"/>
      <c r="R43" s="306"/>
      <c r="S43" s="513"/>
      <c r="AZ43"/>
      <c r="BA43"/>
      <c r="BB43"/>
      <c r="BC43" s="16" t="s">
        <v>214</v>
      </c>
    </row>
    <row r="44" spans="1:55" ht="14.4" x14ac:dyDescent="0.55000000000000004">
      <c r="A44" s="476"/>
      <c r="B44" s="518"/>
      <c r="C44" s="467"/>
      <c r="D44" s="495"/>
      <c r="E44" s="463"/>
      <c r="F44" s="495"/>
      <c r="G44" s="314" t="s">
        <v>50</v>
      </c>
      <c r="H44" s="284">
        <v>10</v>
      </c>
      <c r="I44" s="192" t="s">
        <v>11</v>
      </c>
      <c r="J44" s="452"/>
      <c r="K44" s="300"/>
      <c r="L44" s="301"/>
      <c r="M44" s="447"/>
      <c r="N44" s="307"/>
      <c r="O44" s="308"/>
      <c r="P44" s="309"/>
      <c r="Q44" s="310"/>
      <c r="R44" s="311"/>
      <c r="S44" s="514"/>
      <c r="AZ44"/>
      <c r="BA44"/>
      <c r="BB44"/>
      <c r="BC44" s="16" t="s">
        <v>113</v>
      </c>
    </row>
    <row r="45" spans="1:55" ht="27.6" x14ac:dyDescent="0.55000000000000004">
      <c r="A45" s="476"/>
      <c r="B45" s="516" t="s">
        <v>215</v>
      </c>
      <c r="C45" s="180" t="s">
        <v>212</v>
      </c>
      <c r="D45" s="270"/>
      <c r="E45" s="270"/>
      <c r="F45" s="270"/>
      <c r="G45" s="314" t="s">
        <v>50</v>
      </c>
      <c r="H45" s="284">
        <v>20</v>
      </c>
      <c r="I45" s="180" t="s">
        <v>12</v>
      </c>
      <c r="J45" s="452" t="str">
        <f>G45</f>
        <v>=</v>
      </c>
      <c r="K45" s="239">
        <f>IF((LEN(TRIM(H45))=0),"--",H45)</f>
        <v>20</v>
      </c>
      <c r="L45" s="208" t="s">
        <v>12</v>
      </c>
      <c r="M45" s="445" t="str">
        <f>G45</f>
        <v>=</v>
      </c>
      <c r="N45" s="82">
        <f>IF((LEN(TRIM(H45))=0),"Enter LC50 in Column H",H45*0.4)</f>
        <v>8</v>
      </c>
      <c r="O45" s="27" t="s">
        <v>198</v>
      </c>
      <c r="P45" s="314"/>
      <c r="Q45" s="315"/>
      <c r="R45" s="316"/>
      <c r="S45" s="70"/>
      <c r="AZ45"/>
      <c r="BA45"/>
      <c r="BB45"/>
      <c r="BC45" s="16" t="s">
        <v>114</v>
      </c>
    </row>
    <row r="46" spans="1:55" ht="14.4" x14ac:dyDescent="0.55000000000000004">
      <c r="A46" s="476"/>
      <c r="B46" s="517"/>
      <c r="C46" s="467" t="s">
        <v>213</v>
      </c>
      <c r="D46" s="495"/>
      <c r="E46" s="457"/>
      <c r="F46" s="495"/>
      <c r="G46" s="355" t="s">
        <v>50</v>
      </c>
      <c r="H46" s="285">
        <v>5</v>
      </c>
      <c r="I46" s="186" t="s">
        <v>10</v>
      </c>
      <c r="J46" s="453" t="str">
        <f>G46</f>
        <v>=</v>
      </c>
      <c r="K46" s="239">
        <f>IF((LEN(TRIM(H46))=0),"--",H46)</f>
        <v>5</v>
      </c>
      <c r="L46" s="208" t="s">
        <v>10</v>
      </c>
      <c r="M46" s="446" t="str">
        <f>IF(AND(G46="=",G47="="),G46,(IF(G46="&lt;",G46,G47)))</f>
        <v>=</v>
      </c>
      <c r="N46" s="161">
        <f>IF(OR(H46="",H47=""),"Enter NOAEC &amp; LOAEC in Column H", (GEOMEAN(H46:H47)))</f>
        <v>7.0710678118654755</v>
      </c>
      <c r="O46" s="48" t="s">
        <v>27</v>
      </c>
      <c r="P46" s="304"/>
      <c r="Q46" s="305"/>
      <c r="R46" s="306"/>
      <c r="S46" s="513"/>
      <c r="AZ46"/>
      <c r="BA46"/>
      <c r="BB46"/>
      <c r="BC46" s="16" t="s">
        <v>115</v>
      </c>
    </row>
    <row r="47" spans="1:55" ht="14.7" thickBot="1" x14ac:dyDescent="0.6">
      <c r="A47" s="476"/>
      <c r="B47" s="518"/>
      <c r="C47" s="467"/>
      <c r="D47" s="495"/>
      <c r="E47" s="463"/>
      <c r="F47" s="495"/>
      <c r="G47" s="314" t="s">
        <v>50</v>
      </c>
      <c r="H47" s="284">
        <v>10</v>
      </c>
      <c r="I47" s="192" t="s">
        <v>11</v>
      </c>
      <c r="J47" s="452"/>
      <c r="K47" s="240">
        <f>IF(OR(H46="",H47=""),"Enter NOAEC &amp; LOAEC in Column H", (GEOMEAN(H46:H47)))</f>
        <v>7.0710678118654755</v>
      </c>
      <c r="L47" s="242" t="s">
        <v>27</v>
      </c>
      <c r="M47" s="447"/>
      <c r="N47" s="46"/>
      <c r="O47" s="45"/>
      <c r="P47" s="309"/>
      <c r="Q47" s="310"/>
      <c r="R47" s="311"/>
      <c r="S47" s="514"/>
      <c r="AZ47"/>
      <c r="BA47"/>
      <c r="BB47"/>
      <c r="BC47" s="16" t="s">
        <v>116</v>
      </c>
    </row>
    <row r="48" spans="1:55" ht="27.6" x14ac:dyDescent="0.55000000000000004">
      <c r="A48" s="476"/>
      <c r="B48" s="518" t="s">
        <v>58</v>
      </c>
      <c r="C48" s="25" t="s">
        <v>188</v>
      </c>
      <c r="D48" s="272"/>
      <c r="E48" s="272"/>
      <c r="F48" s="272"/>
      <c r="G48" s="352" t="s">
        <v>50</v>
      </c>
      <c r="H48" s="283">
        <v>11</v>
      </c>
      <c r="I48" s="27" t="s">
        <v>24</v>
      </c>
      <c r="J48" s="454" t="str">
        <f>G48</f>
        <v>=</v>
      </c>
      <c r="K48" s="239">
        <f>IF((LEN(TRIM(H48))=0),"--",H48)</f>
        <v>11</v>
      </c>
      <c r="L48" s="299" t="s">
        <v>24</v>
      </c>
      <c r="M48" s="448" t="str">
        <f>G48</f>
        <v>=</v>
      </c>
      <c r="N48" s="82">
        <f>IF((LEN(TRIM(H48))=0),"Enter LC50 in Column H",H48*0.4)</f>
        <v>4.4000000000000004</v>
      </c>
      <c r="O48" s="24" t="s">
        <v>189</v>
      </c>
      <c r="P48" s="352"/>
      <c r="Q48" s="288">
        <v>11</v>
      </c>
      <c r="R48" s="159" t="s">
        <v>190</v>
      </c>
      <c r="S48" s="83"/>
      <c r="AZ48"/>
      <c r="BA48"/>
      <c r="BB48"/>
      <c r="BC48" s="16" t="s">
        <v>117</v>
      </c>
    </row>
    <row r="49" spans="1:55" ht="14.4" x14ac:dyDescent="0.55000000000000004">
      <c r="A49" s="476"/>
      <c r="B49" s="465"/>
      <c r="C49" s="467" t="s">
        <v>216</v>
      </c>
      <c r="D49" s="495"/>
      <c r="E49" s="457"/>
      <c r="F49" s="495"/>
      <c r="G49" s="355"/>
      <c r="H49" s="285"/>
      <c r="I49" s="186" t="s">
        <v>10</v>
      </c>
      <c r="J49" s="453">
        <f>G49</f>
        <v>0</v>
      </c>
      <c r="K49" s="239" t="str">
        <f>IF((LEN(TRIM(H49))=0),"--",H49)</f>
        <v>--</v>
      </c>
      <c r="L49" s="208" t="s">
        <v>10</v>
      </c>
      <c r="M49" s="446">
        <f>IF(AND(G49="=",G50="="),G49,(IF(G49="&lt;",G49,G50)))</f>
        <v>0</v>
      </c>
      <c r="N49" s="161" t="str">
        <f>IF(OR(H49="",H50=""),"Enter NOAEC &amp; LOAEC in Column H", (GEOMEAN(H49:H50)))</f>
        <v>Enter NOAEC &amp; LOAEC in Column H</v>
      </c>
      <c r="O49" s="48" t="s">
        <v>27</v>
      </c>
      <c r="P49" s="304"/>
      <c r="Q49" s="63"/>
      <c r="R49" s="74"/>
      <c r="S49" s="513"/>
      <c r="AZ49"/>
      <c r="BA49"/>
      <c r="BB49"/>
      <c r="BC49" s="16" t="s">
        <v>118</v>
      </c>
    </row>
    <row r="50" spans="1:55" ht="14.7" thickBot="1" x14ac:dyDescent="0.6">
      <c r="A50" s="515"/>
      <c r="B50" s="466"/>
      <c r="C50" s="468"/>
      <c r="D50" s="496"/>
      <c r="E50" s="458"/>
      <c r="F50" s="496"/>
      <c r="G50" s="369"/>
      <c r="H50" s="286"/>
      <c r="I50" s="78" t="s">
        <v>11</v>
      </c>
      <c r="J50" s="455"/>
      <c r="K50" s="241" t="str">
        <f>IF(OR(H49="",H50=""),"Enter NOAEC &amp; LOAEC in Column H", (GEOMEAN(H49:H50)))</f>
        <v>Enter NOAEC &amp; LOAEC in Column H</v>
      </c>
      <c r="L50" s="209" t="s">
        <v>27</v>
      </c>
      <c r="M50" s="450"/>
      <c r="N50" s="59"/>
      <c r="O50" s="58"/>
      <c r="P50" s="441"/>
      <c r="Q50" s="76"/>
      <c r="R50" s="77"/>
      <c r="S50" s="519"/>
      <c r="AZ50"/>
      <c r="BA50"/>
      <c r="BB50"/>
      <c r="BC50" s="16" t="s">
        <v>119</v>
      </c>
    </row>
    <row r="51" spans="1:55" ht="23.1" x14ac:dyDescent="0.55000000000000004">
      <c r="A51" s="163"/>
      <c r="B51" s="163"/>
      <c r="N51" s="169"/>
      <c r="O51" s="170"/>
      <c r="P51" s="442"/>
      <c r="AZ51"/>
      <c r="BA51"/>
      <c r="BB51"/>
      <c r="BC51" s="16" t="s">
        <v>120</v>
      </c>
    </row>
    <row r="52" spans="1:55" ht="14.4" x14ac:dyDescent="0.55000000000000004">
      <c r="B52" s="21"/>
      <c r="K52" s="28"/>
      <c r="AZ52"/>
      <c r="BA52"/>
      <c r="BB52"/>
      <c r="BC52" s="16" t="s">
        <v>121</v>
      </c>
    </row>
    <row r="53" spans="1:55" ht="14.4" x14ac:dyDescent="0.55000000000000004">
      <c r="B53" s="136"/>
      <c r="AZ53"/>
      <c r="BA53"/>
      <c r="BB53"/>
      <c r="BC53" s="16" t="s">
        <v>122</v>
      </c>
    </row>
    <row r="54" spans="1:55" ht="14.4" x14ac:dyDescent="0.55000000000000004">
      <c r="AZ54"/>
      <c r="BA54"/>
      <c r="BB54"/>
      <c r="BC54" s="16" t="s">
        <v>123</v>
      </c>
    </row>
    <row r="55" spans="1:55" ht="14.4" x14ac:dyDescent="0.55000000000000004">
      <c r="AZ55"/>
      <c r="BA55"/>
      <c r="BB55"/>
      <c r="BC55" s="16" t="s">
        <v>124</v>
      </c>
    </row>
    <row r="56" spans="1:55" ht="14.4" x14ac:dyDescent="0.55000000000000004">
      <c r="AZ56"/>
      <c r="BA56"/>
      <c r="BB56"/>
      <c r="BC56" s="16" t="s">
        <v>125</v>
      </c>
    </row>
    <row r="57" spans="1:55" ht="14.4" x14ac:dyDescent="0.55000000000000004">
      <c r="AZ57"/>
      <c r="BA57"/>
      <c r="BB57"/>
      <c r="BC57" s="16" t="s">
        <v>126</v>
      </c>
    </row>
    <row r="58" spans="1:55" ht="14.4" x14ac:dyDescent="0.55000000000000004">
      <c r="AZ58"/>
      <c r="BA58"/>
      <c r="BB58"/>
      <c r="BC58" s="16" t="s">
        <v>127</v>
      </c>
    </row>
    <row r="59" spans="1:55" ht="14.4" x14ac:dyDescent="0.55000000000000004">
      <c r="AZ59"/>
      <c r="BA59"/>
      <c r="BB59"/>
      <c r="BC59" s="16" t="s">
        <v>128</v>
      </c>
    </row>
    <row r="60" spans="1:55" ht="14.4" x14ac:dyDescent="0.55000000000000004">
      <c r="AZ60"/>
      <c r="BA60"/>
      <c r="BB60"/>
      <c r="BC60" s="16" t="s">
        <v>129</v>
      </c>
    </row>
    <row r="61" spans="1:55" ht="14.4" x14ac:dyDescent="0.55000000000000004">
      <c r="AZ61"/>
      <c r="BA61"/>
      <c r="BB61"/>
      <c r="BC61" s="16" t="s">
        <v>130</v>
      </c>
    </row>
    <row r="62" spans="1:55" ht="14.4" x14ac:dyDescent="0.55000000000000004">
      <c r="AZ62"/>
      <c r="BA62"/>
      <c r="BB62"/>
      <c r="BC62" s="16" t="s">
        <v>131</v>
      </c>
    </row>
    <row r="63" spans="1:55" ht="14.4" x14ac:dyDescent="0.55000000000000004">
      <c r="AZ63"/>
      <c r="BA63"/>
      <c r="BB63"/>
      <c r="BC63" s="16" t="s">
        <v>132</v>
      </c>
    </row>
    <row r="64" spans="1:55" ht="14.4" x14ac:dyDescent="0.55000000000000004">
      <c r="AZ64"/>
      <c r="BA64"/>
      <c r="BB64"/>
      <c r="BC64" s="16" t="s">
        <v>133</v>
      </c>
    </row>
    <row r="65" spans="52:55" ht="14.4" x14ac:dyDescent="0.55000000000000004">
      <c r="AZ65"/>
      <c r="BA65"/>
      <c r="BB65"/>
      <c r="BC65" s="16" t="s">
        <v>134</v>
      </c>
    </row>
    <row r="66" spans="52:55" ht="14.4" x14ac:dyDescent="0.55000000000000004">
      <c r="AZ66"/>
      <c r="BA66"/>
      <c r="BB66"/>
      <c r="BC66" s="16" t="s">
        <v>135</v>
      </c>
    </row>
    <row r="67" spans="52:55" ht="14.4" x14ac:dyDescent="0.55000000000000004">
      <c r="AZ67"/>
      <c r="BA67"/>
      <c r="BB67"/>
      <c r="BC67" s="16" t="s">
        <v>136</v>
      </c>
    </row>
    <row r="68" spans="52:55" ht="14.4" x14ac:dyDescent="0.55000000000000004">
      <c r="AZ68"/>
      <c r="BA68"/>
      <c r="BB68"/>
      <c r="BC68" s="16" t="s">
        <v>137</v>
      </c>
    </row>
    <row r="69" spans="52:55" ht="14.4" x14ac:dyDescent="0.55000000000000004">
      <c r="AZ69"/>
      <c r="BA69"/>
      <c r="BB69"/>
      <c r="BC69" s="16" t="s">
        <v>138</v>
      </c>
    </row>
    <row r="70" spans="52:55" ht="14.4" x14ac:dyDescent="0.55000000000000004">
      <c r="AZ70"/>
      <c r="BA70"/>
      <c r="BB70"/>
      <c r="BC70" s="16" t="s">
        <v>139</v>
      </c>
    </row>
    <row r="71" spans="52:55" ht="14.4" x14ac:dyDescent="0.55000000000000004">
      <c r="AZ71"/>
      <c r="BA71"/>
      <c r="BB71"/>
      <c r="BC71" s="16" t="s">
        <v>140</v>
      </c>
    </row>
    <row r="72" spans="52:55" ht="14.4" x14ac:dyDescent="0.55000000000000004">
      <c r="AZ72"/>
      <c r="BA72"/>
      <c r="BB72"/>
      <c r="BC72" s="16" t="s">
        <v>141</v>
      </c>
    </row>
    <row r="73" spans="52:55" ht="14.4" x14ac:dyDescent="0.55000000000000004">
      <c r="AZ73"/>
      <c r="BA73"/>
      <c r="BB73"/>
      <c r="BC73" s="16" t="s">
        <v>142</v>
      </c>
    </row>
    <row r="74" spans="52:55" ht="14.4" x14ac:dyDescent="0.55000000000000004">
      <c r="AZ74"/>
      <c r="BA74"/>
      <c r="BB74"/>
      <c r="BC74" s="16" t="s">
        <v>143</v>
      </c>
    </row>
    <row r="75" spans="52:55" ht="14.4" x14ac:dyDescent="0.55000000000000004">
      <c r="AZ75"/>
      <c r="BA75"/>
      <c r="BB75"/>
      <c r="BC75" s="2" t="s">
        <v>144</v>
      </c>
    </row>
    <row r="76" spans="52:55" ht="14.4" x14ac:dyDescent="0.55000000000000004">
      <c r="AZ76"/>
      <c r="BA76"/>
      <c r="BB76"/>
      <c r="BC76" s="2" t="s">
        <v>145</v>
      </c>
    </row>
    <row r="77" spans="52:55" ht="14.4" x14ac:dyDescent="0.55000000000000004">
      <c r="AZ77"/>
      <c r="BA77"/>
      <c r="BB77"/>
      <c r="BC77" s="2" t="s">
        <v>146</v>
      </c>
    </row>
    <row r="78" spans="52:55" ht="14.4" x14ac:dyDescent="0.55000000000000004">
      <c r="AZ78"/>
      <c r="BA78"/>
      <c r="BB78"/>
      <c r="BC78" s="2" t="s">
        <v>147</v>
      </c>
    </row>
    <row r="79" spans="52:55" ht="14.4" x14ac:dyDescent="0.55000000000000004">
      <c r="AZ79"/>
      <c r="BA79"/>
      <c r="BB79"/>
      <c r="BC79" s="2" t="s">
        <v>148</v>
      </c>
    </row>
    <row r="80" spans="52:55" ht="14.4" x14ac:dyDescent="0.55000000000000004">
      <c r="AZ80"/>
      <c r="BA80"/>
      <c r="BB80"/>
      <c r="BC80" s="2" t="s">
        <v>149</v>
      </c>
    </row>
    <row r="81" spans="52:55" ht="14.4" x14ac:dyDescent="0.55000000000000004">
      <c r="AZ81"/>
      <c r="BA81"/>
      <c r="BB81"/>
      <c r="BC81" s="2" t="s">
        <v>150</v>
      </c>
    </row>
    <row r="82" spans="52:55" ht="14.4" x14ac:dyDescent="0.55000000000000004">
      <c r="AZ82"/>
      <c r="BA82"/>
      <c r="BB82"/>
      <c r="BC82" s="2" t="s">
        <v>49</v>
      </c>
    </row>
    <row r="83" spans="52:55" ht="14.4" x14ac:dyDescent="0.55000000000000004">
      <c r="AZ83"/>
      <c r="BA83"/>
      <c r="BB83"/>
      <c r="BC83" s="2" t="s">
        <v>151</v>
      </c>
    </row>
    <row r="84" spans="52:55" ht="14.4" x14ac:dyDescent="0.55000000000000004">
      <c r="AZ84"/>
      <c r="BA84"/>
      <c r="BB84"/>
      <c r="BC84" s="2" t="s">
        <v>152</v>
      </c>
    </row>
    <row r="85" spans="52:55" ht="14.4" x14ac:dyDescent="0.55000000000000004">
      <c r="AZ85"/>
      <c r="BA85"/>
      <c r="BB85"/>
      <c r="BC85" s="2" t="s">
        <v>153</v>
      </c>
    </row>
    <row r="86" spans="52:55" ht="14.4" x14ac:dyDescent="0.55000000000000004">
      <c r="AZ86"/>
      <c r="BA86"/>
      <c r="BB86"/>
      <c r="BC86" s="2" t="s">
        <v>154</v>
      </c>
    </row>
    <row r="87" spans="52:55" ht="14.4" x14ac:dyDescent="0.55000000000000004">
      <c r="AZ87"/>
      <c r="BA87"/>
      <c r="BB87"/>
      <c r="BC87" s="2" t="s">
        <v>155</v>
      </c>
    </row>
    <row r="88" spans="52:55" ht="14.4" x14ac:dyDescent="0.55000000000000004">
      <c r="AZ88"/>
      <c r="BA88"/>
      <c r="BB88"/>
      <c r="BC88" s="2" t="s">
        <v>156</v>
      </c>
    </row>
    <row r="89" spans="52:55" ht="14.4" x14ac:dyDescent="0.55000000000000004">
      <c r="AZ89"/>
      <c r="BA89"/>
      <c r="BB89"/>
      <c r="BC89" s="2" t="s">
        <v>157</v>
      </c>
    </row>
    <row r="90" spans="52:55" ht="14.4" x14ac:dyDescent="0.55000000000000004">
      <c r="AZ90"/>
      <c r="BA90"/>
      <c r="BB90"/>
      <c r="BC90" s="2" t="s">
        <v>158</v>
      </c>
    </row>
    <row r="91" spans="52:55" ht="14.4" x14ac:dyDescent="0.55000000000000004">
      <c r="AZ91"/>
      <c r="BA91"/>
      <c r="BB91"/>
      <c r="BC91" s="2" t="s">
        <v>159</v>
      </c>
    </row>
    <row r="92" spans="52:55" ht="14.4" x14ac:dyDescent="0.55000000000000004">
      <c r="AZ92"/>
      <c r="BA92"/>
      <c r="BB92"/>
      <c r="BC92" s="2" t="s">
        <v>160</v>
      </c>
    </row>
    <row r="93" spans="52:55" ht="14.4" x14ac:dyDescent="0.55000000000000004">
      <c r="AZ93"/>
      <c r="BA93"/>
      <c r="BB93"/>
      <c r="BC93" s="2" t="s">
        <v>161</v>
      </c>
    </row>
    <row r="94" spans="52:55" ht="14.4" x14ac:dyDescent="0.55000000000000004">
      <c r="AZ94"/>
      <c r="BA94"/>
      <c r="BB94"/>
      <c r="BC94" s="2" t="s">
        <v>162</v>
      </c>
    </row>
    <row r="95" spans="52:55" ht="14.4" x14ac:dyDescent="0.55000000000000004">
      <c r="AZ95"/>
      <c r="BA95"/>
      <c r="BB95"/>
      <c r="BC95" s="20" t="s">
        <v>163</v>
      </c>
    </row>
    <row r="96" spans="52:55" ht="14.4" x14ac:dyDescent="0.55000000000000004">
      <c r="AZ96"/>
      <c r="BA96"/>
      <c r="BB96"/>
      <c r="BC96" s="2" t="s">
        <v>164</v>
      </c>
    </row>
    <row r="97" spans="52:55" ht="14.4" x14ac:dyDescent="0.55000000000000004">
      <c r="AZ97"/>
      <c r="BA97"/>
      <c r="BB97"/>
      <c r="BC97" s="2" t="s">
        <v>165</v>
      </c>
    </row>
    <row r="98" spans="52:55" ht="14.4" x14ac:dyDescent="0.55000000000000004">
      <c r="AZ98"/>
      <c r="BA98"/>
      <c r="BB98"/>
      <c r="BC98" s="2" t="s">
        <v>166</v>
      </c>
    </row>
    <row r="99" spans="52:55" ht="14.4" x14ac:dyDescent="0.55000000000000004">
      <c r="AZ99"/>
      <c r="BA99"/>
      <c r="BB99"/>
      <c r="BC99" s="2" t="s">
        <v>167</v>
      </c>
    </row>
    <row r="100" spans="52:55" ht="14.4" x14ac:dyDescent="0.55000000000000004">
      <c r="AZ100"/>
      <c r="BA100"/>
      <c r="BB100"/>
      <c r="BC100" s="2" t="s">
        <v>168</v>
      </c>
    </row>
    <row r="101" spans="52:55" ht="14.4" x14ac:dyDescent="0.55000000000000004">
      <c r="AZ101"/>
      <c r="BA101"/>
      <c r="BB101"/>
      <c r="BC101" s="2" t="s">
        <v>169</v>
      </c>
    </row>
    <row r="102" spans="52:55" ht="14.4" x14ac:dyDescent="0.55000000000000004">
      <c r="AZ102"/>
      <c r="BA102"/>
      <c r="BB102"/>
      <c r="BC102" s="2" t="s">
        <v>170</v>
      </c>
    </row>
    <row r="103" spans="52:55" ht="14.4" x14ac:dyDescent="0.55000000000000004">
      <c r="AZ103"/>
      <c r="BA103"/>
      <c r="BB103"/>
      <c r="BC103" s="2" t="s">
        <v>171</v>
      </c>
    </row>
    <row r="104" spans="52:55" ht="14.4" x14ac:dyDescent="0.55000000000000004">
      <c r="AZ104"/>
      <c r="BA104"/>
      <c r="BB104"/>
      <c r="BC104" s="2" t="s">
        <v>172</v>
      </c>
    </row>
    <row r="105" spans="52:55" ht="14.4" x14ac:dyDescent="0.55000000000000004">
      <c r="AZ105"/>
      <c r="BA105"/>
      <c r="BB105"/>
      <c r="BC105" s="2" t="s">
        <v>173</v>
      </c>
    </row>
    <row r="106" spans="52:55" ht="14.4" x14ac:dyDescent="0.55000000000000004">
      <c r="AZ106"/>
      <c r="BA106"/>
      <c r="BB106"/>
      <c r="BC106" s="2" t="s">
        <v>174</v>
      </c>
    </row>
    <row r="107" spans="52:55" ht="14.4" x14ac:dyDescent="0.55000000000000004">
      <c r="AZ107"/>
      <c r="BA107"/>
      <c r="BB107"/>
      <c r="BC107" s="2" t="s">
        <v>175</v>
      </c>
    </row>
  </sheetData>
  <mergeCells count="102">
    <mergeCell ref="F46:F47"/>
    <mergeCell ref="S46:S47"/>
    <mergeCell ref="G1:O1"/>
    <mergeCell ref="A2:B3"/>
    <mergeCell ref="C2:C3"/>
    <mergeCell ref="D2:D3"/>
    <mergeCell ref="E2:E3"/>
    <mergeCell ref="F2:F3"/>
    <mergeCell ref="G2:I2"/>
    <mergeCell ref="J2:L2"/>
    <mergeCell ref="M2:O2"/>
    <mergeCell ref="P2:R2"/>
    <mergeCell ref="S2:S3"/>
    <mergeCell ref="B4:B7"/>
    <mergeCell ref="C6:C7"/>
    <mergeCell ref="D6:D7"/>
    <mergeCell ref="E6:E7"/>
    <mergeCell ref="F6:F7"/>
    <mergeCell ref="S6:S7"/>
    <mergeCell ref="B8:B12"/>
    <mergeCell ref="C9:C10"/>
    <mergeCell ref="D9:D10"/>
    <mergeCell ref="E9:E10"/>
    <mergeCell ref="F9:F10"/>
    <mergeCell ref="S9:S10"/>
    <mergeCell ref="C11:C12"/>
    <mergeCell ref="D11:D12"/>
    <mergeCell ref="E11:E12"/>
    <mergeCell ref="F11:F12"/>
    <mergeCell ref="E25:E26"/>
    <mergeCell ref="F25:F26"/>
    <mergeCell ref="B17:B20"/>
    <mergeCell ref="C19:C20"/>
    <mergeCell ref="D19:D20"/>
    <mergeCell ref="E19:E20"/>
    <mergeCell ref="F19:F20"/>
    <mergeCell ref="S15:S16"/>
    <mergeCell ref="S11:S12"/>
    <mergeCell ref="B13:B16"/>
    <mergeCell ref="C15:C16"/>
    <mergeCell ref="D15:D16"/>
    <mergeCell ref="E15:E16"/>
    <mergeCell ref="F15:F16"/>
    <mergeCell ref="A4:A16"/>
    <mergeCell ref="S31:S32"/>
    <mergeCell ref="S28:S29"/>
    <mergeCell ref="S22:S23"/>
    <mergeCell ref="S25:S26"/>
    <mergeCell ref="S19:S20"/>
    <mergeCell ref="B30:B32"/>
    <mergeCell ref="C31:C32"/>
    <mergeCell ref="D31:D32"/>
    <mergeCell ref="E31:E32"/>
    <mergeCell ref="F31:F32"/>
    <mergeCell ref="B27:B29"/>
    <mergeCell ref="C28:C29"/>
    <mergeCell ref="D28:D29"/>
    <mergeCell ref="E28:E29"/>
    <mergeCell ref="F28:F29"/>
    <mergeCell ref="B21:B23"/>
    <mergeCell ref="C22:C23"/>
    <mergeCell ref="D22:D23"/>
    <mergeCell ref="E22:E23"/>
    <mergeCell ref="F22:F23"/>
    <mergeCell ref="B24:B26"/>
    <mergeCell ref="C25:C26"/>
    <mergeCell ref="D25:D26"/>
    <mergeCell ref="B36:B38"/>
    <mergeCell ref="C37:C38"/>
    <mergeCell ref="D37:D38"/>
    <mergeCell ref="S37:S38"/>
    <mergeCell ref="E37:E38"/>
    <mergeCell ref="F37:F38"/>
    <mergeCell ref="B33:B35"/>
    <mergeCell ref="C34:C35"/>
    <mergeCell ref="D34:D35"/>
    <mergeCell ref="E34:E35"/>
    <mergeCell ref="F34:F35"/>
    <mergeCell ref="S43:S44"/>
    <mergeCell ref="A17:A50"/>
    <mergeCell ref="B42:B44"/>
    <mergeCell ref="C43:C44"/>
    <mergeCell ref="D43:D44"/>
    <mergeCell ref="E43:E44"/>
    <mergeCell ref="F43:F44"/>
    <mergeCell ref="D49:D50"/>
    <mergeCell ref="E49:E50"/>
    <mergeCell ref="F49:F50"/>
    <mergeCell ref="S49:S50"/>
    <mergeCell ref="B39:B41"/>
    <mergeCell ref="C40:C41"/>
    <mergeCell ref="D40:D41"/>
    <mergeCell ref="E40:E41"/>
    <mergeCell ref="F40:F41"/>
    <mergeCell ref="S40:S41"/>
    <mergeCell ref="B48:B50"/>
    <mergeCell ref="C49:C50"/>
    <mergeCell ref="B45:B47"/>
    <mergeCell ref="C46:C47"/>
    <mergeCell ref="D46:D47"/>
    <mergeCell ref="E46:E47"/>
    <mergeCell ref="S34:S35"/>
  </mergeCells>
  <dataValidations count="2">
    <dataValidation type="list" allowBlank="1" showInputMessage="1" showErrorMessage="1" sqref="G4:G50 P45 P39 P36 P33 P30 P27 P24 P21 P17:P18 P13 P8 P4 P42 P48" xr:uid="{55028413-787E-4A1F-ACEB-B0B03EE9D31D}">
      <formula1>$AZ$5:$AZ$7</formula1>
    </dataValidation>
    <dataValidation type="list" allowBlank="1" showInputMessage="1" showErrorMessage="1" sqref="D4:D50" xr:uid="{59B8651E-3457-4F6A-8A49-92AFA143FF85}">
      <formula1>$BC:$BC</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366F-90DD-4B04-937E-ED891BB6F322}">
  <sheetPr codeName="Sheet8">
    <tabColor theme="1"/>
  </sheetPr>
  <dimension ref="A1:V56"/>
  <sheetViews>
    <sheetView zoomScaleNormal="100" workbookViewId="0">
      <selection activeCell="N4" sqref="N4"/>
    </sheetView>
  </sheetViews>
  <sheetFormatPr defaultColWidth="8.83984375" defaultRowHeight="14.4" x14ac:dyDescent="0.55000000000000004"/>
  <cols>
    <col min="1" max="1" width="8.83984375" style="5"/>
    <col min="2" max="2" width="30" style="5" customWidth="1"/>
    <col min="3" max="4" width="11.578125" style="5" customWidth="1"/>
    <col min="5" max="5" width="18" style="5" customWidth="1"/>
    <col min="6" max="6" width="11.15625" style="5" customWidth="1"/>
    <col min="7" max="7" width="23.41796875" style="5" customWidth="1"/>
    <col min="8" max="8" width="24" style="178" hidden="1" customWidth="1"/>
    <col min="9" max="9" width="16" style="5" customWidth="1"/>
    <col min="10" max="10" width="16.41796875" style="5" customWidth="1"/>
    <col min="11" max="11" width="13.41796875" style="5" customWidth="1"/>
    <col min="12" max="12" width="11.15625" style="5" customWidth="1"/>
    <col min="13" max="13" width="15.578125" style="5" customWidth="1"/>
    <col min="14" max="16" width="13.41796875" style="5" customWidth="1"/>
    <col min="17" max="19" width="13.83984375" style="5" customWidth="1"/>
    <col min="20" max="21" width="28.15625" style="5" customWidth="1"/>
    <col min="22" max="22" width="32.26171875" style="5" customWidth="1"/>
    <col min="23" max="16384" width="8.83984375" style="5"/>
  </cols>
  <sheetData>
    <row r="1" spans="1:22" x14ac:dyDescent="0.55000000000000004">
      <c r="B1" s="1" t="s">
        <v>3249</v>
      </c>
    </row>
    <row r="2" spans="1:22" ht="25.9" customHeight="1" x14ac:dyDescent="0.55000000000000004">
      <c r="M2" s="536" t="s">
        <v>217</v>
      </c>
      <c r="N2" s="536"/>
      <c r="O2" s="189"/>
      <c r="Q2" s="8" t="s">
        <v>218</v>
      </c>
      <c r="R2" s="8"/>
      <c r="S2" s="8"/>
      <c r="T2" s="138"/>
      <c r="U2" s="138"/>
    </row>
    <row r="3" spans="1:22" s="174" customFormat="1" ht="115.2" x14ac:dyDescent="0.55000000000000004">
      <c r="A3" s="165" t="s">
        <v>219</v>
      </c>
      <c r="B3" s="84" t="s">
        <v>220</v>
      </c>
      <c r="C3" s="84" t="s">
        <v>221</v>
      </c>
      <c r="D3" s="84" t="s">
        <v>222</v>
      </c>
      <c r="E3" s="84" t="s">
        <v>223</v>
      </c>
      <c r="F3" s="84" t="s">
        <v>224</v>
      </c>
      <c r="G3" s="84" t="s">
        <v>225</v>
      </c>
      <c r="H3" s="179" t="s">
        <v>226</v>
      </c>
      <c r="I3" s="84" t="s">
        <v>227</v>
      </c>
      <c r="J3" s="84" t="s">
        <v>228</v>
      </c>
      <c r="K3" s="84" t="s">
        <v>229</v>
      </c>
      <c r="L3" s="84" t="s">
        <v>230</v>
      </c>
      <c r="M3" s="84" t="s">
        <v>231</v>
      </c>
      <c r="N3" s="84" t="s">
        <v>232</v>
      </c>
      <c r="O3" s="84" t="s">
        <v>233</v>
      </c>
      <c r="P3" s="84" t="s">
        <v>234</v>
      </c>
      <c r="Q3" s="84" t="s">
        <v>235</v>
      </c>
      <c r="R3" s="84" t="s">
        <v>3835</v>
      </c>
      <c r="S3" s="84" t="s">
        <v>3626</v>
      </c>
      <c r="T3" s="108" t="s">
        <v>236</v>
      </c>
      <c r="U3" s="108" t="s">
        <v>237</v>
      </c>
      <c r="V3" s="346" t="s">
        <v>238</v>
      </c>
    </row>
    <row r="4" spans="1:22" x14ac:dyDescent="0.55000000000000004">
      <c r="A4" s="175">
        <v>1</v>
      </c>
      <c r="B4" s="176" t="s">
        <v>264</v>
      </c>
      <c r="C4" s="176">
        <v>0.75</v>
      </c>
      <c r="D4" s="176">
        <v>1</v>
      </c>
      <c r="E4" s="176">
        <v>0.75</v>
      </c>
      <c r="F4" s="176">
        <v>0.75</v>
      </c>
      <c r="G4" s="176" t="s">
        <v>240</v>
      </c>
      <c r="H4" s="289" t="s">
        <v>241</v>
      </c>
      <c r="I4" s="176" t="s">
        <v>242</v>
      </c>
      <c r="J4" s="176" t="s">
        <v>243</v>
      </c>
      <c r="K4" s="176" t="s">
        <v>244</v>
      </c>
      <c r="L4" s="176"/>
      <c r="M4" s="177" t="s">
        <v>245</v>
      </c>
      <c r="N4" s="177" t="s">
        <v>246</v>
      </c>
      <c r="O4" s="177"/>
      <c r="P4" s="177" t="s">
        <v>3201</v>
      </c>
      <c r="Q4" s="177"/>
      <c r="R4" s="177"/>
      <c r="S4" s="177" t="s">
        <v>3628</v>
      </c>
      <c r="T4" s="109" t="str">
        <f>IFERROR(VLOOKUP($B4,'Lookup Tables For Tool'!$D:$F,3,FALSE),"Enter Use Site")</f>
        <v>Corn</v>
      </c>
      <c r="U4" s="109" t="str">
        <f>IFERROR(VLOOKUP($B4,'Lookup Tables For Tool'!$D:$F,2,FALSE),"Enter Use Site")</f>
        <v>Corn</v>
      </c>
      <c r="V4" s="290"/>
    </row>
    <row r="5" spans="1:22" x14ac:dyDescent="0.55000000000000004">
      <c r="A5" s="175">
        <f>A4+1</f>
        <v>2</v>
      </c>
      <c r="B5" s="176" t="s">
        <v>1286</v>
      </c>
      <c r="C5" s="176">
        <v>1.125</v>
      </c>
      <c r="D5" s="176">
        <v>3</v>
      </c>
      <c r="E5" s="176" t="s">
        <v>3617</v>
      </c>
      <c r="F5" s="176">
        <v>3</v>
      </c>
      <c r="G5" s="176" t="s">
        <v>248</v>
      </c>
      <c r="H5" s="289" t="s">
        <v>241</v>
      </c>
      <c r="I5" s="176" t="s">
        <v>307</v>
      </c>
      <c r="J5" s="176" t="s">
        <v>323</v>
      </c>
      <c r="K5" s="176"/>
      <c r="L5" s="176">
        <v>7</v>
      </c>
      <c r="M5" s="177" t="s">
        <v>249</v>
      </c>
      <c r="N5" s="177" t="s">
        <v>3251</v>
      </c>
      <c r="O5" s="177" t="s">
        <v>3252</v>
      </c>
      <c r="P5" s="177" t="s">
        <v>3201</v>
      </c>
      <c r="Q5" s="177"/>
      <c r="R5" s="177"/>
      <c r="S5" s="177" t="s">
        <v>3629</v>
      </c>
      <c r="T5" s="109" t="str">
        <f>IFERROR(VLOOKUP($B5,'Lookup Tables For Tool'!$D:$F,3,FALSE),"Enter Use Site")</f>
        <v>Soybean</v>
      </c>
      <c r="U5" s="109" t="str">
        <f>IFERROR(VLOOKUP($B5,'Lookup Tables For Tool'!$D:$F,2,FALSE),"Enter Use Site")</f>
        <v>Soybeans</v>
      </c>
      <c r="V5" s="290"/>
    </row>
    <row r="6" spans="1:22" x14ac:dyDescent="0.55000000000000004">
      <c r="A6" s="175">
        <f t="shared" ref="A6:A52" si="0">A5+1</f>
        <v>3</v>
      </c>
      <c r="B6" s="176" t="s">
        <v>263</v>
      </c>
      <c r="C6" s="176">
        <v>1</v>
      </c>
      <c r="D6" s="176">
        <v>1</v>
      </c>
      <c r="E6" s="176">
        <v>1</v>
      </c>
      <c r="F6" s="176">
        <v>1</v>
      </c>
      <c r="G6" s="176" t="s">
        <v>248</v>
      </c>
      <c r="H6" s="289" t="s">
        <v>251</v>
      </c>
      <c r="I6" s="176" t="s">
        <v>309</v>
      </c>
      <c r="J6" s="176" t="s">
        <v>330</v>
      </c>
      <c r="K6" s="176" t="s">
        <v>244</v>
      </c>
      <c r="L6" s="176"/>
      <c r="M6" s="177" t="s">
        <v>245</v>
      </c>
      <c r="N6" s="177" t="s">
        <v>247</v>
      </c>
      <c r="O6" s="177"/>
      <c r="P6" s="177" t="s">
        <v>3200</v>
      </c>
      <c r="Q6" s="177"/>
      <c r="R6" s="177"/>
      <c r="S6" s="177" t="s">
        <v>3629</v>
      </c>
      <c r="T6" s="109" t="str">
        <f>IFERROR(VLOOKUP($B6,'Lookup Tables For Tool'!$D:$F,3,FALSE),"Enter Use Site")</f>
        <v>Orchard deciduous</v>
      </c>
      <c r="U6" s="109" t="str">
        <f>IFERROR(VLOOKUP($B6,'Lookup Tables For Tool'!$D:$F,2,FALSE),"Enter Use Site")</f>
        <v>Other Orchards</v>
      </c>
      <c r="V6" s="290"/>
    </row>
    <row r="7" spans="1:22" x14ac:dyDescent="0.55000000000000004">
      <c r="A7" s="175">
        <f t="shared" si="0"/>
        <v>4</v>
      </c>
      <c r="B7" s="176" t="s">
        <v>1347</v>
      </c>
      <c r="C7" s="176">
        <v>1</v>
      </c>
      <c r="D7" s="176">
        <v>2</v>
      </c>
      <c r="E7" s="176" t="s">
        <v>3254</v>
      </c>
      <c r="F7" s="176">
        <v>1.5</v>
      </c>
      <c r="G7" s="176" t="s">
        <v>248</v>
      </c>
      <c r="H7" s="289" t="s">
        <v>241</v>
      </c>
      <c r="I7" s="176" t="s">
        <v>317</v>
      </c>
      <c r="J7" s="176" t="s">
        <v>335</v>
      </c>
      <c r="K7" s="176"/>
      <c r="L7" s="176">
        <v>14</v>
      </c>
      <c r="M7" s="177" t="s">
        <v>245</v>
      </c>
      <c r="N7" s="177" t="s">
        <v>252</v>
      </c>
      <c r="O7" s="177" t="s">
        <v>253</v>
      </c>
      <c r="P7" s="177" t="s">
        <v>3201</v>
      </c>
      <c r="Q7" s="177"/>
      <c r="R7" s="177"/>
      <c r="S7" s="177" t="s">
        <v>3628</v>
      </c>
      <c r="T7" s="109" t="str">
        <f>IFERROR(VLOOKUP($B7,'Lookup Tables For Tool'!$D:$F,3,FALSE),"Enter Use Site")</f>
        <v>Orchard evergreen</v>
      </c>
      <c r="U7" s="109" t="str">
        <f>IFERROR(VLOOKUP($B7,'Lookup Tables For Tool'!$D:$F,2,FALSE),"Enter Use Site")</f>
        <v>Citrus</v>
      </c>
      <c r="V7" s="290"/>
    </row>
    <row r="8" spans="1:22" x14ac:dyDescent="0.55000000000000004">
      <c r="A8" s="175">
        <f t="shared" si="0"/>
        <v>5</v>
      </c>
      <c r="B8" s="176" t="s">
        <v>254</v>
      </c>
      <c r="C8" s="176">
        <v>1</v>
      </c>
      <c r="D8" s="176">
        <v>1</v>
      </c>
      <c r="E8" s="176">
        <v>1</v>
      </c>
      <c r="F8" s="176">
        <v>1</v>
      </c>
      <c r="G8" s="176" t="s">
        <v>248</v>
      </c>
      <c r="H8" s="289" t="s">
        <v>241</v>
      </c>
      <c r="I8" s="176"/>
      <c r="J8" s="176" t="s">
        <v>243</v>
      </c>
      <c r="K8" s="176"/>
      <c r="L8" s="176"/>
      <c r="M8" s="177" t="s">
        <v>249</v>
      </c>
      <c r="N8" s="177" t="s">
        <v>247</v>
      </c>
      <c r="O8" s="177"/>
      <c r="P8" s="177" t="s">
        <v>3201</v>
      </c>
      <c r="Q8" s="177"/>
      <c r="R8" s="177"/>
      <c r="S8" s="177" t="s">
        <v>3628</v>
      </c>
      <c r="T8" s="109" t="str">
        <f>IFERROR(VLOOKUP($B8,'Lookup Tables For Tool'!$D:$F,3,FALSE),"Enter Use Site")</f>
        <v>Small fruit trellised</v>
      </c>
      <c r="U8" s="109" t="str">
        <f>IFERROR(VLOOKUP($B8,'Lookup Tables For Tool'!$D:$F,2,FALSE),"Enter Use Site")</f>
        <v>Vegetables and Ground Fruit</v>
      </c>
      <c r="V8" s="290"/>
    </row>
    <row r="9" spans="1:22" x14ac:dyDescent="0.55000000000000004">
      <c r="A9" s="175">
        <f t="shared" si="0"/>
        <v>6</v>
      </c>
      <c r="B9" s="176" t="s">
        <v>256</v>
      </c>
      <c r="C9" s="176">
        <v>0.5</v>
      </c>
      <c r="D9" s="176">
        <v>1</v>
      </c>
      <c r="E9" s="176">
        <v>0.5</v>
      </c>
      <c r="F9" s="176">
        <v>0.5</v>
      </c>
      <c r="G9" s="176" t="s">
        <v>248</v>
      </c>
      <c r="H9" s="289" t="s">
        <v>241</v>
      </c>
      <c r="I9" s="176"/>
      <c r="J9" s="176" t="s">
        <v>243</v>
      </c>
      <c r="K9" s="176"/>
      <c r="L9" s="176"/>
      <c r="M9" s="177" t="s">
        <v>245</v>
      </c>
      <c r="N9" s="177" t="s">
        <v>246</v>
      </c>
      <c r="O9" s="177"/>
      <c r="P9" s="177" t="s">
        <v>3201</v>
      </c>
      <c r="Q9" s="177"/>
      <c r="R9" s="177"/>
      <c r="S9" s="177" t="s">
        <v>3628</v>
      </c>
      <c r="T9" s="109" t="str">
        <f>IFERROR(VLOOKUP($B9,'Lookup Tables For Tool'!$D:$F,3,FALSE),"Enter Use Site")</f>
        <v>Vegetable fresh or processing market</v>
      </c>
      <c r="U9" s="109" t="str">
        <f>IFERROR(VLOOKUP($B9,'Lookup Tables For Tool'!$D:$F,2,FALSE),"Enter Use Site")</f>
        <v>Vegetables and Ground Fruit</v>
      </c>
      <c r="V9" s="290"/>
    </row>
    <row r="10" spans="1:22" x14ac:dyDescent="0.55000000000000004">
      <c r="A10" s="175">
        <f t="shared" si="0"/>
        <v>7</v>
      </c>
      <c r="B10" s="176" t="s">
        <v>258</v>
      </c>
      <c r="C10" s="176">
        <v>0.25</v>
      </c>
      <c r="D10" s="176">
        <v>1</v>
      </c>
      <c r="E10" s="176">
        <v>0.25</v>
      </c>
      <c r="F10" s="176">
        <v>0.25</v>
      </c>
      <c r="G10" s="176" t="s">
        <v>322</v>
      </c>
      <c r="H10" s="289" t="s">
        <v>241</v>
      </c>
      <c r="I10" s="176"/>
      <c r="J10" s="176"/>
      <c r="K10" s="176"/>
      <c r="L10" s="176"/>
      <c r="M10" s="177" t="s">
        <v>245</v>
      </c>
      <c r="N10" s="177" t="s">
        <v>246</v>
      </c>
      <c r="O10" s="177"/>
      <c r="P10" s="177" t="s">
        <v>3202</v>
      </c>
      <c r="Q10" s="177"/>
      <c r="R10" s="177"/>
      <c r="S10" s="177" t="s">
        <v>3630</v>
      </c>
      <c r="T10" s="109" t="str">
        <f>IFERROR(VLOOKUP($B10,'Lookup Tables For Tool'!$D:$F,3,FALSE),"Enter Use Site")</f>
        <v>Vegetable fresh or processing market</v>
      </c>
      <c r="U10" s="109" t="str">
        <f>IFERROR(VLOOKUP($B10,'Lookup Tables For Tool'!$D:$F,2,FALSE),"Enter Use Site")</f>
        <v>Vegetables and Ground Fruit</v>
      </c>
      <c r="V10" s="290"/>
    </row>
    <row r="11" spans="1:22" x14ac:dyDescent="0.55000000000000004">
      <c r="A11" s="175">
        <f t="shared" si="0"/>
        <v>8</v>
      </c>
      <c r="B11" s="176" t="s">
        <v>1562</v>
      </c>
      <c r="C11" s="176">
        <v>1</v>
      </c>
      <c r="D11" s="176">
        <v>1</v>
      </c>
      <c r="E11" s="176">
        <v>1</v>
      </c>
      <c r="F11" s="176">
        <v>1</v>
      </c>
      <c r="G11" s="176" t="s">
        <v>255</v>
      </c>
      <c r="H11" s="289"/>
      <c r="I11" s="176"/>
      <c r="J11" s="176"/>
      <c r="K11" s="176"/>
      <c r="L11" s="176"/>
      <c r="M11" s="177" t="s">
        <v>245</v>
      </c>
      <c r="N11" s="177" t="s">
        <v>246</v>
      </c>
      <c r="O11" s="177"/>
      <c r="P11" s="177" t="s">
        <v>3203</v>
      </c>
      <c r="Q11" s="177" t="s">
        <v>3832</v>
      </c>
      <c r="R11" s="177"/>
      <c r="S11" s="177" t="s">
        <v>3629</v>
      </c>
      <c r="T11" s="109" t="str">
        <f>IFERROR(VLOOKUP($B11,'Lookup Tables For Tool'!$D:$F,3,FALSE),"Enter Use Site")</f>
        <v>Wheat spring</v>
      </c>
      <c r="U11" s="109" t="str">
        <f>IFERROR(VLOOKUP($B11,'Lookup Tables For Tool'!$D:$F,2,FALSE),"Enter Use Site")</f>
        <v>Spring wheat</v>
      </c>
      <c r="V11" s="290"/>
    </row>
    <row r="12" spans="1:22" x14ac:dyDescent="0.55000000000000004">
      <c r="A12" s="175">
        <f t="shared" si="0"/>
        <v>9</v>
      </c>
      <c r="B12" s="176" t="s">
        <v>657</v>
      </c>
      <c r="C12" s="176">
        <v>1</v>
      </c>
      <c r="D12" s="176">
        <v>2</v>
      </c>
      <c r="E12" s="176" t="s">
        <v>3253</v>
      </c>
      <c r="F12" s="176">
        <v>2</v>
      </c>
      <c r="G12" s="176" t="s">
        <v>248</v>
      </c>
      <c r="H12" s="289"/>
      <c r="I12" s="176" t="s">
        <v>242</v>
      </c>
      <c r="J12" s="176" t="s">
        <v>243</v>
      </c>
      <c r="K12" s="176"/>
      <c r="L12" s="176">
        <v>35</v>
      </c>
      <c r="M12" s="177" t="s">
        <v>249</v>
      </c>
      <c r="N12" s="177" t="s">
        <v>3255</v>
      </c>
      <c r="O12" s="177" t="s">
        <v>3256</v>
      </c>
      <c r="P12" s="177" t="s">
        <v>3201</v>
      </c>
      <c r="Q12" s="177"/>
      <c r="R12" s="177"/>
      <c r="S12" s="177" t="s">
        <v>3629</v>
      </c>
      <c r="T12" s="109" t="str">
        <f>IFERROR(VLOOKUP($B12,'Lookup Tables For Tool'!$D:$F,3,FALSE),"Enter Use Site")</f>
        <v>Hay all</v>
      </c>
      <c r="U12" s="109" t="str">
        <f>IFERROR(VLOOKUP($B12,'Lookup Tables For Tool'!$D:$F,2,FALSE),"Enter Use Site")</f>
        <v>Other crops</v>
      </c>
      <c r="V12" s="290"/>
    </row>
    <row r="13" spans="1:22" x14ac:dyDescent="0.55000000000000004">
      <c r="A13" s="175">
        <f t="shared" si="0"/>
        <v>10</v>
      </c>
      <c r="B13" s="176" t="s">
        <v>525</v>
      </c>
      <c r="C13" s="176">
        <v>2</v>
      </c>
      <c r="D13" s="176">
        <v>2</v>
      </c>
      <c r="E13" s="176" t="s">
        <v>3452</v>
      </c>
      <c r="F13" s="176">
        <v>4</v>
      </c>
      <c r="G13" s="176" t="s">
        <v>248</v>
      </c>
      <c r="H13" s="289"/>
      <c r="I13" s="176" t="s">
        <v>309</v>
      </c>
      <c r="J13" s="176" t="s">
        <v>243</v>
      </c>
      <c r="K13" s="176" t="s">
        <v>244</v>
      </c>
      <c r="L13" s="176">
        <v>10</v>
      </c>
      <c r="M13" s="177" t="s">
        <v>249</v>
      </c>
      <c r="N13" s="177" t="s">
        <v>3453</v>
      </c>
      <c r="O13" s="177" t="s">
        <v>3454</v>
      </c>
      <c r="P13" s="177" t="s">
        <v>3201</v>
      </c>
      <c r="Q13" s="177"/>
      <c r="R13" s="177"/>
      <c r="S13" s="177" t="s">
        <v>3628</v>
      </c>
      <c r="T13" s="109" t="str">
        <f>IFERROR(VLOOKUP($B13,'Lookup Tables For Tool'!$D:$F,3,FALSE),"Enter Use Site")</f>
        <v>Orchard deciduous</v>
      </c>
      <c r="U13" s="109" t="str">
        <f>IFERROR(VLOOKUP($B13,'Lookup Tables For Tool'!$D:$F,2,FALSE),"Enter Use Site")</f>
        <v>Other Orchards</v>
      </c>
      <c r="V13" s="290"/>
    </row>
    <row r="14" spans="1:22" x14ac:dyDescent="0.55000000000000004">
      <c r="A14" s="175">
        <f t="shared" si="0"/>
        <v>11</v>
      </c>
      <c r="B14" s="176" t="s">
        <v>651</v>
      </c>
      <c r="C14" s="176">
        <v>1</v>
      </c>
      <c r="D14" s="176">
        <v>1</v>
      </c>
      <c r="E14" s="176">
        <v>1</v>
      </c>
      <c r="F14" s="176">
        <v>1</v>
      </c>
      <c r="G14" s="176" t="s">
        <v>248</v>
      </c>
      <c r="H14" s="289"/>
      <c r="I14" s="176" t="s">
        <v>309</v>
      </c>
      <c r="J14" s="176" t="s">
        <v>243</v>
      </c>
      <c r="K14" s="176"/>
      <c r="L14" s="176"/>
      <c r="M14" s="177" t="s">
        <v>249</v>
      </c>
      <c r="N14" s="177" t="s">
        <v>4268</v>
      </c>
      <c r="O14" s="177"/>
      <c r="P14" s="177" t="s">
        <v>3201</v>
      </c>
      <c r="Q14" s="177"/>
      <c r="R14" s="177"/>
      <c r="S14" s="177" t="s">
        <v>3628</v>
      </c>
      <c r="T14" s="109" t="str">
        <f>IFERROR(VLOOKUP($B14,'Lookup Tables For Tool'!$D:$F,3,FALSE),"Enter Use Site")</f>
        <v>Pasture or forage</v>
      </c>
      <c r="U14" s="109" t="str">
        <f>IFERROR(VLOOKUP($B14,'Lookup Tables For Tool'!$D:$F,2,FALSE),"Enter Use Site")</f>
        <v>Range</v>
      </c>
      <c r="V14" s="290"/>
    </row>
    <row r="15" spans="1:22" x14ac:dyDescent="0.55000000000000004">
      <c r="A15" s="175">
        <f t="shared" si="0"/>
        <v>12</v>
      </c>
      <c r="B15" s="176" t="s">
        <v>3724</v>
      </c>
      <c r="C15" s="176"/>
      <c r="D15" s="176"/>
      <c r="E15" s="176"/>
      <c r="F15" s="176"/>
      <c r="G15" s="176"/>
      <c r="H15" s="289"/>
      <c r="I15" s="176"/>
      <c r="J15" s="176"/>
      <c r="K15" s="176"/>
      <c r="L15" s="176"/>
      <c r="M15" s="177"/>
      <c r="N15" s="177"/>
      <c r="O15" s="177"/>
      <c r="P15" s="177"/>
      <c r="Q15" s="177"/>
      <c r="R15" s="177" t="s">
        <v>3836</v>
      </c>
      <c r="S15" s="177"/>
      <c r="T15" s="109" t="str">
        <f>IFERROR(VLOOKUP($B15,'Lookup Tables For Tool'!$D:$F,3,FALSE),"Enter Use Site")</f>
        <v>Target Concentration</v>
      </c>
      <c r="U15" s="109" t="str">
        <f>IFERROR(VLOOKUP($B15,'Lookup Tables For Tool'!$D:$F,2,FALSE),"Enter Use Site")</f>
        <v>non-cultivated</v>
      </c>
      <c r="V15" s="290"/>
    </row>
    <row r="16" spans="1:22" x14ac:dyDescent="0.55000000000000004">
      <c r="A16" s="175">
        <f t="shared" si="0"/>
        <v>13</v>
      </c>
      <c r="B16" s="176"/>
      <c r="C16" s="176"/>
      <c r="D16" s="176"/>
      <c r="E16" s="176"/>
      <c r="F16" s="176"/>
      <c r="G16" s="176"/>
      <c r="H16" s="289"/>
      <c r="I16" s="176"/>
      <c r="J16" s="176"/>
      <c r="K16" s="176"/>
      <c r="L16" s="176"/>
      <c r="M16" s="177"/>
      <c r="N16" s="177"/>
      <c r="O16" s="177"/>
      <c r="P16" s="177"/>
      <c r="Q16" s="177"/>
      <c r="R16" s="177"/>
      <c r="S16" s="177"/>
      <c r="T16" s="109" t="str">
        <f>IFERROR(VLOOKUP($B16,'Lookup Tables For Tool'!$D:$F,3,FALSE),"Enter Use Site")</f>
        <v>Enter Use Site</v>
      </c>
      <c r="U16" s="109" t="str">
        <f>IFERROR(VLOOKUP($B16,'Lookup Tables For Tool'!$D:$F,2,FALSE),"Enter Use Site")</f>
        <v>Enter Use Site</v>
      </c>
      <c r="V16" s="290"/>
    </row>
    <row r="17" spans="1:22" x14ac:dyDescent="0.55000000000000004">
      <c r="A17" s="175">
        <f t="shared" si="0"/>
        <v>14</v>
      </c>
      <c r="B17" s="176"/>
      <c r="C17" s="176"/>
      <c r="D17" s="176"/>
      <c r="E17" s="176"/>
      <c r="F17" s="176"/>
      <c r="G17" s="176"/>
      <c r="H17" s="289"/>
      <c r="I17" s="176"/>
      <c r="J17" s="176"/>
      <c r="K17" s="176"/>
      <c r="L17" s="176"/>
      <c r="M17" s="177"/>
      <c r="N17" s="177"/>
      <c r="O17" s="177"/>
      <c r="P17" s="177"/>
      <c r="Q17" s="177"/>
      <c r="R17" s="177"/>
      <c r="S17" s="177"/>
      <c r="T17" s="109" t="str">
        <f>IFERROR(VLOOKUP($B17,'Lookup Tables For Tool'!$D:$F,3,FALSE),"Enter Use Site")</f>
        <v>Enter Use Site</v>
      </c>
      <c r="U17" s="109" t="str">
        <f>IFERROR(VLOOKUP($B17,'Lookup Tables For Tool'!$D:$F,2,FALSE),"Enter Use Site")</f>
        <v>Enter Use Site</v>
      </c>
      <c r="V17" s="290"/>
    </row>
    <row r="18" spans="1:22" x14ac:dyDescent="0.55000000000000004">
      <c r="A18" s="175">
        <f t="shared" si="0"/>
        <v>15</v>
      </c>
      <c r="B18" s="176"/>
      <c r="C18" s="176"/>
      <c r="D18" s="176"/>
      <c r="E18" s="176"/>
      <c r="F18" s="176"/>
      <c r="G18" s="176"/>
      <c r="H18" s="289"/>
      <c r="I18" s="176"/>
      <c r="J18" s="176"/>
      <c r="K18" s="176"/>
      <c r="L18" s="176"/>
      <c r="M18" s="177"/>
      <c r="N18" s="177"/>
      <c r="O18" s="177"/>
      <c r="P18" s="177"/>
      <c r="Q18" s="177"/>
      <c r="R18" s="177"/>
      <c r="S18" s="177"/>
      <c r="T18" s="109" t="str">
        <f>IFERROR(VLOOKUP($B18,'Lookup Tables For Tool'!$D:$F,3,FALSE),"Enter Use Site")</f>
        <v>Enter Use Site</v>
      </c>
      <c r="U18" s="109" t="str">
        <f>IFERROR(VLOOKUP($B18,'Lookup Tables For Tool'!$D:$F,2,FALSE),"Enter Use Site")</f>
        <v>Enter Use Site</v>
      </c>
      <c r="V18" s="290"/>
    </row>
    <row r="19" spans="1:22" x14ac:dyDescent="0.55000000000000004">
      <c r="A19" s="175">
        <f t="shared" si="0"/>
        <v>16</v>
      </c>
      <c r="B19" s="176"/>
      <c r="C19" s="176"/>
      <c r="D19" s="176"/>
      <c r="E19" s="176"/>
      <c r="F19" s="176"/>
      <c r="G19" s="176"/>
      <c r="H19" s="289"/>
      <c r="I19" s="176"/>
      <c r="J19" s="176"/>
      <c r="K19" s="176"/>
      <c r="L19" s="176"/>
      <c r="M19" s="177"/>
      <c r="N19" s="177"/>
      <c r="O19" s="177"/>
      <c r="P19" s="177"/>
      <c r="Q19" s="177"/>
      <c r="R19" s="177"/>
      <c r="S19" s="177"/>
      <c r="T19" s="109" t="str">
        <f>IFERROR(VLOOKUP($B19,'Lookup Tables For Tool'!$D:$F,3,FALSE),"Enter Use Site")</f>
        <v>Enter Use Site</v>
      </c>
      <c r="U19" s="109" t="str">
        <f>IFERROR(VLOOKUP($B19,'Lookup Tables For Tool'!$D:$F,2,FALSE),"Enter Use Site")</f>
        <v>Enter Use Site</v>
      </c>
      <c r="V19" s="290"/>
    </row>
    <row r="20" spans="1:22" x14ac:dyDescent="0.55000000000000004">
      <c r="A20" s="175">
        <f t="shared" si="0"/>
        <v>17</v>
      </c>
      <c r="B20" s="176"/>
      <c r="C20" s="176"/>
      <c r="D20" s="176"/>
      <c r="E20" s="176"/>
      <c r="F20" s="176"/>
      <c r="G20" s="176"/>
      <c r="H20" s="289"/>
      <c r="I20" s="176"/>
      <c r="J20" s="176"/>
      <c r="K20" s="176"/>
      <c r="L20" s="176"/>
      <c r="M20" s="177"/>
      <c r="N20" s="177"/>
      <c r="O20" s="177"/>
      <c r="P20" s="177"/>
      <c r="Q20" s="177"/>
      <c r="R20" s="177"/>
      <c r="S20" s="177"/>
      <c r="T20" s="109" t="str">
        <f>IFERROR(VLOOKUP($B20,'Lookup Tables For Tool'!$D:$F,3,FALSE),"Enter Use Site")</f>
        <v>Enter Use Site</v>
      </c>
      <c r="U20" s="109" t="str">
        <f>IFERROR(VLOOKUP($B20,'Lookup Tables For Tool'!$D:$F,2,FALSE),"Enter Use Site")</f>
        <v>Enter Use Site</v>
      </c>
      <c r="V20" s="290"/>
    </row>
    <row r="21" spans="1:22" x14ac:dyDescent="0.55000000000000004">
      <c r="A21" s="175">
        <f t="shared" si="0"/>
        <v>18</v>
      </c>
      <c r="B21" s="176"/>
      <c r="C21" s="176"/>
      <c r="D21" s="176"/>
      <c r="E21" s="176"/>
      <c r="F21" s="176"/>
      <c r="G21" s="176"/>
      <c r="H21" s="289"/>
      <c r="I21" s="176"/>
      <c r="J21" s="176"/>
      <c r="K21" s="176"/>
      <c r="L21" s="176"/>
      <c r="M21" s="177"/>
      <c r="N21" s="177"/>
      <c r="O21" s="177"/>
      <c r="P21" s="177"/>
      <c r="Q21" s="177"/>
      <c r="R21" s="177"/>
      <c r="S21" s="177"/>
      <c r="T21" s="109" t="str">
        <f>IFERROR(VLOOKUP($B21,'Lookup Tables For Tool'!$D:$F,3,FALSE),"Enter Use Site")</f>
        <v>Enter Use Site</v>
      </c>
      <c r="U21" s="109" t="str">
        <f>IFERROR(VLOOKUP($B21,'Lookup Tables For Tool'!$D:$F,2,FALSE),"Enter Use Site")</f>
        <v>Enter Use Site</v>
      </c>
      <c r="V21" s="290"/>
    </row>
    <row r="22" spans="1:22" x14ac:dyDescent="0.55000000000000004">
      <c r="A22" s="175">
        <f t="shared" si="0"/>
        <v>19</v>
      </c>
      <c r="B22" s="176"/>
      <c r="C22" s="176"/>
      <c r="D22" s="176"/>
      <c r="E22" s="176"/>
      <c r="F22" s="176"/>
      <c r="G22" s="176"/>
      <c r="H22" s="289"/>
      <c r="I22" s="176"/>
      <c r="J22" s="176"/>
      <c r="K22" s="176"/>
      <c r="L22" s="176"/>
      <c r="M22" s="177"/>
      <c r="N22" s="177"/>
      <c r="O22" s="177"/>
      <c r="P22" s="177"/>
      <c r="Q22" s="177"/>
      <c r="R22" s="177"/>
      <c r="S22" s="177"/>
      <c r="T22" s="109" t="str">
        <f>IFERROR(VLOOKUP($B22,'Lookup Tables For Tool'!$D:$F,3,FALSE),"Enter Use Site")</f>
        <v>Enter Use Site</v>
      </c>
      <c r="U22" s="109" t="str">
        <f>IFERROR(VLOOKUP($B22,'Lookup Tables For Tool'!$D:$F,2,FALSE),"Enter Use Site")</f>
        <v>Enter Use Site</v>
      </c>
      <c r="V22" s="290"/>
    </row>
    <row r="23" spans="1:22" x14ac:dyDescent="0.55000000000000004">
      <c r="A23" s="175">
        <f t="shared" si="0"/>
        <v>20</v>
      </c>
      <c r="B23" s="176"/>
      <c r="C23" s="176"/>
      <c r="D23" s="176"/>
      <c r="E23" s="176"/>
      <c r="F23" s="176"/>
      <c r="G23" s="176"/>
      <c r="H23" s="289"/>
      <c r="I23" s="176"/>
      <c r="J23" s="176"/>
      <c r="K23" s="176"/>
      <c r="L23" s="176"/>
      <c r="M23" s="177"/>
      <c r="N23" s="177"/>
      <c r="O23" s="177"/>
      <c r="P23" s="177"/>
      <c r="Q23" s="177"/>
      <c r="R23" s="177"/>
      <c r="S23" s="177"/>
      <c r="T23" s="109" t="str">
        <f>IFERROR(VLOOKUP($B23,'Lookup Tables For Tool'!$D:$F,3,FALSE),"Enter Use Site")</f>
        <v>Enter Use Site</v>
      </c>
      <c r="U23" s="109" t="str">
        <f>IFERROR(VLOOKUP($B23,'Lookup Tables For Tool'!$D:$F,2,FALSE),"Enter Use Site")</f>
        <v>Enter Use Site</v>
      </c>
      <c r="V23" s="290"/>
    </row>
    <row r="24" spans="1:22" x14ac:dyDescent="0.55000000000000004">
      <c r="A24" s="175">
        <f t="shared" si="0"/>
        <v>21</v>
      </c>
      <c r="B24" s="176"/>
      <c r="C24" s="176"/>
      <c r="D24" s="176"/>
      <c r="E24" s="176"/>
      <c r="F24" s="176"/>
      <c r="G24" s="176"/>
      <c r="H24" s="289"/>
      <c r="I24" s="176"/>
      <c r="J24" s="176"/>
      <c r="K24" s="176"/>
      <c r="L24" s="176"/>
      <c r="M24" s="177"/>
      <c r="N24" s="177"/>
      <c r="O24" s="177"/>
      <c r="P24" s="177"/>
      <c r="Q24" s="177"/>
      <c r="R24" s="177"/>
      <c r="S24" s="177"/>
      <c r="T24" s="109" t="str">
        <f>IFERROR(VLOOKUP($B24,'Lookup Tables For Tool'!$D:$F,3,FALSE),"Enter Use Site")</f>
        <v>Enter Use Site</v>
      </c>
      <c r="U24" s="109" t="str">
        <f>IFERROR(VLOOKUP($B24,'Lookup Tables For Tool'!$D:$F,2,FALSE),"Enter Use Site")</f>
        <v>Enter Use Site</v>
      </c>
      <c r="V24" s="290"/>
    </row>
    <row r="25" spans="1:22" x14ac:dyDescent="0.55000000000000004">
      <c r="A25" s="175">
        <f t="shared" si="0"/>
        <v>22</v>
      </c>
      <c r="B25" s="176"/>
      <c r="C25" s="176"/>
      <c r="D25" s="176"/>
      <c r="E25" s="176"/>
      <c r="F25" s="176"/>
      <c r="G25" s="176"/>
      <c r="H25" s="289"/>
      <c r="I25" s="176"/>
      <c r="J25" s="176"/>
      <c r="K25" s="176"/>
      <c r="L25" s="176"/>
      <c r="M25" s="177"/>
      <c r="N25" s="177"/>
      <c r="O25" s="177"/>
      <c r="P25" s="177"/>
      <c r="Q25" s="177"/>
      <c r="R25" s="177"/>
      <c r="S25" s="177"/>
      <c r="T25" s="109" t="str">
        <f>IFERROR(VLOOKUP($B25,'Lookup Tables For Tool'!$D:$F,3,FALSE),"Enter Use Site")</f>
        <v>Enter Use Site</v>
      </c>
      <c r="U25" s="109" t="str">
        <f>IFERROR(VLOOKUP($B25,'Lookup Tables For Tool'!$D:$F,2,FALSE),"Enter Use Site")</f>
        <v>Enter Use Site</v>
      </c>
      <c r="V25" s="290"/>
    </row>
    <row r="26" spans="1:22" x14ac:dyDescent="0.55000000000000004">
      <c r="A26" s="175">
        <f t="shared" si="0"/>
        <v>23</v>
      </c>
      <c r="B26" s="176"/>
      <c r="C26" s="176"/>
      <c r="D26" s="176"/>
      <c r="E26" s="176"/>
      <c r="F26" s="176"/>
      <c r="G26" s="176"/>
      <c r="H26" s="289"/>
      <c r="I26" s="176"/>
      <c r="J26" s="176"/>
      <c r="K26" s="176"/>
      <c r="L26" s="176"/>
      <c r="M26" s="177"/>
      <c r="N26" s="177"/>
      <c r="O26" s="177"/>
      <c r="P26" s="177"/>
      <c r="Q26" s="177"/>
      <c r="R26" s="177"/>
      <c r="S26" s="177"/>
      <c r="T26" s="109" t="str">
        <f>IFERROR(VLOOKUP($B26,'Lookup Tables For Tool'!$D:$F,3,FALSE),"Enter Use Site")</f>
        <v>Enter Use Site</v>
      </c>
      <c r="U26" s="109" t="str">
        <f>IFERROR(VLOOKUP($B26,'Lookup Tables For Tool'!$D:$F,2,FALSE),"Enter Use Site")</f>
        <v>Enter Use Site</v>
      </c>
      <c r="V26" s="290"/>
    </row>
    <row r="27" spans="1:22" x14ac:dyDescent="0.55000000000000004">
      <c r="A27" s="175">
        <f t="shared" si="0"/>
        <v>24</v>
      </c>
      <c r="B27" s="176"/>
      <c r="C27" s="176"/>
      <c r="D27" s="176"/>
      <c r="E27" s="176"/>
      <c r="F27" s="176"/>
      <c r="G27" s="176"/>
      <c r="H27" s="289"/>
      <c r="I27" s="176"/>
      <c r="J27" s="176"/>
      <c r="K27" s="176"/>
      <c r="L27" s="176"/>
      <c r="M27" s="177"/>
      <c r="N27" s="177"/>
      <c r="O27" s="177"/>
      <c r="P27" s="177"/>
      <c r="Q27" s="177"/>
      <c r="R27" s="177"/>
      <c r="S27" s="177"/>
      <c r="T27" s="109" t="str">
        <f>IFERROR(VLOOKUP($B27,'Lookup Tables For Tool'!$D:$F,3,FALSE),"Enter Use Site")</f>
        <v>Enter Use Site</v>
      </c>
      <c r="U27" s="109" t="str">
        <f>IFERROR(VLOOKUP($B27,'Lookup Tables For Tool'!$D:$F,2,FALSE),"Enter Use Site")</f>
        <v>Enter Use Site</v>
      </c>
      <c r="V27" s="290"/>
    </row>
    <row r="28" spans="1:22" x14ac:dyDescent="0.55000000000000004">
      <c r="A28" s="175">
        <f t="shared" si="0"/>
        <v>25</v>
      </c>
      <c r="B28" s="176"/>
      <c r="C28" s="176"/>
      <c r="D28" s="176"/>
      <c r="E28" s="176"/>
      <c r="F28" s="176"/>
      <c r="G28" s="176"/>
      <c r="H28" s="289"/>
      <c r="I28" s="176"/>
      <c r="J28" s="176"/>
      <c r="K28" s="176"/>
      <c r="L28" s="176"/>
      <c r="M28" s="177"/>
      <c r="N28" s="177"/>
      <c r="O28" s="177"/>
      <c r="P28" s="177"/>
      <c r="Q28" s="177"/>
      <c r="R28" s="177"/>
      <c r="S28" s="177"/>
      <c r="T28" s="109" t="str">
        <f>IFERROR(VLOOKUP($B28,'Lookup Tables For Tool'!$D:$F,3,FALSE),"Enter Use Site")</f>
        <v>Enter Use Site</v>
      </c>
      <c r="U28" s="109" t="str">
        <f>IFERROR(VLOOKUP($B28,'Lookup Tables For Tool'!$D:$F,2,FALSE),"Enter Use Site")</f>
        <v>Enter Use Site</v>
      </c>
      <c r="V28" s="290"/>
    </row>
    <row r="29" spans="1:22" x14ac:dyDescent="0.55000000000000004">
      <c r="A29" s="175">
        <f t="shared" si="0"/>
        <v>26</v>
      </c>
      <c r="B29" s="176"/>
      <c r="C29" s="176"/>
      <c r="D29" s="176"/>
      <c r="E29" s="176"/>
      <c r="F29" s="176"/>
      <c r="G29" s="176"/>
      <c r="H29" s="289"/>
      <c r="I29" s="176"/>
      <c r="J29" s="176"/>
      <c r="K29" s="176"/>
      <c r="L29" s="176"/>
      <c r="M29" s="177"/>
      <c r="N29" s="177"/>
      <c r="O29" s="177"/>
      <c r="P29" s="177"/>
      <c r="Q29" s="177"/>
      <c r="R29" s="177"/>
      <c r="S29" s="177"/>
      <c r="T29" s="109" t="str">
        <f>IFERROR(VLOOKUP($B29,'Lookup Tables For Tool'!$D:$F,3,FALSE),"Enter Use Site")</f>
        <v>Enter Use Site</v>
      </c>
      <c r="U29" s="109" t="str">
        <f>IFERROR(VLOOKUP($B29,'Lookup Tables For Tool'!$D:$F,2,FALSE),"Enter Use Site")</f>
        <v>Enter Use Site</v>
      </c>
      <c r="V29" s="290"/>
    </row>
    <row r="30" spans="1:22" x14ac:dyDescent="0.55000000000000004">
      <c r="A30" s="175">
        <f t="shared" si="0"/>
        <v>27</v>
      </c>
      <c r="B30" s="176"/>
      <c r="C30" s="176"/>
      <c r="D30" s="176"/>
      <c r="E30" s="176"/>
      <c r="F30" s="176"/>
      <c r="G30" s="176"/>
      <c r="H30" s="289"/>
      <c r="I30" s="176"/>
      <c r="J30" s="176"/>
      <c r="K30" s="176"/>
      <c r="L30" s="176"/>
      <c r="M30" s="177"/>
      <c r="N30" s="177"/>
      <c r="O30" s="177"/>
      <c r="P30" s="177"/>
      <c r="Q30" s="177"/>
      <c r="R30" s="177"/>
      <c r="S30" s="177"/>
      <c r="T30" s="109" t="str">
        <f>IFERROR(VLOOKUP($B30,'Lookup Tables For Tool'!$D:$F,3,FALSE),"Enter Use Site")</f>
        <v>Enter Use Site</v>
      </c>
      <c r="U30" s="109" t="str">
        <f>IFERROR(VLOOKUP($B30,'Lookup Tables For Tool'!$D:$F,2,FALSE),"Enter Use Site")</f>
        <v>Enter Use Site</v>
      </c>
      <c r="V30" s="290"/>
    </row>
    <row r="31" spans="1:22" x14ac:dyDescent="0.55000000000000004">
      <c r="A31" s="175">
        <f t="shared" si="0"/>
        <v>28</v>
      </c>
      <c r="B31" s="176"/>
      <c r="C31" s="176"/>
      <c r="D31" s="176"/>
      <c r="E31" s="176"/>
      <c r="F31" s="176"/>
      <c r="G31" s="176"/>
      <c r="H31" s="289"/>
      <c r="I31" s="176"/>
      <c r="J31" s="176"/>
      <c r="K31" s="176"/>
      <c r="L31" s="176"/>
      <c r="M31" s="177"/>
      <c r="N31" s="177"/>
      <c r="O31" s="177"/>
      <c r="P31" s="177"/>
      <c r="Q31" s="177"/>
      <c r="R31" s="177"/>
      <c r="S31" s="177"/>
      <c r="T31" s="109" t="str">
        <f>IFERROR(VLOOKUP($B31,'Lookup Tables For Tool'!$D:$F,3,FALSE),"Enter Use Site")</f>
        <v>Enter Use Site</v>
      </c>
      <c r="U31" s="109" t="str">
        <f>IFERROR(VLOOKUP($B31,'Lookup Tables For Tool'!$D:$F,2,FALSE),"Enter Use Site")</f>
        <v>Enter Use Site</v>
      </c>
      <c r="V31" s="290"/>
    </row>
    <row r="32" spans="1:22" x14ac:dyDescent="0.55000000000000004">
      <c r="A32" s="175">
        <f t="shared" si="0"/>
        <v>29</v>
      </c>
      <c r="B32" s="176"/>
      <c r="C32" s="176"/>
      <c r="D32" s="176"/>
      <c r="E32" s="176"/>
      <c r="F32" s="176"/>
      <c r="G32" s="176"/>
      <c r="H32" s="289"/>
      <c r="I32" s="176"/>
      <c r="J32" s="176"/>
      <c r="K32" s="176"/>
      <c r="L32" s="176"/>
      <c r="M32" s="177"/>
      <c r="N32" s="177"/>
      <c r="O32" s="177"/>
      <c r="P32" s="177"/>
      <c r="Q32" s="177"/>
      <c r="R32" s="177"/>
      <c r="S32" s="177"/>
      <c r="T32" s="109" t="str">
        <f>IFERROR(VLOOKUP($B32,'Lookup Tables For Tool'!$D:$F,3,FALSE),"Enter Use Site")</f>
        <v>Enter Use Site</v>
      </c>
      <c r="U32" s="109" t="str">
        <f>IFERROR(VLOOKUP($B32,'Lookup Tables For Tool'!$D:$F,2,FALSE),"Enter Use Site")</f>
        <v>Enter Use Site</v>
      </c>
      <c r="V32" s="290"/>
    </row>
    <row r="33" spans="1:22" x14ac:dyDescent="0.55000000000000004">
      <c r="A33" s="175">
        <f t="shared" si="0"/>
        <v>30</v>
      </c>
      <c r="B33" s="176"/>
      <c r="C33" s="176"/>
      <c r="D33" s="176"/>
      <c r="E33" s="176"/>
      <c r="F33" s="176"/>
      <c r="G33" s="176"/>
      <c r="H33" s="289"/>
      <c r="I33" s="176"/>
      <c r="J33" s="176"/>
      <c r="K33" s="176"/>
      <c r="L33" s="176"/>
      <c r="M33" s="177"/>
      <c r="N33" s="177"/>
      <c r="O33" s="177"/>
      <c r="P33" s="177"/>
      <c r="Q33" s="177"/>
      <c r="R33" s="177"/>
      <c r="S33" s="177"/>
      <c r="T33" s="109" t="str">
        <f>IFERROR(VLOOKUP($B33,'Lookup Tables For Tool'!$D:$F,3,FALSE),"Enter Use Site")</f>
        <v>Enter Use Site</v>
      </c>
      <c r="U33" s="109" t="str">
        <f>IFERROR(VLOOKUP($B33,'Lookup Tables For Tool'!$D:$F,2,FALSE),"Enter Use Site")</f>
        <v>Enter Use Site</v>
      </c>
      <c r="V33" s="290"/>
    </row>
    <row r="34" spans="1:22" x14ac:dyDescent="0.55000000000000004">
      <c r="A34" s="175">
        <f t="shared" si="0"/>
        <v>31</v>
      </c>
      <c r="B34" s="176"/>
      <c r="C34" s="176"/>
      <c r="D34" s="176"/>
      <c r="E34" s="176"/>
      <c r="F34" s="176"/>
      <c r="G34" s="176"/>
      <c r="H34" s="289"/>
      <c r="I34" s="176"/>
      <c r="J34" s="176"/>
      <c r="K34" s="176"/>
      <c r="L34" s="176"/>
      <c r="M34" s="177"/>
      <c r="N34" s="177"/>
      <c r="O34" s="177"/>
      <c r="P34" s="177"/>
      <c r="Q34" s="177"/>
      <c r="R34" s="177"/>
      <c r="S34" s="177"/>
      <c r="T34" s="109" t="str">
        <f>IFERROR(VLOOKUP($B34,'Lookup Tables For Tool'!$D:$F,3,FALSE),"Enter Use Site")</f>
        <v>Enter Use Site</v>
      </c>
      <c r="U34" s="109" t="str">
        <f>IFERROR(VLOOKUP($B34,'Lookup Tables For Tool'!$D:$F,2,FALSE),"Enter Use Site")</f>
        <v>Enter Use Site</v>
      </c>
      <c r="V34" s="290"/>
    </row>
    <row r="35" spans="1:22" x14ac:dyDescent="0.55000000000000004">
      <c r="A35" s="175">
        <f t="shared" si="0"/>
        <v>32</v>
      </c>
      <c r="B35" s="176"/>
      <c r="C35" s="176"/>
      <c r="D35" s="176"/>
      <c r="E35" s="176"/>
      <c r="F35" s="176"/>
      <c r="G35" s="176"/>
      <c r="H35" s="289"/>
      <c r="I35" s="176"/>
      <c r="J35" s="176"/>
      <c r="K35" s="176"/>
      <c r="L35" s="176"/>
      <c r="M35" s="177"/>
      <c r="N35" s="177"/>
      <c r="O35" s="177"/>
      <c r="P35" s="177"/>
      <c r="Q35" s="177"/>
      <c r="R35" s="177"/>
      <c r="S35" s="177"/>
      <c r="T35" s="109" t="str">
        <f>IFERROR(VLOOKUP($B35,'Lookup Tables For Tool'!$D:$F,3,FALSE),"Enter Use Site")</f>
        <v>Enter Use Site</v>
      </c>
      <c r="U35" s="109" t="str">
        <f>IFERROR(VLOOKUP($B35,'Lookup Tables For Tool'!$D:$F,2,FALSE),"Enter Use Site")</f>
        <v>Enter Use Site</v>
      </c>
      <c r="V35" s="290"/>
    </row>
    <row r="36" spans="1:22" x14ac:dyDescent="0.55000000000000004">
      <c r="A36" s="175">
        <f t="shared" si="0"/>
        <v>33</v>
      </c>
      <c r="B36" s="176"/>
      <c r="C36" s="176"/>
      <c r="D36" s="176"/>
      <c r="E36" s="176"/>
      <c r="F36" s="176"/>
      <c r="G36" s="176"/>
      <c r="H36" s="289"/>
      <c r="I36" s="176"/>
      <c r="J36" s="176"/>
      <c r="K36" s="176"/>
      <c r="L36" s="176"/>
      <c r="M36" s="177"/>
      <c r="N36" s="177"/>
      <c r="O36" s="177"/>
      <c r="P36" s="177"/>
      <c r="Q36" s="177"/>
      <c r="R36" s="177"/>
      <c r="S36" s="177"/>
      <c r="T36" s="109" t="str">
        <f>IFERROR(VLOOKUP($B36,'Lookup Tables For Tool'!$D:$F,3,FALSE),"Enter Use Site")</f>
        <v>Enter Use Site</v>
      </c>
      <c r="U36" s="109" t="str">
        <f>IFERROR(VLOOKUP($B36,'Lookup Tables For Tool'!$D:$F,2,FALSE),"Enter Use Site")</f>
        <v>Enter Use Site</v>
      </c>
      <c r="V36" s="290"/>
    </row>
    <row r="37" spans="1:22" x14ac:dyDescent="0.55000000000000004">
      <c r="A37" s="175">
        <f t="shared" si="0"/>
        <v>34</v>
      </c>
      <c r="B37" s="176"/>
      <c r="C37" s="176"/>
      <c r="D37" s="176"/>
      <c r="E37" s="176"/>
      <c r="F37" s="176"/>
      <c r="G37" s="176"/>
      <c r="H37" s="289"/>
      <c r="I37" s="176"/>
      <c r="J37" s="176"/>
      <c r="K37" s="176"/>
      <c r="L37" s="176"/>
      <c r="M37" s="177"/>
      <c r="N37" s="177"/>
      <c r="O37" s="177"/>
      <c r="P37" s="177"/>
      <c r="Q37" s="177"/>
      <c r="R37" s="177"/>
      <c r="S37" s="177"/>
      <c r="T37" s="109" t="str">
        <f>IFERROR(VLOOKUP($B37,'Lookup Tables For Tool'!$D:$F,3,FALSE),"Enter Use Site")</f>
        <v>Enter Use Site</v>
      </c>
      <c r="U37" s="109" t="str">
        <f>IFERROR(VLOOKUP($B37,'Lookup Tables For Tool'!$D:$F,2,FALSE),"Enter Use Site")</f>
        <v>Enter Use Site</v>
      </c>
      <c r="V37" s="290"/>
    </row>
    <row r="38" spans="1:22" x14ac:dyDescent="0.55000000000000004">
      <c r="A38" s="175">
        <f>A37+1</f>
        <v>35</v>
      </c>
      <c r="B38" s="176"/>
      <c r="C38" s="176"/>
      <c r="D38" s="176"/>
      <c r="E38" s="176"/>
      <c r="F38" s="176"/>
      <c r="G38" s="176"/>
      <c r="H38" s="289"/>
      <c r="I38" s="176"/>
      <c r="J38" s="176"/>
      <c r="K38" s="176"/>
      <c r="L38" s="176"/>
      <c r="M38" s="177"/>
      <c r="N38" s="177"/>
      <c r="O38" s="177"/>
      <c r="P38" s="177"/>
      <c r="Q38" s="177"/>
      <c r="R38" s="177"/>
      <c r="S38" s="177"/>
      <c r="T38" s="109" t="str">
        <f>IFERROR(VLOOKUP($B38,'Lookup Tables For Tool'!$D:$F,3,FALSE),"Enter Use Site")</f>
        <v>Enter Use Site</v>
      </c>
      <c r="U38" s="109" t="str">
        <f>IFERROR(VLOOKUP($B38,'Lookup Tables For Tool'!$D:$F,2,FALSE),"Enter Use Site")</f>
        <v>Enter Use Site</v>
      </c>
      <c r="V38" s="290"/>
    </row>
    <row r="39" spans="1:22" x14ac:dyDescent="0.55000000000000004">
      <c r="A39" s="175">
        <f t="shared" si="0"/>
        <v>36</v>
      </c>
      <c r="B39" s="176"/>
      <c r="C39" s="176"/>
      <c r="D39" s="176"/>
      <c r="E39" s="176"/>
      <c r="F39" s="176"/>
      <c r="G39" s="176"/>
      <c r="H39" s="289"/>
      <c r="I39" s="176"/>
      <c r="J39" s="176"/>
      <c r="K39" s="176"/>
      <c r="L39" s="176"/>
      <c r="M39" s="177"/>
      <c r="N39" s="177"/>
      <c r="O39" s="177"/>
      <c r="P39" s="177"/>
      <c r="Q39" s="177"/>
      <c r="R39" s="177"/>
      <c r="S39" s="177"/>
      <c r="T39" s="109" t="str">
        <f>IFERROR(VLOOKUP($B39,'Lookup Tables For Tool'!$D:$F,3,FALSE),"Enter Use Site")</f>
        <v>Enter Use Site</v>
      </c>
      <c r="U39" s="109" t="str">
        <f>IFERROR(VLOOKUP($B39,'Lookup Tables For Tool'!$D:$F,2,FALSE),"Enter Use Site")</f>
        <v>Enter Use Site</v>
      </c>
      <c r="V39" s="290"/>
    </row>
    <row r="40" spans="1:22" x14ac:dyDescent="0.55000000000000004">
      <c r="A40" s="175">
        <f t="shared" si="0"/>
        <v>37</v>
      </c>
      <c r="B40" s="176"/>
      <c r="C40" s="176"/>
      <c r="D40" s="176"/>
      <c r="E40" s="176"/>
      <c r="F40" s="176"/>
      <c r="G40" s="176"/>
      <c r="H40" s="289"/>
      <c r="I40" s="176"/>
      <c r="J40" s="176"/>
      <c r="K40" s="176"/>
      <c r="L40" s="176"/>
      <c r="M40" s="177"/>
      <c r="N40" s="177"/>
      <c r="O40" s="177"/>
      <c r="P40" s="177"/>
      <c r="Q40" s="177"/>
      <c r="R40" s="177"/>
      <c r="S40" s="177"/>
      <c r="T40" s="109" t="str">
        <f>IFERROR(VLOOKUP($B40,'Lookup Tables For Tool'!$D:$F,3,FALSE),"Enter Use Site")</f>
        <v>Enter Use Site</v>
      </c>
      <c r="U40" s="109" t="str">
        <f>IFERROR(VLOOKUP($B40,'Lookup Tables For Tool'!$D:$F,2,FALSE),"Enter Use Site")</f>
        <v>Enter Use Site</v>
      </c>
      <c r="V40" s="290"/>
    </row>
    <row r="41" spans="1:22" x14ac:dyDescent="0.55000000000000004">
      <c r="A41" s="175">
        <f t="shared" si="0"/>
        <v>38</v>
      </c>
      <c r="B41" s="176"/>
      <c r="C41" s="176"/>
      <c r="D41" s="176"/>
      <c r="E41" s="176"/>
      <c r="F41" s="176"/>
      <c r="G41" s="176"/>
      <c r="H41" s="289"/>
      <c r="I41" s="176"/>
      <c r="J41" s="176"/>
      <c r="K41" s="176"/>
      <c r="L41" s="176"/>
      <c r="M41" s="177"/>
      <c r="N41" s="177"/>
      <c r="O41" s="177"/>
      <c r="P41" s="177"/>
      <c r="Q41" s="177"/>
      <c r="R41" s="177"/>
      <c r="S41" s="177"/>
      <c r="T41" s="109" t="str">
        <f>IFERROR(VLOOKUP($B41,'Lookup Tables For Tool'!$D:$F,3,FALSE),"Enter Use Site")</f>
        <v>Enter Use Site</v>
      </c>
      <c r="U41" s="109" t="str">
        <f>IFERROR(VLOOKUP($B41,'Lookup Tables For Tool'!$D:$F,2,FALSE),"Enter Use Site")</f>
        <v>Enter Use Site</v>
      </c>
      <c r="V41" s="290"/>
    </row>
    <row r="42" spans="1:22" x14ac:dyDescent="0.55000000000000004">
      <c r="A42" s="175">
        <f t="shared" si="0"/>
        <v>39</v>
      </c>
      <c r="B42" s="176"/>
      <c r="C42" s="176"/>
      <c r="D42" s="176"/>
      <c r="E42" s="176"/>
      <c r="F42" s="176"/>
      <c r="G42" s="176"/>
      <c r="H42" s="289"/>
      <c r="I42" s="176"/>
      <c r="J42" s="176"/>
      <c r="K42" s="176"/>
      <c r="L42" s="176"/>
      <c r="M42" s="177"/>
      <c r="N42" s="177"/>
      <c r="O42" s="177"/>
      <c r="P42" s="177"/>
      <c r="Q42" s="177"/>
      <c r="R42" s="177"/>
      <c r="S42" s="177"/>
      <c r="T42" s="109" t="str">
        <f>IFERROR(VLOOKUP($B42,'Lookup Tables For Tool'!$D:$F,3,FALSE),"Enter Use Site")</f>
        <v>Enter Use Site</v>
      </c>
      <c r="U42" s="109" t="str">
        <f>IFERROR(VLOOKUP($B42,'Lookup Tables For Tool'!$D:$F,2,FALSE),"Enter Use Site")</f>
        <v>Enter Use Site</v>
      </c>
      <c r="V42" s="290"/>
    </row>
    <row r="43" spans="1:22" x14ac:dyDescent="0.55000000000000004">
      <c r="A43" s="175">
        <f t="shared" si="0"/>
        <v>40</v>
      </c>
      <c r="B43" s="176"/>
      <c r="C43" s="176"/>
      <c r="D43" s="176"/>
      <c r="E43" s="176"/>
      <c r="F43" s="176"/>
      <c r="G43" s="176"/>
      <c r="H43" s="289"/>
      <c r="I43" s="176"/>
      <c r="J43" s="176"/>
      <c r="K43" s="176"/>
      <c r="L43" s="176"/>
      <c r="M43" s="177"/>
      <c r="N43" s="177"/>
      <c r="O43" s="177"/>
      <c r="P43" s="177"/>
      <c r="Q43" s="177"/>
      <c r="R43" s="177"/>
      <c r="S43" s="177"/>
      <c r="T43" s="109" t="str">
        <f>IFERROR(VLOOKUP($B43,'Lookup Tables For Tool'!$D:$F,3,FALSE),"Enter Use Site")</f>
        <v>Enter Use Site</v>
      </c>
      <c r="U43" s="109" t="str">
        <f>IFERROR(VLOOKUP($B43,'Lookup Tables For Tool'!$D:$F,2,FALSE),"Enter Use Site")</f>
        <v>Enter Use Site</v>
      </c>
      <c r="V43" s="290"/>
    </row>
    <row r="44" spans="1:22" x14ac:dyDescent="0.55000000000000004">
      <c r="A44" s="175">
        <f t="shared" si="0"/>
        <v>41</v>
      </c>
      <c r="B44" s="176"/>
      <c r="C44" s="176"/>
      <c r="D44" s="176"/>
      <c r="E44" s="176"/>
      <c r="F44" s="176"/>
      <c r="G44" s="176"/>
      <c r="H44" s="289"/>
      <c r="I44" s="176"/>
      <c r="J44" s="176"/>
      <c r="K44" s="176"/>
      <c r="L44" s="176"/>
      <c r="M44" s="177"/>
      <c r="N44" s="177"/>
      <c r="O44" s="177"/>
      <c r="P44" s="177"/>
      <c r="Q44" s="177"/>
      <c r="R44" s="177"/>
      <c r="S44" s="177"/>
      <c r="T44" s="109" t="str">
        <f>IFERROR(VLOOKUP($B44,'Lookup Tables For Tool'!$D:$F,3,FALSE),"Enter Use Site")</f>
        <v>Enter Use Site</v>
      </c>
      <c r="U44" s="109" t="str">
        <f>IFERROR(VLOOKUP($B44,'Lookup Tables For Tool'!$D:$F,2,FALSE),"Enter Use Site")</f>
        <v>Enter Use Site</v>
      </c>
      <c r="V44" s="290"/>
    </row>
    <row r="45" spans="1:22" x14ac:dyDescent="0.55000000000000004">
      <c r="A45" s="175">
        <f t="shared" si="0"/>
        <v>42</v>
      </c>
      <c r="B45" s="176"/>
      <c r="C45" s="176"/>
      <c r="D45" s="176"/>
      <c r="E45" s="176"/>
      <c r="F45" s="176"/>
      <c r="G45" s="176"/>
      <c r="H45" s="289"/>
      <c r="I45" s="176"/>
      <c r="J45" s="176"/>
      <c r="K45" s="176"/>
      <c r="L45" s="176"/>
      <c r="M45" s="177"/>
      <c r="N45" s="177"/>
      <c r="O45" s="177"/>
      <c r="P45" s="177"/>
      <c r="Q45" s="177"/>
      <c r="R45" s="177"/>
      <c r="S45" s="177"/>
      <c r="T45" s="109" t="str">
        <f>IFERROR(VLOOKUP($B45,'Lookup Tables For Tool'!$D:$F,3,FALSE),"Enter Use Site")</f>
        <v>Enter Use Site</v>
      </c>
      <c r="U45" s="109" t="str">
        <f>IFERROR(VLOOKUP($B45,'Lookup Tables For Tool'!$D:$F,2,FALSE),"Enter Use Site")</f>
        <v>Enter Use Site</v>
      </c>
      <c r="V45" s="290"/>
    </row>
    <row r="46" spans="1:22" x14ac:dyDescent="0.55000000000000004">
      <c r="A46" s="175">
        <f t="shared" si="0"/>
        <v>43</v>
      </c>
      <c r="B46" s="176"/>
      <c r="C46" s="176"/>
      <c r="D46" s="176"/>
      <c r="E46" s="176"/>
      <c r="F46" s="176"/>
      <c r="G46" s="176"/>
      <c r="H46" s="289"/>
      <c r="I46" s="176"/>
      <c r="J46" s="176"/>
      <c r="K46" s="176"/>
      <c r="L46" s="176"/>
      <c r="M46" s="177"/>
      <c r="N46" s="177"/>
      <c r="O46" s="177"/>
      <c r="P46" s="177"/>
      <c r="Q46" s="177"/>
      <c r="R46" s="177"/>
      <c r="S46" s="177"/>
      <c r="T46" s="109" t="str">
        <f>IFERROR(VLOOKUP($B46,'Lookup Tables For Tool'!$D:$F,3,FALSE),"Enter Use Site")</f>
        <v>Enter Use Site</v>
      </c>
      <c r="U46" s="109" t="str">
        <f>IFERROR(VLOOKUP($B46,'Lookup Tables For Tool'!$D:$F,2,FALSE),"Enter Use Site")</f>
        <v>Enter Use Site</v>
      </c>
      <c r="V46" s="290"/>
    </row>
    <row r="47" spans="1:22" x14ac:dyDescent="0.55000000000000004">
      <c r="A47" s="175">
        <f t="shared" si="0"/>
        <v>44</v>
      </c>
      <c r="B47" s="176"/>
      <c r="C47" s="176"/>
      <c r="D47" s="176"/>
      <c r="E47" s="176"/>
      <c r="F47" s="176"/>
      <c r="G47" s="176"/>
      <c r="H47" s="289"/>
      <c r="I47" s="176"/>
      <c r="J47" s="176"/>
      <c r="K47" s="176"/>
      <c r="L47" s="176"/>
      <c r="M47" s="177"/>
      <c r="N47" s="177"/>
      <c r="O47" s="177"/>
      <c r="P47" s="177"/>
      <c r="Q47" s="177"/>
      <c r="R47" s="177"/>
      <c r="S47" s="177"/>
      <c r="T47" s="109" t="str">
        <f>IFERROR(VLOOKUP($B47,'Lookup Tables For Tool'!$D:$F,3,FALSE),"Enter Use Site")</f>
        <v>Enter Use Site</v>
      </c>
      <c r="U47" s="109" t="str">
        <f>IFERROR(VLOOKUP($B47,'Lookup Tables For Tool'!$D:$F,2,FALSE),"Enter Use Site")</f>
        <v>Enter Use Site</v>
      </c>
      <c r="V47" s="290"/>
    </row>
    <row r="48" spans="1:22" x14ac:dyDescent="0.55000000000000004">
      <c r="A48" s="175">
        <f t="shared" si="0"/>
        <v>45</v>
      </c>
      <c r="B48" s="176"/>
      <c r="C48" s="176"/>
      <c r="D48" s="176"/>
      <c r="E48" s="176"/>
      <c r="F48" s="176"/>
      <c r="G48" s="176"/>
      <c r="H48" s="289"/>
      <c r="I48" s="176"/>
      <c r="J48" s="176"/>
      <c r="K48" s="176"/>
      <c r="L48" s="176"/>
      <c r="M48" s="177"/>
      <c r="N48" s="177"/>
      <c r="O48" s="177"/>
      <c r="P48" s="177"/>
      <c r="Q48" s="177"/>
      <c r="R48" s="177"/>
      <c r="S48" s="177"/>
      <c r="T48" s="109" t="str">
        <f>IFERROR(VLOOKUP($B48,'Lookup Tables For Tool'!$D:$F,3,FALSE),"Enter Use Site")</f>
        <v>Enter Use Site</v>
      </c>
      <c r="U48" s="109" t="str">
        <f>IFERROR(VLOOKUP($B48,'Lookup Tables For Tool'!$D:$F,2,FALSE),"Enter Use Site")</f>
        <v>Enter Use Site</v>
      </c>
      <c r="V48" s="290"/>
    </row>
    <row r="49" spans="1:22" x14ac:dyDescent="0.55000000000000004">
      <c r="A49" s="175">
        <f t="shared" si="0"/>
        <v>46</v>
      </c>
      <c r="B49" s="176"/>
      <c r="C49" s="176"/>
      <c r="D49" s="176"/>
      <c r="E49" s="176"/>
      <c r="F49" s="176"/>
      <c r="G49" s="176"/>
      <c r="H49" s="289"/>
      <c r="I49" s="176"/>
      <c r="J49" s="176"/>
      <c r="K49" s="176"/>
      <c r="L49" s="176"/>
      <c r="M49" s="177"/>
      <c r="N49" s="177"/>
      <c r="O49" s="177"/>
      <c r="P49" s="177"/>
      <c r="Q49" s="177"/>
      <c r="R49" s="177"/>
      <c r="S49" s="177"/>
      <c r="T49" s="109" t="str">
        <f>IFERROR(VLOOKUP($B49,'Lookup Tables For Tool'!$D:$F,3,FALSE),"Enter Use Site")</f>
        <v>Enter Use Site</v>
      </c>
      <c r="U49" s="109" t="str">
        <f>IFERROR(VLOOKUP($B49,'Lookup Tables For Tool'!$D:$F,2,FALSE),"Enter Use Site")</f>
        <v>Enter Use Site</v>
      </c>
      <c r="V49" s="290"/>
    </row>
    <row r="50" spans="1:22" x14ac:dyDescent="0.55000000000000004">
      <c r="A50" s="175">
        <f t="shared" si="0"/>
        <v>47</v>
      </c>
      <c r="B50" s="176"/>
      <c r="C50" s="176"/>
      <c r="D50" s="176"/>
      <c r="E50" s="176"/>
      <c r="F50" s="176"/>
      <c r="G50" s="176"/>
      <c r="H50" s="289"/>
      <c r="I50" s="176"/>
      <c r="J50" s="176"/>
      <c r="K50" s="176"/>
      <c r="L50" s="176"/>
      <c r="M50" s="177"/>
      <c r="N50" s="177"/>
      <c r="O50" s="177"/>
      <c r="P50" s="177"/>
      <c r="Q50" s="177"/>
      <c r="R50" s="177"/>
      <c r="S50" s="177"/>
      <c r="T50" s="109" t="str">
        <f>IFERROR(VLOOKUP($B50,'Lookup Tables For Tool'!$D:$F,3,FALSE),"Enter Use Site")</f>
        <v>Enter Use Site</v>
      </c>
      <c r="U50" s="109" t="str">
        <f>IFERROR(VLOOKUP($B50,'Lookup Tables For Tool'!$D:$F,2,FALSE),"Enter Use Site")</f>
        <v>Enter Use Site</v>
      </c>
      <c r="V50" s="290"/>
    </row>
    <row r="51" spans="1:22" x14ac:dyDescent="0.55000000000000004">
      <c r="A51" s="175">
        <f t="shared" si="0"/>
        <v>48</v>
      </c>
      <c r="B51" s="176"/>
      <c r="C51" s="176"/>
      <c r="D51" s="176"/>
      <c r="E51" s="176"/>
      <c r="F51" s="176"/>
      <c r="G51" s="176"/>
      <c r="H51" s="289"/>
      <c r="I51" s="176"/>
      <c r="J51" s="176"/>
      <c r="K51" s="176"/>
      <c r="L51" s="176"/>
      <c r="M51" s="177"/>
      <c r="N51" s="177"/>
      <c r="O51" s="177"/>
      <c r="P51" s="177"/>
      <c r="Q51" s="177"/>
      <c r="R51" s="177"/>
      <c r="S51" s="177"/>
      <c r="T51" s="109" t="str">
        <f>IFERROR(VLOOKUP($B51,'Lookup Tables For Tool'!$D:$F,3,FALSE),"Enter Use Site")</f>
        <v>Enter Use Site</v>
      </c>
      <c r="U51" s="109" t="str">
        <f>IFERROR(VLOOKUP($B51,'Lookup Tables For Tool'!$D:$F,2,FALSE),"Enter Use Site")</f>
        <v>Enter Use Site</v>
      </c>
      <c r="V51" s="290"/>
    </row>
    <row r="52" spans="1:22" x14ac:dyDescent="0.55000000000000004">
      <c r="A52" s="175">
        <f t="shared" si="0"/>
        <v>49</v>
      </c>
      <c r="B52" s="176"/>
      <c r="C52" s="176"/>
      <c r="D52" s="176"/>
      <c r="E52" s="176"/>
      <c r="F52" s="176"/>
      <c r="G52" s="176"/>
      <c r="H52" s="289"/>
      <c r="I52" s="176"/>
      <c r="J52" s="176"/>
      <c r="K52" s="176"/>
      <c r="L52" s="176"/>
      <c r="M52" s="177"/>
      <c r="N52" s="177"/>
      <c r="O52" s="177"/>
      <c r="P52" s="177"/>
      <c r="Q52" s="177"/>
      <c r="R52" s="177"/>
      <c r="S52" s="177"/>
      <c r="T52" s="109" t="str">
        <f>IFERROR(VLOOKUP($B52,'Lookup Tables For Tool'!$D:$F,3,FALSE),"Enter Use Site")</f>
        <v>Enter Use Site</v>
      </c>
      <c r="U52" s="109" t="str">
        <f>IFERROR(VLOOKUP($B52,'Lookup Tables For Tool'!$D:$F,2,FALSE),"Enter Use Site")</f>
        <v>Enter Use Site</v>
      </c>
      <c r="V52" s="290"/>
    </row>
    <row r="53" spans="1:22" x14ac:dyDescent="0.55000000000000004">
      <c r="A53" s="175">
        <f>A52+1</f>
        <v>50</v>
      </c>
      <c r="B53" s="176"/>
      <c r="C53" s="176"/>
      <c r="D53" s="176"/>
      <c r="E53" s="176"/>
      <c r="F53" s="176"/>
      <c r="G53" s="176"/>
      <c r="H53" s="289"/>
      <c r="I53" s="176"/>
      <c r="J53" s="176"/>
      <c r="K53" s="176"/>
      <c r="L53" s="176"/>
      <c r="M53" s="177"/>
      <c r="N53" s="177"/>
      <c r="O53" s="177"/>
      <c r="P53" s="177"/>
      <c r="Q53" s="177"/>
      <c r="R53" s="177"/>
      <c r="S53" s="177"/>
      <c r="T53" s="109" t="str">
        <f>IFERROR(VLOOKUP($B53,'Lookup Tables For Tool'!$D:$F,3,FALSE),"Enter Use Site")</f>
        <v>Enter Use Site</v>
      </c>
      <c r="U53" s="109" t="str">
        <f>IFERROR(VLOOKUP($B53,'Lookup Tables For Tool'!$D:$F,2,FALSE),"Enter Use Site")</f>
        <v>Enter Use Site</v>
      </c>
      <c r="V53" s="290"/>
    </row>
    <row r="54" spans="1:22" x14ac:dyDescent="0.55000000000000004">
      <c r="A54" s="175">
        <f>A53+1</f>
        <v>51</v>
      </c>
      <c r="B54" s="176"/>
      <c r="C54" s="176"/>
      <c r="D54" s="176"/>
      <c r="E54" s="176"/>
      <c r="F54" s="176"/>
      <c r="G54" s="176"/>
      <c r="H54" s="289"/>
      <c r="I54" s="176"/>
      <c r="J54" s="176"/>
      <c r="K54" s="176"/>
      <c r="L54" s="176"/>
      <c r="M54" s="177"/>
      <c r="N54" s="177"/>
      <c r="O54" s="177"/>
      <c r="P54" s="177"/>
      <c r="Q54" s="177"/>
      <c r="R54" s="177"/>
      <c r="S54" s="177"/>
      <c r="T54" s="109" t="str">
        <f>IFERROR(VLOOKUP($B54,'Lookup Tables For Tool'!$D:$F,3,FALSE),"Enter Use Site")</f>
        <v>Enter Use Site</v>
      </c>
      <c r="U54" s="109" t="str">
        <f>IFERROR(VLOOKUP($B54,'Lookup Tables For Tool'!$D:$F,2,FALSE),"Enter Use Site")</f>
        <v>Enter Use Site</v>
      </c>
      <c r="V54" s="290"/>
    </row>
    <row r="55" spans="1:22" x14ac:dyDescent="0.55000000000000004">
      <c r="B55" s="5" t="s">
        <v>3631</v>
      </c>
    </row>
    <row r="56" spans="1:22" x14ac:dyDescent="0.55000000000000004">
      <c r="B56" s="5" t="s">
        <v>3632</v>
      </c>
    </row>
  </sheetData>
  <sheetProtection insertRows="0"/>
  <mergeCells count="1">
    <mergeCell ref="M2:N2"/>
  </mergeCell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4A5AF57F-D398-42D8-9186-44F12EDAD87C}">
          <x14:formula1>
            <xm:f>'Lookup Tables For Tool'!$M$2:$M$5</xm:f>
          </x14:formula1>
          <xm:sqref>I4:I54</xm:sqref>
        </x14:dataValidation>
        <x14:dataValidation type="list" allowBlank="1" showInputMessage="1" showErrorMessage="1" xr:uid="{C4A002A7-DDD2-448E-B382-6E68A7EB51A8}">
          <x14:formula1>
            <xm:f>'Lookup Tables For Tool'!$M$10</xm:f>
          </x14:formula1>
          <xm:sqref>K4:K54</xm:sqref>
        </x14:dataValidation>
        <x14:dataValidation type="list" allowBlank="1" showInputMessage="1" showErrorMessage="1" xr:uid="{C003DFC6-EB73-464A-B84E-B60ECD8C9B09}">
          <x14:formula1>
            <xm:f>'Lookup Tables For Tool'!$H$2:$H$8</xm:f>
          </x14:formula1>
          <xm:sqref>H4:H54</xm:sqref>
        </x14:dataValidation>
        <x14:dataValidation type="list" allowBlank="1" showInputMessage="1" showErrorMessage="1" xr:uid="{C50AFF9C-68B1-41E2-8D15-7603CC2D5941}">
          <x14:formula1>
            <xm:f>'Lookup Tables For Tool'!$K$2:$K$8</xm:f>
          </x14:formula1>
          <xm:sqref>G4:G54</xm:sqref>
        </x14:dataValidation>
        <x14:dataValidation type="list" allowBlank="1" showInputMessage="1" showErrorMessage="1" xr:uid="{ADCC8B64-F47E-4B99-943A-7A1229F6F8CD}">
          <x14:formula1>
            <xm:f>'Lookup Tables For Tool'!$M$6:$M$9</xm:f>
          </x14:formula1>
          <xm:sqref>J4:J54</xm:sqref>
        </x14:dataValidation>
        <x14:dataValidation type="list" allowBlank="1" showInputMessage="1" showErrorMessage="1" xr:uid="{6DDCA45A-6AD9-446F-B6A6-9963E722CF11}">
          <x14:formula1>
            <xm:f>'Lookup Tables For Tool'!$J$2:$J$8</xm:f>
          </x14:formula1>
          <xm:sqref>M4:M54</xm:sqref>
        </x14:dataValidation>
        <x14:dataValidation type="list" allowBlank="1" showInputMessage="1" showErrorMessage="1" xr:uid="{661C56DD-649A-4E8E-813D-E5F06982D36C}">
          <x14:formula1>
            <xm:f>'Lookup Tables For Tool'!$P$2:$P$5</xm:f>
          </x14:formula1>
          <xm:sqref>P4:P54</xm:sqref>
        </x14:dataValidation>
        <x14:dataValidation type="list" allowBlank="1" showInputMessage="1" showErrorMessage="1" xr:uid="{B82162B8-84F7-4C5F-B8D0-2578DC33C1D9}">
          <x14:formula1>
            <xm:f>'Lookup Tables For Tool'!$D$8:$D$7000</xm:f>
          </x14:formula1>
          <xm:sqref>B4:B54</xm:sqref>
        </x14:dataValidation>
        <x14:dataValidation type="list" allowBlank="1" showInputMessage="1" showErrorMessage="1" xr:uid="{94535C83-1A79-43B4-B6AA-6B0DBF192939}">
          <x14:formula1>
            <xm:f>'Lookup Tables For Tool'!$S$2:$S$4</xm:f>
          </x14:formula1>
          <xm:sqref>S4:S54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17A68-7E34-4DFC-AC4D-17B6E6EF95EA}">
  <sheetPr codeName="Sheet18">
    <tabColor theme="1"/>
  </sheetPr>
  <dimension ref="A1:H27"/>
  <sheetViews>
    <sheetView zoomScale="115" zoomScaleNormal="115" workbookViewId="0">
      <selection activeCell="C10" sqref="C10"/>
    </sheetView>
  </sheetViews>
  <sheetFormatPr defaultRowHeight="14.4" x14ac:dyDescent="0.55000000000000004"/>
  <cols>
    <col min="1" max="1" width="45.83984375" bestFit="1" customWidth="1"/>
    <col min="2" max="2" width="23.41796875" bestFit="1" customWidth="1"/>
    <col min="3" max="3" width="60.41796875" customWidth="1"/>
    <col min="4" max="4" width="28.578125" customWidth="1"/>
  </cols>
  <sheetData>
    <row r="1" spans="1:5" x14ac:dyDescent="0.55000000000000004">
      <c r="A1" s="131" t="s">
        <v>269</v>
      </c>
      <c r="B1" s="537" t="s">
        <v>3634</v>
      </c>
      <c r="C1" s="538"/>
    </row>
    <row r="2" spans="1:5" s="123" customFormat="1" ht="29.1" thickBot="1" x14ac:dyDescent="0.6">
      <c r="A2" s="171" t="s">
        <v>270</v>
      </c>
      <c r="B2" s="8" t="s">
        <v>3833</v>
      </c>
      <c r="C2" s="172" t="s">
        <v>3834</v>
      </c>
      <c r="D2" s="139" t="s">
        <v>271</v>
      </c>
    </row>
    <row r="3" spans="1:5" x14ac:dyDescent="0.55000000000000004">
      <c r="A3" s="130" t="s">
        <v>272</v>
      </c>
      <c r="B3" s="291"/>
      <c r="C3" s="292">
        <v>0.52</v>
      </c>
      <c r="D3" s="167">
        <f>IF(B3="",C3/B24,B3)</f>
        <v>13</v>
      </c>
      <c r="E3" s="167"/>
    </row>
    <row r="4" spans="1:5" x14ac:dyDescent="0.55000000000000004">
      <c r="A4" s="13" t="s">
        <v>273</v>
      </c>
      <c r="B4" s="291">
        <v>45</v>
      </c>
      <c r="D4" s="167"/>
      <c r="E4" s="167"/>
    </row>
    <row r="5" spans="1:5" x14ac:dyDescent="0.55000000000000004">
      <c r="A5" s="13" t="s">
        <v>274</v>
      </c>
      <c r="B5" s="291">
        <v>25</v>
      </c>
      <c r="D5" s="167"/>
      <c r="E5" s="167"/>
    </row>
    <row r="6" spans="1:5" x14ac:dyDescent="0.55000000000000004">
      <c r="A6" s="13" t="s">
        <v>275</v>
      </c>
      <c r="B6" s="291">
        <v>321</v>
      </c>
      <c r="C6" s="1" t="s">
        <v>3247</v>
      </c>
      <c r="D6" s="167"/>
      <c r="E6" s="167"/>
    </row>
    <row r="7" spans="1:5" x14ac:dyDescent="0.55000000000000004">
      <c r="A7" s="13" t="s">
        <v>276</v>
      </c>
      <c r="B7" s="291">
        <v>25</v>
      </c>
      <c r="D7" s="167"/>
      <c r="E7" s="167"/>
    </row>
    <row r="8" spans="1:5" x14ac:dyDescent="0.55000000000000004">
      <c r="A8" s="13" t="s">
        <v>277</v>
      </c>
      <c r="B8" s="291">
        <v>12.98</v>
      </c>
      <c r="C8" s="1" t="s">
        <v>3247</v>
      </c>
      <c r="D8" s="167"/>
      <c r="E8" s="167"/>
    </row>
    <row r="9" spans="1:5" x14ac:dyDescent="0.55000000000000004">
      <c r="A9" s="13" t="s">
        <v>278</v>
      </c>
      <c r="B9" s="291">
        <v>40</v>
      </c>
      <c r="D9" s="167"/>
      <c r="E9" s="167"/>
    </row>
    <row r="10" spans="1:5" x14ac:dyDescent="0.55000000000000004">
      <c r="A10" s="13" t="s">
        <v>279</v>
      </c>
      <c r="B10" s="293">
        <v>50000</v>
      </c>
      <c r="C10" s="1" t="s">
        <v>3247</v>
      </c>
      <c r="D10" s="167"/>
      <c r="E10" s="167"/>
    </row>
    <row r="11" spans="1:5" x14ac:dyDescent="0.55000000000000004">
      <c r="A11" s="13" t="s">
        <v>280</v>
      </c>
      <c r="B11" s="291">
        <v>6.92</v>
      </c>
      <c r="C11" s="1" t="s">
        <v>3247</v>
      </c>
    </row>
    <row r="12" spans="1:5" x14ac:dyDescent="0.55000000000000004">
      <c r="A12" s="13" t="s">
        <v>281</v>
      </c>
      <c r="B12" s="291">
        <v>25</v>
      </c>
    </row>
    <row r="13" spans="1:5" x14ac:dyDescent="0.55000000000000004">
      <c r="A13" s="13" t="s">
        <v>282</v>
      </c>
      <c r="B13" s="293">
        <v>50000</v>
      </c>
      <c r="C13" s="1" t="s">
        <v>3247</v>
      </c>
    </row>
    <row r="14" spans="1:5" ht="16.2" x14ac:dyDescent="0.55000000000000004">
      <c r="A14" s="13" t="s">
        <v>283</v>
      </c>
      <c r="B14" s="291">
        <v>0.5</v>
      </c>
    </row>
    <row r="15" spans="1:5" x14ac:dyDescent="0.55000000000000004">
      <c r="A15" s="13" t="s">
        <v>284</v>
      </c>
      <c r="B15" s="291">
        <v>221.04</v>
      </c>
    </row>
    <row r="16" spans="1:5" x14ac:dyDescent="0.55000000000000004">
      <c r="A16" s="13" t="s">
        <v>285</v>
      </c>
      <c r="B16" s="294">
        <v>1.4000000000000001E-7</v>
      </c>
    </row>
    <row r="17" spans="1:8" x14ac:dyDescent="0.55000000000000004">
      <c r="A17" s="13" t="s">
        <v>286</v>
      </c>
      <c r="B17" s="291">
        <v>569</v>
      </c>
    </row>
    <row r="18" spans="1:8" x14ac:dyDescent="0.55000000000000004">
      <c r="A18" s="137" t="s">
        <v>287</v>
      </c>
      <c r="B18" s="295">
        <v>2.9199999999999998E-9</v>
      </c>
      <c r="C18" s="1"/>
    </row>
    <row r="19" spans="1:8" ht="16.2" x14ac:dyDescent="0.55000000000000004">
      <c r="A19" s="137" t="s">
        <v>288</v>
      </c>
      <c r="B19" s="294"/>
      <c r="C19" s="1" t="s">
        <v>3633</v>
      </c>
    </row>
    <row r="20" spans="1:8" x14ac:dyDescent="0.55000000000000004">
      <c r="A20" s="1" t="s">
        <v>289</v>
      </c>
      <c r="B20" s="293">
        <v>50000</v>
      </c>
      <c r="C20" s="1" t="s">
        <v>3247</v>
      </c>
    </row>
    <row r="21" spans="1:8" x14ac:dyDescent="0.55000000000000004">
      <c r="A21" s="1"/>
      <c r="B21" s="111"/>
    </row>
    <row r="22" spans="1:8" x14ac:dyDescent="0.55000000000000004">
      <c r="A22" s="13" t="s">
        <v>290</v>
      </c>
      <c r="B22" s="291">
        <v>2.14</v>
      </c>
      <c r="D22" s="3"/>
      <c r="E22" s="3"/>
      <c r="F22" s="3"/>
      <c r="G22" s="3"/>
      <c r="H22" s="3"/>
    </row>
    <row r="23" spans="1:8" x14ac:dyDescent="0.55000000000000004">
      <c r="A23" s="168" t="s">
        <v>291</v>
      </c>
      <c r="B23" s="297">
        <f>0.37+0.04*D3</f>
        <v>0.89</v>
      </c>
      <c r="C23" s="1"/>
    </row>
    <row r="24" spans="1:8" x14ac:dyDescent="0.55000000000000004">
      <c r="A24" s="168" t="s">
        <v>3635</v>
      </c>
      <c r="B24" s="2">
        <v>0.04</v>
      </c>
    </row>
    <row r="26" spans="1:8" ht="28.8" x14ac:dyDescent="0.55000000000000004">
      <c r="A26" s="173" t="s">
        <v>292</v>
      </c>
      <c r="B26" s="291">
        <v>10</v>
      </c>
    </row>
    <row r="27" spans="1:8" x14ac:dyDescent="0.55000000000000004">
      <c r="A27" s="296" t="s">
        <v>3624</v>
      </c>
      <c r="B27" s="291">
        <v>1.1499999999999999</v>
      </c>
      <c r="C27" s="1" t="s">
        <v>3250</v>
      </c>
    </row>
  </sheetData>
  <sheetProtection algorithmName="SHA-512" hashValue="WuP9SRto1mlDLKA43D3xxkkw0CQUf0JN6Cs9D8WOZrJ1cfm1rXSSYbUT2hHMgBey88aQuorWqfUPhDDrdPboeQ==" saltValue="fjflcKgK+UthbdB02XWEeQ==" spinCount="100000" sheet="1" objects="1" scenarios="1"/>
  <mergeCells count="1">
    <mergeCell ref="B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5F3E-1C91-4CDD-BCEE-BBAF45EB8674}">
  <sheetPr>
    <tabColor theme="1"/>
  </sheetPr>
  <dimension ref="A1:E51"/>
  <sheetViews>
    <sheetView topLeftCell="B1" workbookViewId="0">
      <selection activeCell="B4" sqref="B4"/>
    </sheetView>
  </sheetViews>
  <sheetFormatPr defaultRowHeight="14.4" x14ac:dyDescent="0.55000000000000004"/>
  <cols>
    <col min="1" max="1" width="31.15625" customWidth="1"/>
    <col min="2" max="2" width="21.83984375" customWidth="1"/>
    <col min="3" max="3" width="20" customWidth="1"/>
    <col min="4" max="4" width="23.41796875" customWidth="1"/>
    <col min="5" max="5" width="19.15625" customWidth="1"/>
  </cols>
  <sheetData>
    <row r="1" spans="1:5" s="164" customFormat="1" x14ac:dyDescent="0.55000000000000004">
      <c r="A1" s="164" t="s">
        <v>293</v>
      </c>
    </row>
    <row r="3" spans="1:5" s="7" customFormat="1" ht="28.8" x14ac:dyDescent="0.55000000000000004">
      <c r="A3" s="165" t="s">
        <v>294</v>
      </c>
      <c r="B3" s="166" t="s">
        <v>295</v>
      </c>
      <c r="C3" s="166" t="s">
        <v>296</v>
      </c>
      <c r="D3" s="166" t="s">
        <v>297</v>
      </c>
      <c r="E3" s="166" t="s">
        <v>298</v>
      </c>
    </row>
    <row r="4" spans="1:5" x14ac:dyDescent="0.55000000000000004">
      <c r="A4" s="2" t="str">
        <f>'USE SUMMARY TABLE'!B4</f>
        <v>Corn</v>
      </c>
      <c r="B4" s="2"/>
      <c r="C4" s="2"/>
      <c r="D4" s="2"/>
      <c r="E4" s="2"/>
    </row>
    <row r="5" spans="1:5" x14ac:dyDescent="0.55000000000000004">
      <c r="A5" s="2" t="str">
        <f>'USE SUMMARY TABLE'!B5</f>
        <v>Soybean (Glycine max)</v>
      </c>
      <c r="B5" s="2"/>
      <c r="C5" s="2"/>
      <c r="D5" s="2"/>
      <c r="E5" s="2"/>
    </row>
    <row r="6" spans="1:5" x14ac:dyDescent="0.55000000000000004">
      <c r="A6" s="2" t="str">
        <f>'USE SUMMARY TABLE'!B6</f>
        <v>Almond</v>
      </c>
      <c r="B6" s="2"/>
      <c r="C6" s="2"/>
      <c r="D6" s="2"/>
      <c r="E6" s="2"/>
    </row>
    <row r="7" spans="1:5" x14ac:dyDescent="0.55000000000000004">
      <c r="A7" s="2" t="str">
        <f>'USE SUMMARY TABLE'!B7</f>
        <v>Citrus hybrids, Citrus spp. Eremocitrus spp., Fortunella spp., Microcitrus spp., and Poncirus spp</v>
      </c>
      <c r="B7" s="2"/>
      <c r="C7" s="2"/>
      <c r="D7" s="2"/>
      <c r="E7" s="2"/>
    </row>
    <row r="8" spans="1:5" x14ac:dyDescent="0.55000000000000004">
      <c r="A8" s="2" t="str">
        <f>'USE SUMMARY TABLE'!B10</f>
        <v>Garlic, Bulb</v>
      </c>
      <c r="B8" s="2"/>
      <c r="C8" s="2"/>
      <c r="D8" s="2"/>
      <c r="E8" s="2"/>
    </row>
    <row r="9" spans="1:5" x14ac:dyDescent="0.55000000000000004">
      <c r="A9" s="2" t="str">
        <f>'USE SUMMARY TABLE'!B11</f>
        <v>Wheat, Triticum spp</v>
      </c>
      <c r="B9" s="2"/>
      <c r="C9" s="2"/>
      <c r="D9" s="2"/>
      <c r="E9" s="2"/>
    </row>
    <row r="10" spans="1:5" x14ac:dyDescent="0.55000000000000004">
      <c r="A10" s="2" t="str">
        <f>'USE SUMMARY TABLE'!B13</f>
        <v>Apple</v>
      </c>
      <c r="B10" s="2"/>
      <c r="C10" s="2"/>
      <c r="D10" s="2"/>
      <c r="E10" s="2"/>
    </row>
    <row r="11" spans="1:5" x14ac:dyDescent="0.55000000000000004">
      <c r="A11" s="2" t="str">
        <f>'USE SUMMARY TABLE'!B14</f>
        <v>Grass, Pasture</v>
      </c>
      <c r="B11" s="2"/>
      <c r="C11" s="2"/>
      <c r="D11" s="2"/>
      <c r="E11" s="2"/>
    </row>
    <row r="12" spans="1:5" x14ac:dyDescent="0.55000000000000004">
      <c r="A12" s="2" t="str">
        <f>'USE SUMMARY TABLE'!B15</f>
        <v>AQUATICS: Water/Fluids/Waste Materials and Systems (Not intended for direct human consumption or food contact)</v>
      </c>
      <c r="B12" s="2"/>
      <c r="C12" s="2"/>
      <c r="D12" s="2"/>
      <c r="E12" s="2"/>
    </row>
    <row r="13" spans="1:5" x14ac:dyDescent="0.55000000000000004">
      <c r="A13" s="2">
        <f>'USE SUMMARY TABLE'!B16</f>
        <v>0</v>
      </c>
      <c r="B13" s="2"/>
      <c r="C13" s="2"/>
      <c r="D13" s="2"/>
      <c r="E13" s="2"/>
    </row>
    <row r="14" spans="1:5" x14ac:dyDescent="0.55000000000000004">
      <c r="A14" s="2">
        <f>'USE SUMMARY TABLE'!B17</f>
        <v>0</v>
      </c>
      <c r="B14" s="2"/>
      <c r="C14" s="2"/>
      <c r="D14" s="2"/>
      <c r="E14" s="2"/>
    </row>
    <row r="15" spans="1:5" x14ac:dyDescent="0.55000000000000004">
      <c r="A15" s="2">
        <f>'USE SUMMARY TABLE'!B18</f>
        <v>0</v>
      </c>
      <c r="B15" s="2"/>
      <c r="C15" s="2"/>
      <c r="D15" s="2"/>
      <c r="E15" s="2"/>
    </row>
    <row r="16" spans="1:5" x14ac:dyDescent="0.55000000000000004">
      <c r="A16" s="2">
        <f>'USE SUMMARY TABLE'!B19</f>
        <v>0</v>
      </c>
      <c r="B16" s="2"/>
      <c r="C16" s="2"/>
      <c r="D16" s="2"/>
      <c r="E16" s="2"/>
    </row>
    <row r="17" spans="1:5" x14ac:dyDescent="0.55000000000000004">
      <c r="A17" s="2">
        <f>'USE SUMMARY TABLE'!B20</f>
        <v>0</v>
      </c>
      <c r="B17" s="2"/>
      <c r="C17" s="2"/>
      <c r="D17" s="2"/>
      <c r="E17" s="2"/>
    </row>
    <row r="18" spans="1:5" x14ac:dyDescent="0.55000000000000004">
      <c r="A18" s="2">
        <f>'USE SUMMARY TABLE'!B21</f>
        <v>0</v>
      </c>
      <c r="B18" s="2"/>
      <c r="C18" s="2"/>
      <c r="D18" s="2"/>
      <c r="E18" s="2"/>
    </row>
    <row r="19" spans="1:5" x14ac:dyDescent="0.55000000000000004">
      <c r="A19" s="2">
        <f>'USE SUMMARY TABLE'!B22</f>
        <v>0</v>
      </c>
      <c r="B19" s="2"/>
      <c r="C19" s="2"/>
      <c r="D19" s="2"/>
      <c r="E19" s="2"/>
    </row>
    <row r="20" spans="1:5" x14ac:dyDescent="0.55000000000000004">
      <c r="A20" s="2">
        <f>'USE SUMMARY TABLE'!B23</f>
        <v>0</v>
      </c>
      <c r="B20" s="2"/>
      <c r="C20" s="2"/>
      <c r="D20" s="2"/>
      <c r="E20" s="2"/>
    </row>
    <row r="21" spans="1:5" x14ac:dyDescent="0.55000000000000004">
      <c r="A21" s="2">
        <f>'USE SUMMARY TABLE'!B24</f>
        <v>0</v>
      </c>
      <c r="B21" s="2"/>
      <c r="C21" s="2"/>
      <c r="D21" s="2"/>
      <c r="E21" s="2"/>
    </row>
    <row r="22" spans="1:5" x14ac:dyDescent="0.55000000000000004">
      <c r="A22" s="2">
        <f>'USE SUMMARY TABLE'!B25</f>
        <v>0</v>
      </c>
      <c r="B22" s="2"/>
      <c r="C22" s="2"/>
      <c r="D22" s="2"/>
      <c r="E22" s="2"/>
    </row>
    <row r="23" spans="1:5" x14ac:dyDescent="0.55000000000000004">
      <c r="A23" s="2">
        <f>'USE SUMMARY TABLE'!B26</f>
        <v>0</v>
      </c>
      <c r="B23" s="2"/>
      <c r="C23" s="2"/>
      <c r="D23" s="2"/>
      <c r="E23" s="2"/>
    </row>
    <row r="24" spans="1:5" x14ac:dyDescent="0.55000000000000004">
      <c r="A24" s="2">
        <f>'USE SUMMARY TABLE'!B27</f>
        <v>0</v>
      </c>
      <c r="B24" s="2"/>
      <c r="C24" s="2"/>
      <c r="D24" s="2"/>
      <c r="E24" s="2"/>
    </row>
    <row r="25" spans="1:5" x14ac:dyDescent="0.55000000000000004">
      <c r="A25" s="2">
        <f>'USE SUMMARY TABLE'!B28</f>
        <v>0</v>
      </c>
      <c r="B25" s="2"/>
      <c r="C25" s="2"/>
      <c r="D25" s="2"/>
      <c r="E25" s="2"/>
    </row>
    <row r="26" spans="1:5" x14ac:dyDescent="0.55000000000000004">
      <c r="A26" s="2">
        <f>'USE SUMMARY TABLE'!B29</f>
        <v>0</v>
      </c>
      <c r="B26" s="2"/>
      <c r="C26" s="2"/>
      <c r="D26" s="2"/>
      <c r="E26" s="2"/>
    </row>
    <row r="27" spans="1:5" x14ac:dyDescent="0.55000000000000004">
      <c r="A27" s="2">
        <f>'USE SUMMARY TABLE'!B30</f>
        <v>0</v>
      </c>
      <c r="B27" s="2"/>
      <c r="C27" s="2"/>
      <c r="D27" s="2"/>
      <c r="E27" s="2"/>
    </row>
    <row r="28" spans="1:5" x14ac:dyDescent="0.55000000000000004">
      <c r="A28" s="2">
        <f>'USE SUMMARY TABLE'!B31</f>
        <v>0</v>
      </c>
      <c r="B28" s="2"/>
      <c r="C28" s="2"/>
      <c r="D28" s="2"/>
      <c r="E28" s="2"/>
    </row>
    <row r="29" spans="1:5" x14ac:dyDescent="0.55000000000000004">
      <c r="A29" s="2">
        <f>'USE SUMMARY TABLE'!B32</f>
        <v>0</v>
      </c>
      <c r="B29" s="2"/>
      <c r="C29" s="2"/>
      <c r="D29" s="2"/>
      <c r="E29" s="2"/>
    </row>
    <row r="30" spans="1:5" x14ac:dyDescent="0.55000000000000004">
      <c r="A30" s="2">
        <f>'USE SUMMARY TABLE'!B33</f>
        <v>0</v>
      </c>
      <c r="B30" s="2"/>
      <c r="C30" s="2"/>
      <c r="D30" s="2"/>
      <c r="E30" s="2"/>
    </row>
    <row r="31" spans="1:5" x14ac:dyDescent="0.55000000000000004">
      <c r="A31" s="2">
        <f>'USE SUMMARY TABLE'!B34</f>
        <v>0</v>
      </c>
      <c r="B31" s="2"/>
      <c r="C31" s="2"/>
      <c r="D31" s="2"/>
      <c r="E31" s="2"/>
    </row>
    <row r="32" spans="1:5" x14ac:dyDescent="0.55000000000000004">
      <c r="A32" s="2">
        <f>'USE SUMMARY TABLE'!B35</f>
        <v>0</v>
      </c>
      <c r="B32" s="2"/>
      <c r="C32" s="2"/>
      <c r="D32" s="2"/>
      <c r="E32" s="2"/>
    </row>
    <row r="33" spans="1:5" x14ac:dyDescent="0.55000000000000004">
      <c r="A33" s="2">
        <f>'USE SUMMARY TABLE'!B36</f>
        <v>0</v>
      </c>
      <c r="B33" s="2"/>
      <c r="C33" s="2"/>
      <c r="D33" s="2"/>
      <c r="E33" s="2"/>
    </row>
    <row r="34" spans="1:5" x14ac:dyDescent="0.55000000000000004">
      <c r="A34" s="2">
        <f>'USE SUMMARY TABLE'!B37</f>
        <v>0</v>
      </c>
      <c r="B34" s="2"/>
      <c r="C34" s="2"/>
      <c r="D34" s="2"/>
      <c r="E34" s="2"/>
    </row>
    <row r="35" spans="1:5" x14ac:dyDescent="0.55000000000000004">
      <c r="A35" s="2">
        <f>'USE SUMMARY TABLE'!B38</f>
        <v>0</v>
      </c>
      <c r="B35" s="2"/>
      <c r="C35" s="2"/>
      <c r="D35" s="2"/>
      <c r="E35" s="2"/>
    </row>
    <row r="36" spans="1:5" x14ac:dyDescent="0.55000000000000004">
      <c r="A36" s="2">
        <f>'USE SUMMARY TABLE'!B39</f>
        <v>0</v>
      </c>
      <c r="B36" s="2"/>
      <c r="C36" s="2"/>
      <c r="D36" s="2"/>
      <c r="E36" s="2"/>
    </row>
    <row r="37" spans="1:5" x14ac:dyDescent="0.55000000000000004">
      <c r="A37" s="2">
        <f>'USE SUMMARY TABLE'!B40</f>
        <v>0</v>
      </c>
      <c r="B37" s="2"/>
      <c r="C37" s="2"/>
      <c r="D37" s="2"/>
      <c r="E37" s="2"/>
    </row>
    <row r="38" spans="1:5" x14ac:dyDescent="0.55000000000000004">
      <c r="A38" s="2">
        <f>'USE SUMMARY TABLE'!B41</f>
        <v>0</v>
      </c>
      <c r="B38" s="2"/>
      <c r="C38" s="2"/>
      <c r="D38" s="2"/>
      <c r="E38" s="2"/>
    </row>
    <row r="39" spans="1:5" x14ac:dyDescent="0.55000000000000004">
      <c r="A39" s="2">
        <f>'USE SUMMARY TABLE'!B42</f>
        <v>0</v>
      </c>
      <c r="B39" s="2"/>
      <c r="C39" s="2"/>
      <c r="D39" s="2"/>
      <c r="E39" s="2"/>
    </row>
    <row r="40" spans="1:5" x14ac:dyDescent="0.55000000000000004">
      <c r="A40" s="2">
        <f>'USE SUMMARY TABLE'!B43</f>
        <v>0</v>
      </c>
      <c r="B40" s="2"/>
      <c r="C40" s="2"/>
      <c r="D40" s="2"/>
      <c r="E40" s="2"/>
    </row>
    <row r="41" spans="1:5" x14ac:dyDescent="0.55000000000000004">
      <c r="A41" s="2">
        <f>'USE SUMMARY TABLE'!B44</f>
        <v>0</v>
      </c>
      <c r="B41" s="2"/>
      <c r="C41" s="2"/>
      <c r="D41" s="2"/>
      <c r="E41" s="2"/>
    </row>
    <row r="42" spans="1:5" x14ac:dyDescent="0.55000000000000004">
      <c r="A42" s="2">
        <f>'USE SUMMARY TABLE'!B45</f>
        <v>0</v>
      </c>
      <c r="B42" s="2"/>
      <c r="C42" s="2"/>
      <c r="D42" s="2"/>
      <c r="E42" s="2"/>
    </row>
    <row r="43" spans="1:5" x14ac:dyDescent="0.55000000000000004">
      <c r="A43" s="2">
        <f>'USE SUMMARY TABLE'!B46</f>
        <v>0</v>
      </c>
      <c r="B43" s="2"/>
      <c r="C43" s="2"/>
      <c r="D43" s="2"/>
      <c r="E43" s="2"/>
    </row>
    <row r="44" spans="1:5" x14ac:dyDescent="0.55000000000000004">
      <c r="A44" s="2">
        <f>'USE SUMMARY TABLE'!B47</f>
        <v>0</v>
      </c>
      <c r="B44" s="2"/>
      <c r="C44" s="2"/>
      <c r="D44" s="2"/>
      <c r="E44" s="2"/>
    </row>
    <row r="45" spans="1:5" x14ac:dyDescent="0.55000000000000004">
      <c r="A45" s="2">
        <f>'USE SUMMARY TABLE'!B48</f>
        <v>0</v>
      </c>
      <c r="B45" s="2"/>
      <c r="C45" s="2"/>
      <c r="D45" s="2"/>
      <c r="E45" s="2"/>
    </row>
    <row r="46" spans="1:5" x14ac:dyDescent="0.55000000000000004">
      <c r="A46" s="2">
        <f>'USE SUMMARY TABLE'!B49</f>
        <v>0</v>
      </c>
      <c r="B46" s="2"/>
      <c r="C46" s="2"/>
      <c r="D46" s="2"/>
      <c r="E46" s="2"/>
    </row>
    <row r="47" spans="1:5" x14ac:dyDescent="0.55000000000000004">
      <c r="A47" s="2">
        <f>'USE SUMMARY TABLE'!B50</f>
        <v>0</v>
      </c>
      <c r="B47" s="2"/>
      <c r="C47" s="2"/>
      <c r="D47" s="2"/>
      <c r="E47" s="2"/>
    </row>
    <row r="48" spans="1:5" x14ac:dyDescent="0.55000000000000004">
      <c r="A48" s="2">
        <f>'USE SUMMARY TABLE'!B51</f>
        <v>0</v>
      </c>
      <c r="B48" s="2"/>
      <c r="C48" s="2"/>
      <c r="D48" s="2"/>
      <c r="E48" s="2"/>
    </row>
    <row r="49" spans="1:5" x14ac:dyDescent="0.55000000000000004">
      <c r="A49" s="2">
        <f>'USE SUMMARY TABLE'!B52</f>
        <v>0</v>
      </c>
      <c r="B49" s="2"/>
      <c r="C49" s="2"/>
      <c r="D49" s="2"/>
      <c r="E49" s="2"/>
    </row>
    <row r="50" spans="1:5" x14ac:dyDescent="0.55000000000000004">
      <c r="A50" s="2">
        <f>'USE SUMMARY TABLE'!B53</f>
        <v>0</v>
      </c>
      <c r="B50" s="2"/>
      <c r="C50" s="2"/>
      <c r="D50" s="2"/>
      <c r="E50" s="2"/>
    </row>
    <row r="51" spans="1:5" x14ac:dyDescent="0.55000000000000004">
      <c r="A51" s="2" t="str">
        <f>'USE SUMMARY TABLE'!B55</f>
        <v>TO ADD MORE USES: Copy last row and insert it into this row.</v>
      </c>
      <c r="B51" s="2"/>
      <c r="C51" s="2"/>
      <c r="D51" s="2"/>
      <c r="E51" s="2"/>
    </row>
  </sheetData>
  <conditionalFormatting sqref="B3">
    <cfRule type="expression" dxfId="1" priority="1">
      <formula>$C$12="no"</formula>
    </cfRule>
  </conditionalFormatting>
  <conditionalFormatting sqref="C3:E3">
    <cfRule type="expression" dxfId="0" priority="2">
      <formula>$C$12="no"</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092D-5C98-4877-8B8D-8535B7863407}">
  <sheetPr codeName="Sheet3">
    <tabColor rgb="FF00B050"/>
  </sheetPr>
  <dimension ref="A1:S3505"/>
  <sheetViews>
    <sheetView zoomScaleNormal="100" workbookViewId="0">
      <pane ySplit="7" topLeftCell="A3293" activePane="bottomLeft" state="frozen"/>
      <selection activeCell="L6" sqref="L6:L7"/>
      <selection pane="bottomLeft" activeCell="D3415" sqref="D3415"/>
    </sheetView>
  </sheetViews>
  <sheetFormatPr defaultColWidth="8.83984375" defaultRowHeight="12.9" x14ac:dyDescent="0.55000000000000004"/>
  <cols>
    <col min="1" max="1" width="8" style="85" customWidth="1"/>
    <col min="2" max="2" width="12.578125" style="96" customWidth="1"/>
    <col min="3" max="3" width="33.578125" style="90" customWidth="1"/>
    <col min="4" max="4" width="33.578125" style="88" customWidth="1"/>
    <col min="5" max="6" width="33.578125" style="89" customWidth="1"/>
    <col min="7" max="9" width="8.83984375" style="90"/>
    <col min="10" max="10" width="14.83984375" style="90" customWidth="1"/>
    <col min="11" max="16384" width="8.83984375" style="90"/>
  </cols>
  <sheetData>
    <row r="1" spans="1:19" ht="13.9" customHeight="1" x14ac:dyDescent="0.55000000000000004">
      <c r="B1" s="86" t="s">
        <v>299</v>
      </c>
      <c r="C1" s="87" t="s">
        <v>300</v>
      </c>
      <c r="E1" s="88"/>
      <c r="F1" s="88"/>
      <c r="H1" s="89" t="s">
        <v>301</v>
      </c>
      <c r="J1" s="90" t="s">
        <v>302</v>
      </c>
      <c r="K1" s="90" t="s">
        <v>303</v>
      </c>
      <c r="M1" s="90" t="s">
        <v>304</v>
      </c>
      <c r="P1" s="90" t="s">
        <v>305</v>
      </c>
      <c r="S1" s="90" t="s">
        <v>3627</v>
      </c>
    </row>
    <row r="2" spans="1:19" ht="15.75" customHeight="1" x14ac:dyDescent="0.55000000000000004">
      <c r="B2" s="91"/>
      <c r="C2" s="92" t="s">
        <v>306</v>
      </c>
      <c r="E2" s="88"/>
      <c r="F2" s="88"/>
      <c r="H2" s="89" t="s">
        <v>241</v>
      </c>
      <c r="J2" s="90" t="s">
        <v>245</v>
      </c>
      <c r="K2" s="90" t="s">
        <v>248</v>
      </c>
      <c r="M2" t="s">
        <v>307</v>
      </c>
      <c r="P2" s="90" t="s">
        <v>3200</v>
      </c>
      <c r="S2" s="90" t="s">
        <v>3628</v>
      </c>
    </row>
    <row r="3" spans="1:19" ht="15.75" customHeight="1" x14ac:dyDescent="0.55000000000000004">
      <c r="B3" s="91"/>
      <c r="C3" s="93" t="s">
        <v>308</v>
      </c>
      <c r="E3" s="88"/>
      <c r="F3" s="88"/>
      <c r="H3" s="89" t="s">
        <v>251</v>
      </c>
      <c r="J3" s="90" t="s">
        <v>249</v>
      </c>
      <c r="K3" s="90" t="s">
        <v>240</v>
      </c>
      <c r="M3" t="s">
        <v>309</v>
      </c>
      <c r="P3" s="90" t="s">
        <v>3201</v>
      </c>
      <c r="S3" s="90" t="s">
        <v>3629</v>
      </c>
    </row>
    <row r="4" spans="1:19" ht="15" customHeight="1" thickBot="1" x14ac:dyDescent="0.6">
      <c r="B4" s="94"/>
      <c r="C4" s="95" t="s">
        <v>310</v>
      </c>
      <c r="E4" s="88"/>
      <c r="F4" s="88"/>
      <c r="H4" s="89" t="s">
        <v>311</v>
      </c>
      <c r="J4" s="90" t="s">
        <v>312</v>
      </c>
      <c r="K4" s="90" t="s">
        <v>313</v>
      </c>
      <c r="M4" t="s">
        <v>242</v>
      </c>
      <c r="P4" s="90" t="s">
        <v>3202</v>
      </c>
      <c r="S4" s="90" t="s">
        <v>3630</v>
      </c>
    </row>
    <row r="5" spans="1:19" ht="14.7" thickBot="1" x14ac:dyDescent="0.6">
      <c r="B5" s="96">
        <v>2</v>
      </c>
      <c r="C5" s="90">
        <v>2</v>
      </c>
      <c r="H5" s="89" t="s">
        <v>314</v>
      </c>
      <c r="J5" s="90" t="s">
        <v>315</v>
      </c>
      <c r="K5" s="90" t="s">
        <v>316</v>
      </c>
      <c r="M5" t="s">
        <v>317</v>
      </c>
      <c r="P5" s="90" t="s">
        <v>3203</v>
      </c>
    </row>
    <row r="6" spans="1:19" ht="14.5" customHeight="1" x14ac:dyDescent="0.55000000000000004">
      <c r="A6" s="539" t="s">
        <v>318</v>
      </c>
      <c r="B6" s="97" t="s">
        <v>319</v>
      </c>
      <c r="C6" s="98"/>
      <c r="E6" s="99"/>
      <c r="F6" s="233"/>
      <c r="H6" s="90" t="s">
        <v>320</v>
      </c>
      <c r="J6" s="90" t="s">
        <v>321</v>
      </c>
      <c r="K6" s="90" t="s">
        <v>322</v>
      </c>
      <c r="M6" t="s">
        <v>323</v>
      </c>
    </row>
    <row r="7" spans="1:19" s="102" customFormat="1" ht="91.9" customHeight="1" thickBot="1" x14ac:dyDescent="0.6">
      <c r="A7" s="540"/>
      <c r="B7" s="211" t="s">
        <v>884</v>
      </c>
      <c r="C7" s="234"/>
      <c r="D7" s="100" t="s">
        <v>324</v>
      </c>
      <c r="E7" s="88" t="s">
        <v>325</v>
      </c>
      <c r="F7" s="101" t="s">
        <v>326</v>
      </c>
      <c r="H7" s="102" t="s">
        <v>327</v>
      </c>
      <c r="J7" s="102" t="s">
        <v>328</v>
      </c>
      <c r="K7" s="102" t="s">
        <v>329</v>
      </c>
      <c r="M7" t="s">
        <v>330</v>
      </c>
    </row>
    <row r="8" spans="1:19" ht="14.7" thickBot="1" x14ac:dyDescent="0.6">
      <c r="A8" s="103">
        <v>1</v>
      </c>
      <c r="B8" s="212">
        <v>1</v>
      </c>
      <c r="C8" s="224" t="s">
        <v>331</v>
      </c>
      <c r="D8" s="224" t="s">
        <v>331</v>
      </c>
      <c r="E8" s="231" t="s">
        <v>2427</v>
      </c>
      <c r="F8" s="104" t="s">
        <v>2433</v>
      </c>
      <c r="H8" s="90" t="s">
        <v>333</v>
      </c>
      <c r="J8" s="90" t="s">
        <v>260</v>
      </c>
      <c r="K8" s="90" t="s">
        <v>255</v>
      </c>
      <c r="M8" t="s">
        <v>243</v>
      </c>
    </row>
    <row r="9" spans="1:19" ht="14.7" thickBot="1" x14ac:dyDescent="0.6">
      <c r="A9" s="105">
        <v>2</v>
      </c>
      <c r="B9" s="213">
        <v>1</v>
      </c>
      <c r="C9" s="225" t="s">
        <v>2435</v>
      </c>
      <c r="D9" s="225" t="s">
        <v>962</v>
      </c>
      <c r="E9" s="232" t="s">
        <v>2428</v>
      </c>
      <c r="F9" s="104" t="s">
        <v>332</v>
      </c>
      <c r="M9" t="s">
        <v>335</v>
      </c>
    </row>
    <row r="10" spans="1:19" ht="14.7" thickBot="1" x14ac:dyDescent="0.6">
      <c r="A10" s="106">
        <v>3</v>
      </c>
      <c r="B10" s="213">
        <v>1</v>
      </c>
      <c r="C10" s="225" t="s">
        <v>2436</v>
      </c>
      <c r="D10" s="225" t="s">
        <v>963</v>
      </c>
      <c r="E10" s="232" t="s">
        <v>2428</v>
      </c>
      <c r="F10" s="104" t="s">
        <v>332</v>
      </c>
      <c r="M10" t="s">
        <v>244</v>
      </c>
    </row>
    <row r="11" spans="1:19" ht="14.7" thickBot="1" x14ac:dyDescent="0.6">
      <c r="A11" s="105">
        <v>4</v>
      </c>
      <c r="B11" s="213">
        <v>1</v>
      </c>
      <c r="C11" s="225" t="s">
        <v>2437</v>
      </c>
      <c r="D11" s="225" t="s">
        <v>964</v>
      </c>
      <c r="E11" s="232" t="s">
        <v>2428</v>
      </c>
      <c r="F11" s="104" t="s">
        <v>332</v>
      </c>
      <c r="M11"/>
    </row>
    <row r="12" spans="1:19" ht="14.7" thickBot="1" x14ac:dyDescent="0.6">
      <c r="A12" s="106">
        <v>5</v>
      </c>
      <c r="B12" s="213">
        <v>1</v>
      </c>
      <c r="C12" s="225" t="s">
        <v>2438</v>
      </c>
      <c r="D12" s="225" t="s">
        <v>965</v>
      </c>
      <c r="E12" s="232" t="s">
        <v>2428</v>
      </c>
      <c r="F12" s="104" t="s">
        <v>332</v>
      </c>
      <c r="M12"/>
    </row>
    <row r="13" spans="1:19" ht="14.7" thickBot="1" x14ac:dyDescent="0.6">
      <c r="A13" s="106">
        <v>6</v>
      </c>
      <c r="B13" s="213">
        <v>1</v>
      </c>
      <c r="C13" s="225" t="s">
        <v>2439</v>
      </c>
      <c r="D13" s="225" t="s">
        <v>966</v>
      </c>
      <c r="E13" s="232" t="s">
        <v>2428</v>
      </c>
      <c r="F13" s="104" t="s">
        <v>332</v>
      </c>
      <c r="M13"/>
    </row>
    <row r="14" spans="1:19" ht="51.75" customHeight="1" thickBot="1" x14ac:dyDescent="0.6">
      <c r="A14" s="103">
        <v>7</v>
      </c>
      <c r="B14" s="213">
        <v>1</v>
      </c>
      <c r="C14" s="226" t="s">
        <v>336</v>
      </c>
      <c r="D14" s="226" t="s">
        <v>336</v>
      </c>
      <c r="E14" s="232" t="s">
        <v>337</v>
      </c>
      <c r="F14" s="104" t="s">
        <v>338</v>
      </c>
    </row>
    <row r="15" spans="1:19" ht="14.7" thickBot="1" x14ac:dyDescent="0.6">
      <c r="A15" s="105">
        <v>8</v>
      </c>
      <c r="B15" s="213">
        <v>1</v>
      </c>
      <c r="C15" s="225" t="s">
        <v>967</v>
      </c>
      <c r="D15" s="225" t="s">
        <v>967</v>
      </c>
      <c r="E15" s="232" t="s">
        <v>337</v>
      </c>
      <c r="F15" s="104" t="s">
        <v>338</v>
      </c>
      <c r="M15"/>
    </row>
    <row r="16" spans="1:19" ht="14.7" thickBot="1" x14ac:dyDescent="0.6">
      <c r="A16" s="103">
        <v>9</v>
      </c>
      <c r="B16" s="213">
        <v>1</v>
      </c>
      <c r="C16" s="225" t="s">
        <v>2440</v>
      </c>
      <c r="D16" s="225" t="s">
        <v>968</v>
      </c>
      <c r="E16" s="232" t="s">
        <v>2428</v>
      </c>
      <c r="F16" s="104" t="s">
        <v>332</v>
      </c>
      <c r="M16"/>
    </row>
    <row r="17" spans="1:6" ht="26.1" thickBot="1" x14ac:dyDescent="0.6">
      <c r="A17" s="103">
        <v>10</v>
      </c>
      <c r="B17" s="213">
        <v>1</v>
      </c>
      <c r="C17" s="225" t="s">
        <v>2441</v>
      </c>
      <c r="D17" s="225" t="s">
        <v>969</v>
      </c>
      <c r="E17" s="232" t="s">
        <v>2428</v>
      </c>
      <c r="F17" s="104" t="s">
        <v>332</v>
      </c>
    </row>
    <row r="18" spans="1:6" ht="13.2" thickBot="1" x14ac:dyDescent="0.6">
      <c r="A18" s="103">
        <v>11</v>
      </c>
      <c r="B18" s="214">
        <v>1</v>
      </c>
      <c r="C18" s="226" t="s">
        <v>2442</v>
      </c>
      <c r="D18" s="226" t="s">
        <v>970</v>
      </c>
      <c r="E18" s="232" t="s">
        <v>2428</v>
      </c>
      <c r="F18" s="104" t="s">
        <v>332</v>
      </c>
    </row>
    <row r="19" spans="1:6" ht="13.2" thickBot="1" x14ac:dyDescent="0.6">
      <c r="A19" s="105">
        <v>12</v>
      </c>
      <c r="B19" s="213">
        <v>1</v>
      </c>
      <c r="C19" s="225" t="s">
        <v>2443</v>
      </c>
      <c r="D19" s="225" t="s">
        <v>971</v>
      </c>
      <c r="E19" s="232" t="s">
        <v>2428</v>
      </c>
      <c r="F19" s="104" t="s">
        <v>332</v>
      </c>
    </row>
    <row r="20" spans="1:6" ht="26.1" thickBot="1" x14ac:dyDescent="0.6">
      <c r="A20" s="103">
        <v>13</v>
      </c>
      <c r="B20" s="213">
        <v>1</v>
      </c>
      <c r="C20" s="225" t="s">
        <v>2444</v>
      </c>
      <c r="D20" s="225" t="s">
        <v>972</v>
      </c>
      <c r="E20" s="232" t="s">
        <v>2428</v>
      </c>
      <c r="F20" s="104" t="s">
        <v>332</v>
      </c>
    </row>
    <row r="21" spans="1:6" ht="13.2" thickBot="1" x14ac:dyDescent="0.6">
      <c r="A21" s="103">
        <v>14</v>
      </c>
      <c r="B21" s="213">
        <v>1</v>
      </c>
      <c r="C21" s="225" t="s">
        <v>2445</v>
      </c>
      <c r="D21" s="225" t="s">
        <v>973</v>
      </c>
      <c r="E21" s="232" t="s">
        <v>2428</v>
      </c>
      <c r="F21" s="104" t="s">
        <v>332</v>
      </c>
    </row>
    <row r="22" spans="1:6" ht="26.1" thickBot="1" x14ac:dyDescent="0.6">
      <c r="A22" s="103">
        <v>15</v>
      </c>
      <c r="B22" s="213">
        <v>1</v>
      </c>
      <c r="C22" s="225" t="s">
        <v>2446</v>
      </c>
      <c r="D22" s="225" t="s">
        <v>974</v>
      </c>
      <c r="E22" s="232" t="s">
        <v>2428</v>
      </c>
      <c r="F22" s="104" t="s">
        <v>332</v>
      </c>
    </row>
    <row r="23" spans="1:6" ht="13.2" thickBot="1" x14ac:dyDescent="0.6">
      <c r="A23" s="103">
        <v>16</v>
      </c>
      <c r="B23" s="213">
        <v>1</v>
      </c>
      <c r="C23" s="225" t="s">
        <v>2447</v>
      </c>
      <c r="D23" s="225" t="s">
        <v>975</v>
      </c>
      <c r="E23" s="232" t="s">
        <v>2428</v>
      </c>
      <c r="F23" s="104" t="s">
        <v>332</v>
      </c>
    </row>
    <row r="24" spans="1:6" ht="13.2" thickBot="1" x14ac:dyDescent="0.6">
      <c r="A24" s="103">
        <v>17</v>
      </c>
      <c r="B24" s="213">
        <v>1</v>
      </c>
      <c r="C24" s="225" t="s">
        <v>2448</v>
      </c>
      <c r="D24" s="225" t="s">
        <v>976</v>
      </c>
      <c r="E24" s="232" t="s">
        <v>2428</v>
      </c>
      <c r="F24" s="104" t="s">
        <v>332</v>
      </c>
    </row>
    <row r="25" spans="1:6" ht="13.2" thickBot="1" x14ac:dyDescent="0.6">
      <c r="A25" s="105">
        <v>18</v>
      </c>
      <c r="B25" s="213">
        <v>1</v>
      </c>
      <c r="C25" s="225" t="s">
        <v>2449</v>
      </c>
      <c r="D25" s="225" t="s">
        <v>977</v>
      </c>
      <c r="E25" s="232" t="s">
        <v>2428</v>
      </c>
      <c r="F25" s="104" t="s">
        <v>332</v>
      </c>
    </row>
    <row r="26" spans="1:6" ht="13.2" thickBot="1" x14ac:dyDescent="0.6">
      <c r="A26" s="105">
        <v>19</v>
      </c>
      <c r="B26" s="213">
        <v>1</v>
      </c>
      <c r="C26" s="225" t="s">
        <v>2450</v>
      </c>
      <c r="D26" s="225" t="s">
        <v>978</v>
      </c>
      <c r="E26" s="232" t="s">
        <v>2428</v>
      </c>
      <c r="F26" s="104" t="s">
        <v>332</v>
      </c>
    </row>
    <row r="27" spans="1:6" ht="13.2" thickBot="1" x14ac:dyDescent="0.6">
      <c r="A27" s="105">
        <v>20</v>
      </c>
      <c r="B27" s="213">
        <v>1</v>
      </c>
      <c r="C27" s="225" t="s">
        <v>2451</v>
      </c>
      <c r="D27" s="225" t="s">
        <v>979</v>
      </c>
      <c r="E27" s="232" t="s">
        <v>2428</v>
      </c>
      <c r="F27" s="104" t="s">
        <v>332</v>
      </c>
    </row>
    <row r="28" spans="1:6" ht="13.2" thickBot="1" x14ac:dyDescent="0.6">
      <c r="A28" s="106">
        <v>21</v>
      </c>
      <c r="B28" s="213">
        <v>1</v>
      </c>
      <c r="C28" s="225" t="s">
        <v>2452</v>
      </c>
      <c r="D28" s="225" t="s">
        <v>980</v>
      </c>
      <c r="E28" s="232" t="s">
        <v>2428</v>
      </c>
      <c r="F28" s="104" t="s">
        <v>332</v>
      </c>
    </row>
    <row r="29" spans="1:6" ht="13.2" thickBot="1" x14ac:dyDescent="0.6">
      <c r="A29" s="105">
        <v>22</v>
      </c>
      <c r="B29" s="213">
        <v>1</v>
      </c>
      <c r="C29" s="225" t="s">
        <v>2453</v>
      </c>
      <c r="D29" s="225" t="s">
        <v>981</v>
      </c>
      <c r="E29" s="232" t="s">
        <v>2428</v>
      </c>
      <c r="F29" s="104" t="s">
        <v>332</v>
      </c>
    </row>
    <row r="30" spans="1:6" ht="26.1" thickBot="1" x14ac:dyDescent="0.6">
      <c r="A30" s="103">
        <v>23</v>
      </c>
      <c r="B30" s="213">
        <v>1</v>
      </c>
      <c r="C30" s="225" t="s">
        <v>2454</v>
      </c>
      <c r="D30" s="225" t="s">
        <v>982</v>
      </c>
      <c r="E30" s="232" t="s">
        <v>2428</v>
      </c>
      <c r="F30" s="104" t="s">
        <v>332</v>
      </c>
    </row>
    <row r="31" spans="1:6" ht="13.2" thickBot="1" x14ac:dyDescent="0.6">
      <c r="A31" s="105">
        <v>24</v>
      </c>
      <c r="B31" s="213">
        <v>1</v>
      </c>
      <c r="C31" s="225" t="s">
        <v>2455</v>
      </c>
      <c r="D31" s="225" t="s">
        <v>983</v>
      </c>
      <c r="E31" s="232" t="s">
        <v>2428</v>
      </c>
      <c r="F31" s="104" t="s">
        <v>332</v>
      </c>
    </row>
    <row r="32" spans="1:6" ht="13.2" thickBot="1" x14ac:dyDescent="0.6">
      <c r="A32" s="105">
        <v>25</v>
      </c>
      <c r="B32" s="214">
        <v>1</v>
      </c>
      <c r="C32" s="226" t="s">
        <v>2456</v>
      </c>
      <c r="D32" s="226" t="s">
        <v>984</v>
      </c>
      <c r="E32" s="232" t="s">
        <v>2428</v>
      </c>
      <c r="F32" s="104" t="s">
        <v>357</v>
      </c>
    </row>
    <row r="33" spans="1:6" ht="13.2" thickBot="1" x14ac:dyDescent="0.6">
      <c r="A33" s="105">
        <v>26</v>
      </c>
      <c r="B33" s="214">
        <v>1</v>
      </c>
      <c r="C33" s="226" t="s">
        <v>2457</v>
      </c>
      <c r="D33" s="226" t="s">
        <v>985</v>
      </c>
      <c r="E33" s="232" t="s">
        <v>2428</v>
      </c>
      <c r="F33" s="104" t="s">
        <v>332</v>
      </c>
    </row>
    <row r="34" spans="1:6" ht="26.1" thickBot="1" x14ac:dyDescent="0.6">
      <c r="A34" s="105">
        <v>27</v>
      </c>
      <c r="B34" s="214">
        <v>1</v>
      </c>
      <c r="C34" s="226" t="s">
        <v>2458</v>
      </c>
      <c r="D34" s="226" t="s">
        <v>986</v>
      </c>
      <c r="E34" s="232" t="s">
        <v>2428</v>
      </c>
      <c r="F34" s="104" t="s">
        <v>332</v>
      </c>
    </row>
    <row r="35" spans="1:6" ht="26.1" thickBot="1" x14ac:dyDescent="0.6">
      <c r="A35" s="105">
        <v>28</v>
      </c>
      <c r="B35" s="213">
        <v>1</v>
      </c>
      <c r="C35" s="225" t="s">
        <v>2459</v>
      </c>
      <c r="D35" s="225" t="s">
        <v>987</v>
      </c>
      <c r="E35" s="232" t="s">
        <v>2428</v>
      </c>
      <c r="F35" s="104" t="s">
        <v>332</v>
      </c>
    </row>
    <row r="36" spans="1:6" ht="13.2" thickBot="1" x14ac:dyDescent="0.6">
      <c r="A36" s="105">
        <v>29</v>
      </c>
      <c r="B36" s="213">
        <v>1</v>
      </c>
      <c r="C36" s="225" t="s">
        <v>2460</v>
      </c>
      <c r="D36" s="225" t="s">
        <v>988</v>
      </c>
      <c r="E36" s="232" t="s">
        <v>2428</v>
      </c>
      <c r="F36" s="104" t="s">
        <v>332</v>
      </c>
    </row>
    <row r="37" spans="1:6" ht="13.2" thickBot="1" x14ac:dyDescent="0.6">
      <c r="A37" s="105">
        <v>30</v>
      </c>
      <c r="B37" s="213">
        <v>1</v>
      </c>
      <c r="C37" s="225" t="s">
        <v>2461</v>
      </c>
      <c r="D37" s="225" t="s">
        <v>989</v>
      </c>
      <c r="E37" s="232" t="s">
        <v>2428</v>
      </c>
      <c r="F37" s="104" t="s">
        <v>332</v>
      </c>
    </row>
    <row r="38" spans="1:6" ht="13.2" thickBot="1" x14ac:dyDescent="0.6">
      <c r="A38" s="105">
        <v>31</v>
      </c>
      <c r="B38" s="213">
        <v>1</v>
      </c>
      <c r="C38" s="225" t="s">
        <v>2462</v>
      </c>
      <c r="D38" s="225" t="s">
        <v>990</v>
      </c>
      <c r="E38" s="232" t="s">
        <v>2428</v>
      </c>
      <c r="F38" s="104" t="s">
        <v>332</v>
      </c>
    </row>
    <row r="39" spans="1:6" ht="13.2" thickBot="1" x14ac:dyDescent="0.6">
      <c r="A39" s="103">
        <v>32</v>
      </c>
      <c r="B39" s="213">
        <v>1</v>
      </c>
      <c r="C39" s="225" t="s">
        <v>2463</v>
      </c>
      <c r="D39" s="225" t="s">
        <v>991</v>
      </c>
      <c r="E39" s="232" t="s">
        <v>2428</v>
      </c>
      <c r="F39" s="104" t="s">
        <v>332</v>
      </c>
    </row>
    <row r="40" spans="1:6" ht="13.2" thickBot="1" x14ac:dyDescent="0.6">
      <c r="A40" s="103">
        <v>33</v>
      </c>
      <c r="B40" s="213">
        <v>1</v>
      </c>
      <c r="C40" s="225" t="s">
        <v>2464</v>
      </c>
      <c r="D40" s="225" t="s">
        <v>992</v>
      </c>
      <c r="E40" s="232" t="s">
        <v>2428</v>
      </c>
      <c r="F40" s="104" t="s">
        <v>357</v>
      </c>
    </row>
    <row r="41" spans="1:6" ht="13.2" thickBot="1" x14ac:dyDescent="0.6">
      <c r="A41" s="105">
        <v>34</v>
      </c>
      <c r="B41" s="213">
        <v>1</v>
      </c>
      <c r="C41" s="225" t="s">
        <v>2465</v>
      </c>
      <c r="D41" s="225" t="s">
        <v>993</v>
      </c>
      <c r="E41" s="232" t="s">
        <v>2428</v>
      </c>
      <c r="F41" s="104" t="s">
        <v>332</v>
      </c>
    </row>
    <row r="42" spans="1:6" ht="13.2" thickBot="1" x14ac:dyDescent="0.6">
      <c r="A42" s="105">
        <v>35</v>
      </c>
      <c r="B42" s="213">
        <v>1</v>
      </c>
      <c r="C42" s="225" t="s">
        <v>2466</v>
      </c>
      <c r="D42" s="225" t="s">
        <v>994</v>
      </c>
      <c r="E42" s="232" t="s">
        <v>2428</v>
      </c>
      <c r="F42" s="104" t="s">
        <v>332</v>
      </c>
    </row>
    <row r="43" spans="1:6" ht="13.2" thickBot="1" x14ac:dyDescent="0.6">
      <c r="A43" s="105">
        <v>36</v>
      </c>
      <c r="B43" s="213">
        <v>1</v>
      </c>
      <c r="C43" s="225" t="s">
        <v>2467</v>
      </c>
      <c r="D43" s="225" t="s">
        <v>995</v>
      </c>
      <c r="E43" s="232" t="s">
        <v>2428</v>
      </c>
      <c r="F43" s="104" t="s">
        <v>332</v>
      </c>
    </row>
    <row r="44" spans="1:6" ht="26.1" thickBot="1" x14ac:dyDescent="0.6">
      <c r="A44" s="103">
        <v>37</v>
      </c>
      <c r="B44" s="213">
        <v>1</v>
      </c>
      <c r="C44" s="225" t="s">
        <v>2468</v>
      </c>
      <c r="D44" s="225" t="s">
        <v>996</v>
      </c>
      <c r="E44" s="232" t="s">
        <v>2428</v>
      </c>
      <c r="F44" s="104" t="s">
        <v>332</v>
      </c>
    </row>
    <row r="45" spans="1:6" ht="13.2" thickBot="1" x14ac:dyDescent="0.6">
      <c r="A45" s="103">
        <v>38</v>
      </c>
      <c r="B45" s="213">
        <v>1</v>
      </c>
      <c r="C45" s="225" t="s">
        <v>2469</v>
      </c>
      <c r="D45" s="225" t="s">
        <v>997</v>
      </c>
      <c r="E45" s="232" t="s">
        <v>2428</v>
      </c>
      <c r="F45" s="104" t="s">
        <v>332</v>
      </c>
    </row>
    <row r="46" spans="1:6" ht="13.2" thickBot="1" x14ac:dyDescent="0.6">
      <c r="A46" s="103">
        <v>39</v>
      </c>
      <c r="B46" s="215" t="s">
        <v>885</v>
      </c>
      <c r="C46" s="227" t="s">
        <v>334</v>
      </c>
      <c r="D46" s="227" t="s">
        <v>334</v>
      </c>
      <c r="E46" s="232" t="e">
        <v>#N/A</v>
      </c>
      <c r="F46" s="104" t="s">
        <v>2433</v>
      </c>
    </row>
    <row r="47" spans="1:6" ht="49.9" customHeight="1" thickBot="1" x14ac:dyDescent="0.6">
      <c r="A47" s="105">
        <v>40</v>
      </c>
      <c r="B47" s="214" t="s">
        <v>885</v>
      </c>
      <c r="C47" s="225" t="s">
        <v>998</v>
      </c>
      <c r="D47" s="225" t="s">
        <v>998</v>
      </c>
      <c r="E47" s="232" t="s">
        <v>2428</v>
      </c>
      <c r="F47" s="104" t="s">
        <v>332</v>
      </c>
    </row>
    <row r="48" spans="1:6" ht="13.2" thickBot="1" x14ac:dyDescent="0.6">
      <c r="A48" s="106">
        <v>41</v>
      </c>
      <c r="B48" s="214" t="s">
        <v>885</v>
      </c>
      <c r="C48" s="226" t="s">
        <v>336</v>
      </c>
      <c r="D48" s="226" t="s">
        <v>336</v>
      </c>
      <c r="E48" s="232" t="s">
        <v>337</v>
      </c>
      <c r="F48" s="104" t="s">
        <v>338</v>
      </c>
    </row>
    <row r="49" spans="1:6" ht="52.9" customHeight="1" thickBot="1" x14ac:dyDescent="0.6">
      <c r="A49" s="103">
        <v>42</v>
      </c>
      <c r="B49" s="213" t="s">
        <v>885</v>
      </c>
      <c r="C49" s="225" t="s">
        <v>967</v>
      </c>
      <c r="D49" s="225" t="s">
        <v>967</v>
      </c>
      <c r="E49" s="232" t="s">
        <v>337</v>
      </c>
      <c r="F49" s="104" t="s">
        <v>338</v>
      </c>
    </row>
    <row r="50" spans="1:6" ht="13.2" thickBot="1" x14ac:dyDescent="0.6">
      <c r="A50" s="103">
        <v>43</v>
      </c>
      <c r="B50" s="213" t="s">
        <v>885</v>
      </c>
      <c r="C50" s="225" t="s">
        <v>343</v>
      </c>
      <c r="D50" s="225" t="s">
        <v>343</v>
      </c>
      <c r="E50" s="232" t="s">
        <v>2428</v>
      </c>
      <c r="F50" s="104" t="s">
        <v>332</v>
      </c>
    </row>
    <row r="51" spans="1:6" ht="13.2" thickBot="1" x14ac:dyDescent="0.6">
      <c r="A51" s="106">
        <v>44</v>
      </c>
      <c r="B51" s="214" t="s">
        <v>885</v>
      </c>
      <c r="C51" s="226" t="s">
        <v>340</v>
      </c>
      <c r="D51" s="226" t="s">
        <v>340</v>
      </c>
      <c r="E51" s="232" t="s">
        <v>2428</v>
      </c>
      <c r="F51" s="104" t="s">
        <v>332</v>
      </c>
    </row>
    <row r="52" spans="1:6" ht="13.2" thickBot="1" x14ac:dyDescent="0.6">
      <c r="A52" s="105">
        <v>45</v>
      </c>
      <c r="B52" s="213" t="s">
        <v>885</v>
      </c>
      <c r="C52" s="225" t="s">
        <v>344</v>
      </c>
      <c r="D52" s="225" t="s">
        <v>344</v>
      </c>
      <c r="E52" s="232" t="s">
        <v>2428</v>
      </c>
      <c r="F52" s="104" t="s">
        <v>332</v>
      </c>
    </row>
    <row r="53" spans="1:6" ht="13.2" thickBot="1" x14ac:dyDescent="0.6">
      <c r="A53" s="105">
        <v>46</v>
      </c>
      <c r="B53" s="213" t="s">
        <v>885</v>
      </c>
      <c r="C53" s="225" t="s">
        <v>999</v>
      </c>
      <c r="D53" s="225" t="s">
        <v>999</v>
      </c>
      <c r="E53" s="232" t="s">
        <v>2428</v>
      </c>
      <c r="F53" s="104" t="s">
        <v>332</v>
      </c>
    </row>
    <row r="54" spans="1:6" ht="13.2" thickBot="1" x14ac:dyDescent="0.6">
      <c r="A54" s="103">
        <v>47</v>
      </c>
      <c r="B54" s="213" t="s">
        <v>885</v>
      </c>
      <c r="C54" s="225" t="s">
        <v>346</v>
      </c>
      <c r="D54" s="225" t="s">
        <v>346</v>
      </c>
      <c r="E54" s="232" t="s">
        <v>2428</v>
      </c>
      <c r="F54" s="104" t="s">
        <v>332</v>
      </c>
    </row>
    <row r="55" spans="1:6" ht="13.2" thickBot="1" x14ac:dyDescent="0.6">
      <c r="A55" s="103">
        <v>48</v>
      </c>
      <c r="B55" s="213" t="s">
        <v>885</v>
      </c>
      <c r="C55" s="225" t="s">
        <v>347</v>
      </c>
      <c r="D55" s="225" t="s">
        <v>347</v>
      </c>
      <c r="E55" s="232" t="s">
        <v>2428</v>
      </c>
      <c r="F55" s="104" t="s">
        <v>332</v>
      </c>
    </row>
    <row r="56" spans="1:6" ht="13.2" thickBot="1" x14ac:dyDescent="0.6">
      <c r="A56" s="103">
        <v>49</v>
      </c>
      <c r="B56" s="213" t="s">
        <v>885</v>
      </c>
      <c r="C56" s="225" t="s">
        <v>348</v>
      </c>
      <c r="D56" s="225" t="s">
        <v>348</v>
      </c>
      <c r="E56" s="232" t="s">
        <v>2428</v>
      </c>
      <c r="F56" s="104" t="s">
        <v>332</v>
      </c>
    </row>
    <row r="57" spans="1:6" ht="13.2" thickBot="1" x14ac:dyDescent="0.6">
      <c r="A57" s="103">
        <v>50</v>
      </c>
      <c r="B57" s="213" t="s">
        <v>885</v>
      </c>
      <c r="C57" s="225" t="s">
        <v>1000</v>
      </c>
      <c r="D57" s="225" t="s">
        <v>1000</v>
      </c>
      <c r="E57" s="232" t="s">
        <v>2428</v>
      </c>
      <c r="F57" s="104" t="s">
        <v>332</v>
      </c>
    </row>
    <row r="58" spans="1:6" ht="13.2" thickBot="1" x14ac:dyDescent="0.6">
      <c r="A58" s="103">
        <v>51</v>
      </c>
      <c r="B58" s="213" t="s">
        <v>885</v>
      </c>
      <c r="C58" s="225" t="s">
        <v>350</v>
      </c>
      <c r="D58" s="225" t="s">
        <v>350</v>
      </c>
      <c r="E58" s="232" t="s">
        <v>2428</v>
      </c>
      <c r="F58" s="104" t="s">
        <v>332</v>
      </c>
    </row>
    <row r="59" spans="1:6" ht="13.2" thickBot="1" x14ac:dyDescent="0.6">
      <c r="A59" s="105">
        <v>52</v>
      </c>
      <c r="B59" s="214" t="s">
        <v>885</v>
      </c>
      <c r="C59" s="226" t="s">
        <v>341</v>
      </c>
      <c r="D59" s="226" t="s">
        <v>341</v>
      </c>
      <c r="E59" s="232" t="s">
        <v>2428</v>
      </c>
      <c r="F59" s="104" t="s">
        <v>332</v>
      </c>
    </row>
    <row r="60" spans="1:6" ht="13.2" thickBot="1" x14ac:dyDescent="0.6">
      <c r="A60" s="103">
        <v>53</v>
      </c>
      <c r="B60" s="214" t="s">
        <v>885</v>
      </c>
      <c r="C60" s="225" t="s">
        <v>1001</v>
      </c>
      <c r="D60" s="225" t="s">
        <v>1001</v>
      </c>
      <c r="E60" s="232" t="s">
        <v>2428</v>
      </c>
      <c r="F60" s="104" t="s">
        <v>332</v>
      </c>
    </row>
    <row r="61" spans="1:6" ht="13.2" thickBot="1" x14ac:dyDescent="0.6">
      <c r="A61" s="103">
        <v>54</v>
      </c>
      <c r="B61" s="213" t="s">
        <v>885</v>
      </c>
      <c r="C61" s="225" t="s">
        <v>352</v>
      </c>
      <c r="D61" s="225" t="s">
        <v>352</v>
      </c>
      <c r="E61" s="232" t="s">
        <v>2428</v>
      </c>
      <c r="F61" s="104" t="s">
        <v>332</v>
      </c>
    </row>
    <row r="62" spans="1:6" ht="13.2" thickBot="1" x14ac:dyDescent="0.6">
      <c r="A62" s="105">
        <v>55</v>
      </c>
      <c r="B62" s="213" t="s">
        <v>885</v>
      </c>
      <c r="C62" s="225" t="s">
        <v>353</v>
      </c>
      <c r="D62" s="225" t="s">
        <v>353</v>
      </c>
      <c r="E62" s="232" t="s">
        <v>2428</v>
      </c>
      <c r="F62" s="104" t="s">
        <v>332</v>
      </c>
    </row>
    <row r="63" spans="1:6" ht="13.2" thickBot="1" x14ac:dyDescent="0.6">
      <c r="A63" s="105">
        <v>56</v>
      </c>
      <c r="B63" s="213" t="s">
        <v>885</v>
      </c>
      <c r="C63" s="225" t="s">
        <v>1002</v>
      </c>
      <c r="D63" s="225" t="s">
        <v>1002</v>
      </c>
      <c r="E63" s="232" t="s">
        <v>2428</v>
      </c>
      <c r="F63" s="104" t="s">
        <v>332</v>
      </c>
    </row>
    <row r="64" spans="1:6" ht="13.2" thickBot="1" x14ac:dyDescent="0.6">
      <c r="A64" s="105">
        <v>57</v>
      </c>
      <c r="B64" s="213" t="s">
        <v>885</v>
      </c>
      <c r="C64" s="225" t="s">
        <v>1003</v>
      </c>
      <c r="D64" s="225" t="s">
        <v>1003</v>
      </c>
      <c r="E64" s="232" t="s">
        <v>2428</v>
      </c>
      <c r="F64" s="104" t="s">
        <v>332</v>
      </c>
    </row>
    <row r="65" spans="1:6" ht="13.2" thickBot="1" x14ac:dyDescent="0.6">
      <c r="A65" s="103">
        <v>58</v>
      </c>
      <c r="B65" s="213" t="s">
        <v>885</v>
      </c>
      <c r="C65" s="225" t="s">
        <v>354</v>
      </c>
      <c r="D65" s="225" t="s">
        <v>354</v>
      </c>
      <c r="E65" s="232" t="s">
        <v>2428</v>
      </c>
      <c r="F65" s="104" t="s">
        <v>332</v>
      </c>
    </row>
    <row r="66" spans="1:6" ht="55.9" customHeight="1" thickBot="1" x14ac:dyDescent="0.6">
      <c r="A66" s="105">
        <v>59</v>
      </c>
      <c r="B66" s="213" t="s">
        <v>885</v>
      </c>
      <c r="C66" s="225" t="s">
        <v>373</v>
      </c>
      <c r="D66" s="225" t="s">
        <v>373</v>
      </c>
      <c r="E66" s="232" t="s">
        <v>2428</v>
      </c>
      <c r="F66" s="104" t="s">
        <v>332</v>
      </c>
    </row>
    <row r="67" spans="1:6" ht="26.1" thickBot="1" x14ac:dyDescent="0.6">
      <c r="A67" s="105">
        <v>60</v>
      </c>
      <c r="B67" s="215" t="s">
        <v>886</v>
      </c>
      <c r="C67" s="227" t="s">
        <v>2470</v>
      </c>
      <c r="D67" s="227" t="s">
        <v>339</v>
      </c>
      <c r="E67" s="232" t="e">
        <v>#N/A</v>
      </c>
      <c r="F67" s="104" t="s">
        <v>2433</v>
      </c>
    </row>
    <row r="68" spans="1:6" ht="13.2" thickBot="1" x14ac:dyDescent="0.6">
      <c r="A68" s="106">
        <v>61</v>
      </c>
      <c r="B68" s="214" t="s">
        <v>886</v>
      </c>
      <c r="C68" s="225" t="s">
        <v>342</v>
      </c>
      <c r="D68" s="225" t="s">
        <v>342</v>
      </c>
      <c r="E68" s="232" t="s">
        <v>2428</v>
      </c>
      <c r="F68" s="104" t="s">
        <v>332</v>
      </c>
    </row>
    <row r="69" spans="1:6" ht="13.2" thickBot="1" x14ac:dyDescent="0.6">
      <c r="A69" s="106">
        <v>62</v>
      </c>
      <c r="B69" s="213" t="s">
        <v>886</v>
      </c>
      <c r="C69" s="225" t="s">
        <v>343</v>
      </c>
      <c r="D69" s="225" t="s">
        <v>343</v>
      </c>
      <c r="E69" s="232" t="s">
        <v>2428</v>
      </c>
      <c r="F69" s="104" t="s">
        <v>332</v>
      </c>
    </row>
    <row r="70" spans="1:6" ht="13.2" thickBot="1" x14ac:dyDescent="0.6">
      <c r="A70" s="105">
        <v>63</v>
      </c>
      <c r="B70" s="214" t="s">
        <v>886</v>
      </c>
      <c r="C70" s="226" t="s">
        <v>340</v>
      </c>
      <c r="D70" s="226" t="s">
        <v>340</v>
      </c>
      <c r="E70" s="232" t="s">
        <v>2428</v>
      </c>
      <c r="F70" s="104" t="s">
        <v>332</v>
      </c>
    </row>
    <row r="71" spans="1:6" ht="13.2" thickBot="1" x14ac:dyDescent="0.6">
      <c r="A71" s="105">
        <v>64</v>
      </c>
      <c r="B71" s="213" t="s">
        <v>886</v>
      </c>
      <c r="C71" s="225" t="s">
        <v>344</v>
      </c>
      <c r="D71" s="225" t="s">
        <v>344</v>
      </c>
      <c r="E71" s="232" t="s">
        <v>2428</v>
      </c>
      <c r="F71" s="104" t="s">
        <v>332</v>
      </c>
    </row>
    <row r="72" spans="1:6" ht="13.2" thickBot="1" x14ac:dyDescent="0.6">
      <c r="A72" s="105">
        <v>65</v>
      </c>
      <c r="B72" s="213" t="s">
        <v>886</v>
      </c>
      <c r="C72" s="225" t="s">
        <v>999</v>
      </c>
      <c r="D72" s="225" t="s">
        <v>999</v>
      </c>
      <c r="E72" s="232" t="s">
        <v>2428</v>
      </c>
      <c r="F72" s="104" t="s">
        <v>332</v>
      </c>
    </row>
    <row r="73" spans="1:6" ht="36.75" customHeight="1" thickBot="1" x14ac:dyDescent="0.6">
      <c r="A73" s="103">
        <v>66</v>
      </c>
      <c r="B73" s="213" t="s">
        <v>886</v>
      </c>
      <c r="C73" s="225" t="s">
        <v>346</v>
      </c>
      <c r="D73" s="225" t="s">
        <v>346</v>
      </c>
      <c r="E73" s="232" t="s">
        <v>2428</v>
      </c>
      <c r="F73" s="104" t="s">
        <v>332</v>
      </c>
    </row>
    <row r="74" spans="1:6" ht="13.2" thickBot="1" x14ac:dyDescent="0.6">
      <c r="A74" s="105">
        <v>67</v>
      </c>
      <c r="B74" s="213" t="s">
        <v>886</v>
      </c>
      <c r="C74" s="225" t="s">
        <v>347</v>
      </c>
      <c r="D74" s="225" t="s">
        <v>347</v>
      </c>
      <c r="E74" s="232" t="s">
        <v>2428</v>
      </c>
      <c r="F74" s="104" t="s">
        <v>332</v>
      </c>
    </row>
    <row r="75" spans="1:6" ht="13.2" thickBot="1" x14ac:dyDescent="0.6">
      <c r="A75" s="103">
        <v>68</v>
      </c>
      <c r="B75" s="213" t="s">
        <v>886</v>
      </c>
      <c r="C75" s="225" t="s">
        <v>348</v>
      </c>
      <c r="D75" s="225" t="s">
        <v>348</v>
      </c>
      <c r="E75" s="232" t="s">
        <v>2428</v>
      </c>
      <c r="F75" s="104" t="s">
        <v>332</v>
      </c>
    </row>
    <row r="76" spans="1:6" ht="13.2" thickBot="1" x14ac:dyDescent="0.6">
      <c r="A76" s="105">
        <v>69</v>
      </c>
      <c r="B76" s="213" t="s">
        <v>886</v>
      </c>
      <c r="C76" s="225" t="s">
        <v>349</v>
      </c>
      <c r="D76" s="225" t="s">
        <v>349</v>
      </c>
      <c r="E76" s="232" t="s">
        <v>2428</v>
      </c>
      <c r="F76" s="104" t="s">
        <v>332</v>
      </c>
    </row>
    <row r="77" spans="1:6" ht="13.2" thickBot="1" x14ac:dyDescent="0.6">
      <c r="A77" s="105">
        <v>70</v>
      </c>
      <c r="B77" s="213" t="s">
        <v>886</v>
      </c>
      <c r="C77" s="225" t="s">
        <v>350</v>
      </c>
      <c r="D77" s="225" t="s">
        <v>350</v>
      </c>
      <c r="E77" s="232" t="s">
        <v>2428</v>
      </c>
      <c r="F77" s="104" t="s">
        <v>332</v>
      </c>
    </row>
    <row r="78" spans="1:6" ht="13.2" thickBot="1" x14ac:dyDescent="0.6">
      <c r="A78" s="103">
        <v>71</v>
      </c>
      <c r="B78" s="214" t="s">
        <v>886</v>
      </c>
      <c r="C78" s="226" t="s">
        <v>341</v>
      </c>
      <c r="D78" s="226" t="s">
        <v>341</v>
      </c>
      <c r="E78" s="232" t="s">
        <v>2428</v>
      </c>
      <c r="F78" s="104" t="s">
        <v>332</v>
      </c>
    </row>
    <row r="79" spans="1:6" ht="53.5" customHeight="1" thickBot="1" x14ac:dyDescent="0.6">
      <c r="A79" s="105">
        <v>72</v>
      </c>
      <c r="B79" s="213" t="s">
        <v>886</v>
      </c>
      <c r="C79" s="225" t="s">
        <v>2471</v>
      </c>
      <c r="D79" s="225" t="s">
        <v>351</v>
      </c>
      <c r="E79" s="232" t="s">
        <v>2428</v>
      </c>
      <c r="F79" s="104" t="s">
        <v>332</v>
      </c>
    </row>
    <row r="80" spans="1:6" ht="13.2" thickBot="1" x14ac:dyDescent="0.6">
      <c r="A80" s="106">
        <v>73</v>
      </c>
      <c r="B80" s="213" t="s">
        <v>886</v>
      </c>
      <c r="C80" s="225" t="s">
        <v>352</v>
      </c>
      <c r="D80" s="225" t="s">
        <v>352</v>
      </c>
      <c r="E80" s="232" t="s">
        <v>2428</v>
      </c>
      <c r="F80" s="104" t="s">
        <v>332</v>
      </c>
    </row>
    <row r="81" spans="1:6" ht="13.2" thickBot="1" x14ac:dyDescent="0.6">
      <c r="A81" s="106">
        <v>74</v>
      </c>
      <c r="B81" s="213" t="s">
        <v>886</v>
      </c>
      <c r="C81" s="225" t="s">
        <v>353</v>
      </c>
      <c r="D81" s="225" t="s">
        <v>353</v>
      </c>
      <c r="E81" s="232" t="s">
        <v>2428</v>
      </c>
      <c r="F81" s="104" t="s">
        <v>332</v>
      </c>
    </row>
    <row r="82" spans="1:6" ht="13.2" thickBot="1" x14ac:dyDescent="0.6">
      <c r="A82" s="103">
        <v>75</v>
      </c>
      <c r="B82" s="213" t="s">
        <v>886</v>
      </c>
      <c r="C82" s="225" t="s">
        <v>1002</v>
      </c>
      <c r="D82" s="225" t="s">
        <v>1002</v>
      </c>
      <c r="E82" s="232" t="s">
        <v>2428</v>
      </c>
      <c r="F82" s="104" t="s">
        <v>332</v>
      </c>
    </row>
    <row r="83" spans="1:6" ht="35.5" customHeight="1" thickBot="1" x14ac:dyDescent="0.6">
      <c r="A83" s="103">
        <v>76</v>
      </c>
      <c r="B83" s="213" t="s">
        <v>886</v>
      </c>
      <c r="C83" s="225" t="s">
        <v>1003</v>
      </c>
      <c r="D83" s="225" t="s">
        <v>1003</v>
      </c>
      <c r="E83" s="232" t="s">
        <v>2428</v>
      </c>
      <c r="F83" s="104" t="s">
        <v>332</v>
      </c>
    </row>
    <row r="84" spans="1:6" ht="60.75" customHeight="1" thickBot="1" x14ac:dyDescent="0.6">
      <c r="A84" s="105">
        <v>77</v>
      </c>
      <c r="B84" s="213" t="s">
        <v>886</v>
      </c>
      <c r="C84" s="225" t="s">
        <v>354</v>
      </c>
      <c r="D84" s="225" t="s">
        <v>354</v>
      </c>
      <c r="E84" s="232" t="s">
        <v>2428</v>
      </c>
      <c r="F84" s="104" t="s">
        <v>332</v>
      </c>
    </row>
    <row r="85" spans="1:6" ht="13.2" thickBot="1" x14ac:dyDescent="0.6">
      <c r="A85" s="105">
        <v>78</v>
      </c>
      <c r="B85" s="213" t="s">
        <v>886</v>
      </c>
      <c r="C85" s="225" t="s">
        <v>373</v>
      </c>
      <c r="D85" s="225" t="s">
        <v>373</v>
      </c>
      <c r="E85" s="232" t="s">
        <v>2428</v>
      </c>
      <c r="F85" s="104" t="s">
        <v>332</v>
      </c>
    </row>
    <row r="86" spans="1:6" ht="13.2" thickBot="1" x14ac:dyDescent="0.6">
      <c r="A86" s="106">
        <v>79</v>
      </c>
      <c r="B86" s="215" t="s">
        <v>887</v>
      </c>
      <c r="C86" s="227" t="s">
        <v>355</v>
      </c>
      <c r="D86" s="227" t="s">
        <v>355</v>
      </c>
      <c r="E86" s="232" t="e">
        <v>#N/A</v>
      </c>
      <c r="F86" s="104" t="s">
        <v>2433</v>
      </c>
    </row>
    <row r="87" spans="1:6" ht="13.2" thickBot="1" x14ac:dyDescent="0.6">
      <c r="A87" s="106">
        <v>80</v>
      </c>
      <c r="B87" s="213" t="s">
        <v>887</v>
      </c>
      <c r="C87" s="225" t="s">
        <v>360</v>
      </c>
      <c r="D87" s="225" t="s">
        <v>360</v>
      </c>
      <c r="E87" s="232" t="s">
        <v>2428</v>
      </c>
      <c r="F87" s="104" t="s">
        <v>332</v>
      </c>
    </row>
    <row r="88" spans="1:6" ht="13.2" thickBot="1" x14ac:dyDescent="0.6">
      <c r="A88" s="106">
        <v>81</v>
      </c>
      <c r="B88" s="213" t="s">
        <v>887</v>
      </c>
      <c r="C88" s="225" t="s">
        <v>361</v>
      </c>
      <c r="D88" s="225" t="s">
        <v>361</v>
      </c>
      <c r="E88" s="232" t="s">
        <v>2428</v>
      </c>
      <c r="F88" s="104" t="s">
        <v>332</v>
      </c>
    </row>
    <row r="89" spans="1:6" ht="13.2" thickBot="1" x14ac:dyDescent="0.6">
      <c r="A89" s="106">
        <v>82</v>
      </c>
      <c r="B89" s="213" t="s">
        <v>887</v>
      </c>
      <c r="C89" s="225" t="s">
        <v>362</v>
      </c>
      <c r="D89" s="225" t="s">
        <v>362</v>
      </c>
      <c r="E89" s="232" t="s">
        <v>2428</v>
      </c>
      <c r="F89" s="104" t="s">
        <v>332</v>
      </c>
    </row>
    <row r="90" spans="1:6" ht="13.2" thickBot="1" x14ac:dyDescent="0.6">
      <c r="A90" s="103">
        <v>83</v>
      </c>
      <c r="B90" s="213" t="s">
        <v>887</v>
      </c>
      <c r="C90" s="225" t="s">
        <v>363</v>
      </c>
      <c r="D90" s="225" t="s">
        <v>363</v>
      </c>
      <c r="E90" s="232" t="s">
        <v>2428</v>
      </c>
      <c r="F90" s="104" t="s">
        <v>332</v>
      </c>
    </row>
    <row r="91" spans="1:6" ht="13.2" thickBot="1" x14ac:dyDescent="0.6">
      <c r="A91" s="105">
        <v>84</v>
      </c>
      <c r="B91" s="213" t="s">
        <v>887</v>
      </c>
      <c r="C91" s="225" t="s">
        <v>364</v>
      </c>
      <c r="D91" s="225" t="s">
        <v>364</v>
      </c>
      <c r="E91" s="232" t="s">
        <v>2428</v>
      </c>
      <c r="F91" s="104" t="s">
        <v>332</v>
      </c>
    </row>
    <row r="92" spans="1:6" ht="13.2" thickBot="1" x14ac:dyDescent="0.6">
      <c r="A92" s="105">
        <v>85</v>
      </c>
      <c r="B92" s="213" t="s">
        <v>887</v>
      </c>
      <c r="C92" s="225" t="s">
        <v>1004</v>
      </c>
      <c r="D92" s="225" t="s">
        <v>1004</v>
      </c>
      <c r="E92" s="232" t="s">
        <v>2428</v>
      </c>
      <c r="F92" s="104" t="s">
        <v>332</v>
      </c>
    </row>
    <row r="93" spans="1:6" ht="13.2" thickBot="1" x14ac:dyDescent="0.6">
      <c r="A93" s="105">
        <v>86</v>
      </c>
      <c r="B93" s="213" t="s">
        <v>887</v>
      </c>
      <c r="C93" s="225" t="s">
        <v>2445</v>
      </c>
      <c r="D93" s="225" t="s">
        <v>366</v>
      </c>
      <c r="E93" s="232" t="s">
        <v>2428</v>
      </c>
      <c r="F93" s="104" t="s">
        <v>332</v>
      </c>
    </row>
    <row r="94" spans="1:6" ht="13.2" thickBot="1" x14ac:dyDescent="0.6">
      <c r="A94" s="105">
        <v>87</v>
      </c>
      <c r="B94" s="213" t="s">
        <v>887</v>
      </c>
      <c r="C94" s="225" t="s">
        <v>367</v>
      </c>
      <c r="D94" s="225" t="s">
        <v>367</v>
      </c>
      <c r="E94" s="232" t="s">
        <v>2428</v>
      </c>
      <c r="F94" s="104" t="s">
        <v>332</v>
      </c>
    </row>
    <row r="95" spans="1:6" ht="13.2" thickBot="1" x14ac:dyDescent="0.6">
      <c r="A95" s="105">
        <v>88</v>
      </c>
      <c r="B95" s="213" t="s">
        <v>887</v>
      </c>
      <c r="C95" s="225" t="s">
        <v>1005</v>
      </c>
      <c r="D95" s="225" t="s">
        <v>1005</v>
      </c>
      <c r="E95" s="232" t="s">
        <v>2428</v>
      </c>
      <c r="F95" s="104" t="s">
        <v>332</v>
      </c>
    </row>
    <row r="96" spans="1:6" ht="13.2" thickBot="1" x14ac:dyDescent="0.6">
      <c r="A96" s="103">
        <v>89</v>
      </c>
      <c r="B96" s="213" t="s">
        <v>887</v>
      </c>
      <c r="C96" s="225" t="s">
        <v>369</v>
      </c>
      <c r="D96" s="225" t="s">
        <v>369</v>
      </c>
      <c r="E96" s="232" t="s">
        <v>2428</v>
      </c>
      <c r="F96" s="104" t="s">
        <v>332</v>
      </c>
    </row>
    <row r="97" spans="1:6" ht="13.2" thickBot="1" x14ac:dyDescent="0.6">
      <c r="A97" s="105">
        <v>90</v>
      </c>
      <c r="B97" s="213" t="s">
        <v>887</v>
      </c>
      <c r="C97" s="225" t="s">
        <v>370</v>
      </c>
      <c r="D97" s="225" t="s">
        <v>370</v>
      </c>
      <c r="E97" s="232" t="s">
        <v>2428</v>
      </c>
      <c r="F97" s="104" t="s">
        <v>332</v>
      </c>
    </row>
    <row r="98" spans="1:6" ht="13.2" thickBot="1" x14ac:dyDescent="0.6">
      <c r="A98" s="103">
        <v>91</v>
      </c>
      <c r="B98" s="214" t="s">
        <v>887</v>
      </c>
      <c r="C98" s="226" t="s">
        <v>356</v>
      </c>
      <c r="D98" s="226" t="s">
        <v>356</v>
      </c>
      <c r="E98" s="232" t="s">
        <v>2428</v>
      </c>
      <c r="F98" s="104" t="s">
        <v>357</v>
      </c>
    </row>
    <row r="99" spans="1:6" ht="13.2" thickBot="1" x14ac:dyDescent="0.6">
      <c r="A99" s="103">
        <v>92</v>
      </c>
      <c r="B99" s="213" t="s">
        <v>887</v>
      </c>
      <c r="C99" s="225" t="s">
        <v>359</v>
      </c>
      <c r="D99" s="225" t="s">
        <v>359</v>
      </c>
      <c r="E99" s="232" t="s">
        <v>2428</v>
      </c>
      <c r="F99" s="104" t="s">
        <v>357</v>
      </c>
    </row>
    <row r="100" spans="1:6" ht="13.2" thickBot="1" x14ac:dyDescent="0.6">
      <c r="A100" s="103">
        <v>93</v>
      </c>
      <c r="B100" s="213" t="s">
        <v>887</v>
      </c>
      <c r="C100" s="225" t="s">
        <v>371</v>
      </c>
      <c r="D100" s="225" t="s">
        <v>371</v>
      </c>
      <c r="E100" s="232" t="s">
        <v>2428</v>
      </c>
      <c r="F100" s="104" t="s">
        <v>332</v>
      </c>
    </row>
    <row r="101" spans="1:6" ht="13.2" thickBot="1" x14ac:dyDescent="0.6">
      <c r="A101" s="105">
        <v>94</v>
      </c>
      <c r="B101" s="213" t="s">
        <v>887</v>
      </c>
      <c r="C101" s="225" t="s">
        <v>372</v>
      </c>
      <c r="D101" s="225" t="s">
        <v>372</v>
      </c>
      <c r="E101" s="232" t="s">
        <v>2428</v>
      </c>
      <c r="F101" s="104" t="s">
        <v>332</v>
      </c>
    </row>
    <row r="102" spans="1:6" ht="13.2" thickBot="1" x14ac:dyDescent="0.6">
      <c r="A102" s="103">
        <v>95</v>
      </c>
      <c r="B102" s="213" t="s">
        <v>887</v>
      </c>
      <c r="C102" s="225" t="s">
        <v>374</v>
      </c>
      <c r="D102" s="225" t="s">
        <v>374</v>
      </c>
      <c r="E102" s="232" t="s">
        <v>2428</v>
      </c>
      <c r="F102" s="104" t="s">
        <v>332</v>
      </c>
    </row>
    <row r="103" spans="1:6" ht="13.2" thickBot="1" x14ac:dyDescent="0.6">
      <c r="A103" s="105">
        <v>96</v>
      </c>
      <c r="B103" s="213" t="s">
        <v>887</v>
      </c>
      <c r="C103" s="225" t="s">
        <v>375</v>
      </c>
      <c r="D103" s="225" t="s">
        <v>375</v>
      </c>
      <c r="E103" s="232" t="s">
        <v>2428</v>
      </c>
      <c r="F103" s="104" t="s">
        <v>332</v>
      </c>
    </row>
    <row r="104" spans="1:6" ht="26.1" thickBot="1" x14ac:dyDescent="0.6">
      <c r="A104" s="103">
        <v>97</v>
      </c>
      <c r="B104" s="215" t="s">
        <v>888</v>
      </c>
      <c r="C104" s="227" t="s">
        <v>2472</v>
      </c>
      <c r="D104" s="227" t="s">
        <v>358</v>
      </c>
      <c r="E104" s="232" t="e">
        <v>#N/A</v>
      </c>
      <c r="F104" s="104" t="s">
        <v>2433</v>
      </c>
    </row>
    <row r="105" spans="1:6" ht="13.2" thickBot="1" x14ac:dyDescent="0.6">
      <c r="A105" s="105">
        <v>98</v>
      </c>
      <c r="B105" s="213" t="s">
        <v>888</v>
      </c>
      <c r="C105" s="225" t="s">
        <v>360</v>
      </c>
      <c r="D105" s="225" t="s">
        <v>360</v>
      </c>
      <c r="E105" s="232" t="s">
        <v>2428</v>
      </c>
      <c r="F105" s="104" t="s">
        <v>332</v>
      </c>
    </row>
    <row r="106" spans="1:6" ht="13.2" thickBot="1" x14ac:dyDescent="0.6">
      <c r="A106" s="105">
        <v>99</v>
      </c>
      <c r="B106" s="213" t="s">
        <v>888</v>
      </c>
      <c r="C106" s="225" t="s">
        <v>361</v>
      </c>
      <c r="D106" s="225" t="s">
        <v>361</v>
      </c>
      <c r="E106" s="232" t="s">
        <v>2428</v>
      </c>
      <c r="F106" s="104" t="s">
        <v>332</v>
      </c>
    </row>
    <row r="107" spans="1:6" ht="13.2" thickBot="1" x14ac:dyDescent="0.6">
      <c r="A107" s="105">
        <v>100</v>
      </c>
      <c r="B107" s="213" t="s">
        <v>888</v>
      </c>
      <c r="C107" s="225" t="s">
        <v>362</v>
      </c>
      <c r="D107" s="225" t="s">
        <v>362</v>
      </c>
      <c r="E107" s="232" t="s">
        <v>2428</v>
      </c>
      <c r="F107" s="104" t="s">
        <v>332</v>
      </c>
    </row>
    <row r="108" spans="1:6" ht="60" customHeight="1" thickBot="1" x14ac:dyDescent="0.6">
      <c r="A108" s="105">
        <v>101</v>
      </c>
      <c r="B108" s="213" t="s">
        <v>888</v>
      </c>
      <c r="C108" s="225" t="s">
        <v>363</v>
      </c>
      <c r="D108" s="225" t="s">
        <v>363</v>
      </c>
      <c r="E108" s="232" t="s">
        <v>2428</v>
      </c>
      <c r="F108" s="104" t="s">
        <v>332</v>
      </c>
    </row>
    <row r="109" spans="1:6" ht="13.2" thickBot="1" x14ac:dyDescent="0.6">
      <c r="A109" s="105">
        <v>102</v>
      </c>
      <c r="B109" s="213" t="s">
        <v>888</v>
      </c>
      <c r="C109" s="225" t="s">
        <v>364</v>
      </c>
      <c r="D109" s="225" t="s">
        <v>364</v>
      </c>
      <c r="E109" s="232" t="s">
        <v>2428</v>
      </c>
      <c r="F109" s="104" t="s">
        <v>332</v>
      </c>
    </row>
    <row r="110" spans="1:6" ht="13.2" thickBot="1" x14ac:dyDescent="0.6">
      <c r="A110" s="105">
        <v>103</v>
      </c>
      <c r="B110" s="213" t="s">
        <v>888</v>
      </c>
      <c r="C110" s="225" t="s">
        <v>365</v>
      </c>
      <c r="D110" s="225" t="s">
        <v>365</v>
      </c>
      <c r="E110" s="232" t="s">
        <v>2428</v>
      </c>
      <c r="F110" s="104" t="s">
        <v>332</v>
      </c>
    </row>
    <row r="111" spans="1:6" ht="13.2" thickBot="1" x14ac:dyDescent="0.6">
      <c r="A111" s="105">
        <v>104</v>
      </c>
      <c r="B111" s="213" t="s">
        <v>888</v>
      </c>
      <c r="C111" s="225" t="s">
        <v>2445</v>
      </c>
      <c r="D111" s="225" t="s">
        <v>366</v>
      </c>
      <c r="E111" s="232" t="s">
        <v>2428</v>
      </c>
      <c r="F111" s="104" t="s">
        <v>332</v>
      </c>
    </row>
    <row r="112" spans="1:6" ht="13.2" thickBot="1" x14ac:dyDescent="0.6">
      <c r="A112" s="105">
        <v>105</v>
      </c>
      <c r="B112" s="213" t="s">
        <v>888</v>
      </c>
      <c r="C112" s="225" t="s">
        <v>367</v>
      </c>
      <c r="D112" s="225" t="s">
        <v>367</v>
      </c>
      <c r="E112" s="232" t="s">
        <v>2428</v>
      </c>
      <c r="F112" s="104" t="s">
        <v>332</v>
      </c>
    </row>
    <row r="113" spans="1:6" ht="13.2" thickBot="1" x14ac:dyDescent="0.6">
      <c r="A113" s="105">
        <v>106</v>
      </c>
      <c r="B113" s="213" t="s">
        <v>888</v>
      </c>
      <c r="C113" s="225" t="s">
        <v>2449</v>
      </c>
      <c r="D113" s="225" t="s">
        <v>368</v>
      </c>
      <c r="E113" s="232" t="s">
        <v>2428</v>
      </c>
      <c r="F113" s="104" t="s">
        <v>332</v>
      </c>
    </row>
    <row r="114" spans="1:6" ht="13.2" thickBot="1" x14ac:dyDescent="0.6">
      <c r="A114" s="105">
        <v>107</v>
      </c>
      <c r="B114" s="213" t="s">
        <v>888</v>
      </c>
      <c r="C114" s="225" t="s">
        <v>369</v>
      </c>
      <c r="D114" s="225" t="s">
        <v>369</v>
      </c>
      <c r="E114" s="232" t="s">
        <v>2428</v>
      </c>
      <c r="F114" s="104" t="s">
        <v>332</v>
      </c>
    </row>
    <row r="115" spans="1:6" ht="13.2" thickBot="1" x14ac:dyDescent="0.6">
      <c r="A115" s="103">
        <v>108</v>
      </c>
      <c r="B115" s="213" t="s">
        <v>888</v>
      </c>
      <c r="C115" s="225" t="s">
        <v>370</v>
      </c>
      <c r="D115" s="225" t="s">
        <v>370</v>
      </c>
      <c r="E115" s="232" t="s">
        <v>2428</v>
      </c>
      <c r="F115" s="104" t="s">
        <v>332</v>
      </c>
    </row>
    <row r="116" spans="1:6" ht="13.2" thickBot="1" x14ac:dyDescent="0.6">
      <c r="A116" s="105">
        <v>109</v>
      </c>
      <c r="B116" s="213" t="s">
        <v>888</v>
      </c>
      <c r="C116" s="228" t="s">
        <v>359</v>
      </c>
      <c r="D116" s="228" t="s">
        <v>359</v>
      </c>
      <c r="E116" s="232" t="s">
        <v>2428</v>
      </c>
      <c r="F116" s="104" t="s">
        <v>357</v>
      </c>
    </row>
    <row r="117" spans="1:6" ht="13.2" thickBot="1" x14ac:dyDescent="0.6">
      <c r="A117" s="105">
        <v>110</v>
      </c>
      <c r="B117" s="213" t="s">
        <v>888</v>
      </c>
      <c r="C117" s="225" t="s">
        <v>371</v>
      </c>
      <c r="D117" s="225" t="s">
        <v>371</v>
      </c>
      <c r="E117" s="232" t="s">
        <v>2428</v>
      </c>
      <c r="F117" s="104" t="s">
        <v>332</v>
      </c>
    </row>
    <row r="118" spans="1:6" ht="13.2" thickBot="1" x14ac:dyDescent="0.6">
      <c r="A118" s="105">
        <v>111</v>
      </c>
      <c r="B118" s="213" t="s">
        <v>888</v>
      </c>
      <c r="C118" s="225" t="s">
        <v>372</v>
      </c>
      <c r="D118" s="225" t="s">
        <v>372</v>
      </c>
      <c r="E118" s="232" t="s">
        <v>2428</v>
      </c>
      <c r="F118" s="104" t="s">
        <v>332</v>
      </c>
    </row>
    <row r="119" spans="1:6" ht="13.2" thickBot="1" x14ac:dyDescent="0.6">
      <c r="A119" s="103">
        <v>112</v>
      </c>
      <c r="B119" s="213" t="s">
        <v>888</v>
      </c>
      <c r="C119" s="225" t="s">
        <v>374</v>
      </c>
      <c r="D119" s="225" t="s">
        <v>374</v>
      </c>
      <c r="E119" s="232" t="s">
        <v>2428</v>
      </c>
      <c r="F119" s="104" t="s">
        <v>332</v>
      </c>
    </row>
    <row r="120" spans="1:6" ht="13.2" thickBot="1" x14ac:dyDescent="0.6">
      <c r="A120" s="103">
        <v>113</v>
      </c>
      <c r="B120" s="213" t="s">
        <v>888</v>
      </c>
      <c r="C120" s="225" t="s">
        <v>375</v>
      </c>
      <c r="D120" s="225" t="s">
        <v>375</v>
      </c>
      <c r="E120" s="232" t="s">
        <v>2428</v>
      </c>
      <c r="F120" s="104" t="s">
        <v>332</v>
      </c>
    </row>
    <row r="121" spans="1:6" ht="13.2" thickBot="1" x14ac:dyDescent="0.6">
      <c r="A121" s="105">
        <v>114</v>
      </c>
      <c r="B121" s="212">
        <v>2</v>
      </c>
      <c r="C121" s="224" t="s">
        <v>376</v>
      </c>
      <c r="D121" s="224" t="s">
        <v>376</v>
      </c>
      <c r="E121" s="232" t="e">
        <v>#N/A</v>
      </c>
      <c r="F121" s="104" t="s">
        <v>2433</v>
      </c>
    </row>
    <row r="122" spans="1:6" ht="13.2" thickBot="1" x14ac:dyDescent="0.6">
      <c r="A122" s="105">
        <v>115</v>
      </c>
      <c r="B122" s="214">
        <v>2</v>
      </c>
      <c r="C122" s="226" t="s">
        <v>342</v>
      </c>
      <c r="D122" s="226" t="s">
        <v>342</v>
      </c>
      <c r="E122" s="232" t="s">
        <v>2428</v>
      </c>
      <c r="F122" s="104" t="s">
        <v>332</v>
      </c>
    </row>
    <row r="123" spans="1:6" ht="13.2" thickBot="1" x14ac:dyDescent="0.6">
      <c r="A123" s="103">
        <v>116</v>
      </c>
      <c r="B123" s="214">
        <v>2</v>
      </c>
      <c r="C123" s="226" t="s">
        <v>336</v>
      </c>
      <c r="D123" s="226" t="s">
        <v>336</v>
      </c>
      <c r="E123" s="232" t="s">
        <v>337</v>
      </c>
      <c r="F123" s="104" t="s">
        <v>338</v>
      </c>
    </row>
    <row r="124" spans="1:6" ht="13.2" thickBot="1" x14ac:dyDescent="0.6">
      <c r="A124" s="103">
        <v>117</v>
      </c>
      <c r="B124" s="213">
        <v>2</v>
      </c>
      <c r="C124" s="225" t="s">
        <v>967</v>
      </c>
      <c r="D124" s="225" t="s">
        <v>967</v>
      </c>
      <c r="E124" s="232" t="s">
        <v>337</v>
      </c>
      <c r="F124" s="104" t="s">
        <v>338</v>
      </c>
    </row>
    <row r="125" spans="1:6" ht="13.2" thickBot="1" x14ac:dyDescent="0.6">
      <c r="A125" s="106">
        <v>118</v>
      </c>
      <c r="B125" s="213">
        <v>2</v>
      </c>
      <c r="C125" s="225" t="s">
        <v>343</v>
      </c>
      <c r="D125" s="225" t="s">
        <v>343</v>
      </c>
      <c r="E125" s="232" t="s">
        <v>2428</v>
      </c>
      <c r="F125" s="104" t="s">
        <v>332</v>
      </c>
    </row>
    <row r="126" spans="1:6" ht="13.2" thickBot="1" x14ac:dyDescent="0.6">
      <c r="A126" s="106">
        <v>119</v>
      </c>
      <c r="B126" s="214">
        <v>2</v>
      </c>
      <c r="C126" s="225" t="s">
        <v>340</v>
      </c>
      <c r="D126" s="225" t="s">
        <v>340</v>
      </c>
      <c r="E126" s="232" t="s">
        <v>2428</v>
      </c>
      <c r="F126" s="104" t="s">
        <v>332</v>
      </c>
    </row>
    <row r="127" spans="1:6" ht="13.2" thickBot="1" x14ac:dyDescent="0.6">
      <c r="A127" s="103">
        <v>120</v>
      </c>
      <c r="B127" s="213">
        <v>2</v>
      </c>
      <c r="C127" s="225" t="s">
        <v>377</v>
      </c>
      <c r="D127" s="225" t="s">
        <v>377</v>
      </c>
      <c r="E127" s="232" t="s">
        <v>2428</v>
      </c>
      <c r="F127" s="104" t="s">
        <v>332</v>
      </c>
    </row>
    <row r="128" spans="1:6" ht="13.2" thickBot="1" x14ac:dyDescent="0.6">
      <c r="A128" s="103">
        <v>121</v>
      </c>
      <c r="B128" s="213">
        <v>2</v>
      </c>
      <c r="C128" s="225" t="s">
        <v>344</v>
      </c>
      <c r="D128" s="225" t="s">
        <v>344</v>
      </c>
      <c r="E128" s="232" t="s">
        <v>2428</v>
      </c>
      <c r="F128" s="104" t="s">
        <v>332</v>
      </c>
    </row>
    <row r="129" spans="1:6" ht="13.2" thickBot="1" x14ac:dyDescent="0.6">
      <c r="A129" s="103">
        <v>122</v>
      </c>
      <c r="B129" s="213">
        <v>2</v>
      </c>
      <c r="C129" s="225" t="s">
        <v>345</v>
      </c>
      <c r="D129" s="225" t="s">
        <v>345</v>
      </c>
      <c r="E129" s="232" t="s">
        <v>2428</v>
      </c>
      <c r="F129" s="104" t="s">
        <v>332</v>
      </c>
    </row>
    <row r="130" spans="1:6" ht="13.2" thickBot="1" x14ac:dyDescent="0.6">
      <c r="A130" s="105">
        <v>123</v>
      </c>
      <c r="B130" s="213">
        <v>2</v>
      </c>
      <c r="C130" s="225" t="s">
        <v>346</v>
      </c>
      <c r="D130" s="225" t="s">
        <v>346</v>
      </c>
      <c r="E130" s="232" t="s">
        <v>2428</v>
      </c>
      <c r="F130" s="104" t="s">
        <v>332</v>
      </c>
    </row>
    <row r="131" spans="1:6" ht="13.2" thickBot="1" x14ac:dyDescent="0.6">
      <c r="A131" s="103">
        <v>124</v>
      </c>
      <c r="B131" s="213">
        <v>2</v>
      </c>
      <c r="C131" s="225" t="s">
        <v>2449</v>
      </c>
      <c r="D131" s="225" t="s">
        <v>368</v>
      </c>
      <c r="E131" s="232" t="s">
        <v>2428</v>
      </c>
      <c r="F131" s="104" t="s">
        <v>332</v>
      </c>
    </row>
    <row r="132" spans="1:6" ht="13.2" thickBot="1" x14ac:dyDescent="0.6">
      <c r="A132" s="105">
        <v>125</v>
      </c>
      <c r="B132" s="213">
        <v>2</v>
      </c>
      <c r="C132" s="225" t="s">
        <v>350</v>
      </c>
      <c r="D132" s="225" t="s">
        <v>350</v>
      </c>
      <c r="E132" s="232" t="s">
        <v>2428</v>
      </c>
      <c r="F132" s="104" t="s">
        <v>332</v>
      </c>
    </row>
    <row r="133" spans="1:6" ht="13.2" thickBot="1" x14ac:dyDescent="0.6">
      <c r="A133" s="103">
        <v>126</v>
      </c>
      <c r="B133" s="213">
        <v>2</v>
      </c>
      <c r="C133" s="225" t="s">
        <v>341</v>
      </c>
      <c r="D133" s="225" t="s">
        <v>341</v>
      </c>
      <c r="E133" s="232" t="s">
        <v>2428</v>
      </c>
      <c r="F133" s="104" t="s">
        <v>332</v>
      </c>
    </row>
    <row r="134" spans="1:6" ht="13.2" thickBot="1" x14ac:dyDescent="0.6">
      <c r="A134" s="105">
        <v>127</v>
      </c>
      <c r="B134" s="213">
        <v>2</v>
      </c>
      <c r="C134" s="225" t="s">
        <v>2471</v>
      </c>
      <c r="D134" s="225" t="s">
        <v>351</v>
      </c>
      <c r="E134" s="232" t="s">
        <v>2428</v>
      </c>
      <c r="F134" s="104" t="s">
        <v>332</v>
      </c>
    </row>
    <row r="135" spans="1:6" ht="13.2" thickBot="1" x14ac:dyDescent="0.6">
      <c r="A135" s="103">
        <v>128</v>
      </c>
      <c r="B135" s="213">
        <v>2</v>
      </c>
      <c r="C135" s="225" t="s">
        <v>352</v>
      </c>
      <c r="D135" s="225" t="s">
        <v>352</v>
      </c>
      <c r="E135" s="232" t="s">
        <v>2428</v>
      </c>
      <c r="F135" s="104" t="s">
        <v>332</v>
      </c>
    </row>
    <row r="136" spans="1:6" ht="13.2" thickBot="1" x14ac:dyDescent="0.6">
      <c r="A136" s="105">
        <v>129</v>
      </c>
      <c r="B136" s="213">
        <v>2</v>
      </c>
      <c r="C136" s="225" t="s">
        <v>353</v>
      </c>
      <c r="D136" s="225" t="s">
        <v>353</v>
      </c>
      <c r="E136" s="232" t="s">
        <v>2428</v>
      </c>
      <c r="F136" s="104" t="s">
        <v>332</v>
      </c>
    </row>
    <row r="137" spans="1:6" ht="13.2" thickBot="1" x14ac:dyDescent="0.6">
      <c r="A137" s="105">
        <v>130</v>
      </c>
      <c r="B137" s="213">
        <v>2</v>
      </c>
      <c r="C137" s="225" t="s">
        <v>359</v>
      </c>
      <c r="D137" s="225" t="s">
        <v>359</v>
      </c>
      <c r="E137" s="232" t="s">
        <v>2428</v>
      </c>
      <c r="F137" s="104" t="s">
        <v>332</v>
      </c>
    </row>
    <row r="138" spans="1:6" ht="13.2" thickBot="1" x14ac:dyDescent="0.6">
      <c r="A138" s="103">
        <v>131</v>
      </c>
      <c r="B138" s="213">
        <v>2</v>
      </c>
      <c r="C138" s="225" t="s">
        <v>371</v>
      </c>
      <c r="D138" s="225" t="s">
        <v>371</v>
      </c>
      <c r="E138" s="232" t="s">
        <v>2428</v>
      </c>
      <c r="F138" s="104" t="s">
        <v>332</v>
      </c>
    </row>
    <row r="139" spans="1:6" ht="13.2" thickBot="1" x14ac:dyDescent="0.6">
      <c r="A139" s="103">
        <v>132</v>
      </c>
      <c r="B139" s="213">
        <v>2</v>
      </c>
      <c r="C139" s="226" t="s">
        <v>373</v>
      </c>
      <c r="D139" s="226" t="s">
        <v>373</v>
      </c>
      <c r="E139" s="232" t="s">
        <v>2428</v>
      </c>
      <c r="F139" s="104" t="s">
        <v>332</v>
      </c>
    </row>
    <row r="140" spans="1:6" ht="76.150000000000006" customHeight="1" thickBot="1" x14ac:dyDescent="0.6">
      <c r="A140" s="105">
        <v>133</v>
      </c>
      <c r="B140" s="213">
        <v>2</v>
      </c>
      <c r="C140" s="225" t="s">
        <v>375</v>
      </c>
      <c r="D140" s="225" t="s">
        <v>375</v>
      </c>
      <c r="E140" s="232" t="s">
        <v>2428</v>
      </c>
      <c r="F140" s="104" t="s">
        <v>332</v>
      </c>
    </row>
    <row r="141" spans="1:6" ht="13.2" thickBot="1" x14ac:dyDescent="0.6">
      <c r="A141" s="105">
        <v>134</v>
      </c>
      <c r="B141" s="216" t="s">
        <v>378</v>
      </c>
      <c r="C141" s="224" t="s">
        <v>379</v>
      </c>
      <c r="D141" s="224" t="s">
        <v>379</v>
      </c>
      <c r="E141" s="232" t="e">
        <v>#N/A</v>
      </c>
      <c r="F141" s="104" t="s">
        <v>2433</v>
      </c>
    </row>
    <row r="142" spans="1:6" ht="13.2" thickBot="1" x14ac:dyDescent="0.6">
      <c r="A142" s="106">
        <v>135</v>
      </c>
      <c r="B142" s="217" t="s">
        <v>378</v>
      </c>
      <c r="C142" s="225" t="s">
        <v>2473</v>
      </c>
      <c r="D142" s="225" t="s">
        <v>1006</v>
      </c>
      <c r="E142" s="232" t="s">
        <v>2428</v>
      </c>
      <c r="F142" s="104" t="s">
        <v>332</v>
      </c>
    </row>
    <row r="143" spans="1:6" ht="26.1" thickBot="1" x14ac:dyDescent="0.6">
      <c r="A143" s="106">
        <v>136</v>
      </c>
      <c r="B143" s="217" t="s">
        <v>378</v>
      </c>
      <c r="C143" s="225" t="s">
        <v>2474</v>
      </c>
      <c r="D143" s="225" t="s">
        <v>1007</v>
      </c>
      <c r="E143" s="232" t="s">
        <v>2428</v>
      </c>
      <c r="F143" s="104" t="s">
        <v>332</v>
      </c>
    </row>
    <row r="144" spans="1:6" ht="13.2" thickBot="1" x14ac:dyDescent="0.6">
      <c r="A144" s="106">
        <v>137</v>
      </c>
      <c r="B144" s="217" t="s">
        <v>378</v>
      </c>
      <c r="C144" s="225" t="s">
        <v>381</v>
      </c>
      <c r="D144" s="225" t="s">
        <v>381</v>
      </c>
      <c r="E144" s="232" t="s">
        <v>2428</v>
      </c>
      <c r="F144" s="104" t="s">
        <v>332</v>
      </c>
    </row>
    <row r="145" spans="1:6" ht="13.2" thickBot="1" x14ac:dyDescent="0.6">
      <c r="A145" s="103">
        <v>138</v>
      </c>
      <c r="B145" s="217" t="s">
        <v>378</v>
      </c>
      <c r="C145" s="225" t="s">
        <v>2475</v>
      </c>
      <c r="D145" s="225" t="s">
        <v>1008</v>
      </c>
      <c r="E145" s="232" t="s">
        <v>2428</v>
      </c>
      <c r="F145" s="104" t="s">
        <v>332</v>
      </c>
    </row>
    <row r="146" spans="1:6" ht="13.2" thickBot="1" x14ac:dyDescent="0.6">
      <c r="A146" s="103">
        <v>139</v>
      </c>
      <c r="B146" s="217" t="s">
        <v>378</v>
      </c>
      <c r="C146" s="225" t="s">
        <v>2476</v>
      </c>
      <c r="D146" s="225" t="s">
        <v>1009</v>
      </c>
      <c r="E146" s="232" t="s">
        <v>2428</v>
      </c>
      <c r="F146" s="104" t="s">
        <v>332</v>
      </c>
    </row>
    <row r="147" spans="1:6" ht="58.9" customHeight="1" thickBot="1" x14ac:dyDescent="0.6">
      <c r="A147" s="103">
        <v>140</v>
      </c>
      <c r="B147" s="217" t="s">
        <v>378</v>
      </c>
      <c r="C147" s="225" t="s">
        <v>2477</v>
      </c>
      <c r="D147" s="225" t="s">
        <v>1010</v>
      </c>
      <c r="E147" s="232" t="s">
        <v>2428</v>
      </c>
      <c r="F147" s="104" t="s">
        <v>332</v>
      </c>
    </row>
    <row r="148" spans="1:6" ht="13.2" thickBot="1" x14ac:dyDescent="0.6">
      <c r="A148" s="103">
        <v>141</v>
      </c>
      <c r="B148" s="214" t="s">
        <v>889</v>
      </c>
      <c r="C148" s="225" t="s">
        <v>258</v>
      </c>
      <c r="D148" s="225" t="s">
        <v>258</v>
      </c>
      <c r="E148" s="232" t="s">
        <v>2428</v>
      </c>
      <c r="F148" s="104" t="s">
        <v>332</v>
      </c>
    </row>
    <row r="149" spans="1:6" ht="39" thickBot="1" x14ac:dyDescent="0.6">
      <c r="A149" s="103">
        <v>142</v>
      </c>
      <c r="B149" s="218" t="s">
        <v>378</v>
      </c>
      <c r="C149" s="225" t="s">
        <v>2478</v>
      </c>
      <c r="D149" s="225" t="s">
        <v>1011</v>
      </c>
      <c r="E149" s="232" t="s">
        <v>2428</v>
      </c>
      <c r="F149" s="104" t="s">
        <v>332</v>
      </c>
    </row>
    <row r="150" spans="1:6" ht="39" thickBot="1" x14ac:dyDescent="0.6">
      <c r="A150" s="103">
        <v>143</v>
      </c>
      <c r="B150" s="218" t="s">
        <v>378</v>
      </c>
      <c r="C150" s="225" t="s">
        <v>2479</v>
      </c>
      <c r="D150" s="225" t="s">
        <v>1012</v>
      </c>
      <c r="E150" s="232" t="s">
        <v>2428</v>
      </c>
      <c r="F150" s="104" t="s">
        <v>332</v>
      </c>
    </row>
    <row r="151" spans="1:6" ht="26.1" thickBot="1" x14ac:dyDescent="0.6">
      <c r="A151" s="105">
        <v>144</v>
      </c>
      <c r="B151" s="217" t="s">
        <v>378</v>
      </c>
      <c r="C151" s="225" t="s">
        <v>2480</v>
      </c>
      <c r="D151" s="225" t="s">
        <v>1013</v>
      </c>
      <c r="E151" s="232" t="s">
        <v>2428</v>
      </c>
      <c r="F151" s="104" t="s">
        <v>332</v>
      </c>
    </row>
    <row r="152" spans="1:6" ht="13.2" thickBot="1" x14ac:dyDescent="0.6">
      <c r="A152" s="103">
        <v>145</v>
      </c>
      <c r="B152" s="217" t="s">
        <v>378</v>
      </c>
      <c r="C152" s="225" t="s">
        <v>2481</v>
      </c>
      <c r="D152" s="225" t="s">
        <v>1014</v>
      </c>
      <c r="E152" s="232" t="s">
        <v>2428</v>
      </c>
      <c r="F152" s="104" t="s">
        <v>332</v>
      </c>
    </row>
    <row r="153" spans="1:6" ht="39" thickBot="1" x14ac:dyDescent="0.6">
      <c r="A153" s="105">
        <v>146</v>
      </c>
      <c r="B153" s="217" t="s">
        <v>378</v>
      </c>
      <c r="C153" s="225" t="s">
        <v>2482</v>
      </c>
      <c r="D153" s="225" t="s">
        <v>1015</v>
      </c>
      <c r="E153" s="232" t="s">
        <v>2428</v>
      </c>
      <c r="F153" s="104" t="s">
        <v>332</v>
      </c>
    </row>
    <row r="154" spans="1:6" ht="13.2" thickBot="1" x14ac:dyDescent="0.6">
      <c r="A154" s="103">
        <v>147</v>
      </c>
      <c r="B154" s="217" t="s">
        <v>378</v>
      </c>
      <c r="C154" s="225" t="s">
        <v>2483</v>
      </c>
      <c r="D154" s="225" t="s">
        <v>1016</v>
      </c>
      <c r="E154" s="232" t="s">
        <v>2428</v>
      </c>
      <c r="F154" s="104" t="s">
        <v>332</v>
      </c>
    </row>
    <row r="155" spans="1:6" ht="13.2" thickBot="1" x14ac:dyDescent="0.6">
      <c r="A155" s="105">
        <v>148</v>
      </c>
      <c r="B155" s="217" t="s">
        <v>378</v>
      </c>
      <c r="C155" s="225" t="s">
        <v>382</v>
      </c>
      <c r="D155" s="225" t="s">
        <v>382</v>
      </c>
      <c r="E155" s="232" t="s">
        <v>2428</v>
      </c>
      <c r="F155" s="104" t="s">
        <v>332</v>
      </c>
    </row>
    <row r="156" spans="1:6" ht="39" thickBot="1" x14ac:dyDescent="0.6">
      <c r="A156" s="103">
        <v>149</v>
      </c>
      <c r="B156" s="217" t="s">
        <v>378</v>
      </c>
      <c r="C156" s="225" t="s">
        <v>2484</v>
      </c>
      <c r="D156" s="225" t="s">
        <v>1017</v>
      </c>
      <c r="E156" s="232" t="s">
        <v>2428</v>
      </c>
      <c r="F156" s="104" t="s">
        <v>357</v>
      </c>
    </row>
    <row r="157" spans="1:6" ht="26.1" thickBot="1" x14ac:dyDescent="0.6">
      <c r="A157" s="105">
        <v>150</v>
      </c>
      <c r="B157" s="218" t="s">
        <v>378</v>
      </c>
      <c r="C157" s="226" t="s">
        <v>2485</v>
      </c>
      <c r="D157" s="226" t="s">
        <v>1018</v>
      </c>
      <c r="E157" s="232" t="s">
        <v>2428</v>
      </c>
      <c r="F157" s="104" t="s">
        <v>357</v>
      </c>
    </row>
    <row r="158" spans="1:6" ht="26.1" thickBot="1" x14ac:dyDescent="0.6">
      <c r="A158" s="106">
        <v>151</v>
      </c>
      <c r="B158" s="217" t="s">
        <v>378</v>
      </c>
      <c r="C158" s="225" t="s">
        <v>2486</v>
      </c>
      <c r="D158" s="225" t="s">
        <v>1019</v>
      </c>
      <c r="E158" s="232" t="s">
        <v>2428</v>
      </c>
      <c r="F158" s="104" t="s">
        <v>357</v>
      </c>
    </row>
    <row r="159" spans="1:6" ht="26.1" thickBot="1" x14ac:dyDescent="0.6">
      <c r="A159" s="103">
        <v>152</v>
      </c>
      <c r="B159" s="217" t="s">
        <v>378</v>
      </c>
      <c r="C159" s="225" t="s">
        <v>2487</v>
      </c>
      <c r="D159" s="225" t="s">
        <v>1020</v>
      </c>
      <c r="E159" s="232" t="s">
        <v>2428</v>
      </c>
      <c r="F159" s="104" t="s">
        <v>357</v>
      </c>
    </row>
    <row r="160" spans="1:6" ht="26.1" thickBot="1" x14ac:dyDescent="0.6">
      <c r="A160" s="103">
        <v>153</v>
      </c>
      <c r="B160" s="217" t="s">
        <v>378</v>
      </c>
      <c r="C160" s="226" t="s">
        <v>2488</v>
      </c>
      <c r="D160" s="226" t="s">
        <v>1021</v>
      </c>
      <c r="E160" s="232" t="s">
        <v>2428</v>
      </c>
      <c r="F160" s="104" t="s">
        <v>357</v>
      </c>
    </row>
    <row r="161" spans="1:6" ht="26.1" thickBot="1" x14ac:dyDescent="0.6">
      <c r="A161" s="105">
        <v>154</v>
      </c>
      <c r="B161" s="218" t="s">
        <v>378</v>
      </c>
      <c r="C161" s="225" t="s">
        <v>2489</v>
      </c>
      <c r="D161" s="225" t="s">
        <v>1022</v>
      </c>
      <c r="E161" s="232" t="s">
        <v>2428</v>
      </c>
      <c r="F161" s="104" t="s">
        <v>357</v>
      </c>
    </row>
    <row r="162" spans="1:6" ht="26.1" thickBot="1" x14ac:dyDescent="0.6">
      <c r="A162" s="103">
        <v>155</v>
      </c>
      <c r="B162" s="218" t="s">
        <v>378</v>
      </c>
      <c r="C162" s="225" t="s">
        <v>2490</v>
      </c>
      <c r="D162" s="225" t="s">
        <v>1023</v>
      </c>
      <c r="E162" s="232" t="s">
        <v>2428</v>
      </c>
      <c r="F162" s="104" t="s">
        <v>357</v>
      </c>
    </row>
    <row r="163" spans="1:6" ht="39" thickBot="1" x14ac:dyDescent="0.6">
      <c r="A163" s="103">
        <v>156</v>
      </c>
      <c r="B163" s="218" t="s">
        <v>378</v>
      </c>
      <c r="C163" s="225" t="s">
        <v>2491</v>
      </c>
      <c r="D163" s="225" t="s">
        <v>1024</v>
      </c>
      <c r="E163" s="232" t="s">
        <v>2428</v>
      </c>
      <c r="F163" s="104" t="s">
        <v>357</v>
      </c>
    </row>
    <row r="164" spans="1:6" ht="64.8" thickBot="1" x14ac:dyDescent="0.6">
      <c r="A164" s="103">
        <v>157</v>
      </c>
      <c r="B164" s="217" t="s">
        <v>378</v>
      </c>
      <c r="C164" s="225" t="s">
        <v>2492</v>
      </c>
      <c r="D164" s="225" t="s">
        <v>1025</v>
      </c>
      <c r="E164" s="232" t="s">
        <v>2428</v>
      </c>
      <c r="F164" s="104" t="s">
        <v>357</v>
      </c>
    </row>
    <row r="165" spans="1:6" ht="65.5" customHeight="1" thickBot="1" x14ac:dyDescent="0.6">
      <c r="A165" s="105">
        <v>158</v>
      </c>
      <c r="B165" s="217" t="s">
        <v>378</v>
      </c>
      <c r="C165" s="225" t="s">
        <v>2493</v>
      </c>
      <c r="D165" s="225" t="s">
        <v>1026</v>
      </c>
      <c r="E165" s="232" t="s">
        <v>2428</v>
      </c>
      <c r="F165" s="104" t="s">
        <v>357</v>
      </c>
    </row>
    <row r="166" spans="1:6" ht="26.1" thickBot="1" x14ac:dyDescent="0.6">
      <c r="A166" s="106">
        <v>159</v>
      </c>
      <c r="B166" s="217" t="s">
        <v>378</v>
      </c>
      <c r="C166" s="225" t="s">
        <v>2494</v>
      </c>
      <c r="D166" s="225" t="s">
        <v>1027</v>
      </c>
      <c r="E166" s="232" t="s">
        <v>2428</v>
      </c>
      <c r="F166" s="104" t="s">
        <v>357</v>
      </c>
    </row>
    <row r="167" spans="1:6" ht="26.1" thickBot="1" x14ac:dyDescent="0.6">
      <c r="A167" s="106">
        <v>160</v>
      </c>
      <c r="B167" s="217" t="s">
        <v>378</v>
      </c>
      <c r="C167" s="225" t="s">
        <v>2495</v>
      </c>
      <c r="D167" s="225" t="s">
        <v>1028</v>
      </c>
      <c r="E167" s="232" t="s">
        <v>2428</v>
      </c>
      <c r="F167" s="104" t="s">
        <v>357</v>
      </c>
    </row>
    <row r="168" spans="1:6" ht="13.2" thickBot="1" x14ac:dyDescent="0.6">
      <c r="A168" s="106">
        <v>161</v>
      </c>
      <c r="B168" s="215" t="s">
        <v>889</v>
      </c>
      <c r="C168" s="227" t="s">
        <v>380</v>
      </c>
      <c r="D168" s="227" t="s">
        <v>380</v>
      </c>
      <c r="E168" s="232" t="e">
        <v>#N/A</v>
      </c>
      <c r="F168" s="104" t="s">
        <v>2433</v>
      </c>
    </row>
    <row r="169" spans="1:6" ht="13.2" thickBot="1" x14ac:dyDescent="0.6">
      <c r="A169" s="106">
        <v>162</v>
      </c>
      <c r="B169" s="213" t="s">
        <v>889</v>
      </c>
      <c r="C169" s="225" t="s">
        <v>381</v>
      </c>
      <c r="D169" s="225" t="s">
        <v>381</v>
      </c>
      <c r="E169" s="232" t="s">
        <v>2428</v>
      </c>
      <c r="F169" s="104" t="s">
        <v>332</v>
      </c>
    </row>
    <row r="170" spans="1:6" ht="13.2" thickBot="1" x14ac:dyDescent="0.6">
      <c r="A170" s="106">
        <v>163</v>
      </c>
      <c r="B170" s="213" t="s">
        <v>889</v>
      </c>
      <c r="C170" s="225" t="s">
        <v>2476</v>
      </c>
      <c r="D170" s="225" t="s">
        <v>1009</v>
      </c>
      <c r="E170" s="232" t="s">
        <v>2428</v>
      </c>
      <c r="F170" s="104" t="s">
        <v>332</v>
      </c>
    </row>
    <row r="171" spans="1:6" ht="65.5" customHeight="1" thickBot="1" x14ac:dyDescent="0.6">
      <c r="A171" s="105">
        <v>164</v>
      </c>
      <c r="B171" s="214" t="s">
        <v>889</v>
      </c>
      <c r="C171" s="225" t="s">
        <v>258</v>
      </c>
      <c r="D171" s="225" t="s">
        <v>258</v>
      </c>
      <c r="E171" s="232" t="s">
        <v>2428</v>
      </c>
      <c r="F171" s="104" t="s">
        <v>332</v>
      </c>
    </row>
    <row r="172" spans="1:6" ht="13.2" thickBot="1" x14ac:dyDescent="0.6">
      <c r="A172" s="105">
        <v>165</v>
      </c>
      <c r="B172" s="218" t="s">
        <v>889</v>
      </c>
      <c r="C172" s="225" t="s">
        <v>1029</v>
      </c>
      <c r="D172" s="225" t="s">
        <v>1029</v>
      </c>
      <c r="E172" s="232" t="s">
        <v>2428</v>
      </c>
      <c r="F172" s="104" t="s">
        <v>332</v>
      </c>
    </row>
    <row r="173" spans="1:6" ht="13.2" thickBot="1" x14ac:dyDescent="0.6">
      <c r="A173" s="106">
        <v>166</v>
      </c>
      <c r="B173" s="218" t="s">
        <v>889</v>
      </c>
      <c r="C173" s="225" t="s">
        <v>1030</v>
      </c>
      <c r="D173" s="225" t="s">
        <v>1030</v>
      </c>
      <c r="E173" s="232" t="s">
        <v>2428</v>
      </c>
      <c r="F173" s="104" t="s">
        <v>332</v>
      </c>
    </row>
    <row r="174" spans="1:6" ht="49.15" customHeight="1" thickBot="1" x14ac:dyDescent="0.6">
      <c r="A174" s="106">
        <v>167</v>
      </c>
      <c r="B174" s="213" t="s">
        <v>889</v>
      </c>
      <c r="C174" s="225" t="s">
        <v>382</v>
      </c>
      <c r="D174" s="225" t="s">
        <v>382</v>
      </c>
      <c r="E174" s="232" t="s">
        <v>2428</v>
      </c>
      <c r="F174" s="104" t="s">
        <v>332</v>
      </c>
    </row>
    <row r="175" spans="1:6" ht="13.2" thickBot="1" x14ac:dyDescent="0.6">
      <c r="A175" s="106">
        <v>168</v>
      </c>
      <c r="B175" s="218" t="s">
        <v>889</v>
      </c>
      <c r="C175" s="226" t="s">
        <v>1031</v>
      </c>
      <c r="D175" s="226" t="s">
        <v>1031</v>
      </c>
      <c r="E175" s="232" t="s">
        <v>2428</v>
      </c>
      <c r="F175" s="104" t="s">
        <v>357</v>
      </c>
    </row>
    <row r="176" spans="1:6" ht="13.2" thickBot="1" x14ac:dyDescent="0.6">
      <c r="A176" s="106">
        <v>169</v>
      </c>
      <c r="B176" s="217" t="s">
        <v>889</v>
      </c>
      <c r="C176" s="225" t="s">
        <v>1032</v>
      </c>
      <c r="D176" s="225" t="s">
        <v>1032</v>
      </c>
      <c r="E176" s="232" t="s">
        <v>2428</v>
      </c>
      <c r="F176" s="104" t="s">
        <v>357</v>
      </c>
    </row>
    <row r="177" spans="1:6" ht="13.2" thickBot="1" x14ac:dyDescent="0.6">
      <c r="A177" s="106">
        <v>170</v>
      </c>
      <c r="B177" s="218" t="s">
        <v>889</v>
      </c>
      <c r="C177" s="225" t="s">
        <v>1033</v>
      </c>
      <c r="D177" s="225" t="s">
        <v>1033</v>
      </c>
      <c r="E177" s="232" t="s">
        <v>2428</v>
      </c>
      <c r="F177" s="104" t="s">
        <v>357</v>
      </c>
    </row>
    <row r="178" spans="1:6" ht="13.2" thickBot="1" x14ac:dyDescent="0.6">
      <c r="A178" s="106">
        <v>171</v>
      </c>
      <c r="B178" s="218" t="s">
        <v>889</v>
      </c>
      <c r="C178" s="225" t="s">
        <v>1034</v>
      </c>
      <c r="D178" s="225" t="s">
        <v>1034</v>
      </c>
      <c r="E178" s="232" t="s">
        <v>2428</v>
      </c>
      <c r="F178" s="104" t="s">
        <v>357</v>
      </c>
    </row>
    <row r="179" spans="1:6" ht="13.2" thickBot="1" x14ac:dyDescent="0.6">
      <c r="A179" s="106">
        <v>172</v>
      </c>
      <c r="B179" s="217" t="s">
        <v>889</v>
      </c>
      <c r="C179" s="225" t="s">
        <v>1035</v>
      </c>
      <c r="D179" s="225" t="s">
        <v>1035</v>
      </c>
      <c r="E179" s="232" t="s">
        <v>2428</v>
      </c>
      <c r="F179" s="104" t="s">
        <v>357</v>
      </c>
    </row>
    <row r="180" spans="1:6" ht="13.2" thickBot="1" x14ac:dyDescent="0.6">
      <c r="A180" s="105">
        <v>173</v>
      </c>
      <c r="B180" s="215" t="s">
        <v>890</v>
      </c>
      <c r="C180" s="227" t="s">
        <v>383</v>
      </c>
      <c r="D180" s="227" t="s">
        <v>383</v>
      </c>
      <c r="E180" s="232" t="e">
        <v>#N/A</v>
      </c>
      <c r="F180" s="104" t="s">
        <v>2433</v>
      </c>
    </row>
    <row r="181" spans="1:6" ht="13.2" thickBot="1" x14ac:dyDescent="0.6">
      <c r="A181" s="103">
        <v>174</v>
      </c>
      <c r="B181" s="213" t="s">
        <v>890</v>
      </c>
      <c r="C181" s="225" t="s">
        <v>384</v>
      </c>
      <c r="D181" s="225" t="s">
        <v>384</v>
      </c>
      <c r="E181" s="232" t="s">
        <v>2428</v>
      </c>
      <c r="F181" s="104" t="s">
        <v>357</v>
      </c>
    </row>
    <row r="182" spans="1:6" ht="13.2" thickBot="1" x14ac:dyDescent="0.6">
      <c r="A182" s="105">
        <v>175</v>
      </c>
      <c r="B182" s="217" t="s">
        <v>890</v>
      </c>
      <c r="C182" s="225" t="s">
        <v>1036</v>
      </c>
      <c r="D182" s="225" t="s">
        <v>1036</v>
      </c>
      <c r="E182" s="232" t="s">
        <v>2428</v>
      </c>
      <c r="F182" s="104" t="s">
        <v>357</v>
      </c>
    </row>
    <row r="183" spans="1:6" ht="13.2" thickBot="1" x14ac:dyDescent="0.6">
      <c r="A183" s="103">
        <v>176</v>
      </c>
      <c r="B183" s="213" t="s">
        <v>890</v>
      </c>
      <c r="C183" s="225" t="s">
        <v>385</v>
      </c>
      <c r="D183" s="225" t="s">
        <v>385</v>
      </c>
      <c r="E183" s="232" t="s">
        <v>2428</v>
      </c>
      <c r="F183" s="104" t="s">
        <v>332</v>
      </c>
    </row>
    <row r="184" spans="1:6" ht="13.2" thickBot="1" x14ac:dyDescent="0.6">
      <c r="A184" s="106">
        <v>177</v>
      </c>
      <c r="B184" s="217" t="s">
        <v>890</v>
      </c>
      <c r="C184" s="225" t="s">
        <v>1037</v>
      </c>
      <c r="D184" s="225" t="s">
        <v>1037</v>
      </c>
      <c r="E184" s="232" t="s">
        <v>2428</v>
      </c>
      <c r="F184" s="104" t="s">
        <v>332</v>
      </c>
    </row>
    <row r="185" spans="1:6" ht="13.2" thickBot="1" x14ac:dyDescent="0.6">
      <c r="A185" s="106">
        <v>178</v>
      </c>
      <c r="B185" s="213" t="s">
        <v>890</v>
      </c>
      <c r="C185" s="225" t="s">
        <v>386</v>
      </c>
      <c r="D185" s="225" t="s">
        <v>386</v>
      </c>
      <c r="E185" s="232" t="s">
        <v>2428</v>
      </c>
      <c r="F185" s="104" t="s">
        <v>357</v>
      </c>
    </row>
    <row r="186" spans="1:6" ht="13.2" thickBot="1" x14ac:dyDescent="0.6">
      <c r="A186" s="103">
        <v>179</v>
      </c>
      <c r="B186" s="217" t="s">
        <v>890</v>
      </c>
      <c r="C186" s="225" t="s">
        <v>1038</v>
      </c>
      <c r="D186" s="225" t="s">
        <v>1038</v>
      </c>
      <c r="E186" s="232" t="s">
        <v>2428</v>
      </c>
      <c r="F186" s="104" t="s">
        <v>357</v>
      </c>
    </row>
    <row r="187" spans="1:6" ht="13.2" thickBot="1" x14ac:dyDescent="0.6">
      <c r="A187" s="103">
        <v>180</v>
      </c>
      <c r="B187" s="213" t="s">
        <v>890</v>
      </c>
      <c r="C187" s="225" t="s">
        <v>387</v>
      </c>
      <c r="D187" s="225" t="s">
        <v>387</v>
      </c>
      <c r="E187" s="232" t="s">
        <v>2428</v>
      </c>
      <c r="F187" s="104" t="s">
        <v>357</v>
      </c>
    </row>
    <row r="188" spans="1:6" ht="13.2" thickBot="1" x14ac:dyDescent="0.6">
      <c r="A188" s="103">
        <v>181</v>
      </c>
      <c r="B188" s="217" t="s">
        <v>890</v>
      </c>
      <c r="C188" s="225" t="s">
        <v>1039</v>
      </c>
      <c r="D188" s="225" t="s">
        <v>1039</v>
      </c>
      <c r="E188" s="232" t="s">
        <v>2428</v>
      </c>
      <c r="F188" s="104" t="s">
        <v>357</v>
      </c>
    </row>
    <row r="189" spans="1:6" ht="13.2" thickBot="1" x14ac:dyDescent="0.6">
      <c r="A189" s="103">
        <v>182</v>
      </c>
      <c r="B189" s="217" t="s">
        <v>890</v>
      </c>
      <c r="C189" s="225" t="s">
        <v>1040</v>
      </c>
      <c r="D189" s="225" t="s">
        <v>1040</v>
      </c>
      <c r="E189" s="232" t="s">
        <v>2428</v>
      </c>
      <c r="F189" s="104" t="s">
        <v>357</v>
      </c>
    </row>
    <row r="190" spans="1:6" ht="13.2" thickBot="1" x14ac:dyDescent="0.6">
      <c r="A190" s="103">
        <v>183</v>
      </c>
      <c r="B190" s="217" t="s">
        <v>890</v>
      </c>
      <c r="C190" s="225" t="s">
        <v>1041</v>
      </c>
      <c r="D190" s="225" t="s">
        <v>1041</v>
      </c>
      <c r="E190" s="232" t="s">
        <v>2428</v>
      </c>
      <c r="F190" s="104" t="s">
        <v>357</v>
      </c>
    </row>
    <row r="191" spans="1:6" ht="108.75" customHeight="1" thickBot="1" x14ac:dyDescent="0.6">
      <c r="A191" s="105">
        <v>184</v>
      </c>
      <c r="B191" s="217" t="s">
        <v>890</v>
      </c>
      <c r="C191" s="226" t="s">
        <v>1042</v>
      </c>
      <c r="D191" s="226" t="s">
        <v>1042</v>
      </c>
      <c r="E191" s="232" t="s">
        <v>2428</v>
      </c>
      <c r="F191" s="104" t="s">
        <v>357</v>
      </c>
    </row>
    <row r="192" spans="1:6" ht="13.2" thickBot="1" x14ac:dyDescent="0.6">
      <c r="A192" s="105">
        <v>185</v>
      </c>
      <c r="B192" s="218" t="s">
        <v>890</v>
      </c>
      <c r="C192" s="225" t="s">
        <v>1043</v>
      </c>
      <c r="D192" s="225" t="s">
        <v>1043</v>
      </c>
      <c r="E192" s="232" t="s">
        <v>2428</v>
      </c>
      <c r="F192" s="104" t="s">
        <v>357</v>
      </c>
    </row>
    <row r="193" spans="1:6" ht="13.2" thickBot="1" x14ac:dyDescent="0.6">
      <c r="A193" s="106">
        <v>186</v>
      </c>
      <c r="B193" s="217" t="s">
        <v>890</v>
      </c>
      <c r="C193" s="225" t="s">
        <v>1044</v>
      </c>
      <c r="D193" s="225" t="s">
        <v>1044</v>
      </c>
      <c r="E193" s="232" t="s">
        <v>2428</v>
      </c>
      <c r="F193" s="104" t="s">
        <v>357</v>
      </c>
    </row>
    <row r="194" spans="1:6" ht="13.2" thickBot="1" x14ac:dyDescent="0.6">
      <c r="A194" s="106">
        <v>187</v>
      </c>
      <c r="B194" s="217" t="s">
        <v>890</v>
      </c>
      <c r="C194" s="225" t="s">
        <v>1045</v>
      </c>
      <c r="D194" s="225" t="s">
        <v>1045</v>
      </c>
      <c r="E194" s="232" t="s">
        <v>2428</v>
      </c>
      <c r="F194" s="104" t="s">
        <v>357</v>
      </c>
    </row>
    <row r="195" spans="1:6" ht="13.2" thickBot="1" x14ac:dyDescent="0.6">
      <c r="A195" s="106">
        <v>188</v>
      </c>
      <c r="B195" s="217" t="s">
        <v>890</v>
      </c>
      <c r="C195" s="225" t="s">
        <v>1046</v>
      </c>
      <c r="D195" s="225" t="s">
        <v>1046</v>
      </c>
      <c r="E195" s="232" t="s">
        <v>2428</v>
      </c>
      <c r="F195" s="104" t="s">
        <v>357</v>
      </c>
    </row>
    <row r="196" spans="1:6" ht="69.75" customHeight="1" thickBot="1" x14ac:dyDescent="0.6">
      <c r="A196" s="106">
        <v>189</v>
      </c>
      <c r="B196" s="212">
        <v>3</v>
      </c>
      <c r="C196" s="224" t="s">
        <v>388</v>
      </c>
      <c r="D196" s="224" t="s">
        <v>388</v>
      </c>
      <c r="E196" s="232" t="e">
        <v>#N/A</v>
      </c>
      <c r="F196" s="104" t="s">
        <v>2433</v>
      </c>
    </row>
    <row r="197" spans="1:6" ht="13.2" thickBot="1" x14ac:dyDescent="0.6">
      <c r="A197" s="106">
        <v>190</v>
      </c>
      <c r="B197" s="214">
        <v>3</v>
      </c>
      <c r="C197" s="225" t="s">
        <v>258</v>
      </c>
      <c r="D197" s="225" t="s">
        <v>258</v>
      </c>
      <c r="E197" s="232" t="s">
        <v>2428</v>
      </c>
      <c r="F197" s="104" t="s">
        <v>332</v>
      </c>
    </row>
    <row r="198" spans="1:6" ht="13.2" thickBot="1" x14ac:dyDescent="0.6">
      <c r="A198" s="106">
        <v>191</v>
      </c>
      <c r="B198" s="214">
        <v>3</v>
      </c>
      <c r="C198" s="225" t="s">
        <v>2496</v>
      </c>
      <c r="D198" s="225" t="s">
        <v>1047</v>
      </c>
      <c r="E198" s="232" t="s">
        <v>2428</v>
      </c>
      <c r="F198" s="104" t="s">
        <v>332</v>
      </c>
    </row>
    <row r="199" spans="1:6" ht="13.2" thickBot="1" x14ac:dyDescent="0.6">
      <c r="A199" s="105">
        <v>192</v>
      </c>
      <c r="B199" s="213">
        <v>3</v>
      </c>
      <c r="C199" s="225" t="s">
        <v>387</v>
      </c>
      <c r="D199" s="225" t="s">
        <v>387</v>
      </c>
      <c r="E199" s="232" t="s">
        <v>2428</v>
      </c>
      <c r="F199" s="104" t="s">
        <v>357</v>
      </c>
    </row>
    <row r="200" spans="1:6" ht="13.2" thickBot="1" x14ac:dyDescent="0.6">
      <c r="A200" s="106">
        <v>193</v>
      </c>
      <c r="B200" s="213">
        <v>3</v>
      </c>
      <c r="C200" s="226" t="s">
        <v>1048</v>
      </c>
      <c r="D200" s="226" t="s">
        <v>1048</v>
      </c>
      <c r="E200" s="232" t="s">
        <v>2428</v>
      </c>
      <c r="F200" s="104" t="s">
        <v>357</v>
      </c>
    </row>
    <row r="201" spans="1:6" ht="13.2" thickBot="1" x14ac:dyDescent="0.6">
      <c r="A201" s="106">
        <v>194</v>
      </c>
      <c r="B201" s="214">
        <v>3</v>
      </c>
      <c r="C201" s="226" t="s">
        <v>1048</v>
      </c>
      <c r="D201" s="226" t="s">
        <v>1048</v>
      </c>
      <c r="E201" s="232" t="s">
        <v>2428</v>
      </c>
      <c r="F201" s="104" t="s">
        <v>357</v>
      </c>
    </row>
    <row r="202" spans="1:6" ht="13.2" thickBot="1" x14ac:dyDescent="0.6">
      <c r="A202" s="106">
        <v>195</v>
      </c>
      <c r="B202" s="213">
        <v>3</v>
      </c>
      <c r="C202" s="225" t="s">
        <v>1049</v>
      </c>
      <c r="D202" s="225" t="s">
        <v>1049</v>
      </c>
      <c r="E202" s="232" t="s">
        <v>2428</v>
      </c>
      <c r="F202" s="104" t="s">
        <v>357</v>
      </c>
    </row>
    <row r="203" spans="1:6" ht="13.2" thickBot="1" x14ac:dyDescent="0.6">
      <c r="A203" s="105">
        <v>196</v>
      </c>
      <c r="B203" s="213">
        <v>3</v>
      </c>
      <c r="C203" s="225" t="s">
        <v>1050</v>
      </c>
      <c r="D203" s="225" t="s">
        <v>1050</v>
      </c>
      <c r="E203" s="232" t="s">
        <v>2428</v>
      </c>
      <c r="F203" s="104" t="s">
        <v>357</v>
      </c>
    </row>
    <row r="204" spans="1:6" ht="13.2" thickBot="1" x14ac:dyDescent="0.6">
      <c r="A204" s="106">
        <v>197</v>
      </c>
      <c r="B204" s="219" t="s">
        <v>389</v>
      </c>
      <c r="C204" s="224" t="s">
        <v>390</v>
      </c>
      <c r="D204" s="224" t="s">
        <v>390</v>
      </c>
      <c r="E204" s="232" t="e">
        <v>#N/A</v>
      </c>
      <c r="F204" s="104" t="s">
        <v>2433</v>
      </c>
    </row>
    <row r="205" spans="1:6" ht="13.2" thickBot="1" x14ac:dyDescent="0.6">
      <c r="A205" s="106">
        <v>198</v>
      </c>
      <c r="B205" s="220" t="s">
        <v>389</v>
      </c>
      <c r="C205" s="225" t="s">
        <v>2497</v>
      </c>
      <c r="D205" s="225" t="s">
        <v>1051</v>
      </c>
      <c r="E205" s="232" t="s">
        <v>2428</v>
      </c>
      <c r="F205" s="104" t="s">
        <v>332</v>
      </c>
    </row>
    <row r="206" spans="1:6" ht="13.2" thickBot="1" x14ac:dyDescent="0.6">
      <c r="A206" s="106">
        <v>199</v>
      </c>
      <c r="B206" s="220" t="s">
        <v>389</v>
      </c>
      <c r="C206" s="225" t="s">
        <v>2498</v>
      </c>
      <c r="D206" s="225" t="s">
        <v>1052</v>
      </c>
      <c r="E206" s="232" t="s">
        <v>2428</v>
      </c>
      <c r="F206" s="104" t="s">
        <v>332</v>
      </c>
    </row>
    <row r="207" spans="1:6" ht="13.2" thickBot="1" x14ac:dyDescent="0.6">
      <c r="A207" s="106">
        <v>200</v>
      </c>
      <c r="B207" s="220" t="s">
        <v>389</v>
      </c>
      <c r="C207" s="225" t="s">
        <v>2499</v>
      </c>
      <c r="D207" s="225" t="s">
        <v>1053</v>
      </c>
      <c r="E207" s="232" t="s">
        <v>2428</v>
      </c>
      <c r="F207" s="104" t="s">
        <v>332</v>
      </c>
    </row>
    <row r="208" spans="1:6" ht="13.2" thickBot="1" x14ac:dyDescent="0.6">
      <c r="A208" s="106">
        <v>201</v>
      </c>
      <c r="B208" s="220" t="s">
        <v>389</v>
      </c>
      <c r="C208" s="225" t="s">
        <v>2500</v>
      </c>
      <c r="D208" s="225" t="s">
        <v>1054</v>
      </c>
      <c r="E208" s="232" t="s">
        <v>2428</v>
      </c>
      <c r="F208" s="104" t="s">
        <v>332</v>
      </c>
    </row>
    <row r="209" spans="1:6" ht="13.2" thickBot="1" x14ac:dyDescent="0.6">
      <c r="A209" s="106">
        <v>202</v>
      </c>
      <c r="B209" s="220" t="s">
        <v>389</v>
      </c>
      <c r="C209" s="225" t="s">
        <v>2501</v>
      </c>
      <c r="D209" s="225" t="s">
        <v>1055</v>
      </c>
      <c r="E209" s="232" t="s">
        <v>2428</v>
      </c>
      <c r="F209" s="104" t="s">
        <v>332</v>
      </c>
    </row>
    <row r="210" spans="1:6" ht="126.75" customHeight="1" thickBot="1" x14ac:dyDescent="0.6">
      <c r="A210" s="105">
        <v>203</v>
      </c>
      <c r="B210" s="220" t="s">
        <v>389</v>
      </c>
      <c r="C210" s="225" t="s">
        <v>2502</v>
      </c>
      <c r="D210" s="225" t="s">
        <v>1056</v>
      </c>
      <c r="E210" s="232" t="s">
        <v>2428</v>
      </c>
      <c r="F210" s="104" t="s">
        <v>332</v>
      </c>
    </row>
    <row r="211" spans="1:6" ht="13.2" thickBot="1" x14ac:dyDescent="0.6">
      <c r="A211" s="106">
        <v>204</v>
      </c>
      <c r="B211" s="220" t="s">
        <v>389</v>
      </c>
      <c r="C211" s="225" t="s">
        <v>2503</v>
      </c>
      <c r="D211" s="225" t="s">
        <v>1057</v>
      </c>
      <c r="E211" s="232" t="s">
        <v>2428</v>
      </c>
      <c r="F211" s="104" t="s">
        <v>332</v>
      </c>
    </row>
    <row r="212" spans="1:6" ht="26.1" thickBot="1" x14ac:dyDescent="0.6">
      <c r="A212" s="105">
        <v>205</v>
      </c>
      <c r="B212" s="220" t="s">
        <v>389</v>
      </c>
      <c r="C212" s="225" t="s">
        <v>2504</v>
      </c>
      <c r="D212" s="225" t="s">
        <v>1058</v>
      </c>
      <c r="E212" s="232" t="s">
        <v>2428</v>
      </c>
      <c r="F212" s="104" t="s">
        <v>332</v>
      </c>
    </row>
    <row r="213" spans="1:6" ht="26.1" thickBot="1" x14ac:dyDescent="0.6">
      <c r="A213" s="106">
        <v>206</v>
      </c>
      <c r="B213" s="221" t="s">
        <v>389</v>
      </c>
      <c r="C213" s="225" t="s">
        <v>2505</v>
      </c>
      <c r="D213" s="225" t="s">
        <v>1059</v>
      </c>
      <c r="E213" s="232" t="s">
        <v>2428</v>
      </c>
      <c r="F213" s="104" t="s">
        <v>332</v>
      </c>
    </row>
    <row r="214" spans="1:6" ht="26.1" thickBot="1" x14ac:dyDescent="0.6">
      <c r="A214" s="106">
        <v>207</v>
      </c>
      <c r="B214" s="220" t="s">
        <v>389</v>
      </c>
      <c r="C214" s="225" t="s">
        <v>2506</v>
      </c>
      <c r="D214" s="225" t="s">
        <v>1060</v>
      </c>
      <c r="E214" s="232" t="s">
        <v>2428</v>
      </c>
      <c r="F214" s="104" t="s">
        <v>332</v>
      </c>
    </row>
    <row r="215" spans="1:6" ht="13.2" thickBot="1" x14ac:dyDescent="0.6">
      <c r="A215" s="106">
        <v>208</v>
      </c>
      <c r="B215" s="220" t="s">
        <v>389</v>
      </c>
      <c r="C215" s="225" t="s">
        <v>2507</v>
      </c>
      <c r="D215" s="225" t="s">
        <v>1061</v>
      </c>
      <c r="E215" s="232" t="s">
        <v>2428</v>
      </c>
      <c r="F215" s="104" t="s">
        <v>332</v>
      </c>
    </row>
    <row r="216" spans="1:6" ht="69" customHeight="1" thickBot="1" x14ac:dyDescent="0.6">
      <c r="A216" s="106">
        <v>209</v>
      </c>
      <c r="B216" s="220" t="s">
        <v>389</v>
      </c>
      <c r="C216" s="225" t="s">
        <v>2508</v>
      </c>
      <c r="D216" s="225" t="s">
        <v>1062</v>
      </c>
      <c r="E216" s="232" t="s">
        <v>2428</v>
      </c>
      <c r="F216" s="104" t="s">
        <v>332</v>
      </c>
    </row>
    <row r="217" spans="1:6" ht="13.2" thickBot="1" x14ac:dyDescent="0.6">
      <c r="A217" s="106">
        <v>210</v>
      </c>
      <c r="B217" s="220" t="s">
        <v>389</v>
      </c>
      <c r="C217" s="225" t="s">
        <v>2509</v>
      </c>
      <c r="D217" s="225" t="s">
        <v>1063</v>
      </c>
      <c r="E217" s="232" t="s">
        <v>2428</v>
      </c>
      <c r="F217" s="104" t="s">
        <v>332</v>
      </c>
    </row>
    <row r="218" spans="1:6" ht="26.1" thickBot="1" x14ac:dyDescent="0.6">
      <c r="A218" s="106">
        <v>211</v>
      </c>
      <c r="B218" s="220" t="s">
        <v>389</v>
      </c>
      <c r="C218" s="225" t="s">
        <v>2510</v>
      </c>
      <c r="D218" s="225" t="s">
        <v>1064</v>
      </c>
      <c r="E218" s="232" t="s">
        <v>2428</v>
      </c>
      <c r="F218" s="104" t="s">
        <v>332</v>
      </c>
    </row>
    <row r="219" spans="1:6" ht="13.2" thickBot="1" x14ac:dyDescent="0.6">
      <c r="A219" s="106">
        <v>212</v>
      </c>
      <c r="B219" s="220" t="s">
        <v>389</v>
      </c>
      <c r="C219" s="225" t="s">
        <v>2511</v>
      </c>
      <c r="D219" s="225" t="s">
        <v>1065</v>
      </c>
      <c r="E219" s="232" t="s">
        <v>2428</v>
      </c>
      <c r="F219" s="104" t="s">
        <v>332</v>
      </c>
    </row>
    <row r="220" spans="1:6" ht="26.1" thickBot="1" x14ac:dyDescent="0.6">
      <c r="A220" s="106">
        <v>213</v>
      </c>
      <c r="B220" s="220" t="s">
        <v>389</v>
      </c>
      <c r="C220" s="225" t="s">
        <v>2512</v>
      </c>
      <c r="D220" s="225" t="s">
        <v>1066</v>
      </c>
      <c r="E220" s="232" t="s">
        <v>2428</v>
      </c>
      <c r="F220" s="104" t="s">
        <v>332</v>
      </c>
    </row>
    <row r="221" spans="1:6" ht="13.2" thickBot="1" x14ac:dyDescent="0.6">
      <c r="A221" s="106">
        <v>214</v>
      </c>
      <c r="B221" s="220" t="s">
        <v>389</v>
      </c>
      <c r="C221" s="225" t="s">
        <v>2513</v>
      </c>
      <c r="D221" s="225" t="s">
        <v>1067</v>
      </c>
      <c r="E221" s="232" t="s">
        <v>2428</v>
      </c>
      <c r="F221" s="104" t="s">
        <v>332</v>
      </c>
    </row>
    <row r="222" spans="1:6" ht="13.2" thickBot="1" x14ac:dyDescent="0.6">
      <c r="A222" s="106">
        <v>215</v>
      </c>
      <c r="B222" s="220" t="s">
        <v>389</v>
      </c>
      <c r="C222" s="225" t="s">
        <v>2514</v>
      </c>
      <c r="D222" s="225" t="s">
        <v>1068</v>
      </c>
      <c r="E222" s="232" t="s">
        <v>2428</v>
      </c>
      <c r="F222" s="104" t="s">
        <v>332</v>
      </c>
    </row>
    <row r="223" spans="1:6" ht="13.2" thickBot="1" x14ac:dyDescent="0.6">
      <c r="A223" s="106">
        <v>216</v>
      </c>
      <c r="B223" s="220" t="s">
        <v>389</v>
      </c>
      <c r="C223" s="225" t="s">
        <v>2515</v>
      </c>
      <c r="D223" s="225" t="s">
        <v>1069</v>
      </c>
      <c r="E223" s="232" t="s">
        <v>2428</v>
      </c>
      <c r="F223" s="104" t="s">
        <v>332</v>
      </c>
    </row>
    <row r="224" spans="1:6" ht="13.2" thickBot="1" x14ac:dyDescent="0.6">
      <c r="A224" s="106">
        <v>217</v>
      </c>
      <c r="B224" s="220" t="s">
        <v>389</v>
      </c>
      <c r="C224" s="225" t="s">
        <v>2516</v>
      </c>
      <c r="D224" s="225" t="s">
        <v>1070</v>
      </c>
      <c r="E224" s="232" t="s">
        <v>2428</v>
      </c>
      <c r="F224" s="104" t="s">
        <v>332</v>
      </c>
    </row>
    <row r="225" spans="1:6" ht="13.2" thickBot="1" x14ac:dyDescent="0.6">
      <c r="A225" s="106">
        <v>218</v>
      </c>
      <c r="B225" s="220" t="s">
        <v>389</v>
      </c>
      <c r="C225" s="225" t="s">
        <v>2517</v>
      </c>
      <c r="D225" s="225" t="s">
        <v>1071</v>
      </c>
      <c r="E225" s="232" t="s">
        <v>2428</v>
      </c>
      <c r="F225" s="104" t="s">
        <v>332</v>
      </c>
    </row>
    <row r="226" spans="1:6" ht="13.2" thickBot="1" x14ac:dyDescent="0.6">
      <c r="A226" s="106">
        <v>219</v>
      </c>
      <c r="B226" s="220" t="s">
        <v>389</v>
      </c>
      <c r="C226" s="225" t="s">
        <v>2518</v>
      </c>
      <c r="D226" s="225" t="s">
        <v>1072</v>
      </c>
      <c r="E226" s="232" t="s">
        <v>2428</v>
      </c>
      <c r="F226" s="104" t="s">
        <v>332</v>
      </c>
    </row>
    <row r="227" spans="1:6" ht="108.75" customHeight="1" thickBot="1" x14ac:dyDescent="0.6">
      <c r="A227" s="105">
        <v>220</v>
      </c>
      <c r="B227" s="220" t="s">
        <v>389</v>
      </c>
      <c r="C227" s="225" t="s">
        <v>2519</v>
      </c>
      <c r="D227" s="225" t="s">
        <v>1073</v>
      </c>
      <c r="E227" s="232" t="s">
        <v>2428</v>
      </c>
      <c r="F227" s="104" t="s">
        <v>332</v>
      </c>
    </row>
    <row r="228" spans="1:6" ht="13.2" thickBot="1" x14ac:dyDescent="0.6">
      <c r="A228" s="105">
        <v>221</v>
      </c>
      <c r="B228" s="220" t="s">
        <v>389</v>
      </c>
      <c r="C228" s="225" t="s">
        <v>2520</v>
      </c>
      <c r="D228" s="225" t="s">
        <v>1074</v>
      </c>
      <c r="E228" s="232" t="s">
        <v>2428</v>
      </c>
      <c r="F228" s="104" t="s">
        <v>332</v>
      </c>
    </row>
    <row r="229" spans="1:6" ht="44.5" customHeight="1" thickBot="1" x14ac:dyDescent="0.6">
      <c r="A229" s="106">
        <v>222</v>
      </c>
      <c r="B229" s="220" t="s">
        <v>389</v>
      </c>
      <c r="C229" s="225" t="s">
        <v>2521</v>
      </c>
      <c r="D229" s="225" t="s">
        <v>1075</v>
      </c>
      <c r="E229" s="232" t="s">
        <v>2428</v>
      </c>
      <c r="F229" s="104" t="s">
        <v>332</v>
      </c>
    </row>
    <row r="230" spans="1:6" ht="13.2" thickBot="1" x14ac:dyDescent="0.6">
      <c r="A230" s="105">
        <v>223</v>
      </c>
      <c r="B230" s="220" t="s">
        <v>389</v>
      </c>
      <c r="C230" s="225" t="s">
        <v>2522</v>
      </c>
      <c r="D230" s="225" t="s">
        <v>1076</v>
      </c>
      <c r="E230" s="232" t="s">
        <v>2428</v>
      </c>
      <c r="F230" s="104" t="s">
        <v>332</v>
      </c>
    </row>
    <row r="231" spans="1:6" ht="13.2" thickBot="1" x14ac:dyDescent="0.6">
      <c r="A231" s="105">
        <v>224</v>
      </c>
      <c r="B231" s="220" t="s">
        <v>389</v>
      </c>
      <c r="C231" s="225" t="s">
        <v>2523</v>
      </c>
      <c r="D231" s="225" t="s">
        <v>1077</v>
      </c>
      <c r="E231" s="232" t="s">
        <v>2428</v>
      </c>
      <c r="F231" s="104" t="s">
        <v>332</v>
      </c>
    </row>
    <row r="232" spans="1:6" ht="26.1" thickBot="1" x14ac:dyDescent="0.6">
      <c r="A232" s="105">
        <v>225</v>
      </c>
      <c r="B232" s="220" t="s">
        <v>389</v>
      </c>
      <c r="C232" s="225" t="s">
        <v>2524</v>
      </c>
      <c r="D232" s="225" t="s">
        <v>1078</v>
      </c>
      <c r="E232" s="232" t="s">
        <v>2428</v>
      </c>
      <c r="F232" s="104" t="s">
        <v>332</v>
      </c>
    </row>
    <row r="233" spans="1:6" ht="13.2" thickBot="1" x14ac:dyDescent="0.6">
      <c r="A233" s="105">
        <v>226</v>
      </c>
      <c r="B233" s="220" t="s">
        <v>389</v>
      </c>
      <c r="C233" s="225" t="s">
        <v>2525</v>
      </c>
      <c r="D233" s="225" t="s">
        <v>1079</v>
      </c>
      <c r="E233" s="232" t="s">
        <v>2428</v>
      </c>
      <c r="F233" s="104" t="s">
        <v>332</v>
      </c>
    </row>
    <row r="234" spans="1:6" ht="13.2" thickBot="1" x14ac:dyDescent="0.6">
      <c r="A234" s="105">
        <v>227</v>
      </c>
      <c r="B234" s="220" t="s">
        <v>389</v>
      </c>
      <c r="C234" s="225" t="s">
        <v>2526</v>
      </c>
      <c r="D234" s="225" t="s">
        <v>1080</v>
      </c>
      <c r="E234" s="232" t="s">
        <v>2428</v>
      </c>
      <c r="F234" s="104" t="s">
        <v>332</v>
      </c>
    </row>
    <row r="235" spans="1:6" ht="13.2" thickBot="1" x14ac:dyDescent="0.6">
      <c r="A235" s="105">
        <v>228</v>
      </c>
      <c r="B235" s="220" t="s">
        <v>389</v>
      </c>
      <c r="C235" s="225" t="s">
        <v>2527</v>
      </c>
      <c r="D235" s="225" t="s">
        <v>1081</v>
      </c>
      <c r="E235" s="232" t="s">
        <v>2428</v>
      </c>
      <c r="F235" s="104" t="s">
        <v>332</v>
      </c>
    </row>
    <row r="236" spans="1:6" ht="26.1" thickBot="1" x14ac:dyDescent="0.6">
      <c r="A236" s="103">
        <v>229</v>
      </c>
      <c r="B236" s="220" t="s">
        <v>389</v>
      </c>
      <c r="C236" s="225" t="s">
        <v>2528</v>
      </c>
      <c r="D236" s="225" t="s">
        <v>1082</v>
      </c>
      <c r="E236" s="232" t="s">
        <v>2428</v>
      </c>
      <c r="F236" s="104" t="s">
        <v>332</v>
      </c>
    </row>
    <row r="237" spans="1:6" ht="26.1" thickBot="1" x14ac:dyDescent="0.6">
      <c r="A237" s="105">
        <v>230</v>
      </c>
      <c r="B237" s="220" t="s">
        <v>389</v>
      </c>
      <c r="C237" s="225" t="s">
        <v>2529</v>
      </c>
      <c r="D237" s="225" t="s">
        <v>1083</v>
      </c>
      <c r="E237" s="232" t="s">
        <v>2428</v>
      </c>
      <c r="F237" s="104" t="s">
        <v>332</v>
      </c>
    </row>
    <row r="238" spans="1:6" ht="26.1" thickBot="1" x14ac:dyDescent="0.6">
      <c r="A238" s="106">
        <v>231</v>
      </c>
      <c r="B238" s="220" t="s">
        <v>389</v>
      </c>
      <c r="C238" s="225" t="s">
        <v>2530</v>
      </c>
      <c r="D238" s="225" t="s">
        <v>1084</v>
      </c>
      <c r="E238" s="232" t="s">
        <v>2428</v>
      </c>
      <c r="F238" s="104" t="s">
        <v>332</v>
      </c>
    </row>
    <row r="239" spans="1:6" ht="13.2" thickBot="1" x14ac:dyDescent="0.6">
      <c r="A239" s="105">
        <v>232</v>
      </c>
      <c r="B239" s="220" t="s">
        <v>389</v>
      </c>
      <c r="C239" s="225" t="s">
        <v>2531</v>
      </c>
      <c r="D239" s="225" t="s">
        <v>1085</v>
      </c>
      <c r="E239" s="232" t="s">
        <v>2428</v>
      </c>
      <c r="F239" s="104" t="s">
        <v>332</v>
      </c>
    </row>
    <row r="240" spans="1:6" ht="13.2" thickBot="1" x14ac:dyDescent="0.6">
      <c r="A240" s="106">
        <v>233</v>
      </c>
      <c r="B240" s="220" t="s">
        <v>389</v>
      </c>
      <c r="C240" s="225" t="s">
        <v>2532</v>
      </c>
      <c r="D240" s="225" t="s">
        <v>1086</v>
      </c>
      <c r="E240" s="232" t="s">
        <v>2428</v>
      </c>
      <c r="F240" s="104" t="s">
        <v>332</v>
      </c>
    </row>
    <row r="241" spans="1:6" ht="13.2" thickBot="1" x14ac:dyDescent="0.6">
      <c r="A241" s="106">
        <v>234</v>
      </c>
      <c r="B241" s="220" t="s">
        <v>389</v>
      </c>
      <c r="C241" s="225" t="s">
        <v>2533</v>
      </c>
      <c r="D241" s="225" t="s">
        <v>1087</v>
      </c>
      <c r="E241" s="232" t="s">
        <v>2428</v>
      </c>
      <c r="F241" s="104" t="s">
        <v>332</v>
      </c>
    </row>
    <row r="242" spans="1:6" ht="26.1" thickBot="1" x14ac:dyDescent="0.6">
      <c r="A242" s="105">
        <v>235</v>
      </c>
      <c r="B242" s="221" t="s">
        <v>389</v>
      </c>
      <c r="C242" s="225" t="s">
        <v>2534</v>
      </c>
      <c r="D242" s="225" t="s">
        <v>1088</v>
      </c>
      <c r="E242" s="232" t="s">
        <v>2428</v>
      </c>
      <c r="F242" s="104" t="s">
        <v>332</v>
      </c>
    </row>
    <row r="243" spans="1:6" ht="26.1" thickBot="1" x14ac:dyDescent="0.6">
      <c r="A243" s="106">
        <v>236</v>
      </c>
      <c r="B243" s="221" t="s">
        <v>389</v>
      </c>
      <c r="C243" s="226" t="s">
        <v>2535</v>
      </c>
      <c r="D243" s="226" t="s">
        <v>1089</v>
      </c>
      <c r="E243" s="232" t="s">
        <v>2428</v>
      </c>
      <c r="F243" s="104" t="s">
        <v>332</v>
      </c>
    </row>
    <row r="244" spans="1:6" ht="51.9" thickBot="1" x14ac:dyDescent="0.6">
      <c r="A244" s="105">
        <v>237</v>
      </c>
      <c r="B244" s="221" t="s">
        <v>389</v>
      </c>
      <c r="C244" s="226" t="s">
        <v>2536</v>
      </c>
      <c r="D244" s="226" t="s">
        <v>1090</v>
      </c>
      <c r="E244" s="232" t="s">
        <v>2428</v>
      </c>
      <c r="F244" s="104" t="s">
        <v>332</v>
      </c>
    </row>
    <row r="245" spans="1:6" ht="13.2" thickBot="1" x14ac:dyDescent="0.6">
      <c r="A245" s="105">
        <v>238</v>
      </c>
      <c r="B245" s="220" t="s">
        <v>389</v>
      </c>
      <c r="C245" s="225" t="s">
        <v>2537</v>
      </c>
      <c r="D245" s="225" t="s">
        <v>1091</v>
      </c>
      <c r="E245" s="232" t="s">
        <v>2428</v>
      </c>
      <c r="F245" s="104" t="s">
        <v>332</v>
      </c>
    </row>
    <row r="246" spans="1:6" ht="71.5" customHeight="1" thickBot="1" x14ac:dyDescent="0.6">
      <c r="A246" s="105">
        <v>239</v>
      </c>
      <c r="B246" s="220" t="s">
        <v>389</v>
      </c>
      <c r="C246" s="225" t="s">
        <v>2538</v>
      </c>
      <c r="D246" s="225" t="s">
        <v>1092</v>
      </c>
      <c r="E246" s="232" t="s">
        <v>2428</v>
      </c>
      <c r="F246" s="104" t="s">
        <v>332</v>
      </c>
    </row>
    <row r="247" spans="1:6" ht="46.9" customHeight="1" thickBot="1" x14ac:dyDescent="0.6">
      <c r="A247" s="106">
        <v>240</v>
      </c>
      <c r="B247" s="220" t="s">
        <v>389</v>
      </c>
      <c r="C247" s="226" t="s">
        <v>2539</v>
      </c>
      <c r="D247" s="226" t="s">
        <v>1093</v>
      </c>
      <c r="E247" s="232" t="s">
        <v>2428</v>
      </c>
      <c r="F247" s="104" t="s">
        <v>332</v>
      </c>
    </row>
    <row r="248" spans="1:6" ht="13.2" thickBot="1" x14ac:dyDescent="0.6">
      <c r="A248" s="106">
        <v>241</v>
      </c>
      <c r="B248" s="220" t="s">
        <v>389</v>
      </c>
      <c r="C248" s="225" t="s">
        <v>2540</v>
      </c>
      <c r="D248" s="225" t="s">
        <v>1094</v>
      </c>
      <c r="E248" s="232" t="s">
        <v>2428</v>
      </c>
      <c r="F248" s="104" t="s">
        <v>332</v>
      </c>
    </row>
    <row r="249" spans="1:6" ht="39" thickBot="1" x14ac:dyDescent="0.6">
      <c r="A249" s="106">
        <v>242</v>
      </c>
      <c r="B249" s="220" t="s">
        <v>389</v>
      </c>
      <c r="C249" s="225" t="s">
        <v>2541</v>
      </c>
      <c r="D249" s="225" t="s">
        <v>1095</v>
      </c>
      <c r="E249" s="232" t="s">
        <v>789</v>
      </c>
      <c r="F249" s="104" t="s">
        <v>332</v>
      </c>
    </row>
    <row r="250" spans="1:6" ht="13.2" thickBot="1" x14ac:dyDescent="0.6">
      <c r="A250" s="106">
        <v>243</v>
      </c>
      <c r="B250" s="220" t="s">
        <v>389</v>
      </c>
      <c r="C250" s="225" t="s">
        <v>2542</v>
      </c>
      <c r="D250" s="225" t="s">
        <v>1096</v>
      </c>
      <c r="E250" s="232" t="s">
        <v>2428</v>
      </c>
      <c r="F250" s="104" t="s">
        <v>332</v>
      </c>
    </row>
    <row r="251" spans="1:6" ht="13.2" thickBot="1" x14ac:dyDescent="0.6">
      <c r="A251" s="105">
        <v>244</v>
      </c>
      <c r="B251" s="220" t="s">
        <v>389</v>
      </c>
      <c r="C251" s="225" t="s">
        <v>2543</v>
      </c>
      <c r="D251" s="225" t="s">
        <v>1097</v>
      </c>
      <c r="E251" s="232" t="s">
        <v>2428</v>
      </c>
      <c r="F251" s="104" t="s">
        <v>332</v>
      </c>
    </row>
    <row r="252" spans="1:6" ht="13.2" thickBot="1" x14ac:dyDescent="0.6">
      <c r="A252" s="105">
        <v>245</v>
      </c>
      <c r="B252" s="220" t="s">
        <v>389</v>
      </c>
      <c r="C252" s="225" t="s">
        <v>2544</v>
      </c>
      <c r="D252" s="225" t="s">
        <v>1098</v>
      </c>
      <c r="E252" s="232" t="s">
        <v>2428</v>
      </c>
      <c r="F252" s="104" t="s">
        <v>332</v>
      </c>
    </row>
    <row r="253" spans="1:6" ht="26.1" thickBot="1" x14ac:dyDescent="0.6">
      <c r="A253" s="103">
        <v>246</v>
      </c>
      <c r="B253" s="220" t="s">
        <v>389</v>
      </c>
      <c r="C253" s="225" t="s">
        <v>2545</v>
      </c>
      <c r="D253" s="225" t="s">
        <v>1099</v>
      </c>
      <c r="E253" s="232" t="s">
        <v>2428</v>
      </c>
      <c r="F253" s="104" t="s">
        <v>332</v>
      </c>
    </row>
    <row r="254" spans="1:6" ht="78.75" customHeight="1" thickBot="1" x14ac:dyDescent="0.6">
      <c r="A254" s="105">
        <v>247</v>
      </c>
      <c r="B254" s="220" t="s">
        <v>389</v>
      </c>
      <c r="C254" s="225" t="s">
        <v>2546</v>
      </c>
      <c r="D254" s="225" t="s">
        <v>1100</v>
      </c>
      <c r="E254" s="232" t="s">
        <v>2428</v>
      </c>
      <c r="F254" s="104" t="s">
        <v>332</v>
      </c>
    </row>
    <row r="255" spans="1:6" ht="51.9" thickBot="1" x14ac:dyDescent="0.6">
      <c r="A255" s="105">
        <v>248</v>
      </c>
      <c r="B255" s="221" t="s">
        <v>389</v>
      </c>
      <c r="C255" s="225" t="s">
        <v>2547</v>
      </c>
      <c r="D255" s="225" t="s">
        <v>1101</v>
      </c>
      <c r="E255" s="232" t="s">
        <v>2428</v>
      </c>
      <c r="F255" s="104" t="s">
        <v>332</v>
      </c>
    </row>
    <row r="256" spans="1:6" ht="77.7" thickBot="1" x14ac:dyDescent="0.6">
      <c r="A256" s="106">
        <v>249</v>
      </c>
      <c r="B256" s="220" t="s">
        <v>389</v>
      </c>
      <c r="C256" s="225" t="s">
        <v>2548</v>
      </c>
      <c r="D256" s="225" t="s">
        <v>1102</v>
      </c>
      <c r="E256" s="232" t="s">
        <v>2428</v>
      </c>
      <c r="F256" s="104" t="s">
        <v>332</v>
      </c>
    </row>
    <row r="257" spans="1:6" ht="13.2" thickBot="1" x14ac:dyDescent="0.6">
      <c r="A257" s="106">
        <v>250</v>
      </c>
      <c r="B257" s="220" t="s">
        <v>389</v>
      </c>
      <c r="C257" s="225" t="s">
        <v>2549</v>
      </c>
      <c r="D257" s="225" t="s">
        <v>1103</v>
      </c>
      <c r="E257" s="232" t="s">
        <v>2428</v>
      </c>
      <c r="F257" s="104" t="s">
        <v>332</v>
      </c>
    </row>
    <row r="258" spans="1:6" ht="26.1" thickBot="1" x14ac:dyDescent="0.6">
      <c r="A258" s="105">
        <v>251</v>
      </c>
      <c r="B258" s="220" t="s">
        <v>389</v>
      </c>
      <c r="C258" s="225" t="s">
        <v>2550</v>
      </c>
      <c r="D258" s="225" t="s">
        <v>1104</v>
      </c>
      <c r="E258" s="232" t="s">
        <v>2428</v>
      </c>
      <c r="F258" s="104" t="s">
        <v>332</v>
      </c>
    </row>
    <row r="259" spans="1:6" ht="13.2" thickBot="1" x14ac:dyDescent="0.6">
      <c r="A259" s="106">
        <v>252</v>
      </c>
      <c r="B259" s="221" t="s">
        <v>389</v>
      </c>
      <c r="C259" s="226" t="s">
        <v>2551</v>
      </c>
      <c r="D259" s="226" t="s">
        <v>1105</v>
      </c>
      <c r="E259" s="232" t="s">
        <v>2428</v>
      </c>
      <c r="F259" s="104" t="s">
        <v>332</v>
      </c>
    </row>
    <row r="260" spans="1:6" ht="13.2" thickBot="1" x14ac:dyDescent="0.6">
      <c r="A260" s="106">
        <v>253</v>
      </c>
      <c r="B260" s="221" t="s">
        <v>389</v>
      </c>
      <c r="C260" s="225" t="s">
        <v>2552</v>
      </c>
      <c r="D260" s="225" t="s">
        <v>1106</v>
      </c>
      <c r="E260" s="232" t="s">
        <v>2428</v>
      </c>
      <c r="F260" s="104" t="s">
        <v>332</v>
      </c>
    </row>
    <row r="261" spans="1:6" ht="26.1" thickBot="1" x14ac:dyDescent="0.6">
      <c r="A261" s="105">
        <v>254</v>
      </c>
      <c r="B261" s="221" t="s">
        <v>389</v>
      </c>
      <c r="C261" s="225" t="s">
        <v>2553</v>
      </c>
      <c r="D261" s="225" t="s">
        <v>1107</v>
      </c>
      <c r="E261" s="232" t="s">
        <v>2428</v>
      </c>
      <c r="F261" s="104" t="s">
        <v>332</v>
      </c>
    </row>
    <row r="262" spans="1:6" ht="26.1" thickBot="1" x14ac:dyDescent="0.6">
      <c r="A262" s="106">
        <v>255</v>
      </c>
      <c r="B262" s="221" t="s">
        <v>389</v>
      </c>
      <c r="C262" s="225" t="s">
        <v>2554</v>
      </c>
      <c r="D262" s="225" t="s">
        <v>1108</v>
      </c>
      <c r="E262" s="232" t="s">
        <v>2428</v>
      </c>
      <c r="F262" s="104" t="s">
        <v>332</v>
      </c>
    </row>
    <row r="263" spans="1:6" ht="13.2" thickBot="1" x14ac:dyDescent="0.6">
      <c r="A263" s="106">
        <v>256</v>
      </c>
      <c r="B263" s="220" t="s">
        <v>389</v>
      </c>
      <c r="C263" s="225" t="s">
        <v>2555</v>
      </c>
      <c r="D263" s="225" t="s">
        <v>1109</v>
      </c>
      <c r="E263" s="232" t="s">
        <v>2428</v>
      </c>
      <c r="F263" s="104" t="s">
        <v>332</v>
      </c>
    </row>
    <row r="264" spans="1:6" ht="13.2" thickBot="1" x14ac:dyDescent="0.6">
      <c r="A264" s="106">
        <v>257</v>
      </c>
      <c r="B264" s="220" t="s">
        <v>389</v>
      </c>
      <c r="C264" s="225" t="s">
        <v>2556</v>
      </c>
      <c r="D264" s="225" t="s">
        <v>1110</v>
      </c>
      <c r="E264" s="232" t="s">
        <v>2428</v>
      </c>
      <c r="F264" s="104" t="s">
        <v>332</v>
      </c>
    </row>
    <row r="265" spans="1:6" ht="26.1" thickBot="1" x14ac:dyDescent="0.6">
      <c r="A265" s="106">
        <v>258</v>
      </c>
      <c r="B265" s="220" t="s">
        <v>389</v>
      </c>
      <c r="C265" s="225" t="s">
        <v>2557</v>
      </c>
      <c r="D265" s="225" t="s">
        <v>1111</v>
      </c>
      <c r="E265" s="232" t="s">
        <v>2428</v>
      </c>
      <c r="F265" s="104" t="s">
        <v>332</v>
      </c>
    </row>
    <row r="266" spans="1:6" ht="13.2" thickBot="1" x14ac:dyDescent="0.6">
      <c r="A266" s="106">
        <v>259</v>
      </c>
      <c r="B266" s="220" t="s">
        <v>389</v>
      </c>
      <c r="C266" s="225" t="s">
        <v>2558</v>
      </c>
      <c r="D266" s="225" t="s">
        <v>1112</v>
      </c>
      <c r="E266" s="232" t="s">
        <v>2428</v>
      </c>
      <c r="F266" s="104" t="s">
        <v>332</v>
      </c>
    </row>
    <row r="267" spans="1:6" ht="13.2" thickBot="1" x14ac:dyDescent="0.6">
      <c r="A267" s="105">
        <v>260</v>
      </c>
      <c r="B267" s="215" t="s">
        <v>891</v>
      </c>
      <c r="C267" s="227" t="s">
        <v>391</v>
      </c>
      <c r="D267" s="227" t="s">
        <v>391</v>
      </c>
      <c r="E267" s="232" t="e">
        <v>#N/A</v>
      </c>
      <c r="F267" s="104" t="s">
        <v>2433</v>
      </c>
    </row>
    <row r="268" spans="1:6" ht="13.2" thickBot="1" x14ac:dyDescent="0.6">
      <c r="A268" s="105">
        <v>261</v>
      </c>
      <c r="B268" s="220" t="s">
        <v>891</v>
      </c>
      <c r="C268" s="225" t="s">
        <v>1113</v>
      </c>
      <c r="D268" s="225" t="s">
        <v>1113</v>
      </c>
      <c r="E268" s="232" t="s">
        <v>2428</v>
      </c>
      <c r="F268" s="104" t="s">
        <v>332</v>
      </c>
    </row>
    <row r="269" spans="1:6" ht="13.2" thickBot="1" x14ac:dyDescent="0.6">
      <c r="A269" s="103">
        <v>262</v>
      </c>
      <c r="B269" s="220" t="s">
        <v>891</v>
      </c>
      <c r="C269" s="225" t="s">
        <v>1114</v>
      </c>
      <c r="D269" s="225" t="s">
        <v>1114</v>
      </c>
      <c r="E269" s="232" t="s">
        <v>2428</v>
      </c>
      <c r="F269" s="104" t="s">
        <v>332</v>
      </c>
    </row>
    <row r="270" spans="1:6" ht="13.2" thickBot="1" x14ac:dyDescent="0.6">
      <c r="A270" s="103">
        <v>263</v>
      </c>
      <c r="B270" s="220" t="s">
        <v>891</v>
      </c>
      <c r="C270" s="225" t="s">
        <v>1115</v>
      </c>
      <c r="D270" s="225" t="s">
        <v>1115</v>
      </c>
      <c r="E270" s="232" t="s">
        <v>2428</v>
      </c>
      <c r="F270" s="104" t="s">
        <v>332</v>
      </c>
    </row>
    <row r="271" spans="1:6" ht="13.2" thickBot="1" x14ac:dyDescent="0.6">
      <c r="A271" s="105">
        <v>264</v>
      </c>
      <c r="B271" s="220" t="s">
        <v>891</v>
      </c>
      <c r="C271" s="225" t="s">
        <v>397</v>
      </c>
      <c r="D271" s="225" t="s">
        <v>397</v>
      </c>
      <c r="E271" s="232" t="s">
        <v>2428</v>
      </c>
      <c r="F271" s="104" t="s">
        <v>332</v>
      </c>
    </row>
    <row r="272" spans="1:6" ht="84.75" customHeight="1" thickBot="1" x14ac:dyDescent="0.6">
      <c r="A272" s="105">
        <v>265</v>
      </c>
      <c r="B272" s="220" t="s">
        <v>891</v>
      </c>
      <c r="C272" s="225" t="s">
        <v>1116</v>
      </c>
      <c r="D272" s="225" t="s">
        <v>1116</v>
      </c>
      <c r="E272" s="232" t="s">
        <v>2428</v>
      </c>
      <c r="F272" s="104" t="s">
        <v>332</v>
      </c>
    </row>
    <row r="273" spans="1:6" ht="13.2" thickBot="1" x14ac:dyDescent="0.6">
      <c r="A273" s="105">
        <v>266</v>
      </c>
      <c r="B273" s="220" t="s">
        <v>891</v>
      </c>
      <c r="C273" s="225" t="s">
        <v>398</v>
      </c>
      <c r="D273" s="225" t="s">
        <v>398</v>
      </c>
      <c r="E273" s="232" t="s">
        <v>2428</v>
      </c>
      <c r="F273" s="104" t="s">
        <v>332</v>
      </c>
    </row>
    <row r="274" spans="1:6" ht="13.2" thickBot="1" x14ac:dyDescent="0.6">
      <c r="A274" s="106">
        <v>267</v>
      </c>
      <c r="B274" s="220" t="s">
        <v>891</v>
      </c>
      <c r="C274" s="225" t="s">
        <v>1117</v>
      </c>
      <c r="D274" s="225" t="s">
        <v>1117</v>
      </c>
      <c r="E274" s="232" t="s">
        <v>2428</v>
      </c>
      <c r="F274" s="104" t="s">
        <v>332</v>
      </c>
    </row>
    <row r="275" spans="1:6" ht="13.2" thickBot="1" x14ac:dyDescent="0.6">
      <c r="A275" s="106">
        <v>268</v>
      </c>
      <c r="B275" s="213" t="s">
        <v>891</v>
      </c>
      <c r="C275" s="225" t="s">
        <v>1118</v>
      </c>
      <c r="D275" s="225" t="s">
        <v>1118</v>
      </c>
      <c r="E275" s="232" t="s">
        <v>2428</v>
      </c>
      <c r="F275" s="104" t="s">
        <v>332</v>
      </c>
    </row>
    <row r="276" spans="1:6" ht="13.2" thickBot="1" x14ac:dyDescent="0.6">
      <c r="A276" s="105">
        <v>269</v>
      </c>
      <c r="B276" s="220" t="s">
        <v>891</v>
      </c>
      <c r="C276" s="225" t="s">
        <v>399</v>
      </c>
      <c r="D276" s="225" t="s">
        <v>399</v>
      </c>
      <c r="E276" s="232" t="s">
        <v>2428</v>
      </c>
      <c r="F276" s="104" t="s">
        <v>332</v>
      </c>
    </row>
    <row r="277" spans="1:6" ht="13.2" thickBot="1" x14ac:dyDescent="0.6">
      <c r="A277" s="105">
        <v>270</v>
      </c>
      <c r="B277" s="213" t="s">
        <v>891</v>
      </c>
      <c r="C277" s="225" t="s">
        <v>1119</v>
      </c>
      <c r="D277" s="225" t="s">
        <v>1119</v>
      </c>
      <c r="E277" s="232" t="s">
        <v>2428</v>
      </c>
      <c r="F277" s="104" t="s">
        <v>332</v>
      </c>
    </row>
    <row r="278" spans="1:6" ht="13.2" thickBot="1" x14ac:dyDescent="0.6">
      <c r="A278" s="105">
        <v>271</v>
      </c>
      <c r="B278" s="213" t="s">
        <v>891</v>
      </c>
      <c r="C278" s="225" t="s">
        <v>1120</v>
      </c>
      <c r="D278" s="225" t="s">
        <v>1120</v>
      </c>
      <c r="E278" s="232" t="s">
        <v>2428</v>
      </c>
      <c r="F278" s="104" t="s">
        <v>332</v>
      </c>
    </row>
    <row r="279" spans="1:6" ht="13.2" thickBot="1" x14ac:dyDescent="0.6">
      <c r="A279" s="106">
        <v>272</v>
      </c>
      <c r="B279" s="213" t="s">
        <v>891</v>
      </c>
      <c r="C279" s="225" t="s">
        <v>400</v>
      </c>
      <c r="D279" s="225" t="s">
        <v>400</v>
      </c>
      <c r="E279" s="232" t="s">
        <v>2428</v>
      </c>
      <c r="F279" s="104" t="s">
        <v>332</v>
      </c>
    </row>
    <row r="280" spans="1:6" ht="13.2" thickBot="1" x14ac:dyDescent="0.6">
      <c r="A280" s="105">
        <v>273</v>
      </c>
      <c r="B280" s="220" t="s">
        <v>891</v>
      </c>
      <c r="C280" s="225" t="s">
        <v>401</v>
      </c>
      <c r="D280" s="225" t="s">
        <v>401</v>
      </c>
      <c r="E280" s="232" t="s">
        <v>2428</v>
      </c>
      <c r="F280" s="104" t="s">
        <v>332</v>
      </c>
    </row>
    <row r="281" spans="1:6" ht="13.2" thickBot="1" x14ac:dyDescent="0.6">
      <c r="A281" s="105">
        <v>274</v>
      </c>
      <c r="B281" s="213" t="s">
        <v>891</v>
      </c>
      <c r="C281" s="225" t="s">
        <v>1121</v>
      </c>
      <c r="D281" s="225" t="s">
        <v>1121</v>
      </c>
      <c r="E281" s="232" t="s">
        <v>2428</v>
      </c>
      <c r="F281" s="104" t="s">
        <v>332</v>
      </c>
    </row>
    <row r="282" spans="1:6" ht="13.2" thickBot="1" x14ac:dyDescent="0.6">
      <c r="A282" s="106">
        <v>275</v>
      </c>
      <c r="B282" s="220" t="s">
        <v>891</v>
      </c>
      <c r="C282" s="225" t="s">
        <v>1122</v>
      </c>
      <c r="D282" s="225" t="s">
        <v>1122</v>
      </c>
      <c r="E282" s="232" t="s">
        <v>2428</v>
      </c>
      <c r="F282" s="104" t="s">
        <v>332</v>
      </c>
    </row>
    <row r="283" spans="1:6" ht="13.2" thickBot="1" x14ac:dyDescent="0.6">
      <c r="A283" s="103">
        <v>276</v>
      </c>
      <c r="B283" s="213" t="s">
        <v>891</v>
      </c>
      <c r="C283" s="225" t="s">
        <v>403</v>
      </c>
      <c r="D283" s="225" t="s">
        <v>403</v>
      </c>
      <c r="E283" s="232" t="s">
        <v>2428</v>
      </c>
      <c r="F283" s="104" t="s">
        <v>332</v>
      </c>
    </row>
    <row r="284" spans="1:6" ht="13.2" thickBot="1" x14ac:dyDescent="0.6">
      <c r="A284" s="103">
        <v>277</v>
      </c>
      <c r="B284" s="220" t="s">
        <v>891</v>
      </c>
      <c r="C284" s="225" t="s">
        <v>1123</v>
      </c>
      <c r="D284" s="225" t="s">
        <v>1123</v>
      </c>
      <c r="E284" s="232" t="s">
        <v>2428</v>
      </c>
      <c r="F284" s="104" t="s">
        <v>332</v>
      </c>
    </row>
    <row r="285" spans="1:6" ht="13.2" thickBot="1" x14ac:dyDescent="0.6">
      <c r="A285" s="105">
        <v>278</v>
      </c>
      <c r="B285" s="220" t="s">
        <v>891</v>
      </c>
      <c r="C285" s="225" t="s">
        <v>1124</v>
      </c>
      <c r="D285" s="225" t="s">
        <v>1124</v>
      </c>
      <c r="E285" s="232" t="s">
        <v>2428</v>
      </c>
      <c r="F285" s="104" t="s">
        <v>332</v>
      </c>
    </row>
    <row r="286" spans="1:6" ht="13.2" thickBot="1" x14ac:dyDescent="0.6">
      <c r="A286" s="106">
        <v>279</v>
      </c>
      <c r="B286" s="220" t="s">
        <v>891</v>
      </c>
      <c r="C286" s="225" t="s">
        <v>405</v>
      </c>
      <c r="D286" s="225" t="s">
        <v>405</v>
      </c>
      <c r="E286" s="232" t="s">
        <v>2428</v>
      </c>
      <c r="F286" s="104" t="s">
        <v>332</v>
      </c>
    </row>
    <row r="287" spans="1:6" ht="13.2" thickBot="1" x14ac:dyDescent="0.6">
      <c r="A287" s="103">
        <v>280</v>
      </c>
      <c r="B287" s="220" t="s">
        <v>891</v>
      </c>
      <c r="C287" s="225" t="s">
        <v>1125</v>
      </c>
      <c r="D287" s="225" t="s">
        <v>1125</v>
      </c>
      <c r="E287" s="232" t="s">
        <v>2428</v>
      </c>
      <c r="F287" s="104" t="s">
        <v>332</v>
      </c>
    </row>
    <row r="288" spans="1:6" ht="13.2" thickBot="1" x14ac:dyDescent="0.6">
      <c r="A288" s="105">
        <v>281</v>
      </c>
      <c r="B288" s="220" t="s">
        <v>891</v>
      </c>
      <c r="C288" s="225" t="s">
        <v>1126</v>
      </c>
      <c r="D288" s="225" t="s">
        <v>1126</v>
      </c>
      <c r="E288" s="232" t="s">
        <v>2428</v>
      </c>
      <c r="F288" s="104" t="s">
        <v>332</v>
      </c>
    </row>
    <row r="289" spans="1:6" ht="52.15" customHeight="1" thickBot="1" x14ac:dyDescent="0.6">
      <c r="A289" s="105">
        <v>282</v>
      </c>
      <c r="B289" s="213" t="s">
        <v>891</v>
      </c>
      <c r="C289" s="225" t="s">
        <v>407</v>
      </c>
      <c r="D289" s="225" t="s">
        <v>407</v>
      </c>
      <c r="E289" s="232" t="s">
        <v>2428</v>
      </c>
      <c r="F289" s="104" t="s">
        <v>332</v>
      </c>
    </row>
    <row r="290" spans="1:6" ht="13.2" thickBot="1" x14ac:dyDescent="0.6">
      <c r="A290" s="106">
        <v>283</v>
      </c>
      <c r="B290" s="213" t="s">
        <v>891</v>
      </c>
      <c r="C290" s="225" t="s">
        <v>406</v>
      </c>
      <c r="D290" s="225" t="s">
        <v>406</v>
      </c>
      <c r="E290" s="232" t="s">
        <v>2428</v>
      </c>
      <c r="F290" s="104" t="s">
        <v>332</v>
      </c>
    </row>
    <row r="291" spans="1:6" ht="13.2" thickBot="1" x14ac:dyDescent="0.6">
      <c r="A291" s="106">
        <v>284</v>
      </c>
      <c r="B291" s="220" t="s">
        <v>891</v>
      </c>
      <c r="C291" s="225" t="s">
        <v>408</v>
      </c>
      <c r="D291" s="225" t="s">
        <v>408</v>
      </c>
      <c r="E291" s="232" t="s">
        <v>2428</v>
      </c>
      <c r="F291" s="104" t="s">
        <v>332</v>
      </c>
    </row>
    <row r="292" spans="1:6" ht="13.2" thickBot="1" x14ac:dyDescent="0.6">
      <c r="A292" s="106">
        <v>285</v>
      </c>
      <c r="B292" s="220" t="s">
        <v>891</v>
      </c>
      <c r="C292" s="225" t="s">
        <v>409</v>
      </c>
      <c r="D292" s="225" t="s">
        <v>409</v>
      </c>
      <c r="E292" s="232" t="s">
        <v>2428</v>
      </c>
      <c r="F292" s="104" t="s">
        <v>332</v>
      </c>
    </row>
    <row r="293" spans="1:6" ht="13.2" thickBot="1" x14ac:dyDescent="0.6">
      <c r="A293" s="103">
        <v>286</v>
      </c>
      <c r="B293" s="220" t="s">
        <v>891</v>
      </c>
      <c r="C293" s="225" t="s">
        <v>1127</v>
      </c>
      <c r="D293" s="225" t="s">
        <v>1127</v>
      </c>
      <c r="E293" s="232" t="s">
        <v>2428</v>
      </c>
      <c r="F293" s="104" t="s">
        <v>332</v>
      </c>
    </row>
    <row r="294" spans="1:6" ht="13.2" thickBot="1" x14ac:dyDescent="0.6">
      <c r="A294" s="106">
        <v>287</v>
      </c>
      <c r="B294" s="221" t="s">
        <v>891</v>
      </c>
      <c r="C294" s="225" t="s">
        <v>394</v>
      </c>
      <c r="D294" s="225" t="s">
        <v>394</v>
      </c>
      <c r="E294" s="232" t="s">
        <v>2428</v>
      </c>
      <c r="F294" s="104" t="s">
        <v>332</v>
      </c>
    </row>
    <row r="295" spans="1:6" ht="13.2" thickBot="1" x14ac:dyDescent="0.6">
      <c r="A295" s="105">
        <v>288</v>
      </c>
      <c r="B295" s="214" t="s">
        <v>891</v>
      </c>
      <c r="C295" s="226" t="s">
        <v>392</v>
      </c>
      <c r="D295" s="226" t="s">
        <v>392</v>
      </c>
      <c r="E295" s="232" t="s">
        <v>2428</v>
      </c>
      <c r="F295" s="104" t="s">
        <v>332</v>
      </c>
    </row>
    <row r="296" spans="1:6" ht="13.2" thickBot="1" x14ac:dyDescent="0.6">
      <c r="A296" s="105">
        <v>289</v>
      </c>
      <c r="B296" s="214" t="s">
        <v>891</v>
      </c>
      <c r="C296" s="226" t="s">
        <v>393</v>
      </c>
      <c r="D296" s="226" t="s">
        <v>393</v>
      </c>
      <c r="E296" s="232" t="s">
        <v>2428</v>
      </c>
      <c r="F296" s="104" t="s">
        <v>332</v>
      </c>
    </row>
    <row r="297" spans="1:6" ht="13.2" thickBot="1" x14ac:dyDescent="0.6">
      <c r="A297" s="105">
        <v>290</v>
      </c>
      <c r="B297" s="214" t="s">
        <v>891</v>
      </c>
      <c r="C297" s="225" t="s">
        <v>1128</v>
      </c>
      <c r="D297" s="225" t="s">
        <v>1128</v>
      </c>
      <c r="E297" s="232" t="s">
        <v>2428</v>
      </c>
      <c r="F297" s="104" t="s">
        <v>332</v>
      </c>
    </row>
    <row r="298" spans="1:6" ht="13.2" thickBot="1" x14ac:dyDescent="0.6">
      <c r="A298" s="103">
        <v>291</v>
      </c>
      <c r="B298" s="213" t="s">
        <v>891</v>
      </c>
      <c r="C298" s="225" t="s">
        <v>411</v>
      </c>
      <c r="D298" s="225" t="s">
        <v>411</v>
      </c>
      <c r="E298" s="232" t="s">
        <v>2428</v>
      </c>
      <c r="F298" s="104" t="s">
        <v>332</v>
      </c>
    </row>
    <row r="299" spans="1:6" ht="13.2" thickBot="1" x14ac:dyDescent="0.6">
      <c r="A299" s="103">
        <v>292</v>
      </c>
      <c r="B299" s="213" t="s">
        <v>891</v>
      </c>
      <c r="C299" s="225" t="s">
        <v>1129</v>
      </c>
      <c r="D299" s="225" t="s">
        <v>1129</v>
      </c>
      <c r="E299" s="232" t="s">
        <v>789</v>
      </c>
      <c r="F299" s="104" t="s">
        <v>332</v>
      </c>
    </row>
    <row r="300" spans="1:6" ht="52.15" customHeight="1" thickBot="1" x14ac:dyDescent="0.6">
      <c r="A300" s="105">
        <v>293</v>
      </c>
      <c r="B300" s="213" t="s">
        <v>891</v>
      </c>
      <c r="C300" s="225" t="s">
        <v>1130</v>
      </c>
      <c r="D300" s="225" t="s">
        <v>1130</v>
      </c>
      <c r="E300" s="232" t="s">
        <v>2428</v>
      </c>
      <c r="F300" s="104" t="s">
        <v>332</v>
      </c>
    </row>
    <row r="301" spans="1:6" ht="13.2" thickBot="1" x14ac:dyDescent="0.6">
      <c r="A301" s="106">
        <v>294</v>
      </c>
      <c r="B301" s="213" t="s">
        <v>891</v>
      </c>
      <c r="C301" s="225" t="s">
        <v>1131</v>
      </c>
      <c r="D301" s="225" t="s">
        <v>1131</v>
      </c>
      <c r="E301" s="232" t="s">
        <v>2428</v>
      </c>
      <c r="F301" s="104" t="s">
        <v>332</v>
      </c>
    </row>
    <row r="302" spans="1:6" ht="13.2" thickBot="1" x14ac:dyDescent="0.6">
      <c r="A302" s="106">
        <v>295</v>
      </c>
      <c r="B302" s="220" t="s">
        <v>891</v>
      </c>
      <c r="C302" s="225" t="s">
        <v>1132</v>
      </c>
      <c r="D302" s="225" t="s">
        <v>1132</v>
      </c>
      <c r="E302" s="232" t="s">
        <v>2428</v>
      </c>
      <c r="F302" s="104" t="s">
        <v>332</v>
      </c>
    </row>
    <row r="303" spans="1:6" ht="13.2" thickBot="1" x14ac:dyDescent="0.6">
      <c r="A303" s="106">
        <v>296</v>
      </c>
      <c r="B303" s="220" t="s">
        <v>891</v>
      </c>
      <c r="C303" s="225" t="s">
        <v>1133</v>
      </c>
      <c r="D303" s="225" t="s">
        <v>1133</v>
      </c>
      <c r="E303" s="232" t="s">
        <v>2428</v>
      </c>
      <c r="F303" s="104" t="s">
        <v>332</v>
      </c>
    </row>
    <row r="304" spans="1:6" ht="13.2" thickBot="1" x14ac:dyDescent="0.6">
      <c r="A304" s="105">
        <v>297</v>
      </c>
      <c r="B304" s="213" t="s">
        <v>891</v>
      </c>
      <c r="C304" s="225" t="s">
        <v>1134</v>
      </c>
      <c r="D304" s="225" t="s">
        <v>1134</v>
      </c>
      <c r="E304" s="232" t="s">
        <v>2428</v>
      </c>
      <c r="F304" s="104" t="s">
        <v>332</v>
      </c>
    </row>
    <row r="305" spans="1:6" ht="13.2" thickBot="1" x14ac:dyDescent="0.6">
      <c r="A305" s="105">
        <v>298</v>
      </c>
      <c r="B305" s="214" t="s">
        <v>891</v>
      </c>
      <c r="C305" s="226" t="s">
        <v>395</v>
      </c>
      <c r="D305" s="226" t="s">
        <v>395</v>
      </c>
      <c r="E305" s="232" t="s">
        <v>2428</v>
      </c>
      <c r="F305" s="104" t="s">
        <v>332</v>
      </c>
    </row>
    <row r="306" spans="1:6" ht="13.2" thickBot="1" x14ac:dyDescent="0.6">
      <c r="A306" s="105">
        <v>299</v>
      </c>
      <c r="B306" s="221" t="s">
        <v>891</v>
      </c>
      <c r="C306" s="225" t="s">
        <v>1135</v>
      </c>
      <c r="D306" s="225" t="s">
        <v>1135</v>
      </c>
      <c r="E306" s="232" t="s">
        <v>2428</v>
      </c>
      <c r="F306" s="104" t="s">
        <v>332</v>
      </c>
    </row>
    <row r="307" spans="1:6" ht="13.2" thickBot="1" x14ac:dyDescent="0.6">
      <c r="A307" s="105">
        <v>300</v>
      </c>
      <c r="B307" s="214" t="s">
        <v>891</v>
      </c>
      <c r="C307" s="225" t="s">
        <v>410</v>
      </c>
      <c r="D307" s="225" t="s">
        <v>410</v>
      </c>
      <c r="E307" s="232" t="s">
        <v>2428</v>
      </c>
      <c r="F307" s="104" t="s">
        <v>332</v>
      </c>
    </row>
    <row r="308" spans="1:6" ht="13.2" thickBot="1" x14ac:dyDescent="0.6">
      <c r="A308" s="105">
        <v>301</v>
      </c>
      <c r="B308" s="221" t="s">
        <v>891</v>
      </c>
      <c r="C308" s="225" t="s">
        <v>1136</v>
      </c>
      <c r="D308" s="225" t="s">
        <v>1136</v>
      </c>
      <c r="E308" s="232" t="s">
        <v>2428</v>
      </c>
      <c r="F308" s="104" t="s">
        <v>332</v>
      </c>
    </row>
    <row r="309" spans="1:6" ht="13.2" thickBot="1" x14ac:dyDescent="0.6">
      <c r="A309" s="103">
        <v>302</v>
      </c>
      <c r="B309" s="213" t="s">
        <v>891</v>
      </c>
      <c r="C309" s="225" t="s">
        <v>413</v>
      </c>
      <c r="D309" s="225" t="s">
        <v>413</v>
      </c>
      <c r="E309" s="232" t="s">
        <v>2428</v>
      </c>
      <c r="F309" s="104" t="s">
        <v>332</v>
      </c>
    </row>
    <row r="310" spans="1:6" ht="13.2" thickBot="1" x14ac:dyDescent="0.6">
      <c r="A310" s="105">
        <v>303</v>
      </c>
      <c r="B310" s="213" t="s">
        <v>891</v>
      </c>
      <c r="C310" s="225" t="s">
        <v>1137</v>
      </c>
      <c r="D310" s="225" t="s">
        <v>1137</v>
      </c>
      <c r="E310" s="232" t="s">
        <v>2428</v>
      </c>
      <c r="F310" s="104" t="s">
        <v>332</v>
      </c>
    </row>
    <row r="311" spans="1:6" ht="52.15" customHeight="1" thickBot="1" x14ac:dyDescent="0.6">
      <c r="A311" s="105">
        <v>304</v>
      </c>
      <c r="B311" s="215" t="s">
        <v>892</v>
      </c>
      <c r="C311" s="227" t="s">
        <v>414</v>
      </c>
      <c r="D311" s="227" t="s">
        <v>414</v>
      </c>
      <c r="E311" s="232" t="e">
        <v>#N/A</v>
      </c>
      <c r="F311" s="104" t="s">
        <v>2433</v>
      </c>
    </row>
    <row r="312" spans="1:6" ht="13.2" thickBot="1" x14ac:dyDescent="0.6">
      <c r="A312" s="106">
        <v>305</v>
      </c>
      <c r="B312" s="213" t="s">
        <v>892</v>
      </c>
      <c r="C312" s="225" t="s">
        <v>1138</v>
      </c>
      <c r="D312" s="225" t="s">
        <v>1138</v>
      </c>
      <c r="E312" s="232" t="s">
        <v>2428</v>
      </c>
      <c r="F312" s="104" t="s">
        <v>332</v>
      </c>
    </row>
    <row r="313" spans="1:6" ht="13.2" thickBot="1" x14ac:dyDescent="0.6">
      <c r="A313" s="106">
        <v>306</v>
      </c>
      <c r="B313" s="213" t="s">
        <v>892</v>
      </c>
      <c r="C313" s="225" t="s">
        <v>443</v>
      </c>
      <c r="D313" s="225" t="s">
        <v>443</v>
      </c>
      <c r="E313" s="232" t="s">
        <v>2428</v>
      </c>
      <c r="F313" s="104" t="s">
        <v>332</v>
      </c>
    </row>
    <row r="314" spans="1:6" ht="13.2" thickBot="1" x14ac:dyDescent="0.6">
      <c r="A314" s="106">
        <v>307</v>
      </c>
      <c r="B314" s="213" t="s">
        <v>892</v>
      </c>
      <c r="C314" s="225" t="s">
        <v>448</v>
      </c>
      <c r="D314" s="225" t="s">
        <v>448</v>
      </c>
      <c r="E314" s="232" t="s">
        <v>2428</v>
      </c>
      <c r="F314" s="104" t="s">
        <v>332</v>
      </c>
    </row>
    <row r="315" spans="1:6" ht="13.2" thickBot="1" x14ac:dyDescent="0.6">
      <c r="A315" s="105">
        <v>308</v>
      </c>
      <c r="B315" s="214" t="s">
        <v>892</v>
      </c>
      <c r="C315" s="225" t="s">
        <v>1139</v>
      </c>
      <c r="D315" s="225" t="s">
        <v>1139</v>
      </c>
      <c r="E315" s="232" t="s">
        <v>2428</v>
      </c>
      <c r="F315" s="104" t="s">
        <v>332</v>
      </c>
    </row>
    <row r="316" spans="1:6" ht="13.2" thickBot="1" x14ac:dyDescent="0.6">
      <c r="A316" s="105">
        <v>309</v>
      </c>
      <c r="B316" s="214" t="s">
        <v>892</v>
      </c>
      <c r="C316" s="225" t="s">
        <v>449</v>
      </c>
      <c r="D316" s="225" t="s">
        <v>449</v>
      </c>
      <c r="E316" s="232" t="s">
        <v>2428</v>
      </c>
      <c r="F316" s="104" t="s">
        <v>332</v>
      </c>
    </row>
    <row r="317" spans="1:6" ht="13.2" thickBot="1" x14ac:dyDescent="0.6">
      <c r="A317" s="105">
        <v>310</v>
      </c>
      <c r="B317" s="214" t="s">
        <v>892</v>
      </c>
      <c r="C317" s="225" t="s">
        <v>1140</v>
      </c>
      <c r="D317" s="225" t="s">
        <v>1140</v>
      </c>
      <c r="E317" s="232" t="s">
        <v>2428</v>
      </c>
      <c r="F317" s="104" t="s">
        <v>332</v>
      </c>
    </row>
    <row r="318" spans="1:6" ht="13.2" thickBot="1" x14ac:dyDescent="0.6">
      <c r="A318" s="103">
        <v>311</v>
      </c>
      <c r="B318" s="213" t="s">
        <v>892</v>
      </c>
      <c r="C318" s="225" t="s">
        <v>418</v>
      </c>
      <c r="D318" s="225" t="s">
        <v>418</v>
      </c>
      <c r="E318" s="232" t="s">
        <v>2428</v>
      </c>
      <c r="F318" s="104" t="s">
        <v>332</v>
      </c>
    </row>
    <row r="319" spans="1:6" ht="76.150000000000006" customHeight="1" thickBot="1" x14ac:dyDescent="0.6">
      <c r="A319" s="105">
        <v>312</v>
      </c>
      <c r="B319" s="213" t="s">
        <v>892</v>
      </c>
      <c r="C319" s="225" t="s">
        <v>1141</v>
      </c>
      <c r="D319" s="225" t="s">
        <v>1141</v>
      </c>
      <c r="E319" s="232" t="s">
        <v>2428</v>
      </c>
      <c r="F319" s="104" t="s">
        <v>332</v>
      </c>
    </row>
    <row r="320" spans="1:6" ht="13.2" thickBot="1" x14ac:dyDescent="0.6">
      <c r="A320" s="105">
        <v>313</v>
      </c>
      <c r="B320" s="213" t="s">
        <v>892</v>
      </c>
      <c r="C320" s="225" t="s">
        <v>1142</v>
      </c>
      <c r="D320" s="225" t="s">
        <v>1142</v>
      </c>
      <c r="E320" s="232" t="s">
        <v>2428</v>
      </c>
      <c r="F320" s="104" t="s">
        <v>332</v>
      </c>
    </row>
    <row r="321" spans="1:6" ht="13.2" thickBot="1" x14ac:dyDescent="0.6">
      <c r="A321" s="106">
        <v>314</v>
      </c>
      <c r="B321" s="213" t="s">
        <v>892</v>
      </c>
      <c r="C321" s="225" t="s">
        <v>420</v>
      </c>
      <c r="D321" s="225" t="s">
        <v>420</v>
      </c>
      <c r="E321" s="232" t="s">
        <v>2428</v>
      </c>
      <c r="F321" s="104" t="s">
        <v>332</v>
      </c>
    </row>
    <row r="322" spans="1:6" ht="13.2" thickBot="1" x14ac:dyDescent="0.6">
      <c r="A322" s="105">
        <v>315</v>
      </c>
      <c r="B322" s="213" t="s">
        <v>892</v>
      </c>
      <c r="C322" s="225" t="s">
        <v>421</v>
      </c>
      <c r="D322" s="225" t="s">
        <v>421</v>
      </c>
      <c r="E322" s="232" t="s">
        <v>2428</v>
      </c>
      <c r="F322" s="104" t="s">
        <v>332</v>
      </c>
    </row>
    <row r="323" spans="1:6" ht="13.2" thickBot="1" x14ac:dyDescent="0.6">
      <c r="A323" s="105">
        <v>316</v>
      </c>
      <c r="B323" s="213" t="s">
        <v>892</v>
      </c>
      <c r="C323" s="225" t="s">
        <v>1143</v>
      </c>
      <c r="D323" s="225" t="s">
        <v>1143</v>
      </c>
      <c r="E323" s="232" t="s">
        <v>2428</v>
      </c>
      <c r="F323" s="104" t="s">
        <v>332</v>
      </c>
    </row>
    <row r="324" spans="1:6" ht="13.2" thickBot="1" x14ac:dyDescent="0.6">
      <c r="A324" s="106">
        <v>317</v>
      </c>
      <c r="B324" s="213" t="s">
        <v>892</v>
      </c>
      <c r="C324" s="225" t="s">
        <v>422</v>
      </c>
      <c r="D324" s="225" t="s">
        <v>422</v>
      </c>
      <c r="E324" s="232" t="s">
        <v>2428</v>
      </c>
      <c r="F324" s="104" t="s">
        <v>332</v>
      </c>
    </row>
    <row r="325" spans="1:6" ht="13.2" thickBot="1" x14ac:dyDescent="0.6">
      <c r="A325" s="106">
        <v>318</v>
      </c>
      <c r="B325" s="213" t="s">
        <v>892</v>
      </c>
      <c r="C325" s="226" t="s">
        <v>415</v>
      </c>
      <c r="D325" s="226" t="s">
        <v>415</v>
      </c>
      <c r="E325" s="232" t="s">
        <v>2428</v>
      </c>
      <c r="F325" s="104" t="s">
        <v>332</v>
      </c>
    </row>
    <row r="326" spans="1:6" ht="13.2" thickBot="1" x14ac:dyDescent="0.6">
      <c r="A326" s="105">
        <v>319</v>
      </c>
      <c r="B326" s="214" t="s">
        <v>892</v>
      </c>
      <c r="C326" s="225" t="s">
        <v>1144</v>
      </c>
      <c r="D326" s="225" t="s">
        <v>1144</v>
      </c>
      <c r="E326" s="232" t="s">
        <v>2428</v>
      </c>
      <c r="F326" s="104" t="s">
        <v>332</v>
      </c>
    </row>
    <row r="327" spans="1:6" ht="13.2" thickBot="1" x14ac:dyDescent="0.6">
      <c r="A327" s="106">
        <v>320</v>
      </c>
      <c r="B327" s="213" t="s">
        <v>892</v>
      </c>
      <c r="C327" s="225" t="s">
        <v>423</v>
      </c>
      <c r="D327" s="225" t="s">
        <v>423</v>
      </c>
      <c r="E327" s="232" t="s">
        <v>2428</v>
      </c>
      <c r="F327" s="104" t="s">
        <v>332</v>
      </c>
    </row>
    <row r="328" spans="1:6" ht="13.2" thickBot="1" x14ac:dyDescent="0.6">
      <c r="A328" s="106">
        <v>321</v>
      </c>
      <c r="B328" s="213" t="s">
        <v>892</v>
      </c>
      <c r="C328" s="225" t="s">
        <v>1145</v>
      </c>
      <c r="D328" s="225" t="s">
        <v>1145</v>
      </c>
      <c r="E328" s="232" t="s">
        <v>2428</v>
      </c>
      <c r="F328" s="104" t="s">
        <v>332</v>
      </c>
    </row>
    <row r="329" spans="1:6" ht="13.2" thickBot="1" x14ac:dyDescent="0.6">
      <c r="A329" s="106">
        <v>322</v>
      </c>
      <c r="B329" s="213" t="s">
        <v>892</v>
      </c>
      <c r="C329" s="225" t="s">
        <v>424</v>
      </c>
      <c r="D329" s="225" t="s">
        <v>424</v>
      </c>
      <c r="E329" s="232" t="s">
        <v>2428</v>
      </c>
      <c r="F329" s="104" t="s">
        <v>332</v>
      </c>
    </row>
    <row r="330" spans="1:6" ht="13.2" thickBot="1" x14ac:dyDescent="0.6">
      <c r="A330" s="106">
        <v>323</v>
      </c>
      <c r="B330" s="213" t="s">
        <v>892</v>
      </c>
      <c r="C330" s="225" t="s">
        <v>425</v>
      </c>
      <c r="D330" s="225" t="s">
        <v>425</v>
      </c>
      <c r="E330" s="232" t="s">
        <v>2428</v>
      </c>
      <c r="F330" s="104" t="s">
        <v>332</v>
      </c>
    </row>
    <row r="331" spans="1:6" ht="13.2" thickBot="1" x14ac:dyDescent="0.6">
      <c r="A331" s="103">
        <v>324</v>
      </c>
      <c r="B331" s="213" t="s">
        <v>892</v>
      </c>
      <c r="C331" s="225" t="s">
        <v>426</v>
      </c>
      <c r="D331" s="225" t="s">
        <v>426</v>
      </c>
      <c r="E331" s="232" t="s">
        <v>2428</v>
      </c>
      <c r="F331" s="104" t="s">
        <v>332</v>
      </c>
    </row>
    <row r="332" spans="1:6" ht="26.1" thickBot="1" x14ac:dyDescent="0.6">
      <c r="A332" s="105">
        <v>325</v>
      </c>
      <c r="B332" s="212">
        <v>4</v>
      </c>
      <c r="C332" s="224" t="s">
        <v>2559</v>
      </c>
      <c r="D332" s="224" t="s">
        <v>427</v>
      </c>
      <c r="E332" s="232" t="e">
        <v>#N/A</v>
      </c>
      <c r="F332" s="104" t="s">
        <v>2433</v>
      </c>
    </row>
    <row r="333" spans="1:6" ht="76.150000000000006" customHeight="1" thickBot="1" x14ac:dyDescent="0.6">
      <c r="A333" s="105">
        <v>326</v>
      </c>
      <c r="B333" s="213">
        <v>4</v>
      </c>
      <c r="C333" s="225" t="s">
        <v>2560</v>
      </c>
      <c r="D333" s="225" t="s">
        <v>1146</v>
      </c>
      <c r="E333" s="232" t="s">
        <v>2428</v>
      </c>
      <c r="F333" s="104" t="s">
        <v>332</v>
      </c>
    </row>
    <row r="334" spans="1:6" ht="13.2" thickBot="1" x14ac:dyDescent="0.6">
      <c r="A334" s="106">
        <v>327</v>
      </c>
      <c r="B334" s="213">
        <v>4</v>
      </c>
      <c r="C334" s="225" t="s">
        <v>2499</v>
      </c>
      <c r="D334" s="225" t="s">
        <v>1147</v>
      </c>
      <c r="E334" s="232" t="s">
        <v>2428</v>
      </c>
      <c r="F334" s="104" t="s">
        <v>332</v>
      </c>
    </row>
    <row r="335" spans="1:6" ht="13.2" thickBot="1" x14ac:dyDescent="0.6">
      <c r="A335" s="106">
        <v>328</v>
      </c>
      <c r="B335" s="213">
        <v>4</v>
      </c>
      <c r="C335" s="225" t="s">
        <v>2561</v>
      </c>
      <c r="D335" s="225" t="s">
        <v>1148</v>
      </c>
      <c r="E335" s="232" t="s">
        <v>2428</v>
      </c>
      <c r="F335" s="104" t="s">
        <v>332</v>
      </c>
    </row>
    <row r="336" spans="1:6" ht="13.2" thickBot="1" x14ac:dyDescent="0.6">
      <c r="A336" s="106">
        <v>329</v>
      </c>
      <c r="B336" s="214">
        <v>4</v>
      </c>
      <c r="C336" s="225" t="s">
        <v>2562</v>
      </c>
      <c r="D336" s="225" t="s">
        <v>1149</v>
      </c>
      <c r="E336" s="232" t="s">
        <v>2428</v>
      </c>
      <c r="F336" s="104" t="s">
        <v>332</v>
      </c>
    </row>
    <row r="337" spans="1:6" ht="26.1" thickBot="1" x14ac:dyDescent="0.6">
      <c r="A337" s="106">
        <v>330</v>
      </c>
      <c r="B337" s="214">
        <v>4</v>
      </c>
      <c r="C337" s="226" t="s">
        <v>2563</v>
      </c>
      <c r="D337" s="226" t="s">
        <v>1150</v>
      </c>
      <c r="E337" s="232" t="s">
        <v>2428</v>
      </c>
      <c r="F337" s="104" t="s">
        <v>332</v>
      </c>
    </row>
    <row r="338" spans="1:6" ht="13.2" thickBot="1" x14ac:dyDescent="0.6">
      <c r="A338" s="106">
        <v>331</v>
      </c>
      <c r="B338" s="213">
        <v>4</v>
      </c>
      <c r="C338" s="225" t="s">
        <v>2564</v>
      </c>
      <c r="D338" s="225" t="s">
        <v>1151</v>
      </c>
      <c r="E338" s="232" t="s">
        <v>2428</v>
      </c>
      <c r="F338" s="104" t="s">
        <v>332</v>
      </c>
    </row>
    <row r="339" spans="1:6" ht="13.2" thickBot="1" x14ac:dyDescent="0.6">
      <c r="A339" s="106">
        <v>332</v>
      </c>
      <c r="B339" s="213">
        <v>4</v>
      </c>
      <c r="C339" s="225" t="s">
        <v>2565</v>
      </c>
      <c r="D339" s="225" t="s">
        <v>1152</v>
      </c>
      <c r="E339" s="232" t="s">
        <v>2428</v>
      </c>
      <c r="F339" s="104" t="s">
        <v>332</v>
      </c>
    </row>
    <row r="340" spans="1:6" ht="26.1" thickBot="1" x14ac:dyDescent="0.6">
      <c r="A340" s="106">
        <v>333</v>
      </c>
      <c r="B340" s="213">
        <v>4</v>
      </c>
      <c r="C340" s="225" t="s">
        <v>2566</v>
      </c>
      <c r="D340" s="225" t="s">
        <v>1153</v>
      </c>
      <c r="E340" s="232" t="s">
        <v>2428</v>
      </c>
      <c r="F340" s="104" t="s">
        <v>332</v>
      </c>
    </row>
    <row r="341" spans="1:6" ht="241.9" customHeight="1" thickBot="1" x14ac:dyDescent="0.6">
      <c r="A341" s="105">
        <v>334</v>
      </c>
      <c r="B341" s="213">
        <v>4</v>
      </c>
      <c r="C341" s="225" t="s">
        <v>2512</v>
      </c>
      <c r="D341" s="225" t="s">
        <v>1154</v>
      </c>
      <c r="E341" s="232" t="s">
        <v>2428</v>
      </c>
      <c r="F341" s="104" t="s">
        <v>332</v>
      </c>
    </row>
    <row r="342" spans="1:6" ht="13.2" thickBot="1" x14ac:dyDescent="0.6">
      <c r="A342" s="105">
        <v>335</v>
      </c>
      <c r="B342" s="213">
        <v>4</v>
      </c>
      <c r="C342" s="225" t="s">
        <v>2515</v>
      </c>
      <c r="D342" s="225" t="s">
        <v>1155</v>
      </c>
      <c r="E342" s="232" t="s">
        <v>2428</v>
      </c>
      <c r="F342" s="104" t="s">
        <v>332</v>
      </c>
    </row>
    <row r="343" spans="1:6" ht="13.2" thickBot="1" x14ac:dyDescent="0.6">
      <c r="A343" s="106">
        <v>336</v>
      </c>
      <c r="B343" s="213">
        <v>4</v>
      </c>
      <c r="C343" s="225" t="s">
        <v>2517</v>
      </c>
      <c r="D343" s="225" t="s">
        <v>1156</v>
      </c>
      <c r="E343" s="232" t="s">
        <v>2428</v>
      </c>
      <c r="F343" s="104" t="s">
        <v>332</v>
      </c>
    </row>
    <row r="344" spans="1:6" ht="26.1" thickBot="1" x14ac:dyDescent="0.6">
      <c r="A344" s="106">
        <v>337</v>
      </c>
      <c r="B344" s="213">
        <v>4</v>
      </c>
      <c r="C344" s="225" t="s">
        <v>2518</v>
      </c>
      <c r="D344" s="225" t="s">
        <v>1157</v>
      </c>
      <c r="E344" s="232" t="s">
        <v>2428</v>
      </c>
      <c r="F344" s="104" t="s">
        <v>332</v>
      </c>
    </row>
    <row r="345" spans="1:6" ht="13.2" thickBot="1" x14ac:dyDescent="0.6">
      <c r="A345" s="106">
        <v>338</v>
      </c>
      <c r="B345" s="213">
        <v>4</v>
      </c>
      <c r="C345" s="225" t="s">
        <v>2567</v>
      </c>
      <c r="D345" s="225" t="s">
        <v>1158</v>
      </c>
      <c r="E345" s="232" t="s">
        <v>2428</v>
      </c>
      <c r="F345" s="104" t="s">
        <v>332</v>
      </c>
    </row>
    <row r="346" spans="1:6" ht="13.2" thickBot="1" x14ac:dyDescent="0.6">
      <c r="A346" s="106">
        <v>339</v>
      </c>
      <c r="B346" s="213">
        <v>4</v>
      </c>
      <c r="C346" s="225" t="s">
        <v>2522</v>
      </c>
      <c r="D346" s="225" t="s">
        <v>1159</v>
      </c>
      <c r="E346" s="232" t="s">
        <v>2428</v>
      </c>
      <c r="F346" s="104" t="s">
        <v>332</v>
      </c>
    </row>
    <row r="347" spans="1:6" ht="13.2" thickBot="1" x14ac:dyDescent="0.6">
      <c r="A347" s="106">
        <v>340</v>
      </c>
      <c r="B347" s="213">
        <v>4</v>
      </c>
      <c r="C347" s="225" t="s">
        <v>2525</v>
      </c>
      <c r="D347" s="225" t="s">
        <v>1160</v>
      </c>
      <c r="E347" s="232" t="s">
        <v>2428</v>
      </c>
      <c r="F347" s="104" t="s">
        <v>332</v>
      </c>
    </row>
    <row r="348" spans="1:6" ht="26.1" thickBot="1" x14ac:dyDescent="0.6">
      <c r="A348" s="105">
        <v>341</v>
      </c>
      <c r="B348" s="213">
        <v>4</v>
      </c>
      <c r="C348" s="225" t="s">
        <v>2568</v>
      </c>
      <c r="D348" s="225" t="s">
        <v>1161</v>
      </c>
      <c r="E348" s="232" t="s">
        <v>2428</v>
      </c>
      <c r="F348" s="104" t="s">
        <v>332</v>
      </c>
    </row>
    <row r="349" spans="1:6" ht="13.2" thickBot="1" x14ac:dyDescent="0.6">
      <c r="A349" s="103">
        <v>342</v>
      </c>
      <c r="B349" s="214">
        <v>4</v>
      </c>
      <c r="C349" s="226" t="s">
        <v>2569</v>
      </c>
      <c r="D349" s="226" t="s">
        <v>1162</v>
      </c>
      <c r="E349" s="232" t="s">
        <v>2428</v>
      </c>
      <c r="F349" s="104" t="s">
        <v>332</v>
      </c>
    </row>
    <row r="350" spans="1:6" ht="13.2" thickBot="1" x14ac:dyDescent="0.6">
      <c r="A350" s="106">
        <v>343</v>
      </c>
      <c r="B350" s="214">
        <v>4</v>
      </c>
      <c r="C350" s="226" t="s">
        <v>2569</v>
      </c>
      <c r="D350" s="226" t="s">
        <v>1162</v>
      </c>
      <c r="E350" s="232" t="s">
        <v>2428</v>
      </c>
      <c r="F350" s="104" t="s">
        <v>332</v>
      </c>
    </row>
    <row r="351" spans="1:6" ht="13.2" thickBot="1" x14ac:dyDescent="0.6">
      <c r="A351" s="105">
        <v>344</v>
      </c>
      <c r="B351" s="213">
        <v>4</v>
      </c>
      <c r="C351" s="225" t="s">
        <v>2540</v>
      </c>
      <c r="D351" s="225" t="s">
        <v>1163</v>
      </c>
      <c r="E351" s="232" t="s">
        <v>2428</v>
      </c>
      <c r="F351" s="104" t="s">
        <v>332</v>
      </c>
    </row>
    <row r="352" spans="1:6" ht="13.2" thickBot="1" x14ac:dyDescent="0.6">
      <c r="A352" s="105">
        <v>345</v>
      </c>
      <c r="B352" s="213">
        <v>4</v>
      </c>
      <c r="C352" s="225" t="s">
        <v>2570</v>
      </c>
      <c r="D352" s="225" t="s">
        <v>1164</v>
      </c>
      <c r="E352" s="232" t="s">
        <v>789</v>
      </c>
      <c r="F352" s="104" t="s">
        <v>332</v>
      </c>
    </row>
    <row r="353" spans="1:6" ht="13.2" thickBot="1" x14ac:dyDescent="0.6">
      <c r="A353" s="105">
        <v>346</v>
      </c>
      <c r="B353" s="213">
        <v>4</v>
      </c>
      <c r="C353" s="225" t="s">
        <v>2544</v>
      </c>
      <c r="D353" s="225" t="s">
        <v>1165</v>
      </c>
      <c r="E353" s="232" t="s">
        <v>2428</v>
      </c>
      <c r="F353" s="104" t="s">
        <v>332</v>
      </c>
    </row>
    <row r="354" spans="1:6" ht="13.2" thickBot="1" x14ac:dyDescent="0.6">
      <c r="A354" s="105">
        <v>347</v>
      </c>
      <c r="B354" s="213">
        <v>4</v>
      </c>
      <c r="C354" s="225" t="s">
        <v>2545</v>
      </c>
      <c r="D354" s="225" t="s">
        <v>1166</v>
      </c>
      <c r="E354" s="232" t="s">
        <v>2428</v>
      </c>
      <c r="F354" s="104" t="s">
        <v>332</v>
      </c>
    </row>
    <row r="355" spans="1:6" ht="13.2" thickBot="1" x14ac:dyDescent="0.6">
      <c r="A355" s="103">
        <v>348</v>
      </c>
      <c r="B355" s="213">
        <v>4</v>
      </c>
      <c r="C355" s="225" t="s">
        <v>2546</v>
      </c>
      <c r="D355" s="225" t="s">
        <v>1167</v>
      </c>
      <c r="E355" s="232" t="s">
        <v>2428</v>
      </c>
      <c r="F355" s="104" t="s">
        <v>332</v>
      </c>
    </row>
    <row r="356" spans="1:6" ht="13.2" thickBot="1" x14ac:dyDescent="0.6">
      <c r="A356" s="105">
        <v>349</v>
      </c>
      <c r="B356" s="213">
        <v>4</v>
      </c>
      <c r="C356" s="225" t="s">
        <v>2571</v>
      </c>
      <c r="D356" s="225" t="s">
        <v>1168</v>
      </c>
      <c r="E356" s="232" t="s">
        <v>2428</v>
      </c>
      <c r="F356" s="104" t="s">
        <v>332</v>
      </c>
    </row>
    <row r="357" spans="1:6" ht="13.2" thickBot="1" x14ac:dyDescent="0.6">
      <c r="A357" s="105">
        <v>350</v>
      </c>
      <c r="B357" s="214">
        <v>4</v>
      </c>
      <c r="C357" s="226" t="s">
        <v>2551</v>
      </c>
      <c r="D357" s="226" t="s">
        <v>1169</v>
      </c>
      <c r="E357" s="232" t="s">
        <v>2428</v>
      </c>
      <c r="F357" s="104" t="s">
        <v>332</v>
      </c>
    </row>
    <row r="358" spans="1:6" ht="26.1" thickBot="1" x14ac:dyDescent="0.6">
      <c r="A358" s="105">
        <v>351</v>
      </c>
      <c r="B358" s="214">
        <v>4</v>
      </c>
      <c r="C358" s="225" t="s">
        <v>2553</v>
      </c>
      <c r="D358" s="225" t="s">
        <v>1170</v>
      </c>
      <c r="E358" s="232" t="s">
        <v>2428</v>
      </c>
      <c r="F358" s="104" t="s">
        <v>332</v>
      </c>
    </row>
    <row r="359" spans="1:6" ht="26.1" thickBot="1" x14ac:dyDescent="0.6">
      <c r="A359" s="105">
        <v>352</v>
      </c>
      <c r="B359" s="214">
        <v>4</v>
      </c>
      <c r="C359" s="225" t="s">
        <v>2572</v>
      </c>
      <c r="D359" s="225" t="s">
        <v>1171</v>
      </c>
      <c r="E359" s="232" t="s">
        <v>2428</v>
      </c>
      <c r="F359" s="104" t="s">
        <v>332</v>
      </c>
    </row>
    <row r="360" spans="1:6" ht="13.2" thickBot="1" x14ac:dyDescent="0.6">
      <c r="A360" s="105">
        <v>353</v>
      </c>
      <c r="B360" s="213">
        <v>4</v>
      </c>
      <c r="C360" s="225" t="s">
        <v>2555</v>
      </c>
      <c r="D360" s="225" t="s">
        <v>1172</v>
      </c>
      <c r="E360" s="232" t="s">
        <v>2428</v>
      </c>
      <c r="F360" s="104" t="s">
        <v>332</v>
      </c>
    </row>
    <row r="361" spans="1:6" ht="13.2" thickBot="1" x14ac:dyDescent="0.6">
      <c r="A361" s="105">
        <v>354</v>
      </c>
      <c r="B361" s="215" t="s">
        <v>893</v>
      </c>
      <c r="C361" s="227" t="s">
        <v>428</v>
      </c>
      <c r="D361" s="227" t="s">
        <v>428</v>
      </c>
      <c r="E361" s="232" t="e">
        <v>#N/A</v>
      </c>
      <c r="F361" s="104" t="s">
        <v>2433</v>
      </c>
    </row>
    <row r="362" spans="1:6" ht="13.2" thickBot="1" x14ac:dyDescent="0.6">
      <c r="A362" s="105">
        <v>355</v>
      </c>
      <c r="B362" s="213" t="s">
        <v>893</v>
      </c>
      <c r="C362" s="225" t="s">
        <v>2560</v>
      </c>
      <c r="D362" s="225" t="s">
        <v>396</v>
      </c>
      <c r="E362" s="232" t="s">
        <v>2428</v>
      </c>
      <c r="F362" s="104" t="s">
        <v>332</v>
      </c>
    </row>
    <row r="363" spans="1:6" ht="13.2" thickBot="1" x14ac:dyDescent="0.6">
      <c r="A363" s="105">
        <v>356</v>
      </c>
      <c r="B363" s="213" t="s">
        <v>893</v>
      </c>
      <c r="C363" s="225" t="s">
        <v>2499</v>
      </c>
      <c r="D363" s="225" t="s">
        <v>417</v>
      </c>
      <c r="E363" s="232" t="s">
        <v>2428</v>
      </c>
      <c r="F363" s="104" t="s">
        <v>332</v>
      </c>
    </row>
    <row r="364" spans="1:6" ht="13.2" thickBot="1" x14ac:dyDescent="0.6">
      <c r="A364" s="105">
        <v>357</v>
      </c>
      <c r="B364" s="213" t="s">
        <v>893</v>
      </c>
      <c r="C364" s="225" t="s">
        <v>429</v>
      </c>
      <c r="D364" s="225" t="s">
        <v>429</v>
      </c>
      <c r="E364" s="232" t="s">
        <v>2428</v>
      </c>
      <c r="F364" s="104" t="s">
        <v>332</v>
      </c>
    </row>
    <row r="365" spans="1:6" ht="13.2" thickBot="1" x14ac:dyDescent="0.6">
      <c r="A365" s="105">
        <v>358</v>
      </c>
      <c r="B365" s="213" t="s">
        <v>893</v>
      </c>
      <c r="C365" s="225" t="s">
        <v>1173</v>
      </c>
      <c r="D365" s="225" t="s">
        <v>1173</v>
      </c>
      <c r="E365" s="232" t="s">
        <v>2428</v>
      </c>
      <c r="F365" s="104" t="s">
        <v>332</v>
      </c>
    </row>
    <row r="366" spans="1:6" ht="13.2" thickBot="1" x14ac:dyDescent="0.6">
      <c r="A366" s="106">
        <v>359</v>
      </c>
      <c r="B366" s="213" t="s">
        <v>893</v>
      </c>
      <c r="C366" s="225" t="s">
        <v>1119</v>
      </c>
      <c r="D366" s="225" t="s">
        <v>1119</v>
      </c>
      <c r="E366" s="232" t="s">
        <v>2428</v>
      </c>
      <c r="F366" s="104" t="s">
        <v>332</v>
      </c>
    </row>
    <row r="367" spans="1:6" ht="13.2" thickBot="1" x14ac:dyDescent="0.6">
      <c r="A367" s="105">
        <v>360</v>
      </c>
      <c r="B367" s="213" t="s">
        <v>893</v>
      </c>
      <c r="C367" s="225" t="s">
        <v>400</v>
      </c>
      <c r="D367" s="225" t="s">
        <v>400</v>
      </c>
      <c r="E367" s="232" t="s">
        <v>2428</v>
      </c>
      <c r="F367" s="104" t="s">
        <v>332</v>
      </c>
    </row>
    <row r="368" spans="1:6" ht="13.2" thickBot="1" x14ac:dyDescent="0.6">
      <c r="A368" s="105">
        <v>361</v>
      </c>
      <c r="B368" s="213" t="s">
        <v>893</v>
      </c>
      <c r="C368" s="225" t="s">
        <v>1141</v>
      </c>
      <c r="D368" s="225" t="s">
        <v>1141</v>
      </c>
      <c r="E368" s="232" t="s">
        <v>2428</v>
      </c>
      <c r="F368" s="104" t="s">
        <v>332</v>
      </c>
    </row>
    <row r="369" spans="1:6" ht="13.2" thickBot="1" x14ac:dyDescent="0.6">
      <c r="A369" s="105">
        <v>362</v>
      </c>
      <c r="B369" s="213" t="s">
        <v>893</v>
      </c>
      <c r="C369" s="225" t="s">
        <v>1142</v>
      </c>
      <c r="D369" s="225" t="s">
        <v>1142</v>
      </c>
      <c r="E369" s="232" t="s">
        <v>2428</v>
      </c>
      <c r="F369" s="104" t="s">
        <v>332</v>
      </c>
    </row>
    <row r="370" spans="1:6" ht="13.2" thickBot="1" x14ac:dyDescent="0.6">
      <c r="A370" s="105">
        <v>363</v>
      </c>
      <c r="B370" s="213" t="s">
        <v>893</v>
      </c>
      <c r="C370" s="225" t="s">
        <v>402</v>
      </c>
      <c r="D370" s="225" t="s">
        <v>402</v>
      </c>
      <c r="E370" s="232" t="s">
        <v>2428</v>
      </c>
      <c r="F370" s="104" t="s">
        <v>332</v>
      </c>
    </row>
    <row r="371" spans="1:6" ht="13.2" thickBot="1" x14ac:dyDescent="0.6">
      <c r="A371" s="105">
        <v>364</v>
      </c>
      <c r="B371" s="213" t="s">
        <v>893</v>
      </c>
      <c r="C371" s="225" t="s">
        <v>2522</v>
      </c>
      <c r="D371" s="225" t="s">
        <v>404</v>
      </c>
      <c r="E371" s="232" t="s">
        <v>2428</v>
      </c>
      <c r="F371" s="104" t="s">
        <v>332</v>
      </c>
    </row>
    <row r="372" spans="1:6" ht="13.2" thickBot="1" x14ac:dyDescent="0.6">
      <c r="A372" s="105">
        <v>365</v>
      </c>
      <c r="B372" s="213" t="s">
        <v>893</v>
      </c>
      <c r="C372" s="225" t="s">
        <v>2525</v>
      </c>
      <c r="D372" s="225" t="s">
        <v>419</v>
      </c>
      <c r="E372" s="232" t="s">
        <v>2428</v>
      </c>
      <c r="F372" s="104" t="s">
        <v>332</v>
      </c>
    </row>
    <row r="373" spans="1:6" ht="13.2" thickBot="1" x14ac:dyDescent="0.6">
      <c r="A373" s="105">
        <v>366</v>
      </c>
      <c r="B373" s="214" t="s">
        <v>893</v>
      </c>
      <c r="C373" s="226" t="s">
        <v>392</v>
      </c>
      <c r="D373" s="226" t="s">
        <v>392</v>
      </c>
      <c r="E373" s="232" t="s">
        <v>2428</v>
      </c>
      <c r="F373" s="104" t="s">
        <v>332</v>
      </c>
    </row>
    <row r="374" spans="1:6" ht="13.2" thickBot="1" x14ac:dyDescent="0.6">
      <c r="A374" s="105">
        <v>367</v>
      </c>
      <c r="B374" s="214" t="s">
        <v>893</v>
      </c>
      <c r="C374" s="226" t="s">
        <v>393</v>
      </c>
      <c r="D374" s="226" t="s">
        <v>393</v>
      </c>
      <c r="E374" s="232" t="s">
        <v>2428</v>
      </c>
      <c r="F374" s="104" t="s">
        <v>332</v>
      </c>
    </row>
    <row r="375" spans="1:6" ht="13.2" thickBot="1" x14ac:dyDescent="0.6">
      <c r="A375" s="105">
        <v>368</v>
      </c>
      <c r="B375" s="213" t="s">
        <v>893</v>
      </c>
      <c r="C375" s="225" t="s">
        <v>411</v>
      </c>
      <c r="D375" s="225" t="s">
        <v>411</v>
      </c>
      <c r="E375" s="232" t="s">
        <v>2428</v>
      </c>
      <c r="F375" s="104" t="s">
        <v>332</v>
      </c>
    </row>
    <row r="376" spans="1:6" ht="13.2" thickBot="1" x14ac:dyDescent="0.6">
      <c r="A376" s="105">
        <v>369</v>
      </c>
      <c r="B376" s="213" t="s">
        <v>893</v>
      </c>
      <c r="C376" s="225" t="s">
        <v>430</v>
      </c>
      <c r="D376" s="225" t="s">
        <v>430</v>
      </c>
      <c r="E376" s="232" t="s">
        <v>789</v>
      </c>
      <c r="F376" s="104" t="s">
        <v>332</v>
      </c>
    </row>
    <row r="377" spans="1:6" ht="13.2" thickBot="1" x14ac:dyDescent="0.6">
      <c r="A377" s="105">
        <v>370</v>
      </c>
      <c r="B377" s="213" t="s">
        <v>893</v>
      </c>
      <c r="C377" s="225" t="s">
        <v>1132</v>
      </c>
      <c r="D377" s="225" t="s">
        <v>1132</v>
      </c>
      <c r="E377" s="232" t="s">
        <v>2428</v>
      </c>
      <c r="F377" s="104" t="s">
        <v>332</v>
      </c>
    </row>
    <row r="378" spans="1:6" ht="13.2" thickBot="1" x14ac:dyDescent="0.6">
      <c r="A378" s="105">
        <v>371</v>
      </c>
      <c r="B378" s="213" t="s">
        <v>893</v>
      </c>
      <c r="C378" s="225" t="s">
        <v>1133</v>
      </c>
      <c r="D378" s="225" t="s">
        <v>1133</v>
      </c>
      <c r="E378" s="232" t="s">
        <v>2428</v>
      </c>
      <c r="F378" s="104" t="s">
        <v>332</v>
      </c>
    </row>
    <row r="379" spans="1:6" ht="13.2" thickBot="1" x14ac:dyDescent="0.6">
      <c r="A379" s="105">
        <v>372</v>
      </c>
      <c r="B379" s="213" t="s">
        <v>893</v>
      </c>
      <c r="C379" s="225" t="s">
        <v>2546</v>
      </c>
      <c r="D379" s="225" t="s">
        <v>412</v>
      </c>
      <c r="E379" s="232" t="s">
        <v>2428</v>
      </c>
      <c r="F379" s="104" t="s">
        <v>332</v>
      </c>
    </row>
    <row r="380" spans="1:6" ht="13.2" thickBot="1" x14ac:dyDescent="0.6">
      <c r="A380" s="105">
        <v>373</v>
      </c>
      <c r="B380" s="214" t="s">
        <v>893</v>
      </c>
      <c r="C380" s="226" t="s">
        <v>395</v>
      </c>
      <c r="D380" s="226" t="s">
        <v>395</v>
      </c>
      <c r="E380" s="232" t="s">
        <v>2428</v>
      </c>
      <c r="F380" s="104" t="s">
        <v>332</v>
      </c>
    </row>
    <row r="381" spans="1:6" ht="13.2" thickBot="1" x14ac:dyDescent="0.6">
      <c r="A381" s="106">
        <v>374</v>
      </c>
      <c r="B381" s="214" t="s">
        <v>893</v>
      </c>
      <c r="C381" s="225" t="s">
        <v>1174</v>
      </c>
      <c r="D381" s="225" t="s">
        <v>1174</v>
      </c>
      <c r="E381" s="232" t="s">
        <v>2428</v>
      </c>
      <c r="F381" s="104" t="s">
        <v>332</v>
      </c>
    </row>
    <row r="382" spans="1:6" ht="13.2" thickBot="1" x14ac:dyDescent="0.6">
      <c r="A382" s="106">
        <v>375</v>
      </c>
      <c r="B382" s="214" t="s">
        <v>893</v>
      </c>
      <c r="C382" s="225" t="s">
        <v>1175</v>
      </c>
      <c r="D382" s="225" t="s">
        <v>1175</v>
      </c>
      <c r="E382" s="232" t="s">
        <v>2428</v>
      </c>
      <c r="F382" s="104" t="s">
        <v>332</v>
      </c>
    </row>
    <row r="383" spans="1:6" ht="13.2" thickBot="1" x14ac:dyDescent="0.6">
      <c r="A383" s="106">
        <v>376</v>
      </c>
      <c r="B383" s="215" t="s">
        <v>894</v>
      </c>
      <c r="C383" s="227" t="s">
        <v>431</v>
      </c>
      <c r="D383" s="227" t="s">
        <v>431</v>
      </c>
      <c r="E383" s="232" t="e">
        <v>#N/A</v>
      </c>
      <c r="F383" s="104" t="s">
        <v>2433</v>
      </c>
    </row>
    <row r="384" spans="1:6" ht="13.2" thickBot="1" x14ac:dyDescent="0.6">
      <c r="A384" s="105">
        <v>377</v>
      </c>
      <c r="B384" s="213" t="s">
        <v>894</v>
      </c>
      <c r="C384" s="225" t="s">
        <v>433</v>
      </c>
      <c r="D384" s="225" t="s">
        <v>433</v>
      </c>
      <c r="E384" s="232" t="s">
        <v>2428</v>
      </c>
      <c r="F384" s="104" t="s">
        <v>332</v>
      </c>
    </row>
    <row r="385" spans="1:6" ht="13.2" thickBot="1" x14ac:dyDescent="0.6">
      <c r="A385" s="106">
        <v>378</v>
      </c>
      <c r="B385" s="214" t="s">
        <v>894</v>
      </c>
      <c r="C385" s="226" t="s">
        <v>432</v>
      </c>
      <c r="D385" s="226" t="s">
        <v>432</v>
      </c>
      <c r="E385" s="232" t="s">
        <v>2428</v>
      </c>
      <c r="F385" s="104" t="s">
        <v>332</v>
      </c>
    </row>
    <row r="386" spans="1:6" ht="13.2" thickBot="1" x14ac:dyDescent="0.6">
      <c r="A386" s="105">
        <v>379</v>
      </c>
      <c r="B386" s="213" t="s">
        <v>894</v>
      </c>
      <c r="C386" s="225" t="s">
        <v>1176</v>
      </c>
      <c r="D386" s="225" t="s">
        <v>1176</v>
      </c>
      <c r="E386" s="232" t="s">
        <v>2428</v>
      </c>
      <c r="F386" s="104" t="s">
        <v>332</v>
      </c>
    </row>
    <row r="387" spans="1:6" ht="13.2" thickBot="1" x14ac:dyDescent="0.6">
      <c r="A387" s="105">
        <v>380</v>
      </c>
      <c r="B387" s="213" t="s">
        <v>894</v>
      </c>
      <c r="C387" s="225" t="s">
        <v>434</v>
      </c>
      <c r="D387" s="225" t="s">
        <v>434</v>
      </c>
      <c r="E387" s="232" t="s">
        <v>2428</v>
      </c>
      <c r="F387" s="104" t="s">
        <v>332</v>
      </c>
    </row>
    <row r="388" spans="1:6" ht="13.2" thickBot="1" x14ac:dyDescent="0.6">
      <c r="A388" s="106">
        <v>381</v>
      </c>
      <c r="B388" s="213" t="s">
        <v>894</v>
      </c>
      <c r="C388" s="225" t="s">
        <v>1177</v>
      </c>
      <c r="D388" s="225" t="s">
        <v>1177</v>
      </c>
      <c r="E388" s="232" t="s">
        <v>2428</v>
      </c>
      <c r="F388" s="104" t="s">
        <v>332</v>
      </c>
    </row>
    <row r="389" spans="1:6" ht="13.2" thickBot="1" x14ac:dyDescent="0.6">
      <c r="A389" s="105">
        <v>382</v>
      </c>
      <c r="B389" s="213" t="s">
        <v>894</v>
      </c>
      <c r="C389" s="225" t="s">
        <v>435</v>
      </c>
      <c r="D389" s="225" t="s">
        <v>435</v>
      </c>
      <c r="E389" s="232" t="s">
        <v>2428</v>
      </c>
      <c r="F389" s="104" t="s">
        <v>332</v>
      </c>
    </row>
    <row r="390" spans="1:6" ht="13.2" thickBot="1" x14ac:dyDescent="0.6">
      <c r="A390" s="105">
        <v>383</v>
      </c>
      <c r="B390" s="213" t="s">
        <v>894</v>
      </c>
      <c r="C390" s="225" t="s">
        <v>413</v>
      </c>
      <c r="D390" s="225" t="s">
        <v>413</v>
      </c>
      <c r="E390" s="232" t="s">
        <v>2428</v>
      </c>
      <c r="F390" s="104" t="s">
        <v>332</v>
      </c>
    </row>
    <row r="391" spans="1:6" ht="26.1" thickBot="1" x14ac:dyDescent="0.6">
      <c r="A391" s="105">
        <v>384</v>
      </c>
      <c r="B391" s="216" t="s">
        <v>436</v>
      </c>
      <c r="C391" s="224" t="s">
        <v>437</v>
      </c>
      <c r="D391" s="224" t="s">
        <v>437</v>
      </c>
      <c r="E391" s="232" t="e">
        <v>#N/A</v>
      </c>
      <c r="F391" s="104" t="s">
        <v>2433</v>
      </c>
    </row>
    <row r="392" spans="1:6" ht="13.2" thickBot="1" x14ac:dyDescent="0.6">
      <c r="A392" s="106">
        <v>385</v>
      </c>
      <c r="B392" s="214" t="s">
        <v>436</v>
      </c>
      <c r="C392" s="226" t="s">
        <v>256</v>
      </c>
      <c r="D392" s="226" t="s">
        <v>256</v>
      </c>
      <c r="E392" s="232" t="s">
        <v>2428</v>
      </c>
      <c r="F392" s="104" t="s">
        <v>332</v>
      </c>
    </row>
    <row r="393" spans="1:6" ht="13.2" thickBot="1" x14ac:dyDescent="0.6">
      <c r="A393" s="105">
        <v>386</v>
      </c>
      <c r="B393" s="214" t="s">
        <v>436</v>
      </c>
      <c r="C393" s="225" t="s">
        <v>440</v>
      </c>
      <c r="D393" s="225" t="s">
        <v>440</v>
      </c>
      <c r="E393" s="232" t="s">
        <v>2428</v>
      </c>
      <c r="F393" s="104" t="s">
        <v>332</v>
      </c>
    </row>
    <row r="394" spans="1:6" ht="13.2" thickBot="1" x14ac:dyDescent="0.6">
      <c r="A394" s="105">
        <v>387</v>
      </c>
      <c r="B394" s="214" t="s">
        <v>436</v>
      </c>
      <c r="C394" s="226" t="s">
        <v>257</v>
      </c>
      <c r="D394" s="226" t="s">
        <v>257</v>
      </c>
      <c r="E394" s="232" t="s">
        <v>2428</v>
      </c>
      <c r="F394" s="104" t="s">
        <v>332</v>
      </c>
    </row>
    <row r="395" spans="1:6" ht="13.2" thickBot="1" x14ac:dyDescent="0.6">
      <c r="A395" s="105">
        <v>388</v>
      </c>
      <c r="B395" s="214" t="s">
        <v>436</v>
      </c>
      <c r="C395" s="225" t="s">
        <v>438</v>
      </c>
      <c r="D395" s="225" t="s">
        <v>438</v>
      </c>
      <c r="E395" s="232" t="s">
        <v>2428</v>
      </c>
      <c r="F395" s="104" t="s">
        <v>332</v>
      </c>
    </row>
    <row r="396" spans="1:6" ht="13.2" thickBot="1" x14ac:dyDescent="0.6">
      <c r="A396" s="105">
        <v>389</v>
      </c>
      <c r="B396" s="214" t="s">
        <v>436</v>
      </c>
      <c r="C396" s="226" t="s">
        <v>439</v>
      </c>
      <c r="D396" s="226" t="s">
        <v>439</v>
      </c>
      <c r="E396" s="232" t="s">
        <v>2428</v>
      </c>
      <c r="F396" s="104" t="s">
        <v>332</v>
      </c>
    </row>
    <row r="397" spans="1:6" ht="13.2" thickBot="1" x14ac:dyDescent="0.6">
      <c r="A397" s="105">
        <v>390</v>
      </c>
      <c r="B397" s="212">
        <v>5</v>
      </c>
      <c r="C397" s="224" t="s">
        <v>2573</v>
      </c>
      <c r="D397" s="224" t="s">
        <v>441</v>
      </c>
      <c r="E397" s="232" t="e">
        <v>#N/A</v>
      </c>
      <c r="F397" s="104" t="s">
        <v>2433</v>
      </c>
    </row>
    <row r="398" spans="1:6" ht="13.2" thickBot="1" x14ac:dyDescent="0.6">
      <c r="A398" s="105">
        <v>391</v>
      </c>
      <c r="B398" s="214">
        <v>5</v>
      </c>
      <c r="C398" s="226" t="s">
        <v>2574</v>
      </c>
      <c r="D398" s="226" t="s">
        <v>1178</v>
      </c>
      <c r="E398" s="232" t="s">
        <v>2428</v>
      </c>
      <c r="F398" s="104" t="s">
        <v>332</v>
      </c>
    </row>
    <row r="399" spans="1:6" ht="59.5" customHeight="1" thickBot="1" x14ac:dyDescent="0.6">
      <c r="A399" s="105">
        <v>392</v>
      </c>
      <c r="B399" s="214">
        <v>5</v>
      </c>
      <c r="C399" s="225" t="s">
        <v>2502</v>
      </c>
      <c r="D399" s="225" t="s">
        <v>1179</v>
      </c>
      <c r="E399" s="232" t="s">
        <v>2428</v>
      </c>
      <c r="F399" s="104" t="s">
        <v>332</v>
      </c>
    </row>
    <row r="400" spans="1:6" ht="13.2" thickBot="1" x14ac:dyDescent="0.6">
      <c r="A400" s="105">
        <v>393</v>
      </c>
      <c r="B400" s="214">
        <v>5</v>
      </c>
      <c r="C400" s="225" t="s">
        <v>2503</v>
      </c>
      <c r="D400" s="225" t="s">
        <v>1180</v>
      </c>
      <c r="E400" s="232" t="s">
        <v>2428</v>
      </c>
      <c r="F400" s="104" t="s">
        <v>332</v>
      </c>
    </row>
    <row r="401" spans="1:6" ht="26.1" thickBot="1" x14ac:dyDescent="0.6">
      <c r="A401" s="106">
        <v>394</v>
      </c>
      <c r="B401" s="214">
        <v>5</v>
      </c>
      <c r="C401" s="225" t="s">
        <v>2575</v>
      </c>
      <c r="D401" s="225" t="s">
        <v>1181</v>
      </c>
      <c r="E401" s="232" t="s">
        <v>2428</v>
      </c>
      <c r="F401" s="104" t="s">
        <v>332</v>
      </c>
    </row>
    <row r="402" spans="1:6" ht="13.2" thickBot="1" x14ac:dyDescent="0.6">
      <c r="A402" s="106">
        <v>395</v>
      </c>
      <c r="B402" s="214">
        <v>5</v>
      </c>
      <c r="C402" s="226" t="s">
        <v>2576</v>
      </c>
      <c r="D402" s="226" t="s">
        <v>1182</v>
      </c>
      <c r="E402" s="232" t="s">
        <v>2428</v>
      </c>
      <c r="F402" s="104" t="s">
        <v>332</v>
      </c>
    </row>
    <row r="403" spans="1:6" ht="26.1" thickBot="1" x14ac:dyDescent="0.6">
      <c r="A403" s="106">
        <v>396</v>
      </c>
      <c r="B403" s="214">
        <v>5</v>
      </c>
      <c r="C403" s="225" t="s">
        <v>2577</v>
      </c>
      <c r="D403" s="225" t="s">
        <v>1183</v>
      </c>
      <c r="E403" s="232" t="s">
        <v>2428</v>
      </c>
      <c r="F403" s="104" t="s">
        <v>332</v>
      </c>
    </row>
    <row r="404" spans="1:6" ht="26.1" thickBot="1" x14ac:dyDescent="0.6">
      <c r="A404" s="106">
        <v>397</v>
      </c>
      <c r="B404" s="214">
        <v>5</v>
      </c>
      <c r="C404" s="225" t="s">
        <v>2577</v>
      </c>
      <c r="D404" s="225" t="s">
        <v>1184</v>
      </c>
      <c r="E404" s="232" t="s">
        <v>2428</v>
      </c>
      <c r="F404" s="104" t="s">
        <v>332</v>
      </c>
    </row>
    <row r="405" spans="1:6" ht="26.1" thickBot="1" x14ac:dyDescent="0.6">
      <c r="A405" s="105">
        <v>398</v>
      </c>
      <c r="B405" s="214">
        <v>5</v>
      </c>
      <c r="C405" s="225" t="s">
        <v>2578</v>
      </c>
      <c r="D405" s="225" t="s">
        <v>1185</v>
      </c>
      <c r="E405" s="232" t="s">
        <v>2428</v>
      </c>
      <c r="F405" s="104" t="s">
        <v>332</v>
      </c>
    </row>
    <row r="406" spans="1:6" ht="13.2" thickBot="1" x14ac:dyDescent="0.6">
      <c r="A406" s="106">
        <v>399</v>
      </c>
      <c r="B406" s="214">
        <v>5</v>
      </c>
      <c r="C406" s="226" t="s">
        <v>2579</v>
      </c>
      <c r="D406" s="226" t="s">
        <v>1186</v>
      </c>
      <c r="E406" s="232" t="s">
        <v>2428</v>
      </c>
      <c r="F406" s="104" t="s">
        <v>332</v>
      </c>
    </row>
    <row r="407" spans="1:6" ht="26.1" thickBot="1" x14ac:dyDescent="0.6">
      <c r="A407" s="103">
        <v>400</v>
      </c>
      <c r="B407" s="213">
        <v>5</v>
      </c>
      <c r="C407" s="225" t="s">
        <v>2580</v>
      </c>
      <c r="D407" s="225" t="s">
        <v>1187</v>
      </c>
      <c r="E407" s="232" t="s">
        <v>2428</v>
      </c>
      <c r="F407" s="104" t="s">
        <v>332</v>
      </c>
    </row>
    <row r="408" spans="1:6" ht="13.2" thickBot="1" x14ac:dyDescent="0.6">
      <c r="A408" s="105">
        <v>401</v>
      </c>
      <c r="B408" s="213">
        <v>5</v>
      </c>
      <c r="C408" s="225" t="s">
        <v>2514</v>
      </c>
      <c r="D408" s="225" t="s">
        <v>1188</v>
      </c>
      <c r="E408" s="232" t="s">
        <v>2428</v>
      </c>
      <c r="F408" s="104" t="s">
        <v>332</v>
      </c>
    </row>
    <row r="409" spans="1:6" ht="13.2" thickBot="1" x14ac:dyDescent="0.6">
      <c r="A409" s="105">
        <v>402</v>
      </c>
      <c r="B409" s="213">
        <v>5</v>
      </c>
      <c r="C409" s="225" t="s">
        <v>2533</v>
      </c>
      <c r="D409" s="225" t="s">
        <v>1189</v>
      </c>
      <c r="E409" s="232" t="s">
        <v>2428</v>
      </c>
      <c r="F409" s="104" t="s">
        <v>332</v>
      </c>
    </row>
    <row r="410" spans="1:6" ht="13.2" thickBot="1" x14ac:dyDescent="0.6">
      <c r="A410" s="105">
        <v>403</v>
      </c>
      <c r="B410" s="213">
        <v>5</v>
      </c>
      <c r="C410" s="225" t="s">
        <v>2581</v>
      </c>
      <c r="D410" s="225" t="s">
        <v>1190</v>
      </c>
      <c r="E410" s="232" t="s">
        <v>2428</v>
      </c>
      <c r="F410" s="104" t="s">
        <v>332</v>
      </c>
    </row>
    <row r="411" spans="1:6" ht="47.5" customHeight="1" thickBot="1" x14ac:dyDescent="0.6">
      <c r="A411" s="105">
        <v>404</v>
      </c>
      <c r="B411" s="213">
        <v>5</v>
      </c>
      <c r="C411" s="225" t="s">
        <v>2538</v>
      </c>
      <c r="D411" s="225" t="s">
        <v>1191</v>
      </c>
      <c r="E411" s="232" t="s">
        <v>2428</v>
      </c>
      <c r="F411" s="104" t="s">
        <v>332</v>
      </c>
    </row>
    <row r="412" spans="1:6" ht="13.2" thickBot="1" x14ac:dyDescent="0.6">
      <c r="A412" s="106">
        <v>405</v>
      </c>
      <c r="B412" s="213">
        <v>5</v>
      </c>
      <c r="C412" s="226" t="s">
        <v>2539</v>
      </c>
      <c r="D412" s="226" t="s">
        <v>1192</v>
      </c>
      <c r="E412" s="232" t="s">
        <v>2428</v>
      </c>
      <c r="F412" s="104" t="s">
        <v>332</v>
      </c>
    </row>
    <row r="413" spans="1:6" ht="26.1" thickBot="1" x14ac:dyDescent="0.6">
      <c r="A413" s="106">
        <v>406</v>
      </c>
      <c r="B413" s="213">
        <v>5</v>
      </c>
      <c r="C413" s="225" t="s">
        <v>2582</v>
      </c>
      <c r="D413" s="225" t="s">
        <v>1193</v>
      </c>
      <c r="E413" s="232" t="s">
        <v>2428</v>
      </c>
      <c r="F413" s="104" t="s">
        <v>332</v>
      </c>
    </row>
    <row r="414" spans="1:6" ht="13.2" thickBot="1" x14ac:dyDescent="0.6">
      <c r="A414" s="106">
        <v>407</v>
      </c>
      <c r="B414" s="213">
        <v>5</v>
      </c>
      <c r="C414" s="225" t="s">
        <v>2548</v>
      </c>
      <c r="D414" s="225" t="s">
        <v>1194</v>
      </c>
      <c r="E414" s="232" t="s">
        <v>2428</v>
      </c>
      <c r="F414" s="104" t="s">
        <v>332</v>
      </c>
    </row>
    <row r="415" spans="1:6" ht="13.2" thickBot="1" x14ac:dyDescent="0.6">
      <c r="A415" s="106">
        <v>408</v>
      </c>
      <c r="B415" s="215" t="s">
        <v>895</v>
      </c>
      <c r="C415" s="227" t="s">
        <v>442</v>
      </c>
      <c r="D415" s="227" t="s">
        <v>442</v>
      </c>
      <c r="E415" s="232" t="e">
        <v>#N/A</v>
      </c>
      <c r="F415" s="104" t="s">
        <v>2433</v>
      </c>
    </row>
    <row r="416" spans="1:6" ht="13.2" thickBot="1" x14ac:dyDescent="0.6">
      <c r="A416" s="106">
        <v>409</v>
      </c>
      <c r="B416" s="214" t="s">
        <v>895</v>
      </c>
      <c r="C416" s="226" t="s">
        <v>256</v>
      </c>
      <c r="D416" s="226" t="s">
        <v>256</v>
      </c>
      <c r="E416" s="232" t="s">
        <v>2428</v>
      </c>
      <c r="F416" s="104" t="s">
        <v>332</v>
      </c>
    </row>
    <row r="417" spans="1:6" ht="13.2" thickBot="1" x14ac:dyDescent="0.6">
      <c r="A417" s="105">
        <v>410</v>
      </c>
      <c r="B417" s="214" t="s">
        <v>895</v>
      </c>
      <c r="C417" s="225" t="s">
        <v>443</v>
      </c>
      <c r="D417" s="225" t="s">
        <v>443</v>
      </c>
      <c r="E417" s="232" t="s">
        <v>2428</v>
      </c>
      <c r="F417" s="104" t="s">
        <v>332</v>
      </c>
    </row>
    <row r="418" spans="1:6" ht="13.2" thickBot="1" x14ac:dyDescent="0.6">
      <c r="A418" s="105">
        <v>411</v>
      </c>
      <c r="B418" s="214" t="s">
        <v>895</v>
      </c>
      <c r="C418" s="225" t="s">
        <v>440</v>
      </c>
      <c r="D418" s="225" t="s">
        <v>440</v>
      </c>
      <c r="E418" s="232" t="s">
        <v>2428</v>
      </c>
      <c r="F418" s="104" t="s">
        <v>332</v>
      </c>
    </row>
    <row r="419" spans="1:6" ht="13.2" thickBot="1" x14ac:dyDescent="0.6">
      <c r="A419" s="105">
        <v>412</v>
      </c>
      <c r="B419" s="214" t="s">
        <v>895</v>
      </c>
      <c r="C419" s="226" t="s">
        <v>257</v>
      </c>
      <c r="D419" s="226" t="s">
        <v>257</v>
      </c>
      <c r="E419" s="232" t="s">
        <v>2428</v>
      </c>
      <c r="F419" s="104" t="s">
        <v>332</v>
      </c>
    </row>
    <row r="420" spans="1:6" ht="13.2" thickBot="1" x14ac:dyDescent="0.6">
      <c r="A420" s="105">
        <v>413</v>
      </c>
      <c r="B420" s="214" t="s">
        <v>895</v>
      </c>
      <c r="C420" s="225" t="s">
        <v>438</v>
      </c>
      <c r="D420" s="225" t="s">
        <v>438</v>
      </c>
      <c r="E420" s="232" t="s">
        <v>2428</v>
      </c>
      <c r="F420" s="104" t="s">
        <v>332</v>
      </c>
    </row>
    <row r="421" spans="1:6" ht="13.2" thickBot="1" x14ac:dyDescent="0.6">
      <c r="A421" s="105">
        <v>414</v>
      </c>
      <c r="B421" s="214" t="s">
        <v>895</v>
      </c>
      <c r="C421" s="225" t="s">
        <v>444</v>
      </c>
      <c r="D421" s="225" t="s">
        <v>444</v>
      </c>
      <c r="E421" s="232" t="s">
        <v>2428</v>
      </c>
      <c r="F421" s="104" t="s">
        <v>332</v>
      </c>
    </row>
    <row r="422" spans="1:6" ht="13.2" thickBot="1" x14ac:dyDescent="0.6">
      <c r="A422" s="105">
        <v>415</v>
      </c>
      <c r="B422" s="214" t="s">
        <v>895</v>
      </c>
      <c r="C422" s="226" t="s">
        <v>439</v>
      </c>
      <c r="D422" s="226" t="s">
        <v>439</v>
      </c>
      <c r="E422" s="232" t="s">
        <v>2428</v>
      </c>
      <c r="F422" s="104" t="s">
        <v>332</v>
      </c>
    </row>
    <row r="423" spans="1:6" ht="13.2" thickBot="1" x14ac:dyDescent="0.6">
      <c r="A423" s="105">
        <v>416</v>
      </c>
      <c r="B423" s="213" t="s">
        <v>895</v>
      </c>
      <c r="C423" s="225" t="s">
        <v>445</v>
      </c>
      <c r="D423" s="225" t="s">
        <v>445</v>
      </c>
      <c r="E423" s="232" t="s">
        <v>2428</v>
      </c>
      <c r="F423" s="104" t="s">
        <v>332</v>
      </c>
    </row>
    <row r="424" spans="1:6" ht="13.2" thickBot="1" x14ac:dyDescent="0.6">
      <c r="A424" s="105">
        <v>417</v>
      </c>
      <c r="B424" s="213" t="s">
        <v>895</v>
      </c>
      <c r="C424" s="225" t="s">
        <v>446</v>
      </c>
      <c r="D424" s="225" t="s">
        <v>446</v>
      </c>
      <c r="E424" s="232" t="s">
        <v>2428</v>
      </c>
      <c r="F424" s="104" t="s">
        <v>332</v>
      </c>
    </row>
    <row r="425" spans="1:6" ht="13.2" thickBot="1" x14ac:dyDescent="0.6">
      <c r="A425" s="105">
        <v>418</v>
      </c>
      <c r="B425" s="215" t="s">
        <v>896</v>
      </c>
      <c r="C425" s="227" t="s">
        <v>447</v>
      </c>
      <c r="D425" s="227" t="s">
        <v>447</v>
      </c>
      <c r="E425" s="232" t="e">
        <v>#N/A</v>
      </c>
      <c r="F425" s="104" t="s">
        <v>2433</v>
      </c>
    </row>
    <row r="426" spans="1:6" ht="13.2" thickBot="1" x14ac:dyDescent="0.6">
      <c r="A426" s="105">
        <v>419</v>
      </c>
      <c r="B426" s="213" t="s">
        <v>896</v>
      </c>
      <c r="C426" s="225" t="s">
        <v>448</v>
      </c>
      <c r="D426" s="225" t="s">
        <v>448</v>
      </c>
      <c r="E426" s="232" t="s">
        <v>2428</v>
      </c>
      <c r="F426" s="104" t="s">
        <v>332</v>
      </c>
    </row>
    <row r="427" spans="1:6" ht="13.2" thickBot="1" x14ac:dyDescent="0.6">
      <c r="A427" s="103">
        <v>420</v>
      </c>
      <c r="B427" s="214" t="s">
        <v>896</v>
      </c>
      <c r="C427" s="225" t="s">
        <v>449</v>
      </c>
      <c r="D427" s="225" t="s">
        <v>449</v>
      </c>
      <c r="E427" s="232" t="s">
        <v>2428</v>
      </c>
      <c r="F427" s="104" t="s">
        <v>332</v>
      </c>
    </row>
    <row r="428" spans="1:6" ht="13.2" thickBot="1" x14ac:dyDescent="0.6">
      <c r="A428" s="105">
        <v>421</v>
      </c>
      <c r="B428" s="213" t="s">
        <v>896</v>
      </c>
      <c r="C428" s="225" t="s">
        <v>418</v>
      </c>
      <c r="D428" s="225" t="s">
        <v>418</v>
      </c>
      <c r="E428" s="232" t="s">
        <v>2428</v>
      </c>
      <c r="F428" s="104" t="s">
        <v>332</v>
      </c>
    </row>
    <row r="429" spans="1:6" ht="13.2" thickBot="1" x14ac:dyDescent="0.6">
      <c r="A429" s="105">
        <v>422</v>
      </c>
      <c r="B429" s="213" t="s">
        <v>896</v>
      </c>
      <c r="C429" s="225" t="s">
        <v>421</v>
      </c>
      <c r="D429" s="225" t="s">
        <v>421</v>
      </c>
      <c r="E429" s="232" t="s">
        <v>2428</v>
      </c>
      <c r="F429" s="104" t="s">
        <v>332</v>
      </c>
    </row>
    <row r="430" spans="1:6" ht="13.2" thickBot="1" x14ac:dyDescent="0.6">
      <c r="A430" s="105">
        <v>423</v>
      </c>
      <c r="B430" s="213" t="s">
        <v>896</v>
      </c>
      <c r="C430" s="225" t="s">
        <v>422</v>
      </c>
      <c r="D430" s="225" t="s">
        <v>422</v>
      </c>
      <c r="E430" s="232" t="s">
        <v>2428</v>
      </c>
      <c r="F430" s="104" t="s">
        <v>332</v>
      </c>
    </row>
    <row r="431" spans="1:6" ht="13.2" thickBot="1" x14ac:dyDescent="0.6">
      <c r="A431" s="105">
        <v>424</v>
      </c>
      <c r="B431" s="213" t="s">
        <v>896</v>
      </c>
      <c r="C431" s="226" t="s">
        <v>415</v>
      </c>
      <c r="D431" s="226" t="s">
        <v>415</v>
      </c>
      <c r="E431" s="232" t="s">
        <v>2428</v>
      </c>
      <c r="F431" s="104" t="s">
        <v>332</v>
      </c>
    </row>
    <row r="432" spans="1:6" ht="13.2" thickBot="1" x14ac:dyDescent="0.6">
      <c r="A432" s="105">
        <v>425</v>
      </c>
      <c r="B432" s="213" t="s">
        <v>896</v>
      </c>
      <c r="C432" s="225" t="s">
        <v>450</v>
      </c>
      <c r="D432" s="225" t="s">
        <v>450</v>
      </c>
      <c r="E432" s="232" t="s">
        <v>2428</v>
      </c>
      <c r="F432" s="104" t="s">
        <v>332</v>
      </c>
    </row>
    <row r="433" spans="1:6" ht="13.2" thickBot="1" x14ac:dyDescent="0.6">
      <c r="A433" s="105">
        <v>426</v>
      </c>
      <c r="B433" s="213" t="s">
        <v>896</v>
      </c>
      <c r="C433" s="225" t="s">
        <v>423</v>
      </c>
      <c r="D433" s="225" t="s">
        <v>423</v>
      </c>
      <c r="E433" s="232" t="s">
        <v>2428</v>
      </c>
      <c r="F433" s="104" t="s">
        <v>332</v>
      </c>
    </row>
    <row r="434" spans="1:6" ht="13.2" thickBot="1" x14ac:dyDescent="0.6">
      <c r="A434" s="105">
        <v>427</v>
      </c>
      <c r="B434" s="219" t="s">
        <v>897</v>
      </c>
      <c r="C434" s="224" t="s">
        <v>1195</v>
      </c>
      <c r="D434" s="224" t="s">
        <v>1195</v>
      </c>
      <c r="E434" s="232" t="e">
        <v>#N/A</v>
      </c>
      <c r="F434" s="104" t="s">
        <v>2433</v>
      </c>
    </row>
    <row r="435" spans="1:6" ht="26.1" thickBot="1" x14ac:dyDescent="0.6">
      <c r="A435" s="105">
        <v>428</v>
      </c>
      <c r="B435" s="220" t="s">
        <v>897</v>
      </c>
      <c r="C435" s="225" t="s">
        <v>2583</v>
      </c>
      <c r="D435" s="225" t="s">
        <v>1196</v>
      </c>
      <c r="E435" s="232" t="s">
        <v>2428</v>
      </c>
      <c r="F435" s="104" t="s">
        <v>357</v>
      </c>
    </row>
    <row r="436" spans="1:6" ht="26.1" thickBot="1" x14ac:dyDescent="0.6">
      <c r="A436" s="105">
        <v>429</v>
      </c>
      <c r="B436" s="220" t="s">
        <v>897</v>
      </c>
      <c r="C436" s="225" t="s">
        <v>1197</v>
      </c>
      <c r="D436" s="225" t="s">
        <v>1197</v>
      </c>
      <c r="E436" s="232" t="s">
        <v>2428</v>
      </c>
      <c r="F436" s="104" t="s">
        <v>357</v>
      </c>
    </row>
    <row r="437" spans="1:6" ht="51.9" thickBot="1" x14ac:dyDescent="0.6">
      <c r="A437" s="105">
        <v>430</v>
      </c>
      <c r="B437" s="221" t="s">
        <v>897</v>
      </c>
      <c r="C437" s="225" t="s">
        <v>2584</v>
      </c>
      <c r="D437" s="225" t="s">
        <v>1198</v>
      </c>
      <c r="E437" s="232" t="s">
        <v>2428</v>
      </c>
      <c r="F437" s="104" t="s">
        <v>332</v>
      </c>
    </row>
    <row r="438" spans="1:6" ht="51.9" thickBot="1" x14ac:dyDescent="0.6">
      <c r="A438" s="105">
        <v>431</v>
      </c>
      <c r="B438" s="220" t="s">
        <v>897</v>
      </c>
      <c r="C438" s="225" t="s">
        <v>2584</v>
      </c>
      <c r="D438" s="225" t="s">
        <v>1199</v>
      </c>
      <c r="E438" s="232" t="s">
        <v>2428</v>
      </c>
      <c r="F438" s="104" t="s">
        <v>357</v>
      </c>
    </row>
    <row r="439" spans="1:6" ht="64.8" thickBot="1" x14ac:dyDescent="0.6">
      <c r="A439" s="105">
        <v>432</v>
      </c>
      <c r="B439" s="221" t="s">
        <v>897</v>
      </c>
      <c r="C439" s="226" t="s">
        <v>2584</v>
      </c>
      <c r="D439" s="226" t="s">
        <v>1200</v>
      </c>
      <c r="E439" s="232" t="s">
        <v>2428</v>
      </c>
      <c r="F439" s="104" t="s">
        <v>332</v>
      </c>
    </row>
    <row r="440" spans="1:6" ht="39" thickBot="1" x14ac:dyDescent="0.6">
      <c r="A440" s="105">
        <v>433</v>
      </c>
      <c r="B440" s="221" t="s">
        <v>897</v>
      </c>
      <c r="C440" s="226" t="s">
        <v>2584</v>
      </c>
      <c r="D440" s="226" t="s">
        <v>1201</v>
      </c>
      <c r="E440" s="232" t="s">
        <v>2428</v>
      </c>
      <c r="F440" s="104" t="s">
        <v>332</v>
      </c>
    </row>
    <row r="441" spans="1:6" ht="39" thickBot="1" x14ac:dyDescent="0.6">
      <c r="A441" s="105">
        <v>434</v>
      </c>
      <c r="B441" s="221" t="s">
        <v>897</v>
      </c>
      <c r="C441" s="226" t="s">
        <v>2584</v>
      </c>
      <c r="D441" s="226" t="s">
        <v>1201</v>
      </c>
      <c r="E441" s="232" t="s">
        <v>2428</v>
      </c>
      <c r="F441" s="104" t="s">
        <v>332</v>
      </c>
    </row>
    <row r="442" spans="1:6" ht="90.6" thickBot="1" x14ac:dyDescent="0.6">
      <c r="A442" s="105">
        <v>435</v>
      </c>
      <c r="B442" s="220" t="s">
        <v>897</v>
      </c>
      <c r="C442" s="226" t="s">
        <v>2584</v>
      </c>
      <c r="D442" s="226" t="s">
        <v>1202</v>
      </c>
      <c r="E442" s="232" t="s">
        <v>2428</v>
      </c>
      <c r="F442" s="104" t="s">
        <v>357</v>
      </c>
    </row>
    <row r="443" spans="1:6" ht="90.6" thickBot="1" x14ac:dyDescent="0.6">
      <c r="A443" s="105">
        <v>436</v>
      </c>
      <c r="B443" s="220" t="s">
        <v>897</v>
      </c>
      <c r="C443" s="226" t="s">
        <v>2584</v>
      </c>
      <c r="D443" s="226" t="s">
        <v>1202</v>
      </c>
      <c r="E443" s="232" t="s">
        <v>2428</v>
      </c>
      <c r="F443" s="104" t="s">
        <v>357</v>
      </c>
    </row>
    <row r="444" spans="1:6" ht="64.8" thickBot="1" x14ac:dyDescent="0.6">
      <c r="A444" s="105">
        <v>437</v>
      </c>
      <c r="B444" s="221" t="s">
        <v>897</v>
      </c>
      <c r="C444" s="226" t="s">
        <v>2584</v>
      </c>
      <c r="D444" s="226" t="s">
        <v>1203</v>
      </c>
      <c r="E444" s="232" t="s">
        <v>2428</v>
      </c>
      <c r="F444" s="104" t="s">
        <v>332</v>
      </c>
    </row>
    <row r="445" spans="1:6" ht="64.8" thickBot="1" x14ac:dyDescent="0.6">
      <c r="A445" s="105">
        <v>438</v>
      </c>
      <c r="B445" s="221" t="s">
        <v>897</v>
      </c>
      <c r="C445" s="226" t="s">
        <v>2584</v>
      </c>
      <c r="D445" s="226" t="s">
        <v>1203</v>
      </c>
      <c r="E445" s="232" t="s">
        <v>2428</v>
      </c>
      <c r="F445" s="104" t="s">
        <v>357</v>
      </c>
    </row>
    <row r="446" spans="1:6" ht="51.9" thickBot="1" x14ac:dyDescent="0.6">
      <c r="A446" s="105">
        <v>439</v>
      </c>
      <c r="B446" s="221" t="s">
        <v>897</v>
      </c>
      <c r="C446" s="226" t="s">
        <v>2584</v>
      </c>
      <c r="D446" s="226" t="s">
        <v>1204</v>
      </c>
      <c r="E446" s="232" t="s">
        <v>2428</v>
      </c>
      <c r="F446" s="104" t="s">
        <v>332</v>
      </c>
    </row>
    <row r="447" spans="1:6" ht="51.9" thickBot="1" x14ac:dyDescent="0.6">
      <c r="A447" s="105">
        <v>440</v>
      </c>
      <c r="B447" s="221" t="s">
        <v>897</v>
      </c>
      <c r="C447" s="226" t="s">
        <v>2584</v>
      </c>
      <c r="D447" s="226" t="s">
        <v>1204</v>
      </c>
      <c r="E447" s="232" t="s">
        <v>2428</v>
      </c>
      <c r="F447" s="104" t="s">
        <v>357</v>
      </c>
    </row>
    <row r="448" spans="1:6" ht="77.7" thickBot="1" x14ac:dyDescent="0.6">
      <c r="A448" s="106">
        <v>441</v>
      </c>
      <c r="B448" s="220" t="s">
        <v>897</v>
      </c>
      <c r="C448" s="226" t="s">
        <v>2584</v>
      </c>
      <c r="D448" s="226" t="s">
        <v>1205</v>
      </c>
      <c r="E448" s="232" t="s">
        <v>2428</v>
      </c>
      <c r="F448" s="104" t="s">
        <v>357</v>
      </c>
    </row>
    <row r="449" spans="1:6" ht="77.7" thickBot="1" x14ac:dyDescent="0.6">
      <c r="A449" s="106">
        <v>442</v>
      </c>
      <c r="B449" s="220" t="s">
        <v>897</v>
      </c>
      <c r="C449" s="226" t="s">
        <v>2584</v>
      </c>
      <c r="D449" s="226" t="s">
        <v>1205</v>
      </c>
      <c r="E449" s="232" t="s">
        <v>2428</v>
      </c>
      <c r="F449" s="104" t="s">
        <v>357</v>
      </c>
    </row>
    <row r="450" spans="1:6" ht="47.5" customHeight="1" thickBot="1" x14ac:dyDescent="0.6">
      <c r="A450" s="106">
        <v>443</v>
      </c>
      <c r="B450" s="221" t="s">
        <v>897</v>
      </c>
      <c r="C450" s="225" t="s">
        <v>2585</v>
      </c>
      <c r="D450" s="225" t="s">
        <v>1206</v>
      </c>
      <c r="E450" s="232" t="s">
        <v>2428</v>
      </c>
      <c r="F450" s="104" t="s">
        <v>332</v>
      </c>
    </row>
    <row r="451" spans="1:6" ht="26.1" thickBot="1" x14ac:dyDescent="0.6">
      <c r="A451" s="106">
        <v>444</v>
      </c>
      <c r="B451" s="220" t="s">
        <v>897</v>
      </c>
      <c r="C451" s="225" t="s">
        <v>2585</v>
      </c>
      <c r="D451" s="225" t="s">
        <v>1207</v>
      </c>
      <c r="E451" s="232" t="s">
        <v>2428</v>
      </c>
      <c r="F451" s="104" t="s">
        <v>357</v>
      </c>
    </row>
    <row r="452" spans="1:6" ht="26.1" thickBot="1" x14ac:dyDescent="0.6">
      <c r="A452" s="105">
        <v>445</v>
      </c>
      <c r="B452" s="220" t="s">
        <v>897</v>
      </c>
      <c r="C452" s="225" t="s">
        <v>2586</v>
      </c>
      <c r="D452" s="225" t="s">
        <v>1208</v>
      </c>
      <c r="E452" s="232" t="s">
        <v>2428</v>
      </c>
      <c r="F452" s="104" t="s">
        <v>357</v>
      </c>
    </row>
    <row r="453" spans="1:6" ht="26.1" thickBot="1" x14ac:dyDescent="0.6">
      <c r="A453" s="105">
        <v>446</v>
      </c>
      <c r="B453" s="220" t="s">
        <v>897</v>
      </c>
      <c r="C453" s="225" t="s">
        <v>2586</v>
      </c>
      <c r="D453" s="225" t="s">
        <v>1209</v>
      </c>
      <c r="E453" s="232" t="s">
        <v>2428</v>
      </c>
      <c r="F453" s="104" t="s">
        <v>357</v>
      </c>
    </row>
    <row r="454" spans="1:6" ht="26.1" thickBot="1" x14ac:dyDescent="0.6">
      <c r="A454" s="105">
        <v>447</v>
      </c>
      <c r="B454" s="220" t="s">
        <v>897</v>
      </c>
      <c r="C454" s="225" t="s">
        <v>2586</v>
      </c>
      <c r="D454" s="225" t="s">
        <v>1210</v>
      </c>
      <c r="E454" s="232" t="s">
        <v>2428</v>
      </c>
      <c r="F454" s="104" t="s">
        <v>357</v>
      </c>
    </row>
    <row r="455" spans="1:6" ht="39" thickBot="1" x14ac:dyDescent="0.6">
      <c r="A455" s="103">
        <v>448</v>
      </c>
      <c r="B455" s="221" t="s">
        <v>897</v>
      </c>
      <c r="C455" s="225" t="s">
        <v>2587</v>
      </c>
      <c r="D455" s="225" t="s">
        <v>1211</v>
      </c>
      <c r="E455" s="232" t="s">
        <v>2428</v>
      </c>
      <c r="F455" s="104" t="s">
        <v>332</v>
      </c>
    </row>
    <row r="456" spans="1:6" ht="39" thickBot="1" x14ac:dyDescent="0.6">
      <c r="A456" s="105">
        <v>449</v>
      </c>
      <c r="B456" s="221" t="s">
        <v>897</v>
      </c>
      <c r="C456" s="225" t="s">
        <v>2588</v>
      </c>
      <c r="D456" s="225" t="s">
        <v>1212</v>
      </c>
      <c r="E456" s="232" t="s">
        <v>2428</v>
      </c>
      <c r="F456" s="104" t="s">
        <v>332</v>
      </c>
    </row>
    <row r="457" spans="1:6" ht="26.1" thickBot="1" x14ac:dyDescent="0.6">
      <c r="A457" s="105">
        <v>450</v>
      </c>
      <c r="B457" s="220" t="s">
        <v>897</v>
      </c>
      <c r="C457" s="225" t="s">
        <v>2589</v>
      </c>
      <c r="D457" s="225" t="s">
        <v>1213</v>
      </c>
      <c r="E457" s="232" t="s">
        <v>2428</v>
      </c>
      <c r="F457" s="104" t="s">
        <v>357</v>
      </c>
    </row>
    <row r="458" spans="1:6" ht="13.2" thickBot="1" x14ac:dyDescent="0.6">
      <c r="A458" s="105">
        <v>451</v>
      </c>
      <c r="B458" s="221" t="s">
        <v>897</v>
      </c>
      <c r="C458" s="225" t="s">
        <v>1214</v>
      </c>
      <c r="D458" s="225" t="s">
        <v>1214</v>
      </c>
      <c r="E458" s="232" t="s">
        <v>2428</v>
      </c>
      <c r="F458" s="104" t="s">
        <v>332</v>
      </c>
    </row>
    <row r="459" spans="1:6" ht="13.2" thickBot="1" x14ac:dyDescent="0.6">
      <c r="A459" s="105">
        <v>452</v>
      </c>
      <c r="B459" s="220" t="s">
        <v>897</v>
      </c>
      <c r="C459" s="225" t="s">
        <v>1215</v>
      </c>
      <c r="D459" s="225" t="s">
        <v>1215</v>
      </c>
      <c r="E459" s="232" t="s">
        <v>2428</v>
      </c>
      <c r="F459" s="104" t="s">
        <v>357</v>
      </c>
    </row>
    <row r="460" spans="1:6" ht="26.1" thickBot="1" x14ac:dyDescent="0.6">
      <c r="A460" s="106">
        <v>453</v>
      </c>
      <c r="B460" s="220" t="s">
        <v>897</v>
      </c>
      <c r="C460" s="225" t="s">
        <v>2590</v>
      </c>
      <c r="D460" s="225" t="s">
        <v>1216</v>
      </c>
      <c r="E460" s="232" t="s">
        <v>2428</v>
      </c>
      <c r="F460" s="104" t="s">
        <v>332</v>
      </c>
    </row>
    <row r="461" spans="1:6" ht="26.1" thickBot="1" x14ac:dyDescent="0.6">
      <c r="A461" s="106">
        <v>454</v>
      </c>
      <c r="B461" s="220" t="s">
        <v>897</v>
      </c>
      <c r="C461" s="225" t="s">
        <v>2591</v>
      </c>
      <c r="D461" s="225" t="s">
        <v>1217</v>
      </c>
      <c r="E461" s="232" t="s">
        <v>2428</v>
      </c>
      <c r="F461" s="104" t="s">
        <v>332</v>
      </c>
    </row>
    <row r="462" spans="1:6" ht="26.1" thickBot="1" x14ac:dyDescent="0.6">
      <c r="A462" s="106">
        <v>455</v>
      </c>
      <c r="B462" s="220" t="s">
        <v>897</v>
      </c>
      <c r="C462" s="225" t="s">
        <v>2592</v>
      </c>
      <c r="D462" s="225" t="s">
        <v>1218</v>
      </c>
      <c r="E462" s="232" t="s">
        <v>2428</v>
      </c>
      <c r="F462" s="104" t="s">
        <v>357</v>
      </c>
    </row>
    <row r="463" spans="1:6" ht="65.5" customHeight="1" thickBot="1" x14ac:dyDescent="0.6">
      <c r="A463" s="106">
        <v>456</v>
      </c>
      <c r="B463" s="221" t="s">
        <v>897</v>
      </c>
      <c r="C463" s="225" t="s">
        <v>2593</v>
      </c>
      <c r="D463" s="225" t="s">
        <v>1219</v>
      </c>
      <c r="E463" s="232" t="s">
        <v>2428</v>
      </c>
      <c r="F463" s="104" t="s">
        <v>332</v>
      </c>
    </row>
    <row r="464" spans="1:6" ht="50.5" customHeight="1" thickBot="1" x14ac:dyDescent="0.6">
      <c r="A464" s="106">
        <v>457</v>
      </c>
      <c r="B464" s="221" t="s">
        <v>897</v>
      </c>
      <c r="C464" s="225" t="s">
        <v>2594</v>
      </c>
      <c r="D464" s="225" t="s">
        <v>1220</v>
      </c>
      <c r="E464" s="232" t="s">
        <v>2428</v>
      </c>
      <c r="F464" s="104" t="s">
        <v>332</v>
      </c>
    </row>
    <row r="465" spans="1:6" ht="50.5" customHeight="1" thickBot="1" x14ac:dyDescent="0.6">
      <c r="A465" s="106">
        <v>458</v>
      </c>
      <c r="B465" s="220" t="s">
        <v>897</v>
      </c>
      <c r="C465" s="225" t="s">
        <v>2595</v>
      </c>
      <c r="D465" s="225" t="s">
        <v>1221</v>
      </c>
      <c r="E465" s="232" t="s">
        <v>2428</v>
      </c>
      <c r="F465" s="104" t="s">
        <v>357</v>
      </c>
    </row>
    <row r="466" spans="1:6" ht="26.1" thickBot="1" x14ac:dyDescent="0.6">
      <c r="A466" s="106">
        <v>459</v>
      </c>
      <c r="B466" s="221" t="s">
        <v>897</v>
      </c>
      <c r="C466" s="225" t="s">
        <v>2596</v>
      </c>
      <c r="D466" s="225" t="s">
        <v>1222</v>
      </c>
      <c r="E466" s="232" t="s">
        <v>2428</v>
      </c>
      <c r="F466" s="104" t="s">
        <v>332</v>
      </c>
    </row>
    <row r="467" spans="1:6" ht="42" customHeight="1" thickBot="1" x14ac:dyDescent="0.6">
      <c r="A467" s="106">
        <v>460</v>
      </c>
      <c r="B467" s="221" t="s">
        <v>897</v>
      </c>
      <c r="C467" s="225" t="s">
        <v>2596</v>
      </c>
      <c r="D467" s="225" t="s">
        <v>1223</v>
      </c>
      <c r="E467" s="232" t="s">
        <v>2428</v>
      </c>
      <c r="F467" s="104" t="s">
        <v>332</v>
      </c>
    </row>
    <row r="468" spans="1:6" ht="26.1" thickBot="1" x14ac:dyDescent="0.6">
      <c r="A468" s="106">
        <v>461</v>
      </c>
      <c r="B468" s="220" t="s">
        <v>897</v>
      </c>
      <c r="C468" s="225" t="s">
        <v>2596</v>
      </c>
      <c r="D468" s="225" t="s">
        <v>1224</v>
      </c>
      <c r="E468" s="232" t="s">
        <v>2428</v>
      </c>
      <c r="F468" s="104" t="s">
        <v>357</v>
      </c>
    </row>
    <row r="469" spans="1:6" ht="26.1" thickBot="1" x14ac:dyDescent="0.6">
      <c r="A469" s="106">
        <v>462</v>
      </c>
      <c r="B469" s="220" t="s">
        <v>897</v>
      </c>
      <c r="C469" s="225" t="s">
        <v>1225</v>
      </c>
      <c r="D469" s="225" t="s">
        <v>1225</v>
      </c>
      <c r="E469" s="232" t="s">
        <v>2428</v>
      </c>
      <c r="F469" s="104" t="s">
        <v>357</v>
      </c>
    </row>
    <row r="470" spans="1:6" ht="26.1" thickBot="1" x14ac:dyDescent="0.6">
      <c r="A470" s="106">
        <v>462</v>
      </c>
      <c r="B470" s="220" t="s">
        <v>897</v>
      </c>
      <c r="C470" s="225" t="s">
        <v>1226</v>
      </c>
      <c r="D470" s="225" t="s">
        <v>1226</v>
      </c>
      <c r="E470" s="232" t="s">
        <v>2428</v>
      </c>
      <c r="F470" s="104" t="s">
        <v>357</v>
      </c>
    </row>
    <row r="471" spans="1:6" ht="26.1" thickBot="1" x14ac:dyDescent="0.6">
      <c r="A471" s="106">
        <v>462</v>
      </c>
      <c r="B471" s="220" t="s">
        <v>897</v>
      </c>
      <c r="C471" s="225" t="s">
        <v>1227</v>
      </c>
      <c r="D471" s="225" t="s">
        <v>1227</v>
      </c>
      <c r="E471" s="232" t="s">
        <v>2428</v>
      </c>
      <c r="F471" s="104" t="s">
        <v>357</v>
      </c>
    </row>
    <row r="472" spans="1:6" ht="26.1" thickBot="1" x14ac:dyDescent="0.6">
      <c r="A472" s="106">
        <v>462</v>
      </c>
      <c r="B472" s="220" t="s">
        <v>897</v>
      </c>
      <c r="C472" s="225" t="s">
        <v>2597</v>
      </c>
      <c r="D472" s="225" t="s">
        <v>1228</v>
      </c>
      <c r="E472" s="232" t="s">
        <v>2428</v>
      </c>
      <c r="F472" s="104" t="s">
        <v>357</v>
      </c>
    </row>
    <row r="473" spans="1:6" ht="39" thickBot="1" x14ac:dyDescent="0.6">
      <c r="A473" s="105">
        <v>463</v>
      </c>
      <c r="B473" s="221" t="s">
        <v>897</v>
      </c>
      <c r="C473" s="226" t="s">
        <v>2598</v>
      </c>
      <c r="D473" s="226" t="s">
        <v>1229</v>
      </c>
      <c r="E473" s="232" t="s">
        <v>2428</v>
      </c>
      <c r="F473" s="104" t="s">
        <v>357</v>
      </c>
    </row>
    <row r="474" spans="1:6" ht="46.9" customHeight="1" thickBot="1" x14ac:dyDescent="0.6">
      <c r="A474" s="103">
        <v>464</v>
      </c>
      <c r="B474" s="221" t="s">
        <v>897</v>
      </c>
      <c r="C474" s="226" t="s">
        <v>2598</v>
      </c>
      <c r="D474" s="226" t="s">
        <v>1229</v>
      </c>
      <c r="E474" s="232" t="s">
        <v>2428</v>
      </c>
      <c r="F474" s="104" t="s">
        <v>357</v>
      </c>
    </row>
    <row r="475" spans="1:6" ht="39" thickBot="1" x14ac:dyDescent="0.6">
      <c r="A475" s="105">
        <v>465</v>
      </c>
      <c r="B475" s="221" t="s">
        <v>897</v>
      </c>
      <c r="C475" s="226" t="s">
        <v>2598</v>
      </c>
      <c r="D475" s="226" t="s">
        <v>1229</v>
      </c>
      <c r="E475" s="232" t="s">
        <v>2428</v>
      </c>
      <c r="F475" s="104" t="s">
        <v>357</v>
      </c>
    </row>
    <row r="476" spans="1:6" ht="46.9" customHeight="1" thickBot="1" x14ac:dyDescent="0.6">
      <c r="A476" s="106">
        <v>466</v>
      </c>
      <c r="B476" s="221" t="s">
        <v>897</v>
      </c>
      <c r="C476" s="226" t="s">
        <v>2598</v>
      </c>
      <c r="D476" s="226" t="s">
        <v>1230</v>
      </c>
      <c r="E476" s="232" t="s">
        <v>2428</v>
      </c>
      <c r="F476" s="104" t="s">
        <v>357</v>
      </c>
    </row>
    <row r="477" spans="1:6" ht="39" thickBot="1" x14ac:dyDescent="0.6">
      <c r="A477" s="103">
        <v>467</v>
      </c>
      <c r="B477" s="221" t="s">
        <v>897</v>
      </c>
      <c r="C477" s="226" t="s">
        <v>2598</v>
      </c>
      <c r="D477" s="226" t="s">
        <v>1230</v>
      </c>
      <c r="E477" s="232" t="s">
        <v>2428</v>
      </c>
      <c r="F477" s="104" t="s">
        <v>357</v>
      </c>
    </row>
    <row r="478" spans="1:6" ht="39" thickBot="1" x14ac:dyDescent="0.6">
      <c r="A478" s="105">
        <v>468</v>
      </c>
      <c r="B478" s="221" t="s">
        <v>897</v>
      </c>
      <c r="C478" s="226" t="s">
        <v>2598</v>
      </c>
      <c r="D478" s="226" t="s">
        <v>1230</v>
      </c>
      <c r="E478" s="232" t="s">
        <v>2428</v>
      </c>
      <c r="F478" s="104" t="s">
        <v>357</v>
      </c>
    </row>
    <row r="479" spans="1:6" ht="51.9" thickBot="1" x14ac:dyDescent="0.6">
      <c r="A479" s="103">
        <v>469</v>
      </c>
      <c r="B479" s="220" t="s">
        <v>897</v>
      </c>
      <c r="C479" s="226" t="s">
        <v>2598</v>
      </c>
      <c r="D479" s="226" t="s">
        <v>1231</v>
      </c>
      <c r="E479" s="232" t="s">
        <v>2428</v>
      </c>
      <c r="F479" s="104" t="s">
        <v>357</v>
      </c>
    </row>
    <row r="480" spans="1:6" ht="105" customHeight="1" thickBot="1" x14ac:dyDescent="0.6">
      <c r="A480" s="105">
        <v>470</v>
      </c>
      <c r="B480" s="221" t="s">
        <v>897</v>
      </c>
      <c r="C480" s="225" t="s">
        <v>2599</v>
      </c>
      <c r="D480" s="225" t="s">
        <v>1232</v>
      </c>
      <c r="E480" s="232" t="s">
        <v>2428</v>
      </c>
      <c r="F480" s="104" t="s">
        <v>357</v>
      </c>
    </row>
    <row r="481" spans="1:6" ht="46.9" customHeight="1" thickBot="1" x14ac:dyDescent="0.6">
      <c r="A481" s="106">
        <v>471</v>
      </c>
      <c r="B481" s="221" t="s">
        <v>897</v>
      </c>
      <c r="C481" s="225" t="s">
        <v>2600</v>
      </c>
      <c r="D481" s="225" t="s">
        <v>1233</v>
      </c>
      <c r="E481" s="232" t="s">
        <v>2428</v>
      </c>
      <c r="F481" s="104" t="s">
        <v>357</v>
      </c>
    </row>
    <row r="482" spans="1:6" ht="46.9" customHeight="1" thickBot="1" x14ac:dyDescent="0.6">
      <c r="A482" s="106">
        <v>472</v>
      </c>
      <c r="B482" s="220" t="s">
        <v>897</v>
      </c>
      <c r="C482" s="225" t="s">
        <v>2601</v>
      </c>
      <c r="D482" s="225" t="s">
        <v>1234</v>
      </c>
      <c r="E482" s="232" t="s">
        <v>2428</v>
      </c>
      <c r="F482" s="104" t="s">
        <v>357</v>
      </c>
    </row>
    <row r="483" spans="1:6" ht="13.2" thickBot="1" x14ac:dyDescent="0.6">
      <c r="A483" s="106">
        <v>473</v>
      </c>
      <c r="B483" s="220" t="s">
        <v>897</v>
      </c>
      <c r="C483" s="226" t="s">
        <v>2602</v>
      </c>
      <c r="D483" s="226" t="s">
        <v>1235</v>
      </c>
      <c r="E483" s="232" t="s">
        <v>453</v>
      </c>
      <c r="F483" s="104" t="s">
        <v>267</v>
      </c>
    </row>
    <row r="484" spans="1:6" ht="26.1" thickBot="1" x14ac:dyDescent="0.6">
      <c r="A484" s="106">
        <v>474</v>
      </c>
      <c r="B484" s="221" t="s">
        <v>897</v>
      </c>
      <c r="C484" s="225" t="s">
        <v>2603</v>
      </c>
      <c r="D484" s="225" t="s">
        <v>1236</v>
      </c>
      <c r="E484" s="232" t="s">
        <v>2428</v>
      </c>
      <c r="F484" s="104" t="s">
        <v>332</v>
      </c>
    </row>
    <row r="485" spans="1:6" ht="26.1" thickBot="1" x14ac:dyDescent="0.6">
      <c r="A485" s="106">
        <v>475</v>
      </c>
      <c r="B485" s="220" t="s">
        <v>897</v>
      </c>
      <c r="C485" s="225" t="s">
        <v>2604</v>
      </c>
      <c r="D485" s="225" t="s">
        <v>1237</v>
      </c>
      <c r="E485" s="232" t="s">
        <v>2428</v>
      </c>
      <c r="F485" s="104" t="s">
        <v>357</v>
      </c>
    </row>
    <row r="486" spans="1:6" ht="26.1" thickBot="1" x14ac:dyDescent="0.6">
      <c r="A486" s="106">
        <v>476</v>
      </c>
      <c r="B486" s="221" t="s">
        <v>897</v>
      </c>
      <c r="C486" s="225" t="s">
        <v>2605</v>
      </c>
      <c r="D486" s="225" t="s">
        <v>1238</v>
      </c>
      <c r="E486" s="232" t="s">
        <v>453</v>
      </c>
      <c r="F486" s="104" t="s">
        <v>267</v>
      </c>
    </row>
    <row r="487" spans="1:6" ht="26.1" thickBot="1" x14ac:dyDescent="0.6">
      <c r="A487" s="106">
        <v>477</v>
      </c>
      <c r="B487" s="221" t="s">
        <v>897</v>
      </c>
      <c r="C487" s="225" t="s">
        <v>2606</v>
      </c>
      <c r="D487" s="225" t="s">
        <v>1239</v>
      </c>
      <c r="E487" s="232" t="s">
        <v>453</v>
      </c>
      <c r="F487" s="104" t="s">
        <v>267</v>
      </c>
    </row>
    <row r="488" spans="1:6" ht="57.75" customHeight="1" thickBot="1" x14ac:dyDescent="0.6">
      <c r="A488" s="106">
        <v>478</v>
      </c>
      <c r="B488" s="221" t="s">
        <v>897</v>
      </c>
      <c r="C488" s="225" t="s">
        <v>2607</v>
      </c>
      <c r="D488" s="225" t="s">
        <v>1240</v>
      </c>
      <c r="E488" s="232" t="s">
        <v>2428</v>
      </c>
      <c r="F488" s="104" t="s">
        <v>332</v>
      </c>
    </row>
    <row r="489" spans="1:6" ht="26.1" thickBot="1" x14ac:dyDescent="0.6">
      <c r="A489" s="106">
        <v>479</v>
      </c>
      <c r="B489" s="221" t="s">
        <v>897</v>
      </c>
      <c r="C489" s="225" t="s">
        <v>2608</v>
      </c>
      <c r="D489" s="225" t="s">
        <v>1241</v>
      </c>
      <c r="E489" s="232" t="s">
        <v>2428</v>
      </c>
      <c r="F489" s="104" t="s">
        <v>332</v>
      </c>
    </row>
    <row r="490" spans="1:6" ht="13.2" thickBot="1" x14ac:dyDescent="0.6">
      <c r="A490" s="106">
        <v>479</v>
      </c>
      <c r="B490" s="220" t="s">
        <v>897</v>
      </c>
      <c r="C490" s="225" t="s">
        <v>2609</v>
      </c>
      <c r="D490" s="225" t="s">
        <v>1242</v>
      </c>
      <c r="E490" s="232" t="s">
        <v>2428</v>
      </c>
      <c r="F490" s="104" t="s">
        <v>357</v>
      </c>
    </row>
    <row r="491" spans="1:6" ht="26.1" thickBot="1" x14ac:dyDescent="0.6">
      <c r="A491" s="106">
        <v>479</v>
      </c>
      <c r="B491" s="221" t="s">
        <v>897</v>
      </c>
      <c r="C491" s="225" t="s">
        <v>1243</v>
      </c>
      <c r="D491" s="225" t="s">
        <v>1243</v>
      </c>
      <c r="E491" s="232" t="s">
        <v>2428</v>
      </c>
      <c r="F491" s="104" t="s">
        <v>332</v>
      </c>
    </row>
    <row r="492" spans="1:6" ht="13.2" thickBot="1" x14ac:dyDescent="0.6">
      <c r="A492" s="105">
        <v>480</v>
      </c>
      <c r="B492" s="220" t="s">
        <v>897</v>
      </c>
      <c r="C492" s="225" t="s">
        <v>1244</v>
      </c>
      <c r="D492" s="225" t="s">
        <v>1244</v>
      </c>
      <c r="E492" s="232" t="s">
        <v>2428</v>
      </c>
      <c r="F492" s="104" t="s">
        <v>357</v>
      </c>
    </row>
    <row r="493" spans="1:6" ht="13.2" thickBot="1" x14ac:dyDescent="0.6">
      <c r="A493" s="103">
        <v>481</v>
      </c>
      <c r="B493" s="222" t="s">
        <v>898</v>
      </c>
      <c r="C493" s="227" t="s">
        <v>1245</v>
      </c>
      <c r="D493" s="227" t="s">
        <v>1245</v>
      </c>
      <c r="E493" s="232" t="e">
        <v>#N/A</v>
      </c>
      <c r="F493" s="104" t="s">
        <v>2433</v>
      </c>
    </row>
    <row r="494" spans="1:6" ht="51.9" thickBot="1" x14ac:dyDescent="0.6">
      <c r="A494" s="105">
        <v>482</v>
      </c>
      <c r="B494" s="221" t="s">
        <v>898</v>
      </c>
      <c r="C494" s="226" t="s">
        <v>2584</v>
      </c>
      <c r="D494" s="226" t="s">
        <v>1246</v>
      </c>
      <c r="E494" s="232" t="s">
        <v>2428</v>
      </c>
      <c r="F494" s="104" t="s">
        <v>332</v>
      </c>
    </row>
    <row r="495" spans="1:6" ht="51.9" thickBot="1" x14ac:dyDescent="0.6">
      <c r="A495" s="106">
        <v>483</v>
      </c>
      <c r="B495" s="221" t="s">
        <v>898</v>
      </c>
      <c r="C495" s="226" t="s">
        <v>2584</v>
      </c>
      <c r="D495" s="226" t="s">
        <v>1246</v>
      </c>
      <c r="E495" s="232" t="s">
        <v>2428</v>
      </c>
      <c r="F495" s="104" t="s">
        <v>332</v>
      </c>
    </row>
    <row r="496" spans="1:6" ht="51.9" thickBot="1" x14ac:dyDescent="0.6">
      <c r="A496" s="103">
        <v>484</v>
      </c>
      <c r="B496" s="221" t="s">
        <v>898</v>
      </c>
      <c r="C496" s="226" t="s">
        <v>2584</v>
      </c>
      <c r="D496" s="226" t="s">
        <v>1247</v>
      </c>
      <c r="E496" s="232" t="s">
        <v>2428</v>
      </c>
      <c r="F496" s="104" t="s">
        <v>332</v>
      </c>
    </row>
    <row r="497" spans="1:6" ht="13.2" thickBot="1" x14ac:dyDescent="0.6">
      <c r="A497" s="105">
        <v>485</v>
      </c>
      <c r="B497" s="221" t="s">
        <v>898</v>
      </c>
      <c r="C497" s="225" t="s">
        <v>1248</v>
      </c>
      <c r="D497" s="225" t="s">
        <v>1248</v>
      </c>
      <c r="E497" s="232" t="s">
        <v>2428</v>
      </c>
      <c r="F497" s="104" t="s">
        <v>332</v>
      </c>
    </row>
    <row r="498" spans="1:6" ht="13.2" thickBot="1" x14ac:dyDescent="0.6">
      <c r="A498" s="103">
        <v>486</v>
      </c>
      <c r="B498" s="220" t="s">
        <v>898</v>
      </c>
      <c r="C498" s="225" t="s">
        <v>1249</v>
      </c>
      <c r="D498" s="225" t="s">
        <v>1249</v>
      </c>
      <c r="E498" s="232" t="s">
        <v>2428</v>
      </c>
      <c r="F498" s="104" t="s">
        <v>332</v>
      </c>
    </row>
    <row r="499" spans="1:6" ht="199.9" customHeight="1" thickBot="1" x14ac:dyDescent="0.6">
      <c r="A499" s="105">
        <v>487</v>
      </c>
      <c r="B499" s="221" t="s">
        <v>898</v>
      </c>
      <c r="C499" s="225" t="s">
        <v>454</v>
      </c>
      <c r="D499" s="225" t="s">
        <v>454</v>
      </c>
      <c r="E499" s="232" t="s">
        <v>2428</v>
      </c>
      <c r="F499" s="104" t="s">
        <v>332</v>
      </c>
    </row>
    <row r="500" spans="1:6" ht="13.2" thickBot="1" x14ac:dyDescent="0.6">
      <c r="A500" s="106">
        <v>488</v>
      </c>
      <c r="B500" s="221" t="s">
        <v>898</v>
      </c>
      <c r="C500" s="225" t="s">
        <v>1250</v>
      </c>
      <c r="D500" s="225" t="s">
        <v>1250</v>
      </c>
      <c r="E500" s="232" t="s">
        <v>2428</v>
      </c>
      <c r="F500" s="104" t="s">
        <v>332</v>
      </c>
    </row>
    <row r="501" spans="1:6" ht="13.2" thickBot="1" x14ac:dyDescent="0.6">
      <c r="A501" s="106">
        <v>489</v>
      </c>
      <c r="B501" s="221" t="s">
        <v>898</v>
      </c>
      <c r="C501" s="225" t="s">
        <v>2610</v>
      </c>
      <c r="D501" s="225" t="s">
        <v>1251</v>
      </c>
      <c r="E501" s="232" t="s">
        <v>453</v>
      </c>
      <c r="F501" s="104" t="s">
        <v>267</v>
      </c>
    </row>
    <row r="502" spans="1:6" ht="33" customHeight="1" thickBot="1" x14ac:dyDescent="0.6">
      <c r="A502" s="106">
        <v>490</v>
      </c>
      <c r="B502" s="221" t="s">
        <v>898</v>
      </c>
      <c r="C502" s="225" t="s">
        <v>1252</v>
      </c>
      <c r="D502" s="225" t="s">
        <v>1252</v>
      </c>
      <c r="E502" s="232" t="s">
        <v>2428</v>
      </c>
      <c r="F502" s="104" t="s">
        <v>332</v>
      </c>
    </row>
    <row r="503" spans="1:6" ht="67.900000000000006" customHeight="1" thickBot="1" x14ac:dyDescent="0.6">
      <c r="A503" s="105">
        <v>491</v>
      </c>
      <c r="B503" s="221" t="s">
        <v>898</v>
      </c>
      <c r="C503" s="225" t="s">
        <v>1253</v>
      </c>
      <c r="D503" s="225" t="s">
        <v>1253</v>
      </c>
      <c r="E503" s="232" t="s">
        <v>2428</v>
      </c>
      <c r="F503" s="104" t="s">
        <v>332</v>
      </c>
    </row>
    <row r="504" spans="1:6" ht="13.2" thickBot="1" x14ac:dyDescent="0.6">
      <c r="A504" s="106">
        <v>492</v>
      </c>
      <c r="B504" s="221" t="s">
        <v>898</v>
      </c>
      <c r="C504" s="225" t="s">
        <v>1254</v>
      </c>
      <c r="D504" s="225" t="s">
        <v>1254</v>
      </c>
      <c r="E504" s="232" t="s">
        <v>2428</v>
      </c>
      <c r="F504" s="104" t="s">
        <v>332</v>
      </c>
    </row>
    <row r="505" spans="1:6" ht="13.2" thickBot="1" x14ac:dyDescent="0.6">
      <c r="A505" s="103">
        <v>493</v>
      </c>
      <c r="B505" s="222" t="s">
        <v>899</v>
      </c>
      <c r="C505" s="227" t="s">
        <v>1255</v>
      </c>
      <c r="D505" s="227" t="s">
        <v>1255</v>
      </c>
      <c r="E505" s="232" t="e">
        <v>#N/A</v>
      </c>
      <c r="F505" s="104" t="s">
        <v>2433</v>
      </c>
    </row>
    <row r="506" spans="1:6" ht="39" thickBot="1" x14ac:dyDescent="0.6">
      <c r="A506" s="105">
        <v>494</v>
      </c>
      <c r="B506" s="221" t="s">
        <v>899</v>
      </c>
      <c r="C506" s="226" t="s">
        <v>2598</v>
      </c>
      <c r="D506" s="226" t="s">
        <v>1256</v>
      </c>
      <c r="E506" s="232" t="s">
        <v>2428</v>
      </c>
      <c r="F506" s="104" t="s">
        <v>357</v>
      </c>
    </row>
    <row r="507" spans="1:6" ht="39" thickBot="1" x14ac:dyDescent="0.6">
      <c r="A507" s="105">
        <v>495</v>
      </c>
      <c r="B507" s="221" t="s">
        <v>899</v>
      </c>
      <c r="C507" s="226" t="s">
        <v>2598</v>
      </c>
      <c r="D507" s="226" t="s">
        <v>1256</v>
      </c>
      <c r="E507" s="232" t="s">
        <v>2428</v>
      </c>
      <c r="F507" s="104" t="s">
        <v>357</v>
      </c>
    </row>
    <row r="508" spans="1:6" ht="39" thickBot="1" x14ac:dyDescent="0.6">
      <c r="A508" s="105">
        <v>496</v>
      </c>
      <c r="B508" s="221" t="s">
        <v>899</v>
      </c>
      <c r="C508" s="226" t="s">
        <v>2598</v>
      </c>
      <c r="D508" s="226" t="s">
        <v>1256</v>
      </c>
      <c r="E508" s="232" t="s">
        <v>2428</v>
      </c>
      <c r="F508" s="104" t="s">
        <v>357</v>
      </c>
    </row>
    <row r="509" spans="1:6" ht="13.2" thickBot="1" x14ac:dyDescent="0.6">
      <c r="A509" s="105">
        <v>497</v>
      </c>
      <c r="B509" s="221" t="s">
        <v>899</v>
      </c>
      <c r="C509" s="225" t="s">
        <v>1257</v>
      </c>
      <c r="D509" s="225" t="s">
        <v>1257</v>
      </c>
      <c r="E509" s="232" t="s">
        <v>2428</v>
      </c>
      <c r="F509" s="104" t="s">
        <v>357</v>
      </c>
    </row>
    <row r="510" spans="1:6" ht="13.2" thickBot="1" x14ac:dyDescent="0.6">
      <c r="A510" s="105">
        <v>498</v>
      </c>
      <c r="B510" s="220" t="s">
        <v>899</v>
      </c>
      <c r="C510" s="225" t="s">
        <v>468</v>
      </c>
      <c r="D510" s="225" t="s">
        <v>468</v>
      </c>
      <c r="E510" s="232" t="s">
        <v>2428</v>
      </c>
      <c r="F510" s="104" t="s">
        <v>357</v>
      </c>
    </row>
    <row r="511" spans="1:6" ht="13.2" thickBot="1" x14ac:dyDescent="0.6">
      <c r="A511" s="105">
        <v>499</v>
      </c>
      <c r="B511" s="221" t="s">
        <v>899</v>
      </c>
      <c r="C511" s="225" t="s">
        <v>1258</v>
      </c>
      <c r="D511" s="225" t="s">
        <v>1258</v>
      </c>
      <c r="E511" s="232" t="s">
        <v>2428</v>
      </c>
      <c r="F511" s="104" t="s">
        <v>357</v>
      </c>
    </row>
    <row r="512" spans="1:6" ht="13.2" thickBot="1" x14ac:dyDescent="0.6">
      <c r="A512" s="103">
        <v>500</v>
      </c>
      <c r="B512" s="220" t="s">
        <v>899</v>
      </c>
      <c r="C512" s="225" t="s">
        <v>250</v>
      </c>
      <c r="D512" s="225" t="s">
        <v>250</v>
      </c>
      <c r="E512" s="232" t="s">
        <v>2428</v>
      </c>
      <c r="F512" s="104" t="s">
        <v>357</v>
      </c>
    </row>
    <row r="513" spans="1:6" ht="13.2" thickBot="1" x14ac:dyDescent="0.6">
      <c r="A513" s="103">
        <v>501</v>
      </c>
      <c r="B513" s="222" t="s">
        <v>900</v>
      </c>
      <c r="C513" s="227" t="s">
        <v>1259</v>
      </c>
      <c r="D513" s="227" t="s">
        <v>1259</v>
      </c>
      <c r="E513" s="232" t="e">
        <v>#N/A</v>
      </c>
      <c r="F513" s="104" t="s">
        <v>2433</v>
      </c>
    </row>
    <row r="514" spans="1:6" ht="39" thickBot="1" x14ac:dyDescent="0.6">
      <c r="A514" s="103">
        <v>502</v>
      </c>
      <c r="B514" s="221" t="s">
        <v>900</v>
      </c>
      <c r="C514" s="226" t="s">
        <v>2584</v>
      </c>
      <c r="D514" s="226" t="s">
        <v>1260</v>
      </c>
      <c r="E514" s="232" t="s">
        <v>2428</v>
      </c>
      <c r="F514" s="104" t="s">
        <v>332</v>
      </c>
    </row>
    <row r="515" spans="1:6" ht="67.900000000000006" customHeight="1" thickBot="1" x14ac:dyDescent="0.6">
      <c r="A515" s="105">
        <v>503</v>
      </c>
      <c r="B515" s="221" t="s">
        <v>900</v>
      </c>
      <c r="C515" s="226" t="s">
        <v>2584</v>
      </c>
      <c r="D515" s="226" t="s">
        <v>1260</v>
      </c>
      <c r="E515" s="232" t="s">
        <v>2428</v>
      </c>
      <c r="F515" s="104" t="s">
        <v>332</v>
      </c>
    </row>
    <row r="516" spans="1:6" ht="39" thickBot="1" x14ac:dyDescent="0.6">
      <c r="A516" s="105">
        <v>504</v>
      </c>
      <c r="B516" s="221" t="s">
        <v>900</v>
      </c>
      <c r="C516" s="226" t="s">
        <v>2584</v>
      </c>
      <c r="D516" s="226" t="s">
        <v>1261</v>
      </c>
      <c r="E516" s="232" t="s">
        <v>2428</v>
      </c>
      <c r="F516" s="104" t="s">
        <v>332</v>
      </c>
    </row>
    <row r="517" spans="1:6" ht="39" thickBot="1" x14ac:dyDescent="0.6">
      <c r="A517" s="105">
        <v>505</v>
      </c>
      <c r="B517" s="221" t="s">
        <v>900</v>
      </c>
      <c r="C517" s="226" t="s">
        <v>2584</v>
      </c>
      <c r="D517" s="226" t="s">
        <v>1261</v>
      </c>
      <c r="E517" s="232" t="s">
        <v>2428</v>
      </c>
      <c r="F517" s="104" t="s">
        <v>357</v>
      </c>
    </row>
    <row r="518" spans="1:6" ht="51.9" thickBot="1" x14ac:dyDescent="0.6">
      <c r="A518" s="105">
        <v>506</v>
      </c>
      <c r="B518" s="221" t="s">
        <v>900</v>
      </c>
      <c r="C518" s="225" t="s">
        <v>2584</v>
      </c>
      <c r="D518" s="225" t="s">
        <v>1262</v>
      </c>
      <c r="E518" s="232" t="s">
        <v>2428</v>
      </c>
      <c r="F518" s="104" t="s">
        <v>332</v>
      </c>
    </row>
    <row r="519" spans="1:6" ht="13.2" thickBot="1" x14ac:dyDescent="0.6">
      <c r="A519" s="103">
        <v>507</v>
      </c>
      <c r="B519" s="221" t="s">
        <v>900</v>
      </c>
      <c r="C519" s="225" t="s">
        <v>2611</v>
      </c>
      <c r="D519" s="225" t="s">
        <v>1263</v>
      </c>
      <c r="E519" s="232" t="s">
        <v>2428</v>
      </c>
      <c r="F519" s="104" t="s">
        <v>332</v>
      </c>
    </row>
    <row r="520" spans="1:6" ht="13.2" thickBot="1" x14ac:dyDescent="0.6">
      <c r="A520" s="105">
        <v>508</v>
      </c>
      <c r="B520" s="221" t="s">
        <v>900</v>
      </c>
      <c r="C520" s="225" t="s">
        <v>454</v>
      </c>
      <c r="D520" s="225" t="s">
        <v>454</v>
      </c>
      <c r="E520" s="232" t="s">
        <v>2428</v>
      </c>
      <c r="F520" s="104" t="s">
        <v>332</v>
      </c>
    </row>
    <row r="521" spans="1:6" ht="13.2" thickBot="1" x14ac:dyDescent="0.6">
      <c r="A521" s="105">
        <v>509</v>
      </c>
      <c r="B521" s="221" t="s">
        <v>900</v>
      </c>
      <c r="C521" s="225" t="s">
        <v>1248</v>
      </c>
      <c r="D521" s="225" t="s">
        <v>1248</v>
      </c>
      <c r="E521" s="232" t="s">
        <v>2428</v>
      </c>
      <c r="F521" s="104" t="s">
        <v>332</v>
      </c>
    </row>
    <row r="522" spans="1:6" ht="13.2" thickBot="1" x14ac:dyDescent="0.6">
      <c r="A522" s="105">
        <v>510</v>
      </c>
      <c r="B522" s="221" t="s">
        <v>900</v>
      </c>
      <c r="C522" s="225" t="s">
        <v>1250</v>
      </c>
      <c r="D522" s="225" t="s">
        <v>1250</v>
      </c>
      <c r="E522" s="232" t="s">
        <v>2428</v>
      </c>
      <c r="F522" s="104" t="s">
        <v>332</v>
      </c>
    </row>
    <row r="523" spans="1:6" ht="13.2" thickBot="1" x14ac:dyDescent="0.6">
      <c r="A523" s="105">
        <v>511</v>
      </c>
      <c r="B523" s="221" t="s">
        <v>900</v>
      </c>
      <c r="C523" s="225" t="s">
        <v>2610</v>
      </c>
      <c r="D523" s="225" t="s">
        <v>1251</v>
      </c>
      <c r="E523" s="232" t="s">
        <v>453</v>
      </c>
      <c r="F523" s="104" t="s">
        <v>267</v>
      </c>
    </row>
    <row r="524" spans="1:6" ht="13.2" thickBot="1" x14ac:dyDescent="0.6">
      <c r="A524" s="103">
        <v>512</v>
      </c>
      <c r="B524" s="221" t="s">
        <v>900</v>
      </c>
      <c r="C524" s="225" t="s">
        <v>1254</v>
      </c>
      <c r="D524" s="225" t="s">
        <v>1254</v>
      </c>
      <c r="E524" s="232" t="s">
        <v>2428</v>
      </c>
      <c r="F524" s="104" t="s">
        <v>332</v>
      </c>
    </row>
    <row r="525" spans="1:6" ht="13.2" thickBot="1" x14ac:dyDescent="0.6">
      <c r="A525" s="103">
        <v>513</v>
      </c>
      <c r="B525" s="222" t="s">
        <v>901</v>
      </c>
      <c r="C525" s="227" t="s">
        <v>1264</v>
      </c>
      <c r="D525" s="227" t="s">
        <v>1264</v>
      </c>
      <c r="E525" s="232" t="e">
        <v>#N/A</v>
      </c>
      <c r="F525" s="104" t="s">
        <v>2433</v>
      </c>
    </row>
    <row r="526" spans="1:6" ht="13.2" thickBot="1" x14ac:dyDescent="0.6">
      <c r="A526" s="105">
        <v>514</v>
      </c>
      <c r="B526" s="220" t="s">
        <v>901</v>
      </c>
      <c r="C526" s="225" t="s">
        <v>250</v>
      </c>
      <c r="D526" s="225" t="s">
        <v>250</v>
      </c>
      <c r="E526" s="232" t="s">
        <v>2428</v>
      </c>
      <c r="F526" s="104" t="s">
        <v>357</v>
      </c>
    </row>
    <row r="527" spans="1:6" ht="13.2" thickBot="1" x14ac:dyDescent="0.6">
      <c r="A527" s="105">
        <v>515</v>
      </c>
      <c r="B527" s="220" t="s">
        <v>901</v>
      </c>
      <c r="C527" s="225" t="s">
        <v>468</v>
      </c>
      <c r="D527" s="225" t="s">
        <v>468</v>
      </c>
      <c r="E527" s="232" t="s">
        <v>2428</v>
      </c>
      <c r="F527" s="104" t="s">
        <v>357</v>
      </c>
    </row>
    <row r="528" spans="1:6" ht="26.1" thickBot="1" x14ac:dyDescent="0.6">
      <c r="A528" s="105">
        <v>516</v>
      </c>
      <c r="B528" s="221" t="s">
        <v>901</v>
      </c>
      <c r="C528" s="226" t="s">
        <v>2598</v>
      </c>
      <c r="D528" s="226" t="s">
        <v>1265</v>
      </c>
      <c r="E528" s="232" t="s">
        <v>2428</v>
      </c>
      <c r="F528" s="104" t="s">
        <v>357</v>
      </c>
    </row>
    <row r="529" spans="1:6" ht="26.1" thickBot="1" x14ac:dyDescent="0.6">
      <c r="A529" s="105">
        <v>517</v>
      </c>
      <c r="B529" s="221" t="s">
        <v>901</v>
      </c>
      <c r="C529" s="226" t="s">
        <v>2598</v>
      </c>
      <c r="D529" s="226" t="s">
        <v>1265</v>
      </c>
      <c r="E529" s="232" t="s">
        <v>2428</v>
      </c>
      <c r="F529" s="104" t="s">
        <v>357</v>
      </c>
    </row>
    <row r="530" spans="1:6" ht="26.1" thickBot="1" x14ac:dyDescent="0.6">
      <c r="A530" s="105">
        <v>518</v>
      </c>
      <c r="B530" s="221" t="s">
        <v>901</v>
      </c>
      <c r="C530" s="226" t="s">
        <v>2598</v>
      </c>
      <c r="D530" s="226" t="s">
        <v>1265</v>
      </c>
      <c r="E530" s="232" t="s">
        <v>2428</v>
      </c>
      <c r="F530" s="104" t="s">
        <v>357</v>
      </c>
    </row>
    <row r="531" spans="1:6" ht="13.2" thickBot="1" x14ac:dyDescent="0.6">
      <c r="A531" s="103">
        <v>519</v>
      </c>
      <c r="B531" s="221" t="s">
        <v>901</v>
      </c>
      <c r="C531" s="225" t="s">
        <v>1258</v>
      </c>
      <c r="D531" s="225" t="s">
        <v>1258</v>
      </c>
      <c r="E531" s="232" t="s">
        <v>2428</v>
      </c>
      <c r="F531" s="104" t="s">
        <v>357</v>
      </c>
    </row>
    <row r="532" spans="1:6" ht="26.1" thickBot="1" x14ac:dyDescent="0.6">
      <c r="A532" s="105">
        <v>520</v>
      </c>
      <c r="B532" s="222" t="s">
        <v>902</v>
      </c>
      <c r="C532" s="227" t="s">
        <v>1266</v>
      </c>
      <c r="D532" s="227" t="s">
        <v>1266</v>
      </c>
      <c r="E532" s="232" t="e">
        <v>#N/A</v>
      </c>
      <c r="F532" s="104" t="s">
        <v>2433</v>
      </c>
    </row>
    <row r="533" spans="1:6" ht="13.2" thickBot="1" x14ac:dyDescent="0.6">
      <c r="A533" s="105">
        <v>521</v>
      </c>
      <c r="B533" s="220" t="s">
        <v>902</v>
      </c>
      <c r="C533" s="225" t="s">
        <v>1267</v>
      </c>
      <c r="D533" s="225" t="s">
        <v>1267</v>
      </c>
      <c r="E533" s="232" t="s">
        <v>2428</v>
      </c>
      <c r="F533" s="104" t="s">
        <v>357</v>
      </c>
    </row>
    <row r="534" spans="1:6" ht="13.2" thickBot="1" x14ac:dyDescent="0.6">
      <c r="A534" s="105">
        <v>522</v>
      </c>
      <c r="B534" s="220" t="s">
        <v>902</v>
      </c>
      <c r="C534" s="225" t="s">
        <v>1268</v>
      </c>
      <c r="D534" s="225" t="s">
        <v>1268</v>
      </c>
      <c r="E534" s="232" t="s">
        <v>2428</v>
      </c>
      <c r="F534" s="104" t="s">
        <v>357</v>
      </c>
    </row>
    <row r="535" spans="1:6" ht="51.9" thickBot="1" x14ac:dyDescent="0.6">
      <c r="A535" s="105">
        <v>523</v>
      </c>
      <c r="B535" s="220" t="s">
        <v>902</v>
      </c>
      <c r="C535" s="225" t="s">
        <v>2584</v>
      </c>
      <c r="D535" s="225" t="s">
        <v>1262</v>
      </c>
      <c r="E535" s="232" t="s">
        <v>2428</v>
      </c>
      <c r="F535" s="104" t="s">
        <v>357</v>
      </c>
    </row>
    <row r="536" spans="1:6" ht="90.6" thickBot="1" x14ac:dyDescent="0.6">
      <c r="A536" s="105">
        <v>524</v>
      </c>
      <c r="B536" s="221" t="s">
        <v>902</v>
      </c>
      <c r="C536" s="226" t="s">
        <v>2584</v>
      </c>
      <c r="D536" s="226" t="s">
        <v>1269</v>
      </c>
      <c r="E536" s="232" t="s">
        <v>2428</v>
      </c>
      <c r="F536" s="104" t="s">
        <v>357</v>
      </c>
    </row>
    <row r="537" spans="1:6" ht="30" customHeight="1" thickBot="1" x14ac:dyDescent="0.6">
      <c r="A537" s="105">
        <v>525</v>
      </c>
      <c r="B537" s="221" t="s">
        <v>902</v>
      </c>
      <c r="C537" s="226" t="s">
        <v>2584</v>
      </c>
      <c r="D537" s="226" t="s">
        <v>1269</v>
      </c>
      <c r="E537" s="232" t="s">
        <v>2428</v>
      </c>
      <c r="F537" s="104" t="s">
        <v>357</v>
      </c>
    </row>
    <row r="538" spans="1:6" ht="90.6" thickBot="1" x14ac:dyDescent="0.6">
      <c r="A538" s="105">
        <v>526</v>
      </c>
      <c r="B538" s="221" t="s">
        <v>902</v>
      </c>
      <c r="C538" s="226" t="s">
        <v>2584</v>
      </c>
      <c r="D538" s="226" t="s">
        <v>1269</v>
      </c>
      <c r="E538" s="232" t="s">
        <v>2428</v>
      </c>
      <c r="F538" s="104" t="s">
        <v>357</v>
      </c>
    </row>
    <row r="539" spans="1:6" ht="77.7" thickBot="1" x14ac:dyDescent="0.6">
      <c r="A539" s="105">
        <v>527</v>
      </c>
      <c r="B539" s="220" t="s">
        <v>902</v>
      </c>
      <c r="C539" s="226" t="s">
        <v>2584</v>
      </c>
      <c r="D539" s="226" t="s">
        <v>1270</v>
      </c>
      <c r="E539" s="232" t="s">
        <v>2428</v>
      </c>
      <c r="F539" s="104" t="s">
        <v>357</v>
      </c>
    </row>
    <row r="540" spans="1:6" ht="77.7" thickBot="1" x14ac:dyDescent="0.6">
      <c r="A540" s="103">
        <v>528</v>
      </c>
      <c r="B540" s="220" t="s">
        <v>902</v>
      </c>
      <c r="C540" s="226" t="s">
        <v>2584</v>
      </c>
      <c r="D540" s="226" t="s">
        <v>1270</v>
      </c>
      <c r="E540" s="232" t="s">
        <v>2428</v>
      </c>
      <c r="F540" s="104" t="s">
        <v>357</v>
      </c>
    </row>
    <row r="541" spans="1:6" ht="13.2" thickBot="1" x14ac:dyDescent="0.6">
      <c r="A541" s="103">
        <v>529</v>
      </c>
      <c r="B541" s="220" t="s">
        <v>902</v>
      </c>
      <c r="C541" s="225" t="s">
        <v>2611</v>
      </c>
      <c r="D541" s="225" t="s">
        <v>1263</v>
      </c>
      <c r="E541" s="232" t="s">
        <v>2428</v>
      </c>
      <c r="F541" s="104" t="s">
        <v>357</v>
      </c>
    </row>
    <row r="542" spans="1:6" ht="13.2" thickBot="1" x14ac:dyDescent="0.6">
      <c r="A542" s="105">
        <v>530</v>
      </c>
      <c r="B542" s="220" t="s">
        <v>902</v>
      </c>
      <c r="C542" s="225" t="s">
        <v>1249</v>
      </c>
      <c r="D542" s="225" t="s">
        <v>1249</v>
      </c>
      <c r="E542" s="232" t="s">
        <v>2428</v>
      </c>
      <c r="F542" s="104" t="s">
        <v>332</v>
      </c>
    </row>
    <row r="543" spans="1:6" ht="13.2" thickBot="1" x14ac:dyDescent="0.6">
      <c r="A543" s="103">
        <v>531</v>
      </c>
      <c r="B543" s="220" t="s">
        <v>902</v>
      </c>
      <c r="C543" s="225" t="s">
        <v>1248</v>
      </c>
      <c r="D543" s="225" t="s">
        <v>1248</v>
      </c>
      <c r="E543" s="232" t="s">
        <v>2428</v>
      </c>
      <c r="F543" s="104" t="s">
        <v>357</v>
      </c>
    </row>
    <row r="544" spans="1:6" ht="13.2" thickBot="1" x14ac:dyDescent="0.6">
      <c r="A544" s="105">
        <v>532</v>
      </c>
      <c r="B544" s="220" t="s">
        <v>902</v>
      </c>
      <c r="C544" s="225" t="s">
        <v>1271</v>
      </c>
      <c r="D544" s="225" t="s">
        <v>1271</v>
      </c>
      <c r="E544" s="232" t="s">
        <v>2428</v>
      </c>
      <c r="F544" s="104" t="s">
        <v>357</v>
      </c>
    </row>
    <row r="545" spans="1:6" ht="13.2" thickBot="1" x14ac:dyDescent="0.6">
      <c r="A545" s="103">
        <v>533</v>
      </c>
      <c r="B545" s="220" t="s">
        <v>902</v>
      </c>
      <c r="C545" s="225" t="s">
        <v>454</v>
      </c>
      <c r="D545" s="225" t="s">
        <v>454</v>
      </c>
      <c r="E545" s="232" t="s">
        <v>2428</v>
      </c>
      <c r="F545" s="104" t="s">
        <v>357</v>
      </c>
    </row>
    <row r="546" spans="1:6" ht="13.2" thickBot="1" x14ac:dyDescent="0.6">
      <c r="A546" s="105">
        <v>534</v>
      </c>
      <c r="B546" s="220" t="s">
        <v>902</v>
      </c>
      <c r="C546" s="225" t="s">
        <v>1250</v>
      </c>
      <c r="D546" s="225" t="s">
        <v>1250</v>
      </c>
      <c r="E546" s="232" t="s">
        <v>2428</v>
      </c>
      <c r="F546" s="104" t="s">
        <v>357</v>
      </c>
    </row>
    <row r="547" spans="1:6" ht="13.2" thickBot="1" x14ac:dyDescent="0.6">
      <c r="A547" s="105">
        <v>535</v>
      </c>
      <c r="B547" s="220" t="s">
        <v>902</v>
      </c>
      <c r="C547" s="225" t="s">
        <v>1272</v>
      </c>
      <c r="D547" s="225" t="s">
        <v>1272</v>
      </c>
      <c r="E547" s="232" t="s">
        <v>2428</v>
      </c>
      <c r="F547" s="104" t="s">
        <v>357</v>
      </c>
    </row>
    <row r="548" spans="1:6" ht="13.2" thickBot="1" x14ac:dyDescent="0.6">
      <c r="A548" s="105">
        <v>536</v>
      </c>
      <c r="B548" s="220" t="s">
        <v>902</v>
      </c>
      <c r="C548" s="225" t="s">
        <v>1252</v>
      </c>
      <c r="D548" s="225" t="s">
        <v>1252</v>
      </c>
      <c r="E548" s="232" t="s">
        <v>2428</v>
      </c>
      <c r="F548" s="104" t="s">
        <v>357</v>
      </c>
    </row>
    <row r="549" spans="1:6" ht="13.2" thickBot="1" x14ac:dyDescent="0.6">
      <c r="A549" s="103">
        <v>537</v>
      </c>
      <c r="B549" s="220" t="s">
        <v>902</v>
      </c>
      <c r="C549" s="225" t="s">
        <v>1253</v>
      </c>
      <c r="D549" s="225" t="s">
        <v>1253</v>
      </c>
      <c r="E549" s="232" t="s">
        <v>2428</v>
      </c>
      <c r="F549" s="104" t="s">
        <v>357</v>
      </c>
    </row>
    <row r="550" spans="1:6" ht="13.2" thickBot="1" x14ac:dyDescent="0.6">
      <c r="A550" s="103">
        <v>538</v>
      </c>
      <c r="B550" s="220" t="s">
        <v>902</v>
      </c>
      <c r="C550" s="225" t="s">
        <v>1254</v>
      </c>
      <c r="D550" s="225" t="s">
        <v>1254</v>
      </c>
      <c r="E550" s="232" t="s">
        <v>2428</v>
      </c>
      <c r="F550" s="104" t="s">
        <v>357</v>
      </c>
    </row>
    <row r="551" spans="1:6" ht="13.2" thickBot="1" x14ac:dyDescent="0.6">
      <c r="A551" s="105">
        <v>539</v>
      </c>
      <c r="B551" s="222" t="s">
        <v>903</v>
      </c>
      <c r="C551" s="227" t="s">
        <v>1273</v>
      </c>
      <c r="D551" s="227" t="s">
        <v>1273</v>
      </c>
      <c r="E551" s="232" t="e">
        <v>#N/A</v>
      </c>
      <c r="F551" s="104" t="s">
        <v>2433</v>
      </c>
    </row>
    <row r="552" spans="1:6" ht="39" thickBot="1" x14ac:dyDescent="0.6">
      <c r="A552" s="105">
        <v>540</v>
      </c>
      <c r="B552" s="220" t="s">
        <v>903</v>
      </c>
      <c r="C552" s="226" t="s">
        <v>2598</v>
      </c>
      <c r="D552" s="226" t="s">
        <v>1274</v>
      </c>
      <c r="E552" s="232" t="s">
        <v>2428</v>
      </c>
      <c r="F552" s="104" t="s">
        <v>357</v>
      </c>
    </row>
    <row r="553" spans="1:6" ht="39" thickBot="1" x14ac:dyDescent="0.6">
      <c r="A553" s="105">
        <v>541</v>
      </c>
      <c r="B553" s="220" t="s">
        <v>903</v>
      </c>
      <c r="C553" s="226" t="s">
        <v>2598</v>
      </c>
      <c r="D553" s="226" t="s">
        <v>1274</v>
      </c>
      <c r="E553" s="232" t="s">
        <v>2428</v>
      </c>
      <c r="F553" s="104" t="s">
        <v>357</v>
      </c>
    </row>
    <row r="554" spans="1:6" ht="13.2" thickBot="1" x14ac:dyDescent="0.6">
      <c r="A554" s="105">
        <v>542</v>
      </c>
      <c r="B554" s="221" t="s">
        <v>903</v>
      </c>
      <c r="C554" s="225" t="s">
        <v>250</v>
      </c>
      <c r="D554" s="225" t="s">
        <v>250</v>
      </c>
      <c r="E554" s="232" t="s">
        <v>2428</v>
      </c>
      <c r="F554" s="104" t="s">
        <v>357</v>
      </c>
    </row>
    <row r="555" spans="1:6" ht="13.2" thickBot="1" x14ac:dyDescent="0.6">
      <c r="A555" s="105">
        <v>543</v>
      </c>
      <c r="B555" s="220" t="s">
        <v>903</v>
      </c>
      <c r="C555" s="225" t="s">
        <v>1257</v>
      </c>
      <c r="D555" s="225" t="s">
        <v>1257</v>
      </c>
      <c r="E555" s="232" t="s">
        <v>2428</v>
      </c>
      <c r="F555" s="104" t="s">
        <v>357</v>
      </c>
    </row>
    <row r="556" spans="1:6" ht="13.2" thickBot="1" x14ac:dyDescent="0.6">
      <c r="A556" s="103">
        <v>544</v>
      </c>
      <c r="B556" s="221" t="s">
        <v>903</v>
      </c>
      <c r="C556" s="225" t="s">
        <v>468</v>
      </c>
      <c r="D556" s="225" t="s">
        <v>468</v>
      </c>
      <c r="E556" s="232" t="s">
        <v>2428</v>
      </c>
      <c r="F556" s="104" t="s">
        <v>357</v>
      </c>
    </row>
    <row r="557" spans="1:6" ht="13.2" thickBot="1" x14ac:dyDescent="0.6">
      <c r="A557" s="105">
        <v>545</v>
      </c>
      <c r="B557" s="220" t="s">
        <v>903</v>
      </c>
      <c r="C557" s="225" t="s">
        <v>1258</v>
      </c>
      <c r="D557" s="225" t="s">
        <v>1258</v>
      </c>
      <c r="E557" s="232" t="s">
        <v>2428</v>
      </c>
      <c r="F557" s="104" t="s">
        <v>357</v>
      </c>
    </row>
    <row r="558" spans="1:6" ht="26.1" thickBot="1" x14ac:dyDescent="0.6">
      <c r="A558" s="105">
        <v>546</v>
      </c>
      <c r="B558" s="212">
        <v>6</v>
      </c>
      <c r="C558" s="224" t="s">
        <v>2612</v>
      </c>
      <c r="D558" s="224" t="s">
        <v>451</v>
      </c>
      <c r="E558" s="232" t="e">
        <v>#N/A</v>
      </c>
      <c r="F558" s="104" t="s">
        <v>2433</v>
      </c>
    </row>
    <row r="559" spans="1:6" ht="39" thickBot="1" x14ac:dyDescent="0.6">
      <c r="A559" s="105">
        <v>547</v>
      </c>
      <c r="B559" s="221" t="s">
        <v>904</v>
      </c>
      <c r="C559" s="225" t="s">
        <v>2584</v>
      </c>
      <c r="D559" s="225" t="s">
        <v>1275</v>
      </c>
      <c r="E559" s="232" t="s">
        <v>2428</v>
      </c>
      <c r="F559" s="104" t="s">
        <v>332</v>
      </c>
    </row>
    <row r="560" spans="1:6" ht="39" thickBot="1" x14ac:dyDescent="0.6">
      <c r="A560" s="105">
        <v>548</v>
      </c>
      <c r="B560" s="220" t="s">
        <v>904</v>
      </c>
      <c r="C560" s="225" t="s">
        <v>2584</v>
      </c>
      <c r="D560" s="225" t="s">
        <v>1275</v>
      </c>
      <c r="E560" s="232" t="s">
        <v>2428</v>
      </c>
      <c r="F560" s="104" t="s">
        <v>357</v>
      </c>
    </row>
    <row r="561" spans="1:6" ht="51.9" thickBot="1" x14ac:dyDescent="0.6">
      <c r="A561" s="105">
        <v>549</v>
      </c>
      <c r="B561" s="221" t="s">
        <v>904</v>
      </c>
      <c r="C561" s="226" t="s">
        <v>2584</v>
      </c>
      <c r="D561" s="226" t="s">
        <v>1276</v>
      </c>
      <c r="E561" s="232" t="s">
        <v>2428</v>
      </c>
      <c r="F561" s="104" t="s">
        <v>332</v>
      </c>
    </row>
    <row r="562" spans="1:6" ht="51.9" thickBot="1" x14ac:dyDescent="0.6">
      <c r="A562" s="106">
        <v>550</v>
      </c>
      <c r="B562" s="221" t="s">
        <v>904</v>
      </c>
      <c r="C562" s="226" t="s">
        <v>2584</v>
      </c>
      <c r="D562" s="226" t="s">
        <v>1276</v>
      </c>
      <c r="E562" s="232" t="s">
        <v>2428</v>
      </c>
      <c r="F562" s="104" t="s">
        <v>332</v>
      </c>
    </row>
    <row r="563" spans="1:6" ht="51.9" thickBot="1" x14ac:dyDescent="0.6">
      <c r="A563" s="105">
        <v>551</v>
      </c>
      <c r="B563" s="220" t="s">
        <v>904</v>
      </c>
      <c r="C563" s="226" t="s">
        <v>2584</v>
      </c>
      <c r="D563" s="226" t="s">
        <v>1276</v>
      </c>
      <c r="E563" s="232" t="s">
        <v>2428</v>
      </c>
      <c r="F563" s="104" t="s">
        <v>357</v>
      </c>
    </row>
    <row r="564" spans="1:6" ht="51.9" thickBot="1" x14ac:dyDescent="0.6">
      <c r="A564" s="105">
        <v>552</v>
      </c>
      <c r="B564" s="220" t="s">
        <v>904</v>
      </c>
      <c r="C564" s="226" t="s">
        <v>2584</v>
      </c>
      <c r="D564" s="226" t="s">
        <v>1276</v>
      </c>
      <c r="E564" s="232" t="s">
        <v>2428</v>
      </c>
      <c r="F564" s="104" t="s">
        <v>357</v>
      </c>
    </row>
    <row r="565" spans="1:6" ht="64.8" thickBot="1" x14ac:dyDescent="0.6">
      <c r="A565" s="105">
        <v>553</v>
      </c>
      <c r="B565" s="221" t="s">
        <v>904</v>
      </c>
      <c r="C565" s="225" t="s">
        <v>2584</v>
      </c>
      <c r="D565" s="225" t="s">
        <v>1277</v>
      </c>
      <c r="E565" s="232" t="s">
        <v>2428</v>
      </c>
      <c r="F565" s="104" t="s">
        <v>332</v>
      </c>
    </row>
    <row r="566" spans="1:6" ht="64.8" thickBot="1" x14ac:dyDescent="0.6">
      <c r="A566" s="105">
        <v>554</v>
      </c>
      <c r="B566" s="221" t="s">
        <v>904</v>
      </c>
      <c r="C566" s="225" t="s">
        <v>2584</v>
      </c>
      <c r="D566" s="225" t="s">
        <v>1277</v>
      </c>
      <c r="E566" s="232" t="s">
        <v>2428</v>
      </c>
      <c r="F566" s="104" t="s">
        <v>357</v>
      </c>
    </row>
    <row r="567" spans="1:6" ht="64.8" thickBot="1" x14ac:dyDescent="0.6">
      <c r="A567" s="105">
        <v>555</v>
      </c>
      <c r="B567" s="221" t="s">
        <v>904</v>
      </c>
      <c r="C567" s="225" t="s">
        <v>2584</v>
      </c>
      <c r="D567" s="225" t="s">
        <v>1277</v>
      </c>
      <c r="E567" s="232" t="s">
        <v>2428</v>
      </c>
      <c r="F567" s="104" t="s">
        <v>332</v>
      </c>
    </row>
    <row r="568" spans="1:6" ht="64.8" thickBot="1" x14ac:dyDescent="0.6">
      <c r="A568" s="103">
        <v>556</v>
      </c>
      <c r="B568" s="221" t="s">
        <v>904</v>
      </c>
      <c r="C568" s="225" t="s">
        <v>2584</v>
      </c>
      <c r="D568" s="225" t="s">
        <v>1277</v>
      </c>
      <c r="E568" s="232" t="s">
        <v>2428</v>
      </c>
      <c r="F568" s="104" t="s">
        <v>357</v>
      </c>
    </row>
    <row r="569" spans="1:6" ht="64.8" thickBot="1" x14ac:dyDescent="0.6">
      <c r="A569" s="103">
        <v>557</v>
      </c>
      <c r="B569" s="220" t="s">
        <v>904</v>
      </c>
      <c r="C569" s="225" t="s">
        <v>2584</v>
      </c>
      <c r="D569" s="225" t="s">
        <v>1277</v>
      </c>
      <c r="E569" s="232" t="s">
        <v>2428</v>
      </c>
      <c r="F569" s="104" t="s">
        <v>357</v>
      </c>
    </row>
    <row r="570" spans="1:6" ht="64.8" thickBot="1" x14ac:dyDescent="0.6">
      <c r="A570" s="105">
        <v>558</v>
      </c>
      <c r="B570" s="220" t="s">
        <v>904</v>
      </c>
      <c r="C570" s="225" t="s">
        <v>2584</v>
      </c>
      <c r="D570" s="225" t="s">
        <v>1277</v>
      </c>
      <c r="E570" s="232" t="s">
        <v>2428</v>
      </c>
      <c r="F570" s="104" t="s">
        <v>357</v>
      </c>
    </row>
    <row r="571" spans="1:6" ht="13.2" thickBot="1" x14ac:dyDescent="0.6">
      <c r="A571" s="105">
        <v>559</v>
      </c>
      <c r="B571" s="221" t="s">
        <v>904</v>
      </c>
      <c r="C571" s="225" t="s">
        <v>2585</v>
      </c>
      <c r="D571" s="225" t="s">
        <v>1278</v>
      </c>
      <c r="E571" s="232" t="s">
        <v>2428</v>
      </c>
      <c r="F571" s="104" t="s">
        <v>332</v>
      </c>
    </row>
    <row r="572" spans="1:6" ht="13.2" thickBot="1" x14ac:dyDescent="0.6">
      <c r="A572" s="105">
        <v>560</v>
      </c>
      <c r="B572" s="220" t="s">
        <v>904</v>
      </c>
      <c r="C572" s="225" t="s">
        <v>2585</v>
      </c>
      <c r="D572" s="225" t="s">
        <v>1278</v>
      </c>
      <c r="E572" s="232" t="s">
        <v>2428</v>
      </c>
      <c r="F572" s="104" t="s">
        <v>357</v>
      </c>
    </row>
    <row r="573" spans="1:6" ht="13.2" thickBot="1" x14ac:dyDescent="0.6">
      <c r="A573" s="105">
        <v>561</v>
      </c>
      <c r="B573" s="220" t="s">
        <v>904</v>
      </c>
      <c r="C573" s="225" t="s">
        <v>2586</v>
      </c>
      <c r="D573" s="225" t="s">
        <v>1279</v>
      </c>
      <c r="E573" s="232" t="s">
        <v>2428</v>
      </c>
      <c r="F573" s="104" t="s">
        <v>357</v>
      </c>
    </row>
    <row r="574" spans="1:6" ht="13.2" thickBot="1" x14ac:dyDescent="0.6">
      <c r="A574" s="105">
        <v>562</v>
      </c>
      <c r="B574" s="220" t="s">
        <v>904</v>
      </c>
      <c r="C574" s="225" t="s">
        <v>2613</v>
      </c>
      <c r="D574" s="225" t="s">
        <v>1280</v>
      </c>
      <c r="E574" s="232" t="s">
        <v>2428</v>
      </c>
      <c r="F574" s="104" t="s">
        <v>332</v>
      </c>
    </row>
    <row r="575" spans="1:6" ht="13.2" thickBot="1" x14ac:dyDescent="0.6">
      <c r="A575" s="103">
        <v>563</v>
      </c>
      <c r="B575" s="221" t="s">
        <v>904</v>
      </c>
      <c r="C575" s="225" t="s">
        <v>2614</v>
      </c>
      <c r="D575" s="225" t="s">
        <v>1281</v>
      </c>
      <c r="E575" s="232" t="s">
        <v>2428</v>
      </c>
      <c r="F575" s="104" t="s">
        <v>332</v>
      </c>
    </row>
    <row r="576" spans="1:6" ht="13.2" thickBot="1" x14ac:dyDescent="0.6">
      <c r="A576" s="105">
        <v>564</v>
      </c>
      <c r="B576" s="220" t="s">
        <v>904</v>
      </c>
      <c r="C576" s="225" t="s">
        <v>2614</v>
      </c>
      <c r="D576" s="225" t="s">
        <v>1281</v>
      </c>
      <c r="E576" s="232" t="s">
        <v>2428</v>
      </c>
      <c r="F576" s="104" t="s">
        <v>357</v>
      </c>
    </row>
    <row r="577" spans="1:6" ht="26.1" thickBot="1" x14ac:dyDescent="0.6">
      <c r="A577" s="103">
        <v>565</v>
      </c>
      <c r="B577" s="221" t="s">
        <v>904</v>
      </c>
      <c r="C577" s="225" t="s">
        <v>2596</v>
      </c>
      <c r="D577" s="225" t="s">
        <v>1282</v>
      </c>
      <c r="E577" s="232" t="s">
        <v>2428</v>
      </c>
      <c r="F577" s="104" t="s">
        <v>332</v>
      </c>
    </row>
    <row r="578" spans="1:6" ht="26.1" thickBot="1" x14ac:dyDescent="0.6">
      <c r="A578" s="103">
        <v>566</v>
      </c>
      <c r="B578" s="220" t="s">
        <v>904</v>
      </c>
      <c r="C578" s="225" t="s">
        <v>2596</v>
      </c>
      <c r="D578" s="225" t="s">
        <v>1282</v>
      </c>
      <c r="E578" s="232" t="s">
        <v>2428</v>
      </c>
      <c r="F578" s="104" t="s">
        <v>357</v>
      </c>
    </row>
    <row r="579" spans="1:6" ht="13.2" thickBot="1" x14ac:dyDescent="0.6">
      <c r="A579" s="105">
        <v>567</v>
      </c>
      <c r="B579" s="220" t="s">
        <v>904</v>
      </c>
      <c r="C579" s="225" t="s">
        <v>2615</v>
      </c>
      <c r="D579" s="225" t="s">
        <v>1283</v>
      </c>
      <c r="E579" s="232" t="s">
        <v>2428</v>
      </c>
      <c r="F579" s="104" t="s">
        <v>357</v>
      </c>
    </row>
    <row r="580" spans="1:6" ht="39" thickBot="1" x14ac:dyDescent="0.6">
      <c r="A580" s="105">
        <v>568</v>
      </c>
      <c r="B580" s="221" t="s">
        <v>904</v>
      </c>
      <c r="C580" s="226" t="s">
        <v>2598</v>
      </c>
      <c r="D580" s="226" t="s">
        <v>1284</v>
      </c>
      <c r="E580" s="232" t="s">
        <v>2428</v>
      </c>
      <c r="F580" s="104" t="s">
        <v>357</v>
      </c>
    </row>
    <row r="581" spans="1:6" ht="39" thickBot="1" x14ac:dyDescent="0.6">
      <c r="A581" s="105">
        <v>569</v>
      </c>
      <c r="B581" s="221" t="s">
        <v>904</v>
      </c>
      <c r="C581" s="226" t="s">
        <v>2598</v>
      </c>
      <c r="D581" s="226" t="s">
        <v>1284</v>
      </c>
      <c r="E581" s="232" t="s">
        <v>2428</v>
      </c>
      <c r="F581" s="104" t="s">
        <v>357</v>
      </c>
    </row>
    <row r="582" spans="1:6" ht="67.900000000000006" customHeight="1" thickBot="1" x14ac:dyDescent="0.6">
      <c r="A582" s="105">
        <v>570</v>
      </c>
      <c r="B582" s="221" t="s">
        <v>904</v>
      </c>
      <c r="C582" s="226" t="s">
        <v>2598</v>
      </c>
      <c r="D582" s="226" t="s">
        <v>1284</v>
      </c>
      <c r="E582" s="232" t="s">
        <v>2428</v>
      </c>
      <c r="F582" s="104" t="s">
        <v>357</v>
      </c>
    </row>
    <row r="583" spans="1:6" ht="39" thickBot="1" x14ac:dyDescent="0.6">
      <c r="A583" s="105">
        <v>571</v>
      </c>
      <c r="B583" s="220" t="s">
        <v>904</v>
      </c>
      <c r="C583" s="226" t="s">
        <v>2598</v>
      </c>
      <c r="D583" s="226" t="s">
        <v>1284</v>
      </c>
      <c r="E583" s="232" t="s">
        <v>2428</v>
      </c>
      <c r="F583" s="104" t="s">
        <v>357</v>
      </c>
    </row>
    <row r="584" spans="1:6" ht="13.2" thickBot="1" x14ac:dyDescent="0.6">
      <c r="A584" s="106">
        <v>572</v>
      </c>
      <c r="B584" s="221" t="s">
        <v>904</v>
      </c>
      <c r="C584" s="225" t="s">
        <v>2616</v>
      </c>
      <c r="D584" s="225" t="s">
        <v>1285</v>
      </c>
      <c r="E584" s="232" t="s">
        <v>2428</v>
      </c>
      <c r="F584" s="104" t="s">
        <v>357</v>
      </c>
    </row>
    <row r="585" spans="1:6" ht="13.2" thickBot="1" x14ac:dyDescent="0.6">
      <c r="A585" s="105">
        <v>573</v>
      </c>
      <c r="B585" s="220" t="s">
        <v>904</v>
      </c>
      <c r="C585" s="225" t="s">
        <v>2616</v>
      </c>
      <c r="D585" s="225" t="s">
        <v>1285</v>
      </c>
      <c r="E585" s="232" t="s">
        <v>2428</v>
      </c>
      <c r="F585" s="104" t="s">
        <v>357</v>
      </c>
    </row>
    <row r="586" spans="1:6" ht="13.2" thickBot="1" x14ac:dyDescent="0.6">
      <c r="A586" s="105">
        <v>574</v>
      </c>
      <c r="B586" s="221" t="s">
        <v>904</v>
      </c>
      <c r="C586" s="226" t="s">
        <v>2617</v>
      </c>
      <c r="D586" s="226" t="s">
        <v>1286</v>
      </c>
      <c r="E586" s="232" t="s">
        <v>453</v>
      </c>
      <c r="F586" s="104" t="s">
        <v>267</v>
      </c>
    </row>
    <row r="587" spans="1:6" ht="13.2" thickBot="1" x14ac:dyDescent="0.6">
      <c r="A587" s="105">
        <v>575</v>
      </c>
      <c r="B587" s="221" t="s">
        <v>904</v>
      </c>
      <c r="C587" s="226" t="s">
        <v>2617</v>
      </c>
      <c r="D587" s="226" t="s">
        <v>1286</v>
      </c>
      <c r="E587" s="232" t="s">
        <v>453</v>
      </c>
      <c r="F587" s="104" t="s">
        <v>267</v>
      </c>
    </row>
    <row r="588" spans="1:6" ht="13.2" thickBot="1" x14ac:dyDescent="0.6">
      <c r="A588" s="105">
        <v>576</v>
      </c>
      <c r="B588" s="221" t="s">
        <v>904</v>
      </c>
      <c r="C588" s="225" t="s">
        <v>2617</v>
      </c>
      <c r="D588" s="225" t="s">
        <v>1287</v>
      </c>
      <c r="E588" s="232" t="s">
        <v>453</v>
      </c>
      <c r="F588" s="104" t="s">
        <v>267</v>
      </c>
    </row>
    <row r="589" spans="1:6" ht="13.2" thickBot="1" x14ac:dyDescent="0.6">
      <c r="A589" s="103">
        <v>577</v>
      </c>
      <c r="B589" s="221" t="s">
        <v>904</v>
      </c>
      <c r="C589" s="225" t="s">
        <v>2617</v>
      </c>
      <c r="D589" s="225" t="s">
        <v>1287</v>
      </c>
      <c r="E589" s="232" t="s">
        <v>453</v>
      </c>
      <c r="F589" s="104" t="s">
        <v>267</v>
      </c>
    </row>
    <row r="590" spans="1:6" ht="13.2" thickBot="1" x14ac:dyDescent="0.6">
      <c r="A590" s="105">
        <v>578</v>
      </c>
      <c r="B590" s="221" t="s">
        <v>904</v>
      </c>
      <c r="C590" s="225" t="s">
        <v>2618</v>
      </c>
      <c r="D590" s="225" t="s">
        <v>1288</v>
      </c>
      <c r="E590" s="232" t="s">
        <v>2428</v>
      </c>
      <c r="F590" s="104" t="s">
        <v>332</v>
      </c>
    </row>
    <row r="591" spans="1:6" ht="13.2" thickBot="1" x14ac:dyDescent="0.6">
      <c r="A591" s="105">
        <v>579</v>
      </c>
      <c r="B591" s="220" t="s">
        <v>904</v>
      </c>
      <c r="C591" s="225" t="s">
        <v>2618</v>
      </c>
      <c r="D591" s="225" t="s">
        <v>1288</v>
      </c>
      <c r="E591" s="232" t="s">
        <v>2428</v>
      </c>
      <c r="F591" s="104" t="s">
        <v>357</v>
      </c>
    </row>
    <row r="592" spans="1:6" ht="26.1" thickBot="1" x14ac:dyDescent="0.6">
      <c r="A592" s="105">
        <v>580</v>
      </c>
      <c r="B592" s="215" t="s">
        <v>905</v>
      </c>
      <c r="C592" s="227" t="s">
        <v>452</v>
      </c>
      <c r="D592" s="227" t="s">
        <v>452</v>
      </c>
      <c r="E592" s="232" t="e">
        <v>#N/A</v>
      </c>
      <c r="F592" s="104" t="s">
        <v>2433</v>
      </c>
    </row>
    <row r="593" spans="1:6" ht="26.1" thickBot="1" x14ac:dyDescent="0.6">
      <c r="A593" s="105">
        <v>581</v>
      </c>
      <c r="B593" s="214" t="s">
        <v>905</v>
      </c>
      <c r="C593" s="226" t="s">
        <v>2584</v>
      </c>
      <c r="D593" s="226" t="s">
        <v>1289</v>
      </c>
      <c r="E593" s="232" t="s">
        <v>2428</v>
      </c>
      <c r="F593" s="104" t="s">
        <v>332</v>
      </c>
    </row>
    <row r="594" spans="1:6" ht="26.1" thickBot="1" x14ac:dyDescent="0.6">
      <c r="A594" s="105">
        <v>582</v>
      </c>
      <c r="B594" s="214" t="s">
        <v>905</v>
      </c>
      <c r="C594" s="226" t="s">
        <v>2584</v>
      </c>
      <c r="D594" s="226" t="s">
        <v>1289</v>
      </c>
      <c r="E594" s="232" t="s">
        <v>2428</v>
      </c>
      <c r="F594" s="104" t="s">
        <v>332</v>
      </c>
    </row>
    <row r="595" spans="1:6" ht="26.1" thickBot="1" x14ac:dyDescent="0.6">
      <c r="A595" s="105">
        <v>583</v>
      </c>
      <c r="B595" s="214" t="s">
        <v>905</v>
      </c>
      <c r="C595" s="226" t="s">
        <v>2584</v>
      </c>
      <c r="D595" s="226" t="s">
        <v>1289</v>
      </c>
      <c r="E595" s="232" t="s">
        <v>2428</v>
      </c>
      <c r="F595" s="104" t="s">
        <v>357</v>
      </c>
    </row>
    <row r="596" spans="1:6" ht="26.1" thickBot="1" x14ac:dyDescent="0.6">
      <c r="A596" s="103">
        <v>584</v>
      </c>
      <c r="B596" s="214" t="s">
        <v>905</v>
      </c>
      <c r="C596" s="226" t="s">
        <v>2584</v>
      </c>
      <c r="D596" s="226" t="s">
        <v>1289</v>
      </c>
      <c r="E596" s="232" t="s">
        <v>2428</v>
      </c>
      <c r="F596" s="104" t="s">
        <v>357</v>
      </c>
    </row>
    <row r="597" spans="1:6" ht="26.1" thickBot="1" x14ac:dyDescent="0.6">
      <c r="A597" s="105">
        <v>585</v>
      </c>
      <c r="B597" s="214" t="s">
        <v>905</v>
      </c>
      <c r="C597" s="225" t="s">
        <v>2584</v>
      </c>
      <c r="D597" s="225" t="s">
        <v>1290</v>
      </c>
      <c r="E597" s="232" t="s">
        <v>2428</v>
      </c>
      <c r="F597" s="104" t="s">
        <v>332</v>
      </c>
    </row>
    <row r="598" spans="1:6" ht="26.1" thickBot="1" x14ac:dyDescent="0.6">
      <c r="A598" s="105">
        <v>586</v>
      </c>
      <c r="B598" s="213" t="s">
        <v>905</v>
      </c>
      <c r="C598" s="225" t="s">
        <v>2584</v>
      </c>
      <c r="D598" s="225" t="s">
        <v>1290</v>
      </c>
      <c r="E598" s="232" t="s">
        <v>2428</v>
      </c>
      <c r="F598" s="104" t="s">
        <v>357</v>
      </c>
    </row>
    <row r="599" spans="1:6" ht="13.2" thickBot="1" x14ac:dyDescent="0.6">
      <c r="A599" s="103">
        <v>587</v>
      </c>
      <c r="B599" s="214" t="s">
        <v>905</v>
      </c>
      <c r="C599" s="225" t="s">
        <v>454</v>
      </c>
      <c r="D599" s="225" t="s">
        <v>454</v>
      </c>
      <c r="E599" s="232" t="s">
        <v>2428</v>
      </c>
      <c r="F599" s="104" t="s">
        <v>332</v>
      </c>
    </row>
    <row r="600" spans="1:6" ht="13.2" thickBot="1" x14ac:dyDescent="0.6">
      <c r="A600" s="105">
        <v>588</v>
      </c>
      <c r="B600" s="213" t="s">
        <v>905</v>
      </c>
      <c r="C600" s="225" t="s">
        <v>454</v>
      </c>
      <c r="D600" s="225" t="s">
        <v>454</v>
      </c>
      <c r="E600" s="232" t="s">
        <v>2428</v>
      </c>
      <c r="F600" s="104" t="s">
        <v>357</v>
      </c>
    </row>
    <row r="601" spans="1:6" ht="26.1" thickBot="1" x14ac:dyDescent="0.6">
      <c r="A601" s="105">
        <v>589</v>
      </c>
      <c r="B601" s="214" t="s">
        <v>905</v>
      </c>
      <c r="C601" s="226" t="s">
        <v>2598</v>
      </c>
      <c r="D601" s="226" t="s">
        <v>1291</v>
      </c>
      <c r="E601" s="232" t="s">
        <v>2428</v>
      </c>
      <c r="F601" s="104" t="s">
        <v>357</v>
      </c>
    </row>
    <row r="602" spans="1:6" ht="26.1" thickBot="1" x14ac:dyDescent="0.6">
      <c r="A602" s="106">
        <v>590</v>
      </c>
      <c r="B602" s="214" t="s">
        <v>905</v>
      </c>
      <c r="C602" s="226" t="s">
        <v>2598</v>
      </c>
      <c r="D602" s="226" t="s">
        <v>1291</v>
      </c>
      <c r="E602" s="232" t="s">
        <v>2428</v>
      </c>
      <c r="F602" s="104" t="s">
        <v>357</v>
      </c>
    </row>
    <row r="603" spans="1:6" ht="26.1" thickBot="1" x14ac:dyDescent="0.6">
      <c r="A603" s="105">
        <v>591</v>
      </c>
      <c r="B603" s="214" t="s">
        <v>905</v>
      </c>
      <c r="C603" s="226" t="s">
        <v>2598</v>
      </c>
      <c r="D603" s="226" t="s">
        <v>1291</v>
      </c>
      <c r="E603" s="232" t="s">
        <v>2428</v>
      </c>
      <c r="F603" s="104" t="s">
        <v>357</v>
      </c>
    </row>
    <row r="604" spans="1:6" ht="26.1" thickBot="1" x14ac:dyDescent="0.6">
      <c r="A604" s="105">
        <v>592</v>
      </c>
      <c r="B604" s="214" t="s">
        <v>905</v>
      </c>
      <c r="C604" s="226" t="s">
        <v>2598</v>
      </c>
      <c r="D604" s="226" t="s">
        <v>1291</v>
      </c>
      <c r="E604" s="232" t="s">
        <v>2428</v>
      </c>
      <c r="F604" s="104" t="s">
        <v>357</v>
      </c>
    </row>
    <row r="605" spans="1:6" ht="13.2" thickBot="1" x14ac:dyDescent="0.6">
      <c r="A605" s="105">
        <v>593</v>
      </c>
      <c r="B605" s="213" t="s">
        <v>905</v>
      </c>
      <c r="C605" s="225" t="s">
        <v>1258</v>
      </c>
      <c r="D605" s="225" t="s">
        <v>1258</v>
      </c>
      <c r="E605" s="232" t="s">
        <v>2428</v>
      </c>
      <c r="F605" s="104" t="s">
        <v>357</v>
      </c>
    </row>
    <row r="606" spans="1:6" ht="13.2" thickBot="1" x14ac:dyDescent="0.6">
      <c r="A606" s="105">
        <v>594</v>
      </c>
      <c r="B606" s="214" t="s">
        <v>905</v>
      </c>
      <c r="C606" s="225" t="s">
        <v>1258</v>
      </c>
      <c r="D606" s="225" t="s">
        <v>1258</v>
      </c>
      <c r="E606" s="232" t="s">
        <v>2428</v>
      </c>
      <c r="F606" s="104" t="s">
        <v>357</v>
      </c>
    </row>
    <row r="607" spans="1:6" ht="13.2" thickBot="1" x14ac:dyDescent="0.6">
      <c r="A607" s="105">
        <v>595</v>
      </c>
      <c r="B607" s="214" t="s">
        <v>905</v>
      </c>
      <c r="C607" s="225" t="s">
        <v>2617</v>
      </c>
      <c r="D607" s="225" t="s">
        <v>1292</v>
      </c>
      <c r="E607" s="232" t="s">
        <v>453</v>
      </c>
      <c r="F607" s="104" t="s">
        <v>267</v>
      </c>
    </row>
    <row r="608" spans="1:6" ht="13.2" thickBot="1" x14ac:dyDescent="0.6">
      <c r="A608" s="103">
        <v>596</v>
      </c>
      <c r="B608" s="214" t="s">
        <v>905</v>
      </c>
      <c r="C608" s="225" t="s">
        <v>2618</v>
      </c>
      <c r="D608" s="225" t="s">
        <v>1288</v>
      </c>
      <c r="E608" s="232" t="s">
        <v>2428</v>
      </c>
      <c r="F608" s="104" t="s">
        <v>332</v>
      </c>
    </row>
    <row r="609" spans="1:6" ht="13.2" thickBot="1" x14ac:dyDescent="0.6">
      <c r="A609" s="105">
        <v>597</v>
      </c>
      <c r="B609" s="213" t="s">
        <v>905</v>
      </c>
      <c r="C609" s="225" t="s">
        <v>2618</v>
      </c>
      <c r="D609" s="225" t="s">
        <v>1288</v>
      </c>
      <c r="E609" s="232" t="s">
        <v>2428</v>
      </c>
      <c r="F609" s="104" t="s">
        <v>357</v>
      </c>
    </row>
    <row r="610" spans="1:6" ht="13.2" thickBot="1" x14ac:dyDescent="0.6">
      <c r="A610" s="105">
        <v>598</v>
      </c>
      <c r="B610" s="215" t="s">
        <v>906</v>
      </c>
      <c r="C610" s="227" t="s">
        <v>459</v>
      </c>
      <c r="D610" s="227" t="s">
        <v>459</v>
      </c>
      <c r="E610" s="232" t="e">
        <v>#N/A</v>
      </c>
      <c r="F610" s="104" t="s">
        <v>2433</v>
      </c>
    </row>
    <row r="611" spans="1:6" ht="26.1" thickBot="1" x14ac:dyDescent="0.6">
      <c r="A611" s="103">
        <v>599</v>
      </c>
      <c r="B611" s="214" t="s">
        <v>906</v>
      </c>
      <c r="C611" s="226" t="s">
        <v>2584</v>
      </c>
      <c r="D611" s="226" t="s">
        <v>1293</v>
      </c>
      <c r="E611" s="232" t="s">
        <v>2428</v>
      </c>
      <c r="F611" s="104" t="s">
        <v>332</v>
      </c>
    </row>
    <row r="612" spans="1:6" ht="26.1" thickBot="1" x14ac:dyDescent="0.6">
      <c r="A612" s="105">
        <v>600</v>
      </c>
      <c r="B612" s="214" t="s">
        <v>906</v>
      </c>
      <c r="C612" s="226" t="s">
        <v>2584</v>
      </c>
      <c r="D612" s="226" t="s">
        <v>1293</v>
      </c>
      <c r="E612" s="232" t="s">
        <v>2428</v>
      </c>
      <c r="F612" s="104" t="s">
        <v>332</v>
      </c>
    </row>
    <row r="613" spans="1:6" ht="13.2" thickBot="1" x14ac:dyDescent="0.6">
      <c r="A613" s="105">
        <v>601</v>
      </c>
      <c r="B613" s="214" t="s">
        <v>906</v>
      </c>
      <c r="C613" s="225" t="s">
        <v>2611</v>
      </c>
      <c r="D613" s="225" t="s">
        <v>1294</v>
      </c>
      <c r="E613" s="232" t="s">
        <v>2428</v>
      </c>
      <c r="F613" s="104" t="s">
        <v>332</v>
      </c>
    </row>
    <row r="614" spans="1:6" ht="26.1" thickBot="1" x14ac:dyDescent="0.6">
      <c r="A614" s="105">
        <v>602</v>
      </c>
      <c r="B614" s="214" t="s">
        <v>906</v>
      </c>
      <c r="C614" s="225" t="s">
        <v>2584</v>
      </c>
      <c r="D614" s="225" t="s">
        <v>1295</v>
      </c>
      <c r="E614" s="232" t="s">
        <v>2428</v>
      </c>
      <c r="F614" s="104" t="s">
        <v>332</v>
      </c>
    </row>
    <row r="615" spans="1:6" ht="26.1" thickBot="1" x14ac:dyDescent="0.6">
      <c r="A615" s="105">
        <v>603</v>
      </c>
      <c r="B615" s="214" t="s">
        <v>906</v>
      </c>
      <c r="C615" s="225" t="s">
        <v>2584</v>
      </c>
      <c r="D615" s="225" t="s">
        <v>1295</v>
      </c>
      <c r="E615" s="232" t="s">
        <v>2428</v>
      </c>
      <c r="F615" s="104" t="s">
        <v>357</v>
      </c>
    </row>
    <row r="616" spans="1:6" ht="26.1" thickBot="1" x14ac:dyDescent="0.6">
      <c r="A616" s="105">
        <v>604</v>
      </c>
      <c r="B616" s="214" t="s">
        <v>906</v>
      </c>
      <c r="C616" s="226" t="s">
        <v>2598</v>
      </c>
      <c r="D616" s="226" t="s">
        <v>1296</v>
      </c>
      <c r="E616" s="232" t="s">
        <v>2428</v>
      </c>
      <c r="F616" s="104" t="s">
        <v>357</v>
      </c>
    </row>
    <row r="617" spans="1:6" ht="26.1" thickBot="1" x14ac:dyDescent="0.6">
      <c r="A617" s="106">
        <v>605</v>
      </c>
      <c r="B617" s="214" t="s">
        <v>906</v>
      </c>
      <c r="C617" s="226" t="s">
        <v>2598</v>
      </c>
      <c r="D617" s="226" t="s">
        <v>1296</v>
      </c>
      <c r="E617" s="232" t="s">
        <v>2428</v>
      </c>
      <c r="F617" s="104" t="s">
        <v>357</v>
      </c>
    </row>
    <row r="618" spans="1:6" ht="79.900000000000006" customHeight="1" thickBot="1" x14ac:dyDescent="0.6">
      <c r="A618" s="105">
        <v>606</v>
      </c>
      <c r="B618" s="214" t="s">
        <v>906</v>
      </c>
      <c r="C618" s="226" t="s">
        <v>2598</v>
      </c>
      <c r="D618" s="226" t="s">
        <v>1296</v>
      </c>
      <c r="E618" s="232" t="s">
        <v>2428</v>
      </c>
      <c r="F618" s="104" t="s">
        <v>357</v>
      </c>
    </row>
    <row r="619" spans="1:6" ht="13.2" thickBot="1" x14ac:dyDescent="0.6">
      <c r="A619" s="105">
        <v>607</v>
      </c>
      <c r="B619" s="214" t="s">
        <v>906</v>
      </c>
      <c r="C619" s="225" t="s">
        <v>1258</v>
      </c>
      <c r="D619" s="225" t="s">
        <v>1258</v>
      </c>
      <c r="E619" s="232" t="s">
        <v>2428</v>
      </c>
      <c r="F619" s="104" t="s">
        <v>357</v>
      </c>
    </row>
    <row r="620" spans="1:6" ht="26.1" thickBot="1" x14ac:dyDescent="0.6">
      <c r="A620" s="105">
        <v>608</v>
      </c>
      <c r="B620" s="215" t="s">
        <v>907</v>
      </c>
      <c r="C620" s="227" t="s">
        <v>2619</v>
      </c>
      <c r="D620" s="227" t="s">
        <v>463</v>
      </c>
      <c r="E620" s="232" t="e">
        <v>#N/A</v>
      </c>
      <c r="F620" s="104" t="s">
        <v>2433</v>
      </c>
    </row>
    <row r="621" spans="1:6" ht="39" thickBot="1" x14ac:dyDescent="0.6">
      <c r="A621" s="105">
        <v>609</v>
      </c>
      <c r="B621" s="213" t="s">
        <v>907</v>
      </c>
      <c r="C621" s="225" t="s">
        <v>2620</v>
      </c>
      <c r="D621" s="225" t="s">
        <v>464</v>
      </c>
      <c r="E621" s="232" t="s">
        <v>2428</v>
      </c>
      <c r="F621" s="104" t="s">
        <v>357</v>
      </c>
    </row>
    <row r="622" spans="1:6" ht="39" thickBot="1" x14ac:dyDescent="0.6">
      <c r="A622" s="105">
        <v>610</v>
      </c>
      <c r="B622" s="213" t="s">
        <v>907</v>
      </c>
      <c r="C622" s="226"/>
      <c r="D622" s="226" t="s">
        <v>1297</v>
      </c>
      <c r="E622" s="232" t="s">
        <v>2428</v>
      </c>
      <c r="F622" s="104" t="s">
        <v>357</v>
      </c>
    </row>
    <row r="623" spans="1:6" ht="39" thickBot="1" x14ac:dyDescent="0.6">
      <c r="A623" s="105">
        <v>611</v>
      </c>
      <c r="B623" s="213" t="s">
        <v>907</v>
      </c>
      <c r="C623" s="226"/>
      <c r="D623" s="226" t="s">
        <v>1297</v>
      </c>
      <c r="E623" s="232" t="s">
        <v>2428</v>
      </c>
      <c r="F623" s="104" t="s">
        <v>357</v>
      </c>
    </row>
    <row r="624" spans="1:6" ht="13.2" thickBot="1" x14ac:dyDescent="0.6">
      <c r="A624" s="105">
        <v>612</v>
      </c>
      <c r="B624" s="213" t="s">
        <v>907</v>
      </c>
      <c r="C624" s="225" t="s">
        <v>1298</v>
      </c>
      <c r="D624" s="225" t="s">
        <v>1298</v>
      </c>
      <c r="E624" s="232" t="s">
        <v>2428</v>
      </c>
      <c r="F624" s="104" t="s">
        <v>357</v>
      </c>
    </row>
    <row r="625" spans="1:6" ht="51.9" thickBot="1" x14ac:dyDescent="0.6">
      <c r="A625" s="105">
        <v>613</v>
      </c>
      <c r="B625" s="213" t="s">
        <v>907</v>
      </c>
      <c r="C625" s="225" t="s">
        <v>2584</v>
      </c>
      <c r="D625" s="225" t="s">
        <v>1299</v>
      </c>
      <c r="E625" s="232" t="s">
        <v>2428</v>
      </c>
      <c r="F625" s="104" t="s">
        <v>357</v>
      </c>
    </row>
    <row r="626" spans="1:6" ht="51.9" thickBot="1" x14ac:dyDescent="0.6">
      <c r="A626" s="105">
        <v>614</v>
      </c>
      <c r="B626" s="213" t="s">
        <v>907</v>
      </c>
      <c r="C626" s="225" t="s">
        <v>2584</v>
      </c>
      <c r="D626" s="225" t="s">
        <v>1299</v>
      </c>
      <c r="E626" s="232" t="s">
        <v>2428</v>
      </c>
      <c r="F626" s="104" t="s">
        <v>357</v>
      </c>
    </row>
    <row r="627" spans="1:6" ht="13.2" thickBot="1" x14ac:dyDescent="0.6">
      <c r="A627" s="103">
        <v>615</v>
      </c>
      <c r="B627" s="213" t="s">
        <v>907</v>
      </c>
      <c r="C627" s="225" t="s">
        <v>2611</v>
      </c>
      <c r="D627" s="225" t="s">
        <v>460</v>
      </c>
      <c r="E627" s="232" t="s">
        <v>2428</v>
      </c>
      <c r="F627" s="104" t="s">
        <v>357</v>
      </c>
    </row>
    <row r="628" spans="1:6" ht="13.2" thickBot="1" x14ac:dyDescent="0.6">
      <c r="A628" s="105">
        <v>616</v>
      </c>
      <c r="B628" s="214" t="s">
        <v>907</v>
      </c>
      <c r="C628" s="225" t="s">
        <v>250</v>
      </c>
      <c r="D628" s="225" t="s">
        <v>250</v>
      </c>
      <c r="E628" s="232" t="s">
        <v>2428</v>
      </c>
      <c r="F628" s="104" t="s">
        <v>357</v>
      </c>
    </row>
    <row r="629" spans="1:6" ht="13.2" thickBot="1" x14ac:dyDescent="0.6">
      <c r="A629" s="105">
        <v>617</v>
      </c>
      <c r="B629" s="213" t="s">
        <v>907</v>
      </c>
      <c r="C629" s="225" t="s">
        <v>466</v>
      </c>
      <c r="D629" s="225" t="s">
        <v>466</v>
      </c>
      <c r="E629" s="232" t="s">
        <v>2428</v>
      </c>
      <c r="F629" s="104" t="s">
        <v>332</v>
      </c>
    </row>
    <row r="630" spans="1:6" ht="13.2" thickBot="1" x14ac:dyDescent="0.6">
      <c r="A630" s="105">
        <v>618</v>
      </c>
      <c r="B630" s="213" t="s">
        <v>907</v>
      </c>
      <c r="C630" s="225" t="s">
        <v>1250</v>
      </c>
      <c r="D630" s="225" t="s">
        <v>1250</v>
      </c>
      <c r="E630" s="232" t="s">
        <v>2428</v>
      </c>
      <c r="F630" s="104" t="s">
        <v>357</v>
      </c>
    </row>
    <row r="631" spans="1:6" ht="13.2" thickBot="1" x14ac:dyDescent="0.6">
      <c r="A631" s="105">
        <v>619</v>
      </c>
      <c r="B631" s="214" t="s">
        <v>907</v>
      </c>
      <c r="C631" s="225" t="s">
        <v>468</v>
      </c>
      <c r="D631" s="225" t="s">
        <v>468</v>
      </c>
      <c r="E631" s="232" t="s">
        <v>2428</v>
      </c>
      <c r="F631" s="104" t="s">
        <v>357</v>
      </c>
    </row>
    <row r="632" spans="1:6" ht="13.2" thickBot="1" x14ac:dyDescent="0.6">
      <c r="A632" s="105">
        <v>620</v>
      </c>
      <c r="B632" s="213" t="s">
        <v>907</v>
      </c>
      <c r="C632" s="226" t="s">
        <v>2598</v>
      </c>
      <c r="D632" s="226" t="s">
        <v>1300</v>
      </c>
      <c r="E632" s="232" t="s">
        <v>2428</v>
      </c>
      <c r="F632" s="104" t="s">
        <v>357</v>
      </c>
    </row>
    <row r="633" spans="1:6" ht="13.2" thickBot="1" x14ac:dyDescent="0.6">
      <c r="A633" s="105">
        <v>621</v>
      </c>
      <c r="B633" s="213" t="s">
        <v>905</v>
      </c>
      <c r="C633" s="225" t="s">
        <v>1258</v>
      </c>
      <c r="D633" s="225" t="s">
        <v>1258</v>
      </c>
      <c r="E633" s="232" t="s">
        <v>2428</v>
      </c>
      <c r="F633" s="104" t="s">
        <v>357</v>
      </c>
    </row>
    <row r="634" spans="1:6" ht="26.1" thickBot="1" x14ac:dyDescent="0.6">
      <c r="A634" s="105">
        <v>622</v>
      </c>
      <c r="B634" s="219" t="s">
        <v>908</v>
      </c>
      <c r="C634" s="224" t="s">
        <v>1301</v>
      </c>
      <c r="D634" s="224" t="s">
        <v>1301</v>
      </c>
      <c r="E634" s="232" t="e">
        <v>#N/A</v>
      </c>
      <c r="F634" s="104" t="s">
        <v>2433</v>
      </c>
    </row>
    <row r="635" spans="1:6" ht="26.1" thickBot="1" x14ac:dyDescent="0.6">
      <c r="A635" s="105">
        <v>623</v>
      </c>
      <c r="B635" s="220" t="s">
        <v>908</v>
      </c>
      <c r="C635" s="225" t="s">
        <v>2583</v>
      </c>
      <c r="D635" s="225" t="s">
        <v>1196</v>
      </c>
      <c r="E635" s="232" t="s">
        <v>2428</v>
      </c>
      <c r="F635" s="104" t="s">
        <v>357</v>
      </c>
    </row>
    <row r="636" spans="1:6" ht="26.1" thickBot="1" x14ac:dyDescent="0.6">
      <c r="A636" s="105">
        <v>624</v>
      </c>
      <c r="B636" s="220" t="s">
        <v>908</v>
      </c>
      <c r="C636" s="225" t="s">
        <v>1197</v>
      </c>
      <c r="D636" s="225" t="s">
        <v>1197</v>
      </c>
      <c r="E636" s="232" t="s">
        <v>2428</v>
      </c>
      <c r="F636" s="104" t="s">
        <v>357</v>
      </c>
    </row>
    <row r="637" spans="1:6" ht="51.9" thickBot="1" x14ac:dyDescent="0.6">
      <c r="A637" s="105">
        <v>625</v>
      </c>
      <c r="B637" s="221" t="s">
        <v>908</v>
      </c>
      <c r="C637" s="225" t="s">
        <v>2584</v>
      </c>
      <c r="D637" s="225" t="s">
        <v>1198</v>
      </c>
      <c r="E637" s="232" t="s">
        <v>2428</v>
      </c>
      <c r="F637" s="104" t="s">
        <v>332</v>
      </c>
    </row>
    <row r="638" spans="1:6" ht="51.9" thickBot="1" x14ac:dyDescent="0.6">
      <c r="A638" s="105">
        <v>626</v>
      </c>
      <c r="B638" s="220" t="s">
        <v>908</v>
      </c>
      <c r="C638" s="225" t="s">
        <v>2584</v>
      </c>
      <c r="D638" s="225" t="s">
        <v>1199</v>
      </c>
      <c r="E638" s="232" t="s">
        <v>2428</v>
      </c>
      <c r="F638" s="104" t="s">
        <v>357</v>
      </c>
    </row>
    <row r="639" spans="1:6" ht="64.8" thickBot="1" x14ac:dyDescent="0.6">
      <c r="A639" s="105">
        <v>627</v>
      </c>
      <c r="B639" s="221" t="s">
        <v>908</v>
      </c>
      <c r="C639" s="226" t="s">
        <v>2584</v>
      </c>
      <c r="D639" s="226" t="s">
        <v>1200</v>
      </c>
      <c r="E639" s="232" t="s">
        <v>2428</v>
      </c>
      <c r="F639" s="104" t="s">
        <v>332</v>
      </c>
    </row>
    <row r="640" spans="1:6" ht="67.900000000000006" customHeight="1" thickBot="1" x14ac:dyDescent="0.6">
      <c r="A640" s="105">
        <v>628</v>
      </c>
      <c r="B640" s="221" t="s">
        <v>908</v>
      </c>
      <c r="C640" s="226" t="s">
        <v>2584</v>
      </c>
      <c r="D640" s="226" t="s">
        <v>1201</v>
      </c>
      <c r="E640" s="232" t="s">
        <v>2428</v>
      </c>
      <c r="F640" s="104" t="s">
        <v>332</v>
      </c>
    </row>
    <row r="641" spans="1:6" ht="39" thickBot="1" x14ac:dyDescent="0.6">
      <c r="A641" s="105">
        <v>629</v>
      </c>
      <c r="B641" s="221" t="s">
        <v>908</v>
      </c>
      <c r="C641" s="226" t="s">
        <v>2584</v>
      </c>
      <c r="D641" s="226" t="s">
        <v>1201</v>
      </c>
      <c r="E641" s="232" t="s">
        <v>2428</v>
      </c>
      <c r="F641" s="104" t="s">
        <v>332</v>
      </c>
    </row>
    <row r="642" spans="1:6" ht="90.6" thickBot="1" x14ac:dyDescent="0.6">
      <c r="A642" s="106">
        <v>630</v>
      </c>
      <c r="B642" s="220" t="s">
        <v>908</v>
      </c>
      <c r="C642" s="226" t="s">
        <v>2584</v>
      </c>
      <c r="D642" s="226" t="s">
        <v>1202</v>
      </c>
      <c r="E642" s="232" t="s">
        <v>2428</v>
      </c>
      <c r="F642" s="104" t="s">
        <v>357</v>
      </c>
    </row>
    <row r="643" spans="1:6" ht="90.6" thickBot="1" x14ac:dyDescent="0.6">
      <c r="A643" s="105">
        <v>631</v>
      </c>
      <c r="B643" s="220" t="s">
        <v>908</v>
      </c>
      <c r="C643" s="226" t="s">
        <v>2584</v>
      </c>
      <c r="D643" s="226" t="s">
        <v>1202</v>
      </c>
      <c r="E643" s="232" t="s">
        <v>2428</v>
      </c>
      <c r="F643" s="104" t="s">
        <v>357</v>
      </c>
    </row>
    <row r="644" spans="1:6" ht="64.8" thickBot="1" x14ac:dyDescent="0.6">
      <c r="A644" s="105">
        <v>632</v>
      </c>
      <c r="B644" s="221" t="s">
        <v>908</v>
      </c>
      <c r="C644" s="226" t="s">
        <v>2584</v>
      </c>
      <c r="D644" s="226" t="s">
        <v>1203</v>
      </c>
      <c r="E644" s="232" t="s">
        <v>2428</v>
      </c>
      <c r="F644" s="104" t="s">
        <v>332</v>
      </c>
    </row>
    <row r="645" spans="1:6" ht="64.8" thickBot="1" x14ac:dyDescent="0.6">
      <c r="A645" s="103">
        <v>633</v>
      </c>
      <c r="B645" s="221" t="s">
        <v>908</v>
      </c>
      <c r="C645" s="226" t="s">
        <v>2584</v>
      </c>
      <c r="D645" s="226" t="s">
        <v>1203</v>
      </c>
      <c r="E645" s="232" t="s">
        <v>2428</v>
      </c>
      <c r="F645" s="104" t="s">
        <v>357</v>
      </c>
    </row>
    <row r="646" spans="1:6" ht="51.9" thickBot="1" x14ac:dyDescent="0.6">
      <c r="A646" s="105">
        <v>634</v>
      </c>
      <c r="B646" s="221" t="s">
        <v>908</v>
      </c>
      <c r="C646" s="226" t="s">
        <v>2584</v>
      </c>
      <c r="D646" s="226" t="s">
        <v>1204</v>
      </c>
      <c r="E646" s="232" t="s">
        <v>2428</v>
      </c>
      <c r="F646" s="104" t="s">
        <v>332</v>
      </c>
    </row>
    <row r="647" spans="1:6" ht="51.9" thickBot="1" x14ac:dyDescent="0.6">
      <c r="A647" s="103">
        <v>635</v>
      </c>
      <c r="B647" s="221" t="s">
        <v>908</v>
      </c>
      <c r="C647" s="226" t="s">
        <v>2584</v>
      </c>
      <c r="D647" s="226" t="s">
        <v>1204</v>
      </c>
      <c r="E647" s="232" t="s">
        <v>2428</v>
      </c>
      <c r="F647" s="104" t="s">
        <v>357</v>
      </c>
    </row>
    <row r="648" spans="1:6" ht="77.7" thickBot="1" x14ac:dyDescent="0.6">
      <c r="A648" s="105">
        <v>636</v>
      </c>
      <c r="B648" s="220" t="s">
        <v>908</v>
      </c>
      <c r="C648" s="226" t="s">
        <v>2584</v>
      </c>
      <c r="D648" s="226" t="s">
        <v>1205</v>
      </c>
      <c r="E648" s="232" t="s">
        <v>2428</v>
      </c>
      <c r="F648" s="104" t="s">
        <v>357</v>
      </c>
    </row>
    <row r="649" spans="1:6" ht="77.7" thickBot="1" x14ac:dyDescent="0.6">
      <c r="A649" s="105">
        <v>637</v>
      </c>
      <c r="B649" s="220" t="s">
        <v>908</v>
      </c>
      <c r="C649" s="226" t="s">
        <v>2584</v>
      </c>
      <c r="D649" s="226" t="s">
        <v>1205</v>
      </c>
      <c r="E649" s="232" t="s">
        <v>2428</v>
      </c>
      <c r="F649" s="104" t="s">
        <v>357</v>
      </c>
    </row>
    <row r="650" spans="1:6" ht="26.1" thickBot="1" x14ac:dyDescent="0.6">
      <c r="A650" s="103">
        <v>638</v>
      </c>
      <c r="B650" s="221" t="s">
        <v>908</v>
      </c>
      <c r="C650" s="225" t="s">
        <v>2585</v>
      </c>
      <c r="D650" s="225" t="s">
        <v>1206</v>
      </c>
      <c r="E650" s="232" t="s">
        <v>2428</v>
      </c>
      <c r="F650" s="104" t="s">
        <v>332</v>
      </c>
    </row>
    <row r="651" spans="1:6" ht="26.1" thickBot="1" x14ac:dyDescent="0.6">
      <c r="A651" s="105">
        <v>639</v>
      </c>
      <c r="B651" s="220" t="s">
        <v>908</v>
      </c>
      <c r="C651" s="225" t="s">
        <v>2585</v>
      </c>
      <c r="D651" s="225" t="s">
        <v>1207</v>
      </c>
      <c r="E651" s="232" t="s">
        <v>2428</v>
      </c>
      <c r="F651" s="104" t="s">
        <v>357</v>
      </c>
    </row>
    <row r="652" spans="1:6" ht="26.1" thickBot="1" x14ac:dyDescent="0.6">
      <c r="A652" s="105">
        <v>640</v>
      </c>
      <c r="B652" s="220" t="s">
        <v>908</v>
      </c>
      <c r="C652" s="225" t="s">
        <v>2586</v>
      </c>
      <c r="D652" s="225" t="s">
        <v>1208</v>
      </c>
      <c r="E652" s="232" t="s">
        <v>2428</v>
      </c>
      <c r="F652" s="104" t="s">
        <v>357</v>
      </c>
    </row>
    <row r="653" spans="1:6" ht="26.1" thickBot="1" x14ac:dyDescent="0.6">
      <c r="A653" s="105">
        <v>641</v>
      </c>
      <c r="B653" s="220" t="s">
        <v>908</v>
      </c>
      <c r="C653" s="225" t="s">
        <v>2586</v>
      </c>
      <c r="D653" s="225" t="s">
        <v>1209</v>
      </c>
      <c r="E653" s="232" t="s">
        <v>2428</v>
      </c>
      <c r="F653" s="104" t="s">
        <v>357</v>
      </c>
    </row>
    <row r="654" spans="1:6" ht="26.1" thickBot="1" x14ac:dyDescent="0.6">
      <c r="A654" s="106">
        <v>642</v>
      </c>
      <c r="B654" s="220" t="s">
        <v>908</v>
      </c>
      <c r="C654" s="225" t="s">
        <v>2586</v>
      </c>
      <c r="D654" s="225" t="s">
        <v>1210</v>
      </c>
      <c r="E654" s="232" t="s">
        <v>2428</v>
      </c>
      <c r="F654" s="104" t="s">
        <v>357</v>
      </c>
    </row>
    <row r="655" spans="1:6" ht="39" thickBot="1" x14ac:dyDescent="0.6">
      <c r="A655" s="103">
        <v>643</v>
      </c>
      <c r="B655" s="221" t="s">
        <v>908</v>
      </c>
      <c r="C655" s="225" t="s">
        <v>2587</v>
      </c>
      <c r="D655" s="225" t="s">
        <v>1211</v>
      </c>
      <c r="E655" s="232" t="s">
        <v>2428</v>
      </c>
      <c r="F655" s="104" t="s">
        <v>332</v>
      </c>
    </row>
    <row r="656" spans="1:6" ht="39" thickBot="1" x14ac:dyDescent="0.6">
      <c r="A656" s="105">
        <v>644</v>
      </c>
      <c r="B656" s="221" t="s">
        <v>908</v>
      </c>
      <c r="C656" s="225" t="s">
        <v>2588</v>
      </c>
      <c r="D656" s="225" t="s">
        <v>1212</v>
      </c>
      <c r="E656" s="232" t="s">
        <v>2428</v>
      </c>
      <c r="F656" s="104" t="s">
        <v>332</v>
      </c>
    </row>
    <row r="657" spans="1:6" ht="26.1" thickBot="1" x14ac:dyDescent="0.6">
      <c r="A657" s="103">
        <v>645</v>
      </c>
      <c r="B657" s="220" t="s">
        <v>908</v>
      </c>
      <c r="C657" s="225" t="s">
        <v>2589</v>
      </c>
      <c r="D657" s="225" t="s">
        <v>1213</v>
      </c>
      <c r="E657" s="232" t="s">
        <v>2428</v>
      </c>
      <c r="F657" s="104" t="s">
        <v>357</v>
      </c>
    </row>
    <row r="658" spans="1:6" ht="13.2" thickBot="1" x14ac:dyDescent="0.6">
      <c r="A658" s="105">
        <v>646</v>
      </c>
      <c r="B658" s="221" t="s">
        <v>908</v>
      </c>
      <c r="C658" s="225" t="s">
        <v>1214</v>
      </c>
      <c r="D658" s="225" t="s">
        <v>1214</v>
      </c>
      <c r="E658" s="232" t="s">
        <v>2428</v>
      </c>
      <c r="F658" s="104" t="s">
        <v>332</v>
      </c>
    </row>
    <row r="659" spans="1:6" ht="13.2" thickBot="1" x14ac:dyDescent="0.6">
      <c r="A659" s="105">
        <v>647</v>
      </c>
      <c r="B659" s="220" t="s">
        <v>908</v>
      </c>
      <c r="C659" s="225" t="s">
        <v>1215</v>
      </c>
      <c r="D659" s="225" t="s">
        <v>1215</v>
      </c>
      <c r="E659" s="232" t="s">
        <v>2428</v>
      </c>
      <c r="F659" s="104" t="s">
        <v>357</v>
      </c>
    </row>
    <row r="660" spans="1:6" ht="147" customHeight="1" thickBot="1" x14ac:dyDescent="0.6">
      <c r="A660" s="105">
        <v>648</v>
      </c>
      <c r="B660" s="220" t="s">
        <v>908</v>
      </c>
      <c r="C660" s="225" t="s">
        <v>2590</v>
      </c>
      <c r="D660" s="225" t="s">
        <v>1216</v>
      </c>
      <c r="E660" s="232" t="s">
        <v>2428</v>
      </c>
      <c r="F660" s="104" t="s">
        <v>332</v>
      </c>
    </row>
    <row r="661" spans="1:6" ht="26.1" thickBot="1" x14ac:dyDescent="0.6">
      <c r="A661" s="105">
        <v>649</v>
      </c>
      <c r="B661" s="220" t="s">
        <v>908</v>
      </c>
      <c r="C661" s="225" t="s">
        <v>2591</v>
      </c>
      <c r="D661" s="225" t="s">
        <v>1217</v>
      </c>
      <c r="E661" s="232" t="s">
        <v>2428</v>
      </c>
      <c r="F661" s="104" t="s">
        <v>332</v>
      </c>
    </row>
    <row r="662" spans="1:6" ht="26.1" thickBot="1" x14ac:dyDescent="0.6">
      <c r="A662" s="105">
        <v>650</v>
      </c>
      <c r="B662" s="220" t="s">
        <v>908</v>
      </c>
      <c r="C662" s="225" t="s">
        <v>2592</v>
      </c>
      <c r="D662" s="225" t="s">
        <v>1218</v>
      </c>
      <c r="E662" s="232" t="s">
        <v>2428</v>
      </c>
      <c r="F662" s="104" t="s">
        <v>357</v>
      </c>
    </row>
    <row r="663" spans="1:6" ht="26.1" thickBot="1" x14ac:dyDescent="0.6">
      <c r="A663" s="105">
        <v>651</v>
      </c>
      <c r="B663" s="221" t="s">
        <v>908</v>
      </c>
      <c r="C663" s="225" t="s">
        <v>2593</v>
      </c>
      <c r="D663" s="225" t="s">
        <v>1219</v>
      </c>
      <c r="E663" s="232" t="s">
        <v>2428</v>
      </c>
      <c r="F663" s="104" t="s">
        <v>332</v>
      </c>
    </row>
    <row r="664" spans="1:6" ht="26.1" thickBot="1" x14ac:dyDescent="0.6">
      <c r="A664" s="105">
        <v>652</v>
      </c>
      <c r="B664" s="221" t="s">
        <v>908</v>
      </c>
      <c r="C664" s="225" t="s">
        <v>2594</v>
      </c>
      <c r="D664" s="225" t="s">
        <v>1220</v>
      </c>
      <c r="E664" s="232" t="s">
        <v>2428</v>
      </c>
      <c r="F664" s="104" t="s">
        <v>332</v>
      </c>
    </row>
    <row r="665" spans="1:6" ht="26.1" thickBot="1" x14ac:dyDescent="0.6">
      <c r="A665" s="105">
        <v>653</v>
      </c>
      <c r="B665" s="220" t="s">
        <v>908</v>
      </c>
      <c r="C665" s="225" t="s">
        <v>2595</v>
      </c>
      <c r="D665" s="225" t="s">
        <v>1221</v>
      </c>
      <c r="E665" s="232" t="s">
        <v>2428</v>
      </c>
      <c r="F665" s="104" t="s">
        <v>357</v>
      </c>
    </row>
    <row r="666" spans="1:6" ht="26.1" thickBot="1" x14ac:dyDescent="0.6">
      <c r="A666" s="105">
        <v>654</v>
      </c>
      <c r="B666" s="221" t="s">
        <v>908</v>
      </c>
      <c r="C666" s="225" t="s">
        <v>2596</v>
      </c>
      <c r="D666" s="225" t="s">
        <v>1222</v>
      </c>
      <c r="E666" s="232" t="s">
        <v>2428</v>
      </c>
      <c r="F666" s="104" t="s">
        <v>332</v>
      </c>
    </row>
    <row r="667" spans="1:6" ht="39" thickBot="1" x14ac:dyDescent="0.6">
      <c r="A667" s="105">
        <v>655</v>
      </c>
      <c r="B667" s="221" t="s">
        <v>908</v>
      </c>
      <c r="C667" s="225" t="s">
        <v>2596</v>
      </c>
      <c r="D667" s="225" t="s">
        <v>1223</v>
      </c>
      <c r="E667" s="232" t="s">
        <v>2428</v>
      </c>
      <c r="F667" s="104" t="s">
        <v>332</v>
      </c>
    </row>
    <row r="668" spans="1:6" ht="26.1" thickBot="1" x14ac:dyDescent="0.6">
      <c r="A668" s="105">
        <v>656</v>
      </c>
      <c r="B668" s="220" t="s">
        <v>908</v>
      </c>
      <c r="C668" s="225" t="s">
        <v>2596</v>
      </c>
      <c r="D668" s="225" t="s">
        <v>1224</v>
      </c>
      <c r="E668" s="232" t="s">
        <v>2428</v>
      </c>
      <c r="F668" s="104" t="s">
        <v>357</v>
      </c>
    </row>
    <row r="669" spans="1:6" ht="26.1" thickBot="1" x14ac:dyDescent="0.6">
      <c r="A669" s="105">
        <v>657</v>
      </c>
      <c r="B669" s="220" t="s">
        <v>908</v>
      </c>
      <c r="C669" s="225" t="s">
        <v>1225</v>
      </c>
      <c r="D669" s="225" t="s">
        <v>1225</v>
      </c>
      <c r="E669" s="232" t="s">
        <v>2428</v>
      </c>
      <c r="F669" s="104" t="s">
        <v>357</v>
      </c>
    </row>
    <row r="670" spans="1:6" ht="26.1" thickBot="1" x14ac:dyDescent="0.6">
      <c r="A670" s="105">
        <v>658</v>
      </c>
      <c r="B670" s="220" t="s">
        <v>908</v>
      </c>
      <c r="C670" s="225" t="s">
        <v>1226</v>
      </c>
      <c r="D670" s="225" t="s">
        <v>1226</v>
      </c>
      <c r="E670" s="232" t="s">
        <v>2428</v>
      </c>
      <c r="F670" s="104" t="s">
        <v>357</v>
      </c>
    </row>
    <row r="671" spans="1:6" ht="26.1" thickBot="1" x14ac:dyDescent="0.6">
      <c r="A671" s="105">
        <v>659</v>
      </c>
      <c r="B671" s="220" t="s">
        <v>908</v>
      </c>
      <c r="C671" s="225" t="s">
        <v>1227</v>
      </c>
      <c r="D671" s="225" t="s">
        <v>1227</v>
      </c>
      <c r="E671" s="232" t="s">
        <v>2428</v>
      </c>
      <c r="F671" s="104" t="s">
        <v>357</v>
      </c>
    </row>
    <row r="672" spans="1:6" ht="26.1" thickBot="1" x14ac:dyDescent="0.6">
      <c r="A672" s="105">
        <v>660</v>
      </c>
      <c r="B672" s="220" t="s">
        <v>908</v>
      </c>
      <c r="C672" s="225" t="s">
        <v>2597</v>
      </c>
      <c r="D672" s="225" t="s">
        <v>1228</v>
      </c>
      <c r="E672" s="232" t="s">
        <v>2428</v>
      </c>
      <c r="F672" s="104" t="s">
        <v>357</v>
      </c>
    </row>
    <row r="673" spans="1:6" ht="39" thickBot="1" x14ac:dyDescent="0.6">
      <c r="A673" s="105">
        <v>661</v>
      </c>
      <c r="B673" s="221" t="s">
        <v>908</v>
      </c>
      <c r="C673" s="225" t="s">
        <v>2598</v>
      </c>
      <c r="D673" s="225" t="s">
        <v>1229</v>
      </c>
      <c r="E673" s="232" t="s">
        <v>2428</v>
      </c>
      <c r="F673" s="104" t="s">
        <v>357</v>
      </c>
    </row>
    <row r="674" spans="1:6" ht="39" thickBot="1" x14ac:dyDescent="0.6">
      <c r="A674" s="105">
        <v>662</v>
      </c>
      <c r="B674" s="221" t="s">
        <v>908</v>
      </c>
      <c r="C674" s="225" t="s">
        <v>2598</v>
      </c>
      <c r="D674" s="225" t="s">
        <v>1229</v>
      </c>
      <c r="E674" s="232" t="s">
        <v>2428</v>
      </c>
      <c r="F674" s="104" t="s">
        <v>357</v>
      </c>
    </row>
    <row r="675" spans="1:6" ht="39" thickBot="1" x14ac:dyDescent="0.6">
      <c r="A675" s="105">
        <v>663</v>
      </c>
      <c r="B675" s="221" t="s">
        <v>908</v>
      </c>
      <c r="C675" s="225" t="s">
        <v>2598</v>
      </c>
      <c r="D675" s="225" t="s">
        <v>1229</v>
      </c>
      <c r="E675" s="232" t="s">
        <v>2428</v>
      </c>
      <c r="F675" s="104" t="s">
        <v>357</v>
      </c>
    </row>
    <row r="676" spans="1:6" ht="39" thickBot="1" x14ac:dyDescent="0.6">
      <c r="A676" s="105">
        <v>664</v>
      </c>
      <c r="B676" s="221" t="s">
        <v>908</v>
      </c>
      <c r="C676" s="225" t="s">
        <v>2598</v>
      </c>
      <c r="D676" s="225" t="s">
        <v>1230</v>
      </c>
      <c r="E676" s="232" t="s">
        <v>2428</v>
      </c>
      <c r="F676" s="104" t="s">
        <v>357</v>
      </c>
    </row>
    <row r="677" spans="1:6" ht="39" thickBot="1" x14ac:dyDescent="0.6">
      <c r="A677" s="105">
        <v>665</v>
      </c>
      <c r="B677" s="221" t="s">
        <v>908</v>
      </c>
      <c r="C677" s="225" t="s">
        <v>2598</v>
      </c>
      <c r="D677" s="225" t="s">
        <v>1230</v>
      </c>
      <c r="E677" s="232" t="s">
        <v>2428</v>
      </c>
      <c r="F677" s="104" t="s">
        <v>357</v>
      </c>
    </row>
    <row r="678" spans="1:6" ht="39" thickBot="1" x14ac:dyDescent="0.6">
      <c r="A678" s="105">
        <v>666</v>
      </c>
      <c r="B678" s="221" t="s">
        <v>908</v>
      </c>
      <c r="C678" s="225" t="s">
        <v>2598</v>
      </c>
      <c r="D678" s="225" t="s">
        <v>1230</v>
      </c>
      <c r="E678" s="232" t="s">
        <v>2428</v>
      </c>
      <c r="F678" s="104" t="s">
        <v>357</v>
      </c>
    </row>
    <row r="679" spans="1:6" ht="51.9" thickBot="1" x14ac:dyDescent="0.6">
      <c r="A679" s="105">
        <v>667</v>
      </c>
      <c r="B679" s="220" t="s">
        <v>908</v>
      </c>
      <c r="C679" s="226" t="s">
        <v>2598</v>
      </c>
      <c r="D679" s="226" t="s">
        <v>1231</v>
      </c>
      <c r="E679" s="232" t="s">
        <v>2428</v>
      </c>
      <c r="F679" s="104" t="s">
        <v>357</v>
      </c>
    </row>
    <row r="680" spans="1:6" ht="26.1" thickBot="1" x14ac:dyDescent="0.6">
      <c r="A680" s="105">
        <v>668</v>
      </c>
      <c r="B680" s="221" t="s">
        <v>908</v>
      </c>
      <c r="C680" s="225" t="s">
        <v>2599</v>
      </c>
      <c r="D680" s="225" t="s">
        <v>1232</v>
      </c>
      <c r="E680" s="232" t="s">
        <v>2428</v>
      </c>
      <c r="F680" s="104" t="s">
        <v>357</v>
      </c>
    </row>
    <row r="681" spans="1:6" ht="26.1" thickBot="1" x14ac:dyDescent="0.6">
      <c r="A681" s="105">
        <v>669</v>
      </c>
      <c r="B681" s="221" t="s">
        <v>908</v>
      </c>
      <c r="C681" s="225" t="s">
        <v>2600</v>
      </c>
      <c r="D681" s="225" t="s">
        <v>1233</v>
      </c>
      <c r="E681" s="232" t="s">
        <v>2428</v>
      </c>
      <c r="F681" s="104" t="s">
        <v>357</v>
      </c>
    </row>
    <row r="682" spans="1:6" ht="13.2" thickBot="1" x14ac:dyDescent="0.6">
      <c r="A682" s="105">
        <v>670</v>
      </c>
      <c r="B682" s="220" t="s">
        <v>908</v>
      </c>
      <c r="C682" s="225" t="s">
        <v>2601</v>
      </c>
      <c r="D682" s="225" t="s">
        <v>1234</v>
      </c>
      <c r="E682" s="232" t="s">
        <v>2428</v>
      </c>
      <c r="F682" s="104" t="s">
        <v>357</v>
      </c>
    </row>
    <row r="683" spans="1:6" ht="13.2" thickBot="1" x14ac:dyDescent="0.6">
      <c r="A683" s="105">
        <v>671</v>
      </c>
      <c r="B683" s="220" t="s">
        <v>908</v>
      </c>
      <c r="C683" s="226" t="s">
        <v>2602</v>
      </c>
      <c r="D683" s="226" t="s">
        <v>1235</v>
      </c>
      <c r="E683" s="232" t="s">
        <v>453</v>
      </c>
      <c r="F683" s="104" t="s">
        <v>267</v>
      </c>
    </row>
    <row r="684" spans="1:6" ht="26.1" thickBot="1" x14ac:dyDescent="0.6">
      <c r="A684" s="105">
        <v>672</v>
      </c>
      <c r="B684" s="221" t="s">
        <v>908</v>
      </c>
      <c r="C684" s="225" t="s">
        <v>2603</v>
      </c>
      <c r="D684" s="225" t="s">
        <v>1236</v>
      </c>
      <c r="E684" s="232" t="s">
        <v>2428</v>
      </c>
      <c r="F684" s="104" t="s">
        <v>332</v>
      </c>
    </row>
    <row r="685" spans="1:6" ht="26.1" thickBot="1" x14ac:dyDescent="0.6">
      <c r="A685" s="103">
        <v>673</v>
      </c>
      <c r="B685" s="220" t="s">
        <v>908</v>
      </c>
      <c r="C685" s="225" t="s">
        <v>2604</v>
      </c>
      <c r="D685" s="225" t="s">
        <v>1237</v>
      </c>
      <c r="E685" s="232" t="s">
        <v>2428</v>
      </c>
      <c r="F685" s="104" t="s">
        <v>357</v>
      </c>
    </row>
    <row r="686" spans="1:6" ht="26.1" thickBot="1" x14ac:dyDescent="0.6">
      <c r="A686" s="103">
        <v>674</v>
      </c>
      <c r="B686" s="221" t="s">
        <v>908</v>
      </c>
      <c r="C686" s="225" t="s">
        <v>2605</v>
      </c>
      <c r="D686" s="225" t="s">
        <v>1238</v>
      </c>
      <c r="E686" s="232" t="s">
        <v>453</v>
      </c>
      <c r="F686" s="104" t="s">
        <v>267</v>
      </c>
    </row>
    <row r="687" spans="1:6" ht="26.1" thickBot="1" x14ac:dyDescent="0.6">
      <c r="A687" s="103">
        <v>675</v>
      </c>
      <c r="B687" s="221" t="s">
        <v>908</v>
      </c>
      <c r="C687" s="225" t="s">
        <v>2606</v>
      </c>
      <c r="D687" s="225" t="s">
        <v>1239</v>
      </c>
      <c r="E687" s="232" t="s">
        <v>453</v>
      </c>
      <c r="F687" s="104" t="s">
        <v>267</v>
      </c>
    </row>
    <row r="688" spans="1:6" ht="26.1" thickBot="1" x14ac:dyDescent="0.6">
      <c r="A688" s="103">
        <v>676</v>
      </c>
      <c r="B688" s="221" t="s">
        <v>908</v>
      </c>
      <c r="C688" s="225" t="s">
        <v>2607</v>
      </c>
      <c r="D688" s="225" t="s">
        <v>1240</v>
      </c>
      <c r="E688" s="232" t="s">
        <v>2428</v>
      </c>
      <c r="F688" s="104" t="s">
        <v>332</v>
      </c>
    </row>
    <row r="689" spans="1:6" ht="26.1" thickBot="1" x14ac:dyDescent="0.6">
      <c r="A689" s="103">
        <v>677</v>
      </c>
      <c r="B689" s="221" t="s">
        <v>908</v>
      </c>
      <c r="C689" s="225" t="s">
        <v>2608</v>
      </c>
      <c r="D689" s="225" t="s">
        <v>1241</v>
      </c>
      <c r="E689" s="232" t="s">
        <v>2428</v>
      </c>
      <c r="F689" s="104" t="s">
        <v>332</v>
      </c>
    </row>
    <row r="690" spans="1:6" ht="13.2" thickBot="1" x14ac:dyDescent="0.6">
      <c r="A690" s="105">
        <v>678</v>
      </c>
      <c r="B690" s="220" t="s">
        <v>908</v>
      </c>
      <c r="C690" s="225" t="s">
        <v>2609</v>
      </c>
      <c r="D690" s="225" t="s">
        <v>1242</v>
      </c>
      <c r="E690" s="232" t="s">
        <v>2428</v>
      </c>
      <c r="F690" s="104" t="s">
        <v>357</v>
      </c>
    </row>
    <row r="691" spans="1:6" ht="26.1" thickBot="1" x14ac:dyDescent="0.6">
      <c r="A691" s="105">
        <v>679</v>
      </c>
      <c r="B691" s="221" t="s">
        <v>908</v>
      </c>
      <c r="C691" s="225" t="s">
        <v>1243</v>
      </c>
      <c r="D691" s="225" t="s">
        <v>1243</v>
      </c>
      <c r="E691" s="232" t="s">
        <v>2428</v>
      </c>
      <c r="F691" s="104" t="s">
        <v>332</v>
      </c>
    </row>
    <row r="692" spans="1:6" ht="13.2" thickBot="1" x14ac:dyDescent="0.6">
      <c r="A692" s="105">
        <v>680</v>
      </c>
      <c r="B692" s="220" t="s">
        <v>908</v>
      </c>
      <c r="C692" s="225" t="s">
        <v>1244</v>
      </c>
      <c r="D692" s="225" t="s">
        <v>1244</v>
      </c>
      <c r="E692" s="232" t="s">
        <v>2428</v>
      </c>
      <c r="F692" s="104" t="s">
        <v>357</v>
      </c>
    </row>
    <row r="693" spans="1:6" ht="26.1" thickBot="1" x14ac:dyDescent="0.6">
      <c r="A693" s="105">
        <v>681</v>
      </c>
      <c r="B693" s="222" t="s">
        <v>909</v>
      </c>
      <c r="C693" s="227" t="s">
        <v>2621</v>
      </c>
      <c r="D693" s="227" t="s">
        <v>1302</v>
      </c>
      <c r="E693" s="232" t="e">
        <v>#N/A</v>
      </c>
      <c r="F693" s="104" t="s">
        <v>2433</v>
      </c>
    </row>
    <row r="694" spans="1:6" ht="26.1" thickBot="1" x14ac:dyDescent="0.6">
      <c r="A694" s="105">
        <v>682</v>
      </c>
      <c r="B694" s="220" t="s">
        <v>909</v>
      </c>
      <c r="C694" s="225" t="s">
        <v>2583</v>
      </c>
      <c r="D694" s="225" t="s">
        <v>1196</v>
      </c>
      <c r="E694" s="232" t="s">
        <v>2428</v>
      </c>
      <c r="F694" s="104" t="s">
        <v>357</v>
      </c>
    </row>
    <row r="695" spans="1:6" ht="26.1" thickBot="1" x14ac:dyDescent="0.6">
      <c r="A695" s="105">
        <v>683</v>
      </c>
      <c r="B695" s="220" t="s">
        <v>909</v>
      </c>
      <c r="C695" s="225" t="s">
        <v>1197</v>
      </c>
      <c r="D695" s="225" t="s">
        <v>1197</v>
      </c>
      <c r="E695" s="232" t="s">
        <v>2428</v>
      </c>
      <c r="F695" s="104" t="s">
        <v>357</v>
      </c>
    </row>
    <row r="696" spans="1:6" ht="51.9" thickBot="1" x14ac:dyDescent="0.6">
      <c r="A696" s="105">
        <v>684</v>
      </c>
      <c r="B696" s="221" t="s">
        <v>909</v>
      </c>
      <c r="C696" s="225" t="s">
        <v>2584</v>
      </c>
      <c r="D696" s="225" t="s">
        <v>1198</v>
      </c>
      <c r="E696" s="232" t="s">
        <v>2428</v>
      </c>
      <c r="F696" s="104" t="s">
        <v>332</v>
      </c>
    </row>
    <row r="697" spans="1:6" ht="51.9" thickBot="1" x14ac:dyDescent="0.6">
      <c r="A697" s="105">
        <v>685</v>
      </c>
      <c r="B697" s="220" t="s">
        <v>909</v>
      </c>
      <c r="C697" s="225" t="s">
        <v>2584</v>
      </c>
      <c r="D697" s="225" t="s">
        <v>1199</v>
      </c>
      <c r="E697" s="232" t="s">
        <v>2428</v>
      </c>
      <c r="F697" s="104" t="s">
        <v>357</v>
      </c>
    </row>
    <row r="698" spans="1:6" ht="64.8" thickBot="1" x14ac:dyDescent="0.6">
      <c r="A698" s="105">
        <v>686</v>
      </c>
      <c r="B698" s="221" t="s">
        <v>909</v>
      </c>
      <c r="C698" s="226" t="s">
        <v>2584</v>
      </c>
      <c r="D698" s="226" t="s">
        <v>1200</v>
      </c>
      <c r="E698" s="232" t="s">
        <v>2428</v>
      </c>
      <c r="F698" s="104" t="s">
        <v>332</v>
      </c>
    </row>
    <row r="699" spans="1:6" ht="39" thickBot="1" x14ac:dyDescent="0.6">
      <c r="A699" s="105">
        <v>687</v>
      </c>
      <c r="B699" s="221" t="s">
        <v>909</v>
      </c>
      <c r="C699" s="226" t="s">
        <v>2584</v>
      </c>
      <c r="D699" s="226" t="s">
        <v>1201</v>
      </c>
      <c r="E699" s="232" t="s">
        <v>2428</v>
      </c>
      <c r="F699" s="104" t="s">
        <v>332</v>
      </c>
    </row>
    <row r="700" spans="1:6" ht="39" thickBot="1" x14ac:dyDescent="0.6">
      <c r="A700" s="105">
        <v>688</v>
      </c>
      <c r="B700" s="221" t="s">
        <v>909</v>
      </c>
      <c r="C700" s="226" t="s">
        <v>2584</v>
      </c>
      <c r="D700" s="226" t="s">
        <v>1201</v>
      </c>
      <c r="E700" s="232" t="s">
        <v>2428</v>
      </c>
      <c r="F700" s="104" t="s">
        <v>332</v>
      </c>
    </row>
    <row r="701" spans="1:6" ht="90.6" thickBot="1" x14ac:dyDescent="0.6">
      <c r="A701" s="105">
        <v>689</v>
      </c>
      <c r="B701" s="220" t="s">
        <v>909</v>
      </c>
      <c r="C701" s="226" t="s">
        <v>2584</v>
      </c>
      <c r="D701" s="226" t="s">
        <v>1202</v>
      </c>
      <c r="E701" s="232" t="s">
        <v>2428</v>
      </c>
      <c r="F701" s="104" t="s">
        <v>357</v>
      </c>
    </row>
    <row r="702" spans="1:6" ht="90.6" thickBot="1" x14ac:dyDescent="0.6">
      <c r="A702" s="105">
        <v>690</v>
      </c>
      <c r="B702" s="220" t="s">
        <v>909</v>
      </c>
      <c r="C702" s="226" t="s">
        <v>2584</v>
      </c>
      <c r="D702" s="226" t="s">
        <v>1202</v>
      </c>
      <c r="E702" s="232" t="s">
        <v>2428</v>
      </c>
      <c r="F702" s="104" t="s">
        <v>357</v>
      </c>
    </row>
    <row r="703" spans="1:6" ht="64.8" thickBot="1" x14ac:dyDescent="0.6">
      <c r="A703" s="105">
        <v>691</v>
      </c>
      <c r="B703" s="221" t="s">
        <v>909</v>
      </c>
      <c r="C703" s="226" t="s">
        <v>2584</v>
      </c>
      <c r="D703" s="226" t="s">
        <v>1203</v>
      </c>
      <c r="E703" s="232" t="s">
        <v>2428</v>
      </c>
      <c r="F703" s="104" t="s">
        <v>332</v>
      </c>
    </row>
    <row r="704" spans="1:6" ht="64.8" thickBot="1" x14ac:dyDescent="0.6">
      <c r="A704" s="106">
        <v>692</v>
      </c>
      <c r="B704" s="221" t="s">
        <v>909</v>
      </c>
      <c r="C704" s="226" t="s">
        <v>2584</v>
      </c>
      <c r="D704" s="226" t="s">
        <v>1203</v>
      </c>
      <c r="E704" s="232" t="s">
        <v>2428</v>
      </c>
      <c r="F704" s="104" t="s">
        <v>357</v>
      </c>
    </row>
    <row r="705" spans="1:6" ht="51.9" thickBot="1" x14ac:dyDescent="0.6">
      <c r="A705" s="103">
        <v>693</v>
      </c>
      <c r="B705" s="221" t="s">
        <v>909</v>
      </c>
      <c r="C705" s="226" t="s">
        <v>2584</v>
      </c>
      <c r="D705" s="226" t="s">
        <v>1204</v>
      </c>
      <c r="E705" s="232" t="s">
        <v>2428</v>
      </c>
      <c r="F705" s="104" t="s">
        <v>332</v>
      </c>
    </row>
    <row r="706" spans="1:6" ht="51.9" thickBot="1" x14ac:dyDescent="0.6">
      <c r="A706" s="106">
        <v>694</v>
      </c>
      <c r="B706" s="221" t="s">
        <v>909</v>
      </c>
      <c r="C706" s="226" t="s">
        <v>2584</v>
      </c>
      <c r="D706" s="226" t="s">
        <v>1204</v>
      </c>
      <c r="E706" s="232" t="s">
        <v>2428</v>
      </c>
      <c r="F706" s="104" t="s">
        <v>357</v>
      </c>
    </row>
    <row r="707" spans="1:6" ht="77.7" thickBot="1" x14ac:dyDescent="0.6">
      <c r="A707" s="105">
        <v>695</v>
      </c>
      <c r="B707" s="220" t="s">
        <v>909</v>
      </c>
      <c r="C707" s="226" t="s">
        <v>2584</v>
      </c>
      <c r="D707" s="226" t="s">
        <v>1205</v>
      </c>
      <c r="E707" s="232" t="s">
        <v>2428</v>
      </c>
      <c r="F707" s="104" t="s">
        <v>357</v>
      </c>
    </row>
    <row r="708" spans="1:6" ht="77.7" thickBot="1" x14ac:dyDescent="0.6">
      <c r="A708" s="105">
        <v>696</v>
      </c>
      <c r="B708" s="220" t="s">
        <v>909</v>
      </c>
      <c r="C708" s="226" t="s">
        <v>2584</v>
      </c>
      <c r="D708" s="226" t="s">
        <v>1205</v>
      </c>
      <c r="E708" s="232" t="s">
        <v>2428</v>
      </c>
      <c r="F708" s="104" t="s">
        <v>357</v>
      </c>
    </row>
    <row r="709" spans="1:6" ht="26.1" thickBot="1" x14ac:dyDescent="0.6">
      <c r="A709" s="105">
        <v>697</v>
      </c>
      <c r="B709" s="221" t="s">
        <v>909</v>
      </c>
      <c r="C709" s="225" t="s">
        <v>2585</v>
      </c>
      <c r="D709" s="225" t="s">
        <v>1206</v>
      </c>
      <c r="E709" s="232" t="s">
        <v>2428</v>
      </c>
      <c r="F709" s="104" t="s">
        <v>332</v>
      </c>
    </row>
    <row r="710" spans="1:6" ht="26.1" thickBot="1" x14ac:dyDescent="0.6">
      <c r="A710" s="105">
        <v>698</v>
      </c>
      <c r="B710" s="220" t="s">
        <v>909</v>
      </c>
      <c r="C710" s="225" t="s">
        <v>2585</v>
      </c>
      <c r="D710" s="225" t="s">
        <v>1207</v>
      </c>
      <c r="E710" s="232" t="s">
        <v>2428</v>
      </c>
      <c r="F710" s="104" t="s">
        <v>357</v>
      </c>
    </row>
    <row r="711" spans="1:6" ht="26.1" thickBot="1" x14ac:dyDescent="0.6">
      <c r="A711" s="105">
        <v>699</v>
      </c>
      <c r="B711" s="220" t="s">
        <v>909</v>
      </c>
      <c r="C711" s="225" t="s">
        <v>2586</v>
      </c>
      <c r="D711" s="225" t="s">
        <v>1208</v>
      </c>
      <c r="E711" s="232" t="s">
        <v>2428</v>
      </c>
      <c r="F711" s="104" t="s">
        <v>357</v>
      </c>
    </row>
    <row r="712" spans="1:6" ht="26.1" thickBot="1" x14ac:dyDescent="0.6">
      <c r="A712" s="105">
        <v>700</v>
      </c>
      <c r="B712" s="220" t="s">
        <v>909</v>
      </c>
      <c r="C712" s="225" t="s">
        <v>2586</v>
      </c>
      <c r="D712" s="225" t="s">
        <v>1209</v>
      </c>
      <c r="E712" s="232" t="s">
        <v>2428</v>
      </c>
      <c r="F712" s="104" t="s">
        <v>357</v>
      </c>
    </row>
    <row r="713" spans="1:6" ht="26.1" thickBot="1" x14ac:dyDescent="0.6">
      <c r="A713" s="105">
        <v>701</v>
      </c>
      <c r="B713" s="220" t="s">
        <v>909</v>
      </c>
      <c r="C713" s="225" t="s">
        <v>2586</v>
      </c>
      <c r="D713" s="225" t="s">
        <v>1210</v>
      </c>
      <c r="E713" s="232" t="s">
        <v>2428</v>
      </c>
      <c r="F713" s="104" t="s">
        <v>357</v>
      </c>
    </row>
    <row r="714" spans="1:6" ht="39" thickBot="1" x14ac:dyDescent="0.6">
      <c r="A714" s="105">
        <v>702</v>
      </c>
      <c r="B714" s="221" t="s">
        <v>909</v>
      </c>
      <c r="C714" s="225" t="s">
        <v>2587</v>
      </c>
      <c r="D714" s="225" t="s">
        <v>1211</v>
      </c>
      <c r="E714" s="232" t="s">
        <v>2428</v>
      </c>
      <c r="F714" s="104" t="s">
        <v>332</v>
      </c>
    </row>
    <row r="715" spans="1:6" ht="39" thickBot="1" x14ac:dyDescent="0.6">
      <c r="A715" s="105">
        <v>703</v>
      </c>
      <c r="B715" s="221" t="s">
        <v>909</v>
      </c>
      <c r="C715" s="225" t="s">
        <v>2588</v>
      </c>
      <c r="D715" s="225" t="s">
        <v>1212</v>
      </c>
      <c r="E715" s="232" t="s">
        <v>2428</v>
      </c>
      <c r="F715" s="104" t="s">
        <v>332</v>
      </c>
    </row>
    <row r="716" spans="1:6" ht="26.1" thickBot="1" x14ac:dyDescent="0.6">
      <c r="A716" s="105">
        <v>704</v>
      </c>
      <c r="B716" s="220" t="s">
        <v>909</v>
      </c>
      <c r="C716" s="225" t="s">
        <v>2589</v>
      </c>
      <c r="D716" s="225" t="s">
        <v>1213</v>
      </c>
      <c r="E716" s="232" t="s">
        <v>2428</v>
      </c>
      <c r="F716" s="104" t="s">
        <v>357</v>
      </c>
    </row>
    <row r="717" spans="1:6" ht="13.2" thickBot="1" x14ac:dyDescent="0.6">
      <c r="A717" s="105">
        <v>705</v>
      </c>
      <c r="B717" s="221" t="s">
        <v>909</v>
      </c>
      <c r="C717" s="225" t="s">
        <v>1214</v>
      </c>
      <c r="D717" s="225" t="s">
        <v>1214</v>
      </c>
      <c r="E717" s="232" t="s">
        <v>2428</v>
      </c>
      <c r="F717" s="104" t="s">
        <v>332</v>
      </c>
    </row>
    <row r="718" spans="1:6" ht="13.2" thickBot="1" x14ac:dyDescent="0.6">
      <c r="A718" s="105">
        <v>706</v>
      </c>
      <c r="B718" s="220" t="s">
        <v>909</v>
      </c>
      <c r="C718" s="225" t="s">
        <v>1215</v>
      </c>
      <c r="D718" s="225" t="s">
        <v>1215</v>
      </c>
      <c r="E718" s="232" t="s">
        <v>2428</v>
      </c>
      <c r="F718" s="104" t="s">
        <v>357</v>
      </c>
    </row>
    <row r="719" spans="1:6" ht="26.1" thickBot="1" x14ac:dyDescent="0.6">
      <c r="A719" s="105">
        <v>707</v>
      </c>
      <c r="B719" s="220" t="s">
        <v>909</v>
      </c>
      <c r="C719" s="225" t="s">
        <v>2590</v>
      </c>
      <c r="D719" s="225" t="s">
        <v>1216</v>
      </c>
      <c r="E719" s="232" t="s">
        <v>2428</v>
      </c>
      <c r="F719" s="104" t="s">
        <v>332</v>
      </c>
    </row>
    <row r="720" spans="1:6" ht="26.1" thickBot="1" x14ac:dyDescent="0.6">
      <c r="A720" s="105">
        <v>708</v>
      </c>
      <c r="B720" s="220" t="s">
        <v>909</v>
      </c>
      <c r="C720" s="225" t="s">
        <v>2591</v>
      </c>
      <c r="D720" s="225" t="s">
        <v>1217</v>
      </c>
      <c r="E720" s="232" t="s">
        <v>2428</v>
      </c>
      <c r="F720" s="104" t="s">
        <v>332</v>
      </c>
    </row>
    <row r="721" spans="1:6" ht="26.1" thickBot="1" x14ac:dyDescent="0.6">
      <c r="A721" s="105">
        <v>709</v>
      </c>
      <c r="B721" s="220" t="s">
        <v>909</v>
      </c>
      <c r="C721" s="225" t="s">
        <v>2592</v>
      </c>
      <c r="D721" s="225" t="s">
        <v>1218</v>
      </c>
      <c r="E721" s="232" t="s">
        <v>2428</v>
      </c>
      <c r="F721" s="104" t="s">
        <v>357</v>
      </c>
    </row>
    <row r="722" spans="1:6" ht="26.1" thickBot="1" x14ac:dyDescent="0.6">
      <c r="A722" s="105">
        <v>710</v>
      </c>
      <c r="B722" s="221" t="s">
        <v>909</v>
      </c>
      <c r="C722" s="225" t="s">
        <v>2593</v>
      </c>
      <c r="D722" s="225" t="s">
        <v>1219</v>
      </c>
      <c r="E722" s="232" t="s">
        <v>2428</v>
      </c>
      <c r="F722" s="104" t="s">
        <v>332</v>
      </c>
    </row>
    <row r="723" spans="1:6" ht="26.1" thickBot="1" x14ac:dyDescent="0.6">
      <c r="A723" s="105">
        <v>711</v>
      </c>
      <c r="B723" s="221" t="s">
        <v>909</v>
      </c>
      <c r="C723" s="225" t="s">
        <v>2594</v>
      </c>
      <c r="D723" s="225" t="s">
        <v>1220</v>
      </c>
      <c r="E723" s="232" t="s">
        <v>2428</v>
      </c>
      <c r="F723" s="104" t="s">
        <v>332</v>
      </c>
    </row>
    <row r="724" spans="1:6" ht="26.1" thickBot="1" x14ac:dyDescent="0.6">
      <c r="A724" s="105">
        <v>712</v>
      </c>
      <c r="B724" s="220" t="s">
        <v>909</v>
      </c>
      <c r="C724" s="225" t="s">
        <v>2595</v>
      </c>
      <c r="D724" s="225" t="s">
        <v>1221</v>
      </c>
      <c r="E724" s="232" t="s">
        <v>2428</v>
      </c>
      <c r="F724" s="104" t="s">
        <v>357</v>
      </c>
    </row>
    <row r="725" spans="1:6" ht="26.1" thickBot="1" x14ac:dyDescent="0.6">
      <c r="A725" s="105">
        <v>713</v>
      </c>
      <c r="B725" s="221" t="s">
        <v>909</v>
      </c>
      <c r="C725" s="225" t="s">
        <v>2596</v>
      </c>
      <c r="D725" s="225" t="s">
        <v>1222</v>
      </c>
      <c r="E725" s="232" t="s">
        <v>2428</v>
      </c>
      <c r="F725" s="104" t="s">
        <v>332</v>
      </c>
    </row>
    <row r="726" spans="1:6" ht="39" thickBot="1" x14ac:dyDescent="0.6">
      <c r="A726" s="105">
        <v>714</v>
      </c>
      <c r="B726" s="221" t="s">
        <v>909</v>
      </c>
      <c r="C726" s="225" t="s">
        <v>2596</v>
      </c>
      <c r="D726" s="225" t="s">
        <v>1223</v>
      </c>
      <c r="E726" s="232" t="s">
        <v>2428</v>
      </c>
      <c r="F726" s="104" t="s">
        <v>332</v>
      </c>
    </row>
    <row r="727" spans="1:6" ht="26.1" thickBot="1" x14ac:dyDescent="0.6">
      <c r="A727" s="105">
        <v>715</v>
      </c>
      <c r="B727" s="220" t="s">
        <v>909</v>
      </c>
      <c r="C727" s="225" t="s">
        <v>2596</v>
      </c>
      <c r="D727" s="225" t="s">
        <v>1224</v>
      </c>
      <c r="E727" s="232" t="s">
        <v>2428</v>
      </c>
      <c r="F727" s="104" t="s">
        <v>357</v>
      </c>
    </row>
    <row r="728" spans="1:6" ht="26.1" thickBot="1" x14ac:dyDescent="0.6">
      <c r="A728" s="105">
        <v>716</v>
      </c>
      <c r="B728" s="220" t="s">
        <v>909</v>
      </c>
      <c r="C728" s="225" t="s">
        <v>1225</v>
      </c>
      <c r="D728" s="225" t="s">
        <v>1225</v>
      </c>
      <c r="E728" s="232" t="s">
        <v>2428</v>
      </c>
      <c r="F728" s="104" t="s">
        <v>357</v>
      </c>
    </row>
    <row r="729" spans="1:6" ht="26.1" thickBot="1" x14ac:dyDescent="0.6">
      <c r="A729" s="105">
        <v>717</v>
      </c>
      <c r="B729" s="220" t="s">
        <v>909</v>
      </c>
      <c r="C729" s="225" t="s">
        <v>1226</v>
      </c>
      <c r="D729" s="225" t="s">
        <v>1226</v>
      </c>
      <c r="E729" s="232" t="s">
        <v>2428</v>
      </c>
      <c r="F729" s="104" t="s">
        <v>357</v>
      </c>
    </row>
    <row r="730" spans="1:6" ht="26.1" thickBot="1" x14ac:dyDescent="0.6">
      <c r="A730" s="105">
        <v>718</v>
      </c>
      <c r="B730" s="220" t="s">
        <v>909</v>
      </c>
      <c r="C730" s="225" t="s">
        <v>1227</v>
      </c>
      <c r="D730" s="225" t="s">
        <v>1227</v>
      </c>
      <c r="E730" s="232" t="s">
        <v>2428</v>
      </c>
      <c r="F730" s="104" t="s">
        <v>357</v>
      </c>
    </row>
    <row r="731" spans="1:6" ht="26.1" thickBot="1" x14ac:dyDescent="0.6">
      <c r="A731" s="105">
        <v>719</v>
      </c>
      <c r="B731" s="220" t="s">
        <v>909</v>
      </c>
      <c r="C731" s="225" t="s">
        <v>2597</v>
      </c>
      <c r="D731" s="225" t="s">
        <v>1228</v>
      </c>
      <c r="E731" s="232" t="s">
        <v>2428</v>
      </c>
      <c r="F731" s="104" t="s">
        <v>357</v>
      </c>
    </row>
    <row r="732" spans="1:6" ht="39" thickBot="1" x14ac:dyDescent="0.6">
      <c r="A732" s="105">
        <v>720</v>
      </c>
      <c r="B732" s="221" t="s">
        <v>909</v>
      </c>
      <c r="C732" s="225" t="s">
        <v>2598</v>
      </c>
      <c r="D732" s="225" t="s">
        <v>1229</v>
      </c>
      <c r="E732" s="232" t="s">
        <v>2428</v>
      </c>
      <c r="F732" s="104" t="s">
        <v>357</v>
      </c>
    </row>
    <row r="733" spans="1:6" ht="39" thickBot="1" x14ac:dyDescent="0.6">
      <c r="A733" s="105">
        <v>721</v>
      </c>
      <c r="B733" s="221" t="s">
        <v>909</v>
      </c>
      <c r="C733" s="225" t="s">
        <v>2598</v>
      </c>
      <c r="D733" s="225" t="s">
        <v>1229</v>
      </c>
      <c r="E733" s="232" t="s">
        <v>2428</v>
      </c>
      <c r="F733" s="104" t="s">
        <v>357</v>
      </c>
    </row>
    <row r="734" spans="1:6" ht="39" thickBot="1" x14ac:dyDescent="0.6">
      <c r="A734" s="106">
        <v>722</v>
      </c>
      <c r="B734" s="221" t="s">
        <v>909</v>
      </c>
      <c r="C734" s="225" t="s">
        <v>2598</v>
      </c>
      <c r="D734" s="225" t="s">
        <v>1229</v>
      </c>
      <c r="E734" s="232" t="s">
        <v>2428</v>
      </c>
      <c r="F734" s="104" t="s">
        <v>357</v>
      </c>
    </row>
    <row r="735" spans="1:6" ht="39" thickBot="1" x14ac:dyDescent="0.6">
      <c r="A735" s="106">
        <v>723</v>
      </c>
      <c r="B735" s="221" t="s">
        <v>909</v>
      </c>
      <c r="C735" s="225" t="s">
        <v>2598</v>
      </c>
      <c r="D735" s="225" t="s">
        <v>1230</v>
      </c>
      <c r="E735" s="232" t="s">
        <v>2428</v>
      </c>
      <c r="F735" s="104" t="s">
        <v>357</v>
      </c>
    </row>
    <row r="736" spans="1:6" ht="39" thickBot="1" x14ac:dyDescent="0.6">
      <c r="A736" s="105">
        <v>724</v>
      </c>
      <c r="B736" s="221" t="s">
        <v>909</v>
      </c>
      <c r="C736" s="225" t="s">
        <v>2598</v>
      </c>
      <c r="D736" s="225" t="s">
        <v>1230</v>
      </c>
      <c r="E736" s="232" t="s">
        <v>2428</v>
      </c>
      <c r="F736" s="104" t="s">
        <v>357</v>
      </c>
    </row>
    <row r="737" spans="1:6" ht="39" thickBot="1" x14ac:dyDescent="0.6">
      <c r="A737" s="105">
        <v>725</v>
      </c>
      <c r="B737" s="221" t="s">
        <v>909</v>
      </c>
      <c r="C737" s="225" t="s">
        <v>2598</v>
      </c>
      <c r="D737" s="225" t="s">
        <v>1230</v>
      </c>
      <c r="E737" s="232" t="s">
        <v>2428</v>
      </c>
      <c r="F737" s="104" t="s">
        <v>357</v>
      </c>
    </row>
    <row r="738" spans="1:6" ht="51.9" thickBot="1" x14ac:dyDescent="0.6">
      <c r="A738" s="103">
        <v>726</v>
      </c>
      <c r="B738" s="220" t="s">
        <v>909</v>
      </c>
      <c r="C738" s="226" t="s">
        <v>2598</v>
      </c>
      <c r="D738" s="226" t="s">
        <v>1231</v>
      </c>
      <c r="E738" s="232" t="s">
        <v>2428</v>
      </c>
      <c r="F738" s="104" t="s">
        <v>357</v>
      </c>
    </row>
    <row r="739" spans="1:6" ht="26.1" thickBot="1" x14ac:dyDescent="0.6">
      <c r="A739" s="105">
        <v>727</v>
      </c>
      <c r="B739" s="221" t="s">
        <v>909</v>
      </c>
      <c r="C739" s="225" t="s">
        <v>2599</v>
      </c>
      <c r="D739" s="225" t="s">
        <v>1232</v>
      </c>
      <c r="E739" s="232" t="s">
        <v>2428</v>
      </c>
      <c r="F739" s="104" t="s">
        <v>357</v>
      </c>
    </row>
    <row r="740" spans="1:6" ht="26.1" thickBot="1" x14ac:dyDescent="0.6">
      <c r="A740" s="105">
        <v>728</v>
      </c>
      <c r="B740" s="221" t="s">
        <v>909</v>
      </c>
      <c r="C740" s="225" t="s">
        <v>2600</v>
      </c>
      <c r="D740" s="225" t="s">
        <v>1233</v>
      </c>
      <c r="E740" s="232" t="s">
        <v>2428</v>
      </c>
      <c r="F740" s="104" t="s">
        <v>357</v>
      </c>
    </row>
    <row r="741" spans="1:6" ht="13.2" thickBot="1" x14ac:dyDescent="0.6">
      <c r="A741" s="105">
        <v>729</v>
      </c>
      <c r="B741" s="220" t="s">
        <v>909</v>
      </c>
      <c r="C741" s="225" t="s">
        <v>2601</v>
      </c>
      <c r="D741" s="225" t="s">
        <v>1234</v>
      </c>
      <c r="E741" s="232" t="s">
        <v>2428</v>
      </c>
      <c r="F741" s="104" t="s">
        <v>357</v>
      </c>
    </row>
    <row r="742" spans="1:6" ht="26.1" thickBot="1" x14ac:dyDescent="0.6">
      <c r="A742" s="105">
        <v>730</v>
      </c>
      <c r="B742" s="221" t="s">
        <v>909</v>
      </c>
      <c r="C742" s="225" t="s">
        <v>2603</v>
      </c>
      <c r="D742" s="225" t="s">
        <v>1236</v>
      </c>
      <c r="E742" s="232" t="s">
        <v>2428</v>
      </c>
      <c r="F742" s="104" t="s">
        <v>332</v>
      </c>
    </row>
    <row r="743" spans="1:6" ht="26.1" thickBot="1" x14ac:dyDescent="0.6">
      <c r="A743" s="103">
        <v>731</v>
      </c>
      <c r="B743" s="220" t="s">
        <v>909</v>
      </c>
      <c r="C743" s="225" t="s">
        <v>2604</v>
      </c>
      <c r="D743" s="225" t="s">
        <v>1237</v>
      </c>
      <c r="E743" s="232" t="s">
        <v>2428</v>
      </c>
      <c r="F743" s="104" t="s">
        <v>357</v>
      </c>
    </row>
    <row r="744" spans="1:6" ht="26.1" thickBot="1" x14ac:dyDescent="0.6">
      <c r="A744" s="105">
        <v>732</v>
      </c>
      <c r="B744" s="221" t="s">
        <v>909</v>
      </c>
      <c r="C744" s="225" t="s">
        <v>2605</v>
      </c>
      <c r="D744" s="225" t="s">
        <v>1238</v>
      </c>
      <c r="E744" s="232" t="s">
        <v>453</v>
      </c>
      <c r="F744" s="104" t="s">
        <v>267</v>
      </c>
    </row>
    <row r="745" spans="1:6" ht="26.1" thickBot="1" x14ac:dyDescent="0.6">
      <c r="A745" s="105">
        <v>733</v>
      </c>
      <c r="B745" s="221" t="s">
        <v>909</v>
      </c>
      <c r="C745" s="225" t="s">
        <v>2606</v>
      </c>
      <c r="D745" s="225" t="s">
        <v>1239</v>
      </c>
      <c r="E745" s="232" t="s">
        <v>453</v>
      </c>
      <c r="F745" s="104" t="s">
        <v>267</v>
      </c>
    </row>
    <row r="746" spans="1:6" ht="26.1" thickBot="1" x14ac:dyDescent="0.6">
      <c r="A746" s="105">
        <v>734</v>
      </c>
      <c r="B746" s="221" t="s">
        <v>909</v>
      </c>
      <c r="C746" s="225" t="s">
        <v>2607</v>
      </c>
      <c r="D746" s="225" t="s">
        <v>1240</v>
      </c>
      <c r="E746" s="232" t="s">
        <v>2428</v>
      </c>
      <c r="F746" s="104" t="s">
        <v>332</v>
      </c>
    </row>
    <row r="747" spans="1:6" ht="26.1" thickBot="1" x14ac:dyDescent="0.6">
      <c r="A747" s="105">
        <v>735</v>
      </c>
      <c r="B747" s="221" t="s">
        <v>909</v>
      </c>
      <c r="C747" s="225" t="s">
        <v>2608</v>
      </c>
      <c r="D747" s="225" t="s">
        <v>1241</v>
      </c>
      <c r="E747" s="232" t="s">
        <v>2428</v>
      </c>
      <c r="F747" s="104" t="s">
        <v>332</v>
      </c>
    </row>
    <row r="748" spans="1:6" ht="13.2" thickBot="1" x14ac:dyDescent="0.6">
      <c r="A748" s="105">
        <v>736</v>
      </c>
      <c r="B748" s="220" t="s">
        <v>909</v>
      </c>
      <c r="C748" s="225" t="s">
        <v>2609</v>
      </c>
      <c r="D748" s="225" t="s">
        <v>1242</v>
      </c>
      <c r="E748" s="232" t="s">
        <v>2428</v>
      </c>
      <c r="F748" s="104" t="s">
        <v>357</v>
      </c>
    </row>
    <row r="749" spans="1:6" ht="26.1" thickBot="1" x14ac:dyDescent="0.6">
      <c r="A749" s="105">
        <v>737</v>
      </c>
      <c r="B749" s="221" t="s">
        <v>909</v>
      </c>
      <c r="C749" s="225" t="s">
        <v>1243</v>
      </c>
      <c r="D749" s="225" t="s">
        <v>1243</v>
      </c>
      <c r="E749" s="232" t="s">
        <v>2428</v>
      </c>
      <c r="F749" s="104" t="s">
        <v>332</v>
      </c>
    </row>
    <row r="750" spans="1:6" ht="13.2" thickBot="1" x14ac:dyDescent="0.6">
      <c r="A750" s="105">
        <v>738</v>
      </c>
      <c r="B750" s="220" t="s">
        <v>909</v>
      </c>
      <c r="C750" s="225" t="s">
        <v>1244</v>
      </c>
      <c r="D750" s="225" t="s">
        <v>1244</v>
      </c>
      <c r="E750" s="232" t="s">
        <v>2428</v>
      </c>
      <c r="F750" s="104" t="s">
        <v>357</v>
      </c>
    </row>
    <row r="751" spans="1:6" ht="13.2" thickBot="1" x14ac:dyDescent="0.6">
      <c r="A751" s="105">
        <v>739</v>
      </c>
      <c r="B751" s="212">
        <v>7</v>
      </c>
      <c r="C751" s="224" t="s">
        <v>469</v>
      </c>
      <c r="D751" s="224" t="s">
        <v>469</v>
      </c>
      <c r="E751" s="232" t="e">
        <v>#N/A</v>
      </c>
      <c r="F751" s="104" t="s">
        <v>2433</v>
      </c>
    </row>
    <row r="752" spans="1:6" ht="13.2" thickBot="1" x14ac:dyDescent="0.6">
      <c r="A752" s="106">
        <v>740</v>
      </c>
      <c r="B752" s="221" t="s">
        <v>910</v>
      </c>
      <c r="C752" s="226" t="s">
        <v>2584</v>
      </c>
      <c r="D752" s="226" t="s">
        <v>1303</v>
      </c>
      <c r="E752" s="232" t="s">
        <v>2428</v>
      </c>
      <c r="F752" s="104" t="s">
        <v>332</v>
      </c>
    </row>
    <row r="753" spans="1:6" ht="13.2" thickBot="1" x14ac:dyDescent="0.6">
      <c r="A753" s="105">
        <v>741</v>
      </c>
      <c r="B753" s="221" t="s">
        <v>910</v>
      </c>
      <c r="C753" s="226" t="s">
        <v>2584</v>
      </c>
      <c r="D753" s="226" t="s">
        <v>1303</v>
      </c>
      <c r="E753" s="232" t="s">
        <v>2428</v>
      </c>
      <c r="F753" s="104" t="s">
        <v>332</v>
      </c>
    </row>
    <row r="754" spans="1:6" ht="13.2" thickBot="1" x14ac:dyDescent="0.6">
      <c r="A754" s="105">
        <v>742</v>
      </c>
      <c r="B754" s="220" t="s">
        <v>910</v>
      </c>
      <c r="C754" s="226" t="s">
        <v>2584</v>
      </c>
      <c r="D754" s="226" t="s">
        <v>1303</v>
      </c>
      <c r="E754" s="232" t="s">
        <v>2428</v>
      </c>
      <c r="F754" s="104" t="s">
        <v>357</v>
      </c>
    </row>
    <row r="755" spans="1:6" ht="13.2" thickBot="1" x14ac:dyDescent="0.6">
      <c r="A755" s="105">
        <v>743</v>
      </c>
      <c r="B755" s="220" t="s">
        <v>910</v>
      </c>
      <c r="C755" s="226" t="s">
        <v>2584</v>
      </c>
      <c r="D755" s="226" t="s">
        <v>1303</v>
      </c>
      <c r="E755" s="232" t="s">
        <v>2428</v>
      </c>
      <c r="F755" s="104" t="s">
        <v>357</v>
      </c>
    </row>
    <row r="756" spans="1:6" ht="13.2" thickBot="1" x14ac:dyDescent="0.6">
      <c r="A756" s="105">
        <v>744</v>
      </c>
      <c r="B756" s="221" t="s">
        <v>910</v>
      </c>
      <c r="C756" s="226" t="s">
        <v>2622</v>
      </c>
      <c r="D756" s="226" t="s">
        <v>1304</v>
      </c>
      <c r="E756" s="232" t="s">
        <v>2428</v>
      </c>
      <c r="F756" s="104" t="s">
        <v>357</v>
      </c>
    </row>
    <row r="757" spans="1:6" ht="13.2" thickBot="1" x14ac:dyDescent="0.6">
      <c r="A757" s="105">
        <v>745</v>
      </c>
      <c r="B757" s="220" t="s">
        <v>910</v>
      </c>
      <c r="C757" s="226" t="s">
        <v>2622</v>
      </c>
      <c r="D757" s="226" t="s">
        <v>1304</v>
      </c>
      <c r="E757" s="232" t="s">
        <v>2428</v>
      </c>
      <c r="F757" s="104" t="s">
        <v>357</v>
      </c>
    </row>
    <row r="758" spans="1:6" ht="13.2" thickBot="1" x14ac:dyDescent="0.6">
      <c r="A758" s="105">
        <v>746</v>
      </c>
      <c r="B758" s="214">
        <v>7</v>
      </c>
      <c r="C758" s="226" t="s">
        <v>267</v>
      </c>
      <c r="D758" s="226" t="s">
        <v>267</v>
      </c>
      <c r="E758" s="232" t="s">
        <v>453</v>
      </c>
      <c r="F758" s="104" t="s">
        <v>267</v>
      </c>
    </row>
    <row r="759" spans="1:6" ht="26.1" thickBot="1" x14ac:dyDescent="0.6">
      <c r="A759" s="105">
        <v>747</v>
      </c>
      <c r="B759" s="215" t="s">
        <v>911</v>
      </c>
      <c r="C759" s="227" t="s">
        <v>2623</v>
      </c>
      <c r="D759" s="227" t="s">
        <v>470</v>
      </c>
      <c r="E759" s="232" t="e">
        <v>#N/A</v>
      </c>
      <c r="F759" s="104" t="s">
        <v>2433</v>
      </c>
    </row>
    <row r="760" spans="1:6" ht="39" thickBot="1" x14ac:dyDescent="0.6">
      <c r="A760" s="105">
        <v>748</v>
      </c>
      <c r="B760" s="214" t="s">
        <v>911</v>
      </c>
      <c r="C760" s="226" t="s">
        <v>2584</v>
      </c>
      <c r="D760" s="226" t="s">
        <v>455</v>
      </c>
      <c r="E760" s="232" t="s">
        <v>2428</v>
      </c>
      <c r="F760" s="104" t="s">
        <v>332</v>
      </c>
    </row>
    <row r="761" spans="1:6" ht="39" thickBot="1" x14ac:dyDescent="0.6">
      <c r="A761" s="105">
        <v>749</v>
      </c>
      <c r="B761" s="213" t="s">
        <v>911</v>
      </c>
      <c r="C761" s="226" t="s">
        <v>2584</v>
      </c>
      <c r="D761" s="226" t="s">
        <v>455</v>
      </c>
      <c r="E761" s="232" t="s">
        <v>2428</v>
      </c>
      <c r="F761" s="104" t="s">
        <v>357</v>
      </c>
    </row>
    <row r="762" spans="1:6" ht="39" thickBot="1" x14ac:dyDescent="0.6">
      <c r="A762" s="105">
        <v>750</v>
      </c>
      <c r="B762" s="214" t="s">
        <v>911</v>
      </c>
      <c r="C762" s="226" t="s">
        <v>2584</v>
      </c>
      <c r="D762" s="226" t="s">
        <v>455</v>
      </c>
      <c r="E762" s="232" t="s">
        <v>2428</v>
      </c>
      <c r="F762" s="104" t="s">
        <v>332</v>
      </c>
    </row>
    <row r="763" spans="1:6" ht="39" thickBot="1" x14ac:dyDescent="0.6">
      <c r="A763" s="105">
        <v>751</v>
      </c>
      <c r="B763" s="213" t="s">
        <v>911</v>
      </c>
      <c r="C763" s="226" t="s">
        <v>2584</v>
      </c>
      <c r="D763" s="226" t="s">
        <v>455</v>
      </c>
      <c r="E763" s="232" t="s">
        <v>2428</v>
      </c>
      <c r="F763" s="104" t="s">
        <v>357</v>
      </c>
    </row>
    <row r="764" spans="1:6" ht="39" thickBot="1" x14ac:dyDescent="0.6">
      <c r="A764" s="105">
        <v>752</v>
      </c>
      <c r="B764" s="214" t="s">
        <v>911</v>
      </c>
      <c r="C764" s="226" t="s">
        <v>2598</v>
      </c>
      <c r="D764" s="226" t="s">
        <v>457</v>
      </c>
      <c r="E764" s="232" t="s">
        <v>2428</v>
      </c>
      <c r="F764" s="104" t="s">
        <v>357</v>
      </c>
    </row>
    <row r="765" spans="1:6" ht="39" thickBot="1" x14ac:dyDescent="0.6">
      <c r="A765" s="105">
        <v>753</v>
      </c>
      <c r="B765" s="214" t="s">
        <v>911</v>
      </c>
      <c r="C765" s="226" t="s">
        <v>2598</v>
      </c>
      <c r="D765" s="226" t="s">
        <v>457</v>
      </c>
      <c r="E765" s="232" t="s">
        <v>2428</v>
      </c>
      <c r="F765" s="104" t="s">
        <v>357</v>
      </c>
    </row>
    <row r="766" spans="1:6" ht="39" thickBot="1" x14ac:dyDescent="0.6">
      <c r="A766" s="105">
        <v>754</v>
      </c>
      <c r="B766" s="214" t="s">
        <v>911</v>
      </c>
      <c r="C766" s="226" t="s">
        <v>2598</v>
      </c>
      <c r="D766" s="226" t="s">
        <v>457</v>
      </c>
      <c r="E766" s="232" t="s">
        <v>2428</v>
      </c>
      <c r="F766" s="104" t="s">
        <v>357</v>
      </c>
    </row>
    <row r="767" spans="1:6" ht="39" thickBot="1" x14ac:dyDescent="0.6">
      <c r="A767" s="103">
        <v>755</v>
      </c>
      <c r="B767" s="214" t="s">
        <v>911</v>
      </c>
      <c r="C767" s="226" t="s">
        <v>2598</v>
      </c>
      <c r="D767" s="226" t="s">
        <v>457</v>
      </c>
      <c r="E767" s="232" t="s">
        <v>2428</v>
      </c>
      <c r="F767" s="104" t="s">
        <v>357</v>
      </c>
    </row>
    <row r="768" spans="1:6" ht="13.2" thickBot="1" x14ac:dyDescent="0.6">
      <c r="A768" s="105">
        <v>756</v>
      </c>
      <c r="B768" s="214" t="s">
        <v>911</v>
      </c>
      <c r="C768" s="225" t="s">
        <v>461</v>
      </c>
      <c r="D768" s="225" t="s">
        <v>461</v>
      </c>
      <c r="E768" s="232" t="s">
        <v>2428</v>
      </c>
      <c r="F768" s="104" t="s">
        <v>332</v>
      </c>
    </row>
    <row r="769" spans="1:6" ht="13.2" thickBot="1" x14ac:dyDescent="0.6">
      <c r="A769" s="105">
        <v>757</v>
      </c>
      <c r="B769" s="213" t="s">
        <v>911</v>
      </c>
      <c r="C769" s="225" t="s">
        <v>461</v>
      </c>
      <c r="D769" s="225" t="s">
        <v>461</v>
      </c>
      <c r="E769" s="232" t="s">
        <v>2428</v>
      </c>
      <c r="F769" s="104" t="s">
        <v>357</v>
      </c>
    </row>
    <row r="770" spans="1:6" ht="51.9" thickBot="1" x14ac:dyDescent="0.6">
      <c r="A770" s="105">
        <v>758</v>
      </c>
      <c r="B770" s="214" t="s">
        <v>911</v>
      </c>
      <c r="C770" s="225" t="s">
        <v>2584</v>
      </c>
      <c r="D770" s="225" t="s">
        <v>456</v>
      </c>
      <c r="E770" s="232" t="s">
        <v>2428</v>
      </c>
      <c r="F770" s="104" t="s">
        <v>332</v>
      </c>
    </row>
    <row r="771" spans="1:6" ht="51.9" thickBot="1" x14ac:dyDescent="0.6">
      <c r="A771" s="105">
        <v>759</v>
      </c>
      <c r="B771" s="213" t="s">
        <v>911</v>
      </c>
      <c r="C771" s="225" t="s">
        <v>2584</v>
      </c>
      <c r="D771" s="225" t="s">
        <v>456</v>
      </c>
      <c r="E771" s="232" t="s">
        <v>2428</v>
      </c>
      <c r="F771" s="104" t="s">
        <v>357</v>
      </c>
    </row>
    <row r="772" spans="1:6" ht="239.5" customHeight="1" thickBot="1" x14ac:dyDescent="0.6">
      <c r="A772" s="105">
        <v>760</v>
      </c>
      <c r="B772" s="214" t="s">
        <v>911</v>
      </c>
      <c r="C772" s="225" t="s">
        <v>2584</v>
      </c>
      <c r="D772" s="225" t="s">
        <v>456</v>
      </c>
      <c r="E772" s="232" t="s">
        <v>2428</v>
      </c>
      <c r="F772" s="104" t="s">
        <v>357</v>
      </c>
    </row>
    <row r="773" spans="1:6" ht="51.9" thickBot="1" x14ac:dyDescent="0.6">
      <c r="A773" s="105">
        <v>761</v>
      </c>
      <c r="B773" s="213" t="s">
        <v>911</v>
      </c>
      <c r="C773" s="225" t="s">
        <v>2584</v>
      </c>
      <c r="D773" s="225" t="s">
        <v>456</v>
      </c>
      <c r="E773" s="232" t="s">
        <v>2428</v>
      </c>
      <c r="F773" s="104" t="s">
        <v>357</v>
      </c>
    </row>
    <row r="774" spans="1:6" ht="39" thickBot="1" x14ac:dyDescent="0.6">
      <c r="A774" s="105">
        <v>762</v>
      </c>
      <c r="B774" s="213" t="s">
        <v>911</v>
      </c>
      <c r="C774" s="225" t="s">
        <v>2620</v>
      </c>
      <c r="D774" s="225" t="s">
        <v>464</v>
      </c>
      <c r="E774" s="232" t="s">
        <v>2428</v>
      </c>
      <c r="F774" s="104" t="s">
        <v>357</v>
      </c>
    </row>
    <row r="775" spans="1:6" ht="13.2" thickBot="1" x14ac:dyDescent="0.6">
      <c r="A775" s="105">
        <v>763</v>
      </c>
      <c r="B775" s="213" t="s">
        <v>911</v>
      </c>
      <c r="C775" s="225" t="s">
        <v>2611</v>
      </c>
      <c r="D775" s="225" t="s">
        <v>460</v>
      </c>
      <c r="E775" s="232" t="s">
        <v>2428</v>
      </c>
      <c r="F775" s="104" t="s">
        <v>357</v>
      </c>
    </row>
    <row r="776" spans="1:6" ht="13.2" thickBot="1" x14ac:dyDescent="0.6">
      <c r="A776" s="105">
        <v>764</v>
      </c>
      <c r="B776" s="213" t="s">
        <v>911</v>
      </c>
      <c r="C776" s="225" t="s">
        <v>250</v>
      </c>
      <c r="D776" s="225" t="s">
        <v>250</v>
      </c>
      <c r="E776" s="232" t="s">
        <v>2428</v>
      </c>
      <c r="F776" s="104" t="s">
        <v>357</v>
      </c>
    </row>
    <row r="777" spans="1:6" ht="13.2" thickBot="1" x14ac:dyDescent="0.6">
      <c r="A777" s="105">
        <v>765</v>
      </c>
      <c r="B777" s="214" t="s">
        <v>911</v>
      </c>
      <c r="C777" s="225" t="s">
        <v>462</v>
      </c>
      <c r="D777" s="225" t="s">
        <v>462</v>
      </c>
      <c r="E777" s="232" t="s">
        <v>2428</v>
      </c>
      <c r="F777" s="104" t="s">
        <v>357</v>
      </c>
    </row>
    <row r="778" spans="1:6" ht="13.2" thickBot="1" x14ac:dyDescent="0.6">
      <c r="A778" s="105">
        <v>766</v>
      </c>
      <c r="B778" s="213" t="s">
        <v>911</v>
      </c>
      <c r="C778" s="225" t="s">
        <v>462</v>
      </c>
      <c r="D778" s="225" t="s">
        <v>462</v>
      </c>
      <c r="E778" s="232" t="s">
        <v>2428</v>
      </c>
      <c r="F778" s="104" t="s">
        <v>357</v>
      </c>
    </row>
    <row r="779" spans="1:6" ht="13.2" thickBot="1" x14ac:dyDescent="0.6">
      <c r="A779" s="105">
        <v>767</v>
      </c>
      <c r="B779" s="213" t="s">
        <v>911</v>
      </c>
      <c r="C779" s="225" t="s">
        <v>458</v>
      </c>
      <c r="D779" s="225" t="s">
        <v>458</v>
      </c>
      <c r="E779" s="232" t="s">
        <v>2428</v>
      </c>
      <c r="F779" s="104" t="s">
        <v>357</v>
      </c>
    </row>
    <row r="780" spans="1:6" ht="13.2" thickBot="1" x14ac:dyDescent="0.6">
      <c r="A780" s="105">
        <v>768</v>
      </c>
      <c r="B780" s="214" t="s">
        <v>911</v>
      </c>
      <c r="C780" s="225" t="s">
        <v>458</v>
      </c>
      <c r="D780" s="225" t="s">
        <v>458</v>
      </c>
      <c r="E780" s="232" t="s">
        <v>2428</v>
      </c>
      <c r="F780" s="104" t="s">
        <v>357</v>
      </c>
    </row>
    <row r="781" spans="1:6" ht="13.2" thickBot="1" x14ac:dyDescent="0.6">
      <c r="A781" s="105">
        <v>769</v>
      </c>
      <c r="B781" s="214" t="s">
        <v>911</v>
      </c>
      <c r="C781" s="225" t="s">
        <v>465</v>
      </c>
      <c r="D781" s="225" t="s">
        <v>465</v>
      </c>
      <c r="E781" s="232" t="s">
        <v>2428</v>
      </c>
      <c r="F781" s="104" t="s">
        <v>357</v>
      </c>
    </row>
    <row r="782" spans="1:6" ht="13.2" thickBot="1" x14ac:dyDescent="0.6">
      <c r="A782" s="105">
        <v>770</v>
      </c>
      <c r="B782" s="214" t="s">
        <v>911</v>
      </c>
      <c r="C782" s="225" t="s">
        <v>465</v>
      </c>
      <c r="D782" s="225" t="s">
        <v>465</v>
      </c>
      <c r="E782" s="232" t="s">
        <v>2428</v>
      </c>
      <c r="F782" s="104" t="s">
        <v>357</v>
      </c>
    </row>
    <row r="783" spans="1:6" ht="13.2" thickBot="1" x14ac:dyDescent="0.6">
      <c r="A783" s="105">
        <v>771</v>
      </c>
      <c r="B783" s="213" t="s">
        <v>911</v>
      </c>
      <c r="C783" s="225" t="s">
        <v>466</v>
      </c>
      <c r="D783" s="225" t="s">
        <v>466</v>
      </c>
      <c r="E783" s="232" t="s">
        <v>2428</v>
      </c>
      <c r="F783" s="104" t="s">
        <v>332</v>
      </c>
    </row>
    <row r="784" spans="1:6" ht="13.2" thickBot="1" x14ac:dyDescent="0.6">
      <c r="A784" s="105">
        <v>772</v>
      </c>
      <c r="B784" s="213" t="s">
        <v>911</v>
      </c>
      <c r="C784" s="225" t="s">
        <v>454</v>
      </c>
      <c r="D784" s="225" t="s">
        <v>454</v>
      </c>
      <c r="E784" s="232" t="s">
        <v>2428</v>
      </c>
      <c r="F784" s="104" t="s">
        <v>357</v>
      </c>
    </row>
    <row r="785" spans="1:6" ht="13.2" thickBot="1" x14ac:dyDescent="0.6">
      <c r="A785" s="105">
        <v>773</v>
      </c>
      <c r="B785" s="214" t="s">
        <v>911</v>
      </c>
      <c r="C785" s="225" t="s">
        <v>454</v>
      </c>
      <c r="D785" s="225" t="s">
        <v>454</v>
      </c>
      <c r="E785" s="232" t="s">
        <v>2428</v>
      </c>
      <c r="F785" s="104" t="s">
        <v>332</v>
      </c>
    </row>
    <row r="786" spans="1:6" ht="13.2" thickBot="1" x14ac:dyDescent="0.6">
      <c r="A786" s="105">
        <v>774</v>
      </c>
      <c r="B786" s="213" t="s">
        <v>911</v>
      </c>
      <c r="C786" s="225" t="s">
        <v>2624</v>
      </c>
      <c r="D786" s="225" t="s">
        <v>467</v>
      </c>
      <c r="E786" s="232" t="s">
        <v>2428</v>
      </c>
      <c r="F786" s="104" t="s">
        <v>357</v>
      </c>
    </row>
    <row r="787" spans="1:6" ht="13.2" thickBot="1" x14ac:dyDescent="0.6">
      <c r="A787" s="105">
        <v>775</v>
      </c>
      <c r="B787" s="214" t="s">
        <v>911</v>
      </c>
      <c r="C787" s="225" t="s">
        <v>2624</v>
      </c>
      <c r="D787" s="225" t="s">
        <v>467</v>
      </c>
      <c r="E787" s="232" t="s">
        <v>2428</v>
      </c>
      <c r="F787" s="104" t="s">
        <v>332</v>
      </c>
    </row>
    <row r="788" spans="1:6" ht="13.2" thickBot="1" x14ac:dyDescent="0.6">
      <c r="A788" s="105">
        <v>776</v>
      </c>
      <c r="B788" s="213" t="s">
        <v>911</v>
      </c>
      <c r="C788" s="225" t="s">
        <v>468</v>
      </c>
      <c r="D788" s="225" t="s">
        <v>468</v>
      </c>
      <c r="E788" s="232" t="s">
        <v>2428</v>
      </c>
      <c r="F788" s="104" t="s">
        <v>357</v>
      </c>
    </row>
    <row r="789" spans="1:6" ht="13.2" thickBot="1" x14ac:dyDescent="0.6">
      <c r="A789" s="105">
        <v>777</v>
      </c>
      <c r="B789" s="216" t="s">
        <v>471</v>
      </c>
      <c r="C789" s="224" t="s">
        <v>472</v>
      </c>
      <c r="D789" s="224" t="s">
        <v>472</v>
      </c>
      <c r="E789" s="232" t="e">
        <v>#N/A</v>
      </c>
      <c r="F789" s="104" t="s">
        <v>2433</v>
      </c>
    </row>
    <row r="790" spans="1:6" ht="13.2" thickBot="1" x14ac:dyDescent="0.6">
      <c r="A790" s="105">
        <v>778</v>
      </c>
      <c r="B790" s="220" t="s">
        <v>471</v>
      </c>
      <c r="C790" s="225" t="s">
        <v>1305</v>
      </c>
      <c r="D790" s="225" t="s">
        <v>1305</v>
      </c>
      <c r="E790" s="232" t="s">
        <v>2428</v>
      </c>
      <c r="F790" s="104" t="s">
        <v>332</v>
      </c>
    </row>
    <row r="791" spans="1:6" ht="13.2" thickBot="1" x14ac:dyDescent="0.6">
      <c r="A791" s="105">
        <v>779</v>
      </c>
      <c r="B791" s="220" t="s">
        <v>471</v>
      </c>
      <c r="C791" s="225" t="s">
        <v>1306</v>
      </c>
      <c r="D791" s="225" t="s">
        <v>1306</v>
      </c>
      <c r="E791" s="232" t="s">
        <v>2428</v>
      </c>
      <c r="F791" s="104" t="s">
        <v>332</v>
      </c>
    </row>
    <row r="792" spans="1:6" ht="13.2" thickBot="1" x14ac:dyDescent="0.6">
      <c r="A792" s="105">
        <v>780</v>
      </c>
      <c r="B792" s="220" t="s">
        <v>471</v>
      </c>
      <c r="C792" s="225" t="s">
        <v>1307</v>
      </c>
      <c r="D792" s="225" t="s">
        <v>1307</v>
      </c>
      <c r="E792" s="232" t="s">
        <v>2428</v>
      </c>
      <c r="F792" s="104" t="s">
        <v>332</v>
      </c>
    </row>
    <row r="793" spans="1:6" ht="26.1" thickBot="1" x14ac:dyDescent="0.6">
      <c r="A793" s="105">
        <v>781</v>
      </c>
      <c r="B793" s="220" t="s">
        <v>471</v>
      </c>
      <c r="C793" s="225" t="s">
        <v>1308</v>
      </c>
      <c r="D793" s="225" t="s">
        <v>1308</v>
      </c>
      <c r="E793" s="232" t="s">
        <v>2428</v>
      </c>
      <c r="F793" s="104" t="s">
        <v>332</v>
      </c>
    </row>
    <row r="794" spans="1:6" ht="13.2" thickBot="1" x14ac:dyDescent="0.6">
      <c r="A794" s="105">
        <v>782</v>
      </c>
      <c r="B794" s="214" t="s">
        <v>471</v>
      </c>
      <c r="C794" s="225" t="s">
        <v>1309</v>
      </c>
      <c r="D794" s="225" t="s">
        <v>1309</v>
      </c>
      <c r="E794" s="232" t="s">
        <v>2428</v>
      </c>
      <c r="F794" s="104" t="s">
        <v>332</v>
      </c>
    </row>
    <row r="795" spans="1:6" ht="13.2" thickBot="1" x14ac:dyDescent="0.6">
      <c r="A795" s="106">
        <v>783</v>
      </c>
      <c r="B795" s="220" t="s">
        <v>471</v>
      </c>
      <c r="C795" s="225" t="s">
        <v>1310</v>
      </c>
      <c r="D795" s="225" t="s">
        <v>1310</v>
      </c>
      <c r="E795" s="232" t="s">
        <v>2428</v>
      </c>
      <c r="F795" s="104" t="s">
        <v>332</v>
      </c>
    </row>
    <row r="796" spans="1:6" ht="13.2" thickBot="1" x14ac:dyDescent="0.6">
      <c r="A796" s="105">
        <v>784</v>
      </c>
      <c r="B796" s="220" t="s">
        <v>471</v>
      </c>
      <c r="C796" s="225" t="s">
        <v>1311</v>
      </c>
      <c r="D796" s="225" t="s">
        <v>1311</v>
      </c>
      <c r="E796" s="232" t="s">
        <v>2428</v>
      </c>
      <c r="F796" s="104" t="s">
        <v>332</v>
      </c>
    </row>
    <row r="797" spans="1:6" ht="39" thickBot="1" x14ac:dyDescent="0.6">
      <c r="A797" s="105">
        <v>785</v>
      </c>
      <c r="B797" s="213" t="s">
        <v>471</v>
      </c>
      <c r="C797" s="225" t="s">
        <v>2625</v>
      </c>
      <c r="D797" s="225" t="s">
        <v>1312</v>
      </c>
      <c r="E797" s="232" t="s">
        <v>2428</v>
      </c>
      <c r="F797" s="104" t="s">
        <v>332</v>
      </c>
    </row>
    <row r="798" spans="1:6" ht="13.2" thickBot="1" x14ac:dyDescent="0.6">
      <c r="A798" s="105">
        <v>786</v>
      </c>
      <c r="B798" s="220" t="s">
        <v>471</v>
      </c>
      <c r="C798" s="225" t="s">
        <v>2626</v>
      </c>
      <c r="D798" s="225" t="s">
        <v>1313</v>
      </c>
      <c r="E798" s="232" t="s">
        <v>2428</v>
      </c>
      <c r="F798" s="104" t="s">
        <v>332</v>
      </c>
    </row>
    <row r="799" spans="1:6" ht="13.2" thickBot="1" x14ac:dyDescent="0.6">
      <c r="A799" s="105">
        <v>787</v>
      </c>
      <c r="B799" s="220" t="s">
        <v>471</v>
      </c>
      <c r="C799" s="225" t="s">
        <v>1314</v>
      </c>
      <c r="D799" s="225" t="s">
        <v>1314</v>
      </c>
      <c r="E799" s="232" t="s">
        <v>2428</v>
      </c>
      <c r="F799" s="104" t="s">
        <v>332</v>
      </c>
    </row>
    <row r="800" spans="1:6" ht="13.2" thickBot="1" x14ac:dyDescent="0.6">
      <c r="A800" s="105">
        <v>788</v>
      </c>
      <c r="B800" s="221" t="s">
        <v>471</v>
      </c>
      <c r="C800" s="225" t="s">
        <v>2627</v>
      </c>
      <c r="D800" s="225" t="s">
        <v>1315</v>
      </c>
      <c r="E800" s="232" t="s">
        <v>2428</v>
      </c>
      <c r="F800" s="104" t="s">
        <v>332</v>
      </c>
    </row>
    <row r="801" spans="1:6" ht="13.2" thickBot="1" x14ac:dyDescent="0.6">
      <c r="A801" s="105">
        <v>789</v>
      </c>
      <c r="B801" s="220" t="s">
        <v>471</v>
      </c>
      <c r="C801" s="225" t="s">
        <v>1316</v>
      </c>
      <c r="D801" s="225" t="s">
        <v>1316</v>
      </c>
      <c r="E801" s="232" t="s">
        <v>2428</v>
      </c>
      <c r="F801" s="104" t="s">
        <v>332</v>
      </c>
    </row>
    <row r="802" spans="1:6" ht="13.2" thickBot="1" x14ac:dyDescent="0.6">
      <c r="A802" s="105">
        <v>790</v>
      </c>
      <c r="B802" s="213" t="s">
        <v>471</v>
      </c>
      <c r="C802" s="225" t="s">
        <v>1317</v>
      </c>
      <c r="D802" s="225" t="s">
        <v>1317</v>
      </c>
      <c r="E802" s="232" t="s">
        <v>2428</v>
      </c>
      <c r="F802" s="104" t="s">
        <v>332</v>
      </c>
    </row>
    <row r="803" spans="1:6" ht="26.1" thickBot="1" x14ac:dyDescent="0.6">
      <c r="A803" s="105">
        <v>791</v>
      </c>
      <c r="B803" s="214" t="s">
        <v>471</v>
      </c>
      <c r="C803" s="226" t="s">
        <v>1318</v>
      </c>
      <c r="D803" s="226" t="s">
        <v>1318</v>
      </c>
      <c r="E803" s="232" t="s">
        <v>2428</v>
      </c>
      <c r="F803" s="104" t="s">
        <v>332</v>
      </c>
    </row>
    <row r="804" spans="1:6" ht="51.9" thickBot="1" x14ac:dyDescent="0.6">
      <c r="A804" s="105">
        <v>792</v>
      </c>
      <c r="B804" s="214" t="s">
        <v>471</v>
      </c>
      <c r="C804" s="226" t="s">
        <v>1319</v>
      </c>
      <c r="D804" s="226" t="s">
        <v>1319</v>
      </c>
      <c r="E804" s="232" t="s">
        <v>2428</v>
      </c>
      <c r="F804" s="104" t="s">
        <v>332</v>
      </c>
    </row>
    <row r="805" spans="1:6" ht="13.2" thickBot="1" x14ac:dyDescent="0.6">
      <c r="A805" s="105">
        <v>793</v>
      </c>
      <c r="B805" s="220" t="s">
        <v>471</v>
      </c>
      <c r="C805" s="225" t="s">
        <v>1320</v>
      </c>
      <c r="D805" s="225" t="s">
        <v>1320</v>
      </c>
      <c r="E805" s="232" t="s">
        <v>2428</v>
      </c>
      <c r="F805" s="104" t="s">
        <v>332</v>
      </c>
    </row>
    <row r="806" spans="1:6" ht="13.2" thickBot="1" x14ac:dyDescent="0.6">
      <c r="A806" s="105">
        <v>794</v>
      </c>
      <c r="B806" s="220" t="s">
        <v>471</v>
      </c>
      <c r="C806" s="225" t="s">
        <v>1321</v>
      </c>
      <c r="D806" s="225" t="s">
        <v>1321</v>
      </c>
      <c r="E806" s="232" t="s">
        <v>2428</v>
      </c>
      <c r="F806" s="104" t="s">
        <v>332</v>
      </c>
    </row>
    <row r="807" spans="1:6" ht="13.2" thickBot="1" x14ac:dyDescent="0.6">
      <c r="A807" s="105">
        <v>795</v>
      </c>
      <c r="B807" s="220" t="s">
        <v>471</v>
      </c>
      <c r="C807" s="225" t="s">
        <v>1322</v>
      </c>
      <c r="D807" s="225" t="s">
        <v>1322</v>
      </c>
      <c r="E807" s="232" t="s">
        <v>2428</v>
      </c>
      <c r="F807" s="104" t="s">
        <v>332</v>
      </c>
    </row>
    <row r="808" spans="1:6" ht="13.2" thickBot="1" x14ac:dyDescent="0.6">
      <c r="A808" s="105">
        <v>796</v>
      </c>
      <c r="B808" s="213" t="s">
        <v>471</v>
      </c>
      <c r="C808" s="225" t="s">
        <v>1323</v>
      </c>
      <c r="D808" s="225" t="s">
        <v>1323</v>
      </c>
      <c r="E808" s="232" t="s">
        <v>2428</v>
      </c>
      <c r="F808" s="104" t="s">
        <v>332</v>
      </c>
    </row>
    <row r="809" spans="1:6" ht="13.2" thickBot="1" x14ac:dyDescent="0.6">
      <c r="A809" s="105">
        <v>797</v>
      </c>
      <c r="B809" s="214" t="s">
        <v>471</v>
      </c>
      <c r="C809" s="226" t="s">
        <v>474</v>
      </c>
      <c r="D809" s="226" t="s">
        <v>474</v>
      </c>
      <c r="E809" s="232" t="s">
        <v>2428</v>
      </c>
      <c r="F809" s="104" t="s">
        <v>332</v>
      </c>
    </row>
    <row r="810" spans="1:6" ht="13.2" thickBot="1" x14ac:dyDescent="0.6">
      <c r="A810" s="105">
        <v>798</v>
      </c>
      <c r="B810" s="220" t="s">
        <v>471</v>
      </c>
      <c r="C810" s="225" t="s">
        <v>1324</v>
      </c>
      <c r="D810" s="225" t="s">
        <v>1324</v>
      </c>
      <c r="E810" s="232" t="s">
        <v>2428</v>
      </c>
      <c r="F810" s="104" t="s">
        <v>332</v>
      </c>
    </row>
    <row r="811" spans="1:6" ht="13.2" thickBot="1" x14ac:dyDescent="0.6">
      <c r="A811" s="105">
        <v>799</v>
      </c>
      <c r="B811" s="215" t="s">
        <v>912</v>
      </c>
      <c r="C811" s="227" t="s">
        <v>473</v>
      </c>
      <c r="D811" s="227" t="s">
        <v>473</v>
      </c>
      <c r="E811" s="232" t="e">
        <v>#N/A</v>
      </c>
      <c r="F811" s="104" t="s">
        <v>2433</v>
      </c>
    </row>
    <row r="812" spans="1:6" ht="13.2" thickBot="1" x14ac:dyDescent="0.6">
      <c r="A812" s="105">
        <v>800</v>
      </c>
      <c r="B812" s="213" t="s">
        <v>912</v>
      </c>
      <c r="C812" s="225" t="s">
        <v>1325</v>
      </c>
      <c r="D812" s="225" t="s">
        <v>1325</v>
      </c>
      <c r="E812" s="232" t="s">
        <v>2428</v>
      </c>
      <c r="F812" s="104" t="s">
        <v>332</v>
      </c>
    </row>
    <row r="813" spans="1:6" ht="13.2" thickBot="1" x14ac:dyDescent="0.6">
      <c r="A813" s="105">
        <v>801</v>
      </c>
      <c r="B813" s="213" t="s">
        <v>912</v>
      </c>
      <c r="C813" s="225" t="s">
        <v>475</v>
      </c>
      <c r="D813" s="225" t="s">
        <v>475</v>
      </c>
      <c r="E813" s="232" t="s">
        <v>2428</v>
      </c>
      <c r="F813" s="104" t="s">
        <v>332</v>
      </c>
    </row>
    <row r="814" spans="1:6" ht="13.2" thickBot="1" x14ac:dyDescent="0.6">
      <c r="A814" s="105">
        <v>802</v>
      </c>
      <c r="B814" s="213" t="s">
        <v>912</v>
      </c>
      <c r="C814" s="225" t="s">
        <v>1326</v>
      </c>
      <c r="D814" s="225" t="s">
        <v>1326</v>
      </c>
      <c r="E814" s="232" t="s">
        <v>2428</v>
      </c>
      <c r="F814" s="104" t="s">
        <v>332</v>
      </c>
    </row>
    <row r="815" spans="1:6" ht="13.2" thickBot="1" x14ac:dyDescent="0.6">
      <c r="A815" s="105">
        <v>803</v>
      </c>
      <c r="B815" s="213" t="s">
        <v>912</v>
      </c>
      <c r="C815" s="225" t="s">
        <v>476</v>
      </c>
      <c r="D815" s="225" t="s">
        <v>476</v>
      </c>
      <c r="E815" s="232" t="s">
        <v>2428</v>
      </c>
      <c r="F815" s="104" t="s">
        <v>332</v>
      </c>
    </row>
    <row r="816" spans="1:6" ht="13.2" thickBot="1" x14ac:dyDescent="0.6">
      <c r="A816" s="105">
        <v>804</v>
      </c>
      <c r="B816" s="213" t="s">
        <v>912</v>
      </c>
      <c r="C816" s="225" t="s">
        <v>477</v>
      </c>
      <c r="D816" s="225" t="s">
        <v>477</v>
      </c>
      <c r="E816" s="232" t="s">
        <v>2428</v>
      </c>
      <c r="F816" s="104" t="s">
        <v>332</v>
      </c>
    </row>
    <row r="817" spans="1:6" ht="13.2" thickBot="1" x14ac:dyDescent="0.6">
      <c r="A817" s="105">
        <v>805</v>
      </c>
      <c r="B817" s="213" t="s">
        <v>912</v>
      </c>
      <c r="C817" s="225" t="s">
        <v>478</v>
      </c>
      <c r="D817" s="225" t="s">
        <v>478</v>
      </c>
      <c r="E817" s="232" t="s">
        <v>2428</v>
      </c>
      <c r="F817" s="104" t="s">
        <v>332</v>
      </c>
    </row>
    <row r="818" spans="1:6" ht="13.2" thickBot="1" x14ac:dyDescent="0.6">
      <c r="A818" s="105">
        <v>806</v>
      </c>
      <c r="B818" s="213" t="s">
        <v>912</v>
      </c>
      <c r="C818" s="225" t="s">
        <v>479</v>
      </c>
      <c r="D818" s="225" t="s">
        <v>479</v>
      </c>
      <c r="E818" s="232" t="s">
        <v>2428</v>
      </c>
      <c r="F818" s="104" t="s">
        <v>332</v>
      </c>
    </row>
    <row r="819" spans="1:6" ht="13.2" thickBot="1" x14ac:dyDescent="0.6">
      <c r="A819" s="105">
        <v>807</v>
      </c>
      <c r="B819" s="213" t="s">
        <v>912</v>
      </c>
      <c r="C819" s="225" t="s">
        <v>480</v>
      </c>
      <c r="D819" s="225" t="s">
        <v>480</v>
      </c>
      <c r="E819" s="232" t="s">
        <v>2428</v>
      </c>
      <c r="F819" s="104" t="s">
        <v>332</v>
      </c>
    </row>
    <row r="820" spans="1:6" ht="13.2" thickBot="1" x14ac:dyDescent="0.6">
      <c r="A820" s="105">
        <v>808</v>
      </c>
      <c r="B820" s="213" t="s">
        <v>912</v>
      </c>
      <c r="C820" s="225" t="s">
        <v>481</v>
      </c>
      <c r="D820" s="225" t="s">
        <v>481</v>
      </c>
      <c r="E820" s="232" t="s">
        <v>2428</v>
      </c>
      <c r="F820" s="104" t="s">
        <v>332</v>
      </c>
    </row>
    <row r="821" spans="1:6" ht="13.2" thickBot="1" x14ac:dyDescent="0.6">
      <c r="A821" s="103">
        <v>809</v>
      </c>
      <c r="B821" s="214" t="s">
        <v>912</v>
      </c>
      <c r="C821" s="226" t="s">
        <v>474</v>
      </c>
      <c r="D821" s="226" t="s">
        <v>474</v>
      </c>
      <c r="E821" s="232" t="s">
        <v>2428</v>
      </c>
      <c r="F821" s="104" t="s">
        <v>332</v>
      </c>
    </row>
    <row r="822" spans="1:6" ht="13.2" thickBot="1" x14ac:dyDescent="0.6">
      <c r="A822" s="105">
        <v>810</v>
      </c>
      <c r="B822" s="213" t="s">
        <v>912</v>
      </c>
      <c r="C822" s="225" t="s">
        <v>1327</v>
      </c>
      <c r="D822" s="225" t="s">
        <v>1327</v>
      </c>
      <c r="E822" s="232" t="s">
        <v>2428</v>
      </c>
      <c r="F822" s="104" t="s">
        <v>332</v>
      </c>
    </row>
    <row r="823" spans="1:6" ht="13.2" thickBot="1" x14ac:dyDescent="0.6">
      <c r="A823" s="106">
        <v>811</v>
      </c>
      <c r="B823" s="215" t="s">
        <v>913</v>
      </c>
      <c r="C823" s="227" t="s">
        <v>482</v>
      </c>
      <c r="D823" s="227" t="s">
        <v>482</v>
      </c>
      <c r="E823" s="232" t="e">
        <v>#N/A</v>
      </c>
      <c r="F823" s="104" t="s">
        <v>2433</v>
      </c>
    </row>
    <row r="824" spans="1:6" ht="13.2" thickBot="1" x14ac:dyDescent="0.6">
      <c r="A824" s="105">
        <v>812</v>
      </c>
      <c r="B824" s="213" t="s">
        <v>913</v>
      </c>
      <c r="C824" s="225" t="s">
        <v>1328</v>
      </c>
      <c r="D824" s="225" t="s">
        <v>1328</v>
      </c>
      <c r="E824" s="232" t="s">
        <v>2428</v>
      </c>
      <c r="F824" s="104" t="s">
        <v>332</v>
      </c>
    </row>
    <row r="825" spans="1:6" ht="13.2" thickBot="1" x14ac:dyDescent="0.6">
      <c r="A825" s="106">
        <v>813</v>
      </c>
      <c r="B825" s="214" t="s">
        <v>913</v>
      </c>
      <c r="C825" s="226" t="s">
        <v>483</v>
      </c>
      <c r="D825" s="226" t="s">
        <v>483</v>
      </c>
      <c r="E825" s="232" t="s">
        <v>2428</v>
      </c>
      <c r="F825" s="104" t="s">
        <v>332</v>
      </c>
    </row>
    <row r="826" spans="1:6" ht="13.2" thickBot="1" x14ac:dyDescent="0.6">
      <c r="A826" s="105">
        <v>814</v>
      </c>
      <c r="B826" s="213" t="s">
        <v>913</v>
      </c>
      <c r="C826" s="225" t="s">
        <v>486</v>
      </c>
      <c r="D826" s="225" t="s">
        <v>486</v>
      </c>
      <c r="E826" s="232" t="s">
        <v>2428</v>
      </c>
      <c r="F826" s="104" t="s">
        <v>332</v>
      </c>
    </row>
    <row r="827" spans="1:6" ht="13.2" thickBot="1" x14ac:dyDescent="0.6">
      <c r="A827" s="105">
        <v>815</v>
      </c>
      <c r="B827" s="213" t="s">
        <v>913</v>
      </c>
      <c r="C827" s="225" t="s">
        <v>487</v>
      </c>
      <c r="D827" s="225" t="s">
        <v>487</v>
      </c>
      <c r="E827" s="232" t="s">
        <v>2428</v>
      </c>
      <c r="F827" s="104" t="s">
        <v>332</v>
      </c>
    </row>
    <row r="828" spans="1:6" ht="13.2" thickBot="1" x14ac:dyDescent="0.6">
      <c r="A828" s="105">
        <v>816</v>
      </c>
      <c r="B828" s="214" t="s">
        <v>913</v>
      </c>
      <c r="C828" s="226" t="s">
        <v>485</v>
      </c>
      <c r="D828" s="226" t="s">
        <v>485</v>
      </c>
      <c r="E828" s="232" t="s">
        <v>2428</v>
      </c>
      <c r="F828" s="104" t="s">
        <v>332</v>
      </c>
    </row>
    <row r="829" spans="1:6" ht="13.2" thickBot="1" x14ac:dyDescent="0.6">
      <c r="A829" s="105">
        <v>817</v>
      </c>
      <c r="B829" s="213" t="s">
        <v>913</v>
      </c>
      <c r="C829" s="225" t="s">
        <v>488</v>
      </c>
      <c r="D829" s="225" t="s">
        <v>488</v>
      </c>
      <c r="E829" s="232" t="s">
        <v>2428</v>
      </c>
      <c r="F829" s="104" t="s">
        <v>332</v>
      </c>
    </row>
    <row r="830" spans="1:6" ht="13.2" thickBot="1" x14ac:dyDescent="0.6">
      <c r="A830" s="105">
        <v>818</v>
      </c>
      <c r="B830" s="213" t="s">
        <v>913</v>
      </c>
      <c r="C830" s="225" t="s">
        <v>1329</v>
      </c>
      <c r="D830" s="225" t="s">
        <v>1329</v>
      </c>
      <c r="E830" s="232" t="s">
        <v>2428</v>
      </c>
      <c r="F830" s="104" t="s">
        <v>332</v>
      </c>
    </row>
    <row r="831" spans="1:6" ht="13.2" thickBot="1" x14ac:dyDescent="0.6">
      <c r="A831" s="105">
        <v>819</v>
      </c>
      <c r="B831" s="213" t="s">
        <v>913</v>
      </c>
      <c r="C831" s="225" t="s">
        <v>489</v>
      </c>
      <c r="D831" s="225" t="s">
        <v>489</v>
      </c>
      <c r="E831" s="232" t="s">
        <v>2428</v>
      </c>
      <c r="F831" s="104" t="s">
        <v>332</v>
      </c>
    </row>
    <row r="832" spans="1:6" ht="13.2" thickBot="1" x14ac:dyDescent="0.6">
      <c r="A832" s="105">
        <v>820</v>
      </c>
      <c r="B832" s="213" t="s">
        <v>913</v>
      </c>
      <c r="C832" s="225" t="s">
        <v>490</v>
      </c>
      <c r="D832" s="225" t="s">
        <v>490</v>
      </c>
      <c r="E832" s="232" t="s">
        <v>2428</v>
      </c>
      <c r="F832" s="104" t="s">
        <v>332</v>
      </c>
    </row>
    <row r="833" spans="1:6" ht="13.2" thickBot="1" x14ac:dyDescent="0.6">
      <c r="A833" s="105">
        <v>821</v>
      </c>
      <c r="B833" s="213" t="s">
        <v>913</v>
      </c>
      <c r="C833" s="225" t="s">
        <v>1330</v>
      </c>
      <c r="D833" s="225" t="s">
        <v>1330</v>
      </c>
      <c r="E833" s="232" t="s">
        <v>2428</v>
      </c>
      <c r="F833" s="104" t="s">
        <v>332</v>
      </c>
    </row>
    <row r="834" spans="1:6" ht="13.2" thickBot="1" x14ac:dyDescent="0.6">
      <c r="A834" s="105">
        <v>822</v>
      </c>
      <c r="B834" s="215" t="s">
        <v>914</v>
      </c>
      <c r="C834" s="227" t="s">
        <v>484</v>
      </c>
      <c r="D834" s="227" t="s">
        <v>484</v>
      </c>
      <c r="E834" s="232" t="e">
        <v>#N/A</v>
      </c>
      <c r="F834" s="104" t="s">
        <v>2433</v>
      </c>
    </row>
    <row r="835" spans="1:6" ht="13.2" thickBot="1" x14ac:dyDescent="0.6">
      <c r="A835" s="105">
        <v>823</v>
      </c>
      <c r="B835" s="213" t="s">
        <v>914</v>
      </c>
      <c r="C835" s="225" t="s">
        <v>1328</v>
      </c>
      <c r="D835" s="225" t="s">
        <v>1328</v>
      </c>
      <c r="E835" s="232" t="s">
        <v>2428</v>
      </c>
      <c r="F835" s="104" t="s">
        <v>332</v>
      </c>
    </row>
    <row r="836" spans="1:6" ht="13.2" thickBot="1" x14ac:dyDescent="0.6">
      <c r="A836" s="105">
        <v>824</v>
      </c>
      <c r="B836" s="213" t="s">
        <v>914</v>
      </c>
      <c r="C836" s="226" t="s">
        <v>486</v>
      </c>
      <c r="D836" s="226" t="s">
        <v>486</v>
      </c>
      <c r="E836" s="232" t="s">
        <v>2428</v>
      </c>
      <c r="F836" s="104" t="s">
        <v>332</v>
      </c>
    </row>
    <row r="837" spans="1:6" ht="13.2" thickBot="1" x14ac:dyDescent="0.6">
      <c r="A837" s="105">
        <v>825</v>
      </c>
      <c r="B837" s="213" t="s">
        <v>914</v>
      </c>
      <c r="C837" s="225" t="s">
        <v>487</v>
      </c>
      <c r="D837" s="225" t="s">
        <v>487</v>
      </c>
      <c r="E837" s="232" t="s">
        <v>2428</v>
      </c>
      <c r="F837" s="104" t="s">
        <v>332</v>
      </c>
    </row>
    <row r="838" spans="1:6" ht="13.2" thickBot="1" x14ac:dyDescent="0.6">
      <c r="A838" s="105">
        <v>826</v>
      </c>
      <c r="B838" s="214" t="s">
        <v>914</v>
      </c>
      <c r="C838" s="226" t="s">
        <v>485</v>
      </c>
      <c r="D838" s="226" t="s">
        <v>485</v>
      </c>
      <c r="E838" s="232" t="s">
        <v>2428</v>
      </c>
      <c r="F838" s="104" t="s">
        <v>332</v>
      </c>
    </row>
    <row r="839" spans="1:6" ht="13.2" thickBot="1" x14ac:dyDescent="0.6">
      <c r="A839" s="105">
        <v>827</v>
      </c>
      <c r="B839" s="213" t="s">
        <v>914</v>
      </c>
      <c r="C839" s="225" t="s">
        <v>488</v>
      </c>
      <c r="D839" s="225" t="s">
        <v>488</v>
      </c>
      <c r="E839" s="232" t="s">
        <v>2428</v>
      </c>
      <c r="F839" s="104" t="s">
        <v>332</v>
      </c>
    </row>
    <row r="840" spans="1:6" ht="13.2" thickBot="1" x14ac:dyDescent="0.6">
      <c r="A840" s="105">
        <v>828</v>
      </c>
      <c r="B840" s="213" t="s">
        <v>914</v>
      </c>
      <c r="C840" s="225" t="s">
        <v>1329</v>
      </c>
      <c r="D840" s="225" t="s">
        <v>1329</v>
      </c>
      <c r="E840" s="232" t="s">
        <v>2428</v>
      </c>
      <c r="F840" s="104" t="s">
        <v>332</v>
      </c>
    </row>
    <row r="841" spans="1:6" ht="13.2" thickBot="1" x14ac:dyDescent="0.6">
      <c r="A841" s="105">
        <v>829</v>
      </c>
      <c r="B841" s="213" t="s">
        <v>914</v>
      </c>
      <c r="C841" s="225" t="s">
        <v>489</v>
      </c>
      <c r="D841" s="225" t="s">
        <v>489</v>
      </c>
      <c r="E841" s="232" t="s">
        <v>2428</v>
      </c>
      <c r="F841" s="104" t="s">
        <v>332</v>
      </c>
    </row>
    <row r="842" spans="1:6" ht="13.2" thickBot="1" x14ac:dyDescent="0.6">
      <c r="A842" s="103">
        <v>830</v>
      </c>
      <c r="B842" s="213" t="s">
        <v>914</v>
      </c>
      <c r="C842" s="225" t="s">
        <v>490</v>
      </c>
      <c r="D842" s="225" t="s">
        <v>490</v>
      </c>
      <c r="E842" s="232" t="s">
        <v>2428</v>
      </c>
      <c r="F842" s="104" t="s">
        <v>332</v>
      </c>
    </row>
    <row r="843" spans="1:6" ht="13.2" thickBot="1" x14ac:dyDescent="0.6">
      <c r="A843" s="105">
        <v>831</v>
      </c>
      <c r="B843" s="213" t="s">
        <v>914</v>
      </c>
      <c r="C843" s="225" t="s">
        <v>1330</v>
      </c>
      <c r="D843" s="225" t="s">
        <v>1330</v>
      </c>
      <c r="E843" s="232" t="s">
        <v>2428</v>
      </c>
      <c r="F843" s="104" t="s">
        <v>332</v>
      </c>
    </row>
    <row r="844" spans="1:6" ht="13.2" thickBot="1" x14ac:dyDescent="0.6">
      <c r="A844" s="105">
        <v>832</v>
      </c>
      <c r="B844" s="212">
        <v>8</v>
      </c>
      <c r="C844" s="224" t="s">
        <v>2628</v>
      </c>
      <c r="D844" s="224" t="s">
        <v>491</v>
      </c>
      <c r="E844" s="232" t="e">
        <v>#N/A</v>
      </c>
      <c r="F844" s="104" t="s">
        <v>2433</v>
      </c>
    </row>
    <row r="845" spans="1:6" ht="13.2" thickBot="1" x14ac:dyDescent="0.6">
      <c r="A845" s="105">
        <v>833</v>
      </c>
      <c r="B845" s="214">
        <v>8</v>
      </c>
      <c r="C845" s="225" t="s">
        <v>1309</v>
      </c>
      <c r="D845" s="225" t="s">
        <v>1309</v>
      </c>
      <c r="E845" s="232" t="s">
        <v>2428</v>
      </c>
      <c r="F845" s="104" t="s">
        <v>332</v>
      </c>
    </row>
    <row r="846" spans="1:6" ht="39" thickBot="1" x14ac:dyDescent="0.6">
      <c r="A846" s="105">
        <v>834</v>
      </c>
      <c r="B846" s="213">
        <v>8</v>
      </c>
      <c r="C846" s="225" t="s">
        <v>2625</v>
      </c>
      <c r="D846" s="225" t="s">
        <v>1312</v>
      </c>
      <c r="E846" s="232" t="s">
        <v>2428</v>
      </c>
      <c r="F846" s="104" t="s">
        <v>332</v>
      </c>
    </row>
    <row r="847" spans="1:6" ht="13.2" thickBot="1" x14ac:dyDescent="0.6">
      <c r="A847" s="105">
        <v>835</v>
      </c>
      <c r="B847" s="213">
        <v>8</v>
      </c>
      <c r="C847" s="225" t="s">
        <v>1317</v>
      </c>
      <c r="D847" s="225" t="s">
        <v>1317</v>
      </c>
      <c r="E847" s="232" t="s">
        <v>2428</v>
      </c>
      <c r="F847" s="104" t="s">
        <v>332</v>
      </c>
    </row>
    <row r="848" spans="1:6" ht="39" thickBot="1" x14ac:dyDescent="0.6">
      <c r="A848" s="105">
        <v>836</v>
      </c>
      <c r="B848" s="214">
        <v>8</v>
      </c>
      <c r="C848" s="226" t="s">
        <v>2629</v>
      </c>
      <c r="D848" s="226" t="s">
        <v>1331</v>
      </c>
      <c r="E848" s="232" t="s">
        <v>2428</v>
      </c>
      <c r="F848" s="104" t="s">
        <v>332</v>
      </c>
    </row>
    <row r="849" spans="1:6" ht="39" thickBot="1" x14ac:dyDescent="0.6">
      <c r="A849" s="105">
        <v>837</v>
      </c>
      <c r="B849" s="214">
        <v>8</v>
      </c>
      <c r="C849" s="226" t="s">
        <v>2629</v>
      </c>
      <c r="D849" s="226" t="s">
        <v>1331</v>
      </c>
      <c r="E849" s="232" t="s">
        <v>2428</v>
      </c>
      <c r="F849" s="104" t="s">
        <v>332</v>
      </c>
    </row>
    <row r="850" spans="1:6" ht="13.2" thickBot="1" x14ac:dyDescent="0.6">
      <c r="A850" s="105">
        <v>838</v>
      </c>
      <c r="B850" s="213">
        <v>8</v>
      </c>
      <c r="C850" s="225" t="s">
        <v>1323</v>
      </c>
      <c r="D850" s="225" t="s">
        <v>1323</v>
      </c>
      <c r="E850" s="232" t="s">
        <v>2428</v>
      </c>
      <c r="F850" s="104" t="s">
        <v>332</v>
      </c>
    </row>
    <row r="851" spans="1:6" ht="13.2" thickBot="1" x14ac:dyDescent="0.6">
      <c r="A851" s="105">
        <v>839</v>
      </c>
      <c r="B851" s="214">
        <v>8</v>
      </c>
      <c r="C851" s="226" t="s">
        <v>474</v>
      </c>
      <c r="D851" s="226" t="s">
        <v>474</v>
      </c>
      <c r="E851" s="232" t="s">
        <v>2428</v>
      </c>
      <c r="F851" s="104" t="s">
        <v>332</v>
      </c>
    </row>
    <row r="852" spans="1:6" ht="13.2" thickBot="1" x14ac:dyDescent="0.6">
      <c r="A852" s="105">
        <v>840</v>
      </c>
      <c r="B852" s="212">
        <v>9</v>
      </c>
      <c r="C852" s="224" t="s">
        <v>492</v>
      </c>
      <c r="D852" s="224" t="s">
        <v>492</v>
      </c>
      <c r="E852" s="232" t="e">
        <v>#N/A</v>
      </c>
      <c r="F852" s="104" t="s">
        <v>2433</v>
      </c>
    </row>
    <row r="853" spans="1:6" ht="13.2" thickBot="1" x14ac:dyDescent="0.6">
      <c r="A853" s="105">
        <v>841</v>
      </c>
      <c r="B853" s="220" t="s">
        <v>915</v>
      </c>
      <c r="C853" s="225" t="s">
        <v>501</v>
      </c>
      <c r="D853" s="225" t="s">
        <v>501</v>
      </c>
      <c r="E853" s="232" t="s">
        <v>2428</v>
      </c>
      <c r="F853" s="104" t="s">
        <v>332</v>
      </c>
    </row>
    <row r="854" spans="1:6" ht="13.2" thickBot="1" x14ac:dyDescent="0.6">
      <c r="A854" s="105">
        <v>842</v>
      </c>
      <c r="B854" s="220" t="s">
        <v>915</v>
      </c>
      <c r="C854" s="225" t="s">
        <v>503</v>
      </c>
      <c r="D854" s="225" t="s">
        <v>503</v>
      </c>
      <c r="E854" s="232" t="s">
        <v>2428</v>
      </c>
      <c r="F854" s="104" t="s">
        <v>332</v>
      </c>
    </row>
    <row r="855" spans="1:6" ht="13.2" thickBot="1" x14ac:dyDescent="0.6">
      <c r="A855" s="105">
        <v>843</v>
      </c>
      <c r="B855" s="220" t="s">
        <v>915</v>
      </c>
      <c r="C855" s="225" t="s">
        <v>494</v>
      </c>
      <c r="D855" s="225" t="s">
        <v>494</v>
      </c>
      <c r="E855" s="232" t="s">
        <v>2428</v>
      </c>
      <c r="F855" s="104" t="s">
        <v>332</v>
      </c>
    </row>
    <row r="856" spans="1:6" ht="13.2" thickBot="1" x14ac:dyDescent="0.6">
      <c r="A856" s="105">
        <v>844</v>
      </c>
      <c r="B856" s="221" t="s">
        <v>915</v>
      </c>
      <c r="C856" s="226" t="s">
        <v>497</v>
      </c>
      <c r="D856" s="226" t="s">
        <v>497</v>
      </c>
      <c r="E856" s="232" t="s">
        <v>2428</v>
      </c>
      <c r="F856" s="104" t="s">
        <v>332</v>
      </c>
    </row>
    <row r="857" spans="1:6" ht="13.2" thickBot="1" x14ac:dyDescent="0.6">
      <c r="A857" s="105">
        <v>845</v>
      </c>
      <c r="B857" s="220" t="s">
        <v>915</v>
      </c>
      <c r="C857" s="225" t="s">
        <v>2630</v>
      </c>
      <c r="D857" s="225" t="s">
        <v>1332</v>
      </c>
      <c r="E857" s="232" t="s">
        <v>2428</v>
      </c>
      <c r="F857" s="104" t="s">
        <v>332</v>
      </c>
    </row>
    <row r="858" spans="1:6" ht="39" thickBot="1" x14ac:dyDescent="0.6">
      <c r="A858" s="103">
        <v>846</v>
      </c>
      <c r="B858" s="213">
        <v>9</v>
      </c>
      <c r="C858" s="225" t="s">
        <v>2631</v>
      </c>
      <c r="D858" s="225" t="s">
        <v>1333</v>
      </c>
      <c r="E858" s="232" t="s">
        <v>2428</v>
      </c>
      <c r="F858" s="104" t="s">
        <v>332</v>
      </c>
    </row>
    <row r="859" spans="1:6" ht="26.1" thickBot="1" x14ac:dyDescent="0.6">
      <c r="A859" s="105">
        <v>847</v>
      </c>
      <c r="B859" s="213">
        <v>9</v>
      </c>
      <c r="C859" s="225" t="s">
        <v>2632</v>
      </c>
      <c r="D859" s="225" t="s">
        <v>1334</v>
      </c>
      <c r="E859" s="232" t="s">
        <v>2428</v>
      </c>
      <c r="F859" s="104" t="s">
        <v>332</v>
      </c>
    </row>
    <row r="860" spans="1:6" ht="90.6" thickBot="1" x14ac:dyDescent="0.6">
      <c r="A860" s="105">
        <v>848</v>
      </c>
      <c r="B860" s="213">
        <v>9</v>
      </c>
      <c r="C860" s="226" t="s">
        <v>2633</v>
      </c>
      <c r="D860" s="226" t="s">
        <v>1335</v>
      </c>
      <c r="E860" s="232" t="s">
        <v>2428</v>
      </c>
      <c r="F860" s="104" t="s">
        <v>332</v>
      </c>
    </row>
    <row r="861" spans="1:6" ht="90.6" thickBot="1" x14ac:dyDescent="0.6">
      <c r="A861" s="105">
        <v>849</v>
      </c>
      <c r="B861" s="214">
        <v>9</v>
      </c>
      <c r="C861" s="226" t="s">
        <v>2633</v>
      </c>
      <c r="D861" s="226" t="s">
        <v>1335</v>
      </c>
      <c r="E861" s="232" t="s">
        <v>2428</v>
      </c>
      <c r="F861" s="104" t="s">
        <v>332</v>
      </c>
    </row>
    <row r="862" spans="1:6" ht="90.6" thickBot="1" x14ac:dyDescent="0.6">
      <c r="A862" s="105">
        <v>850</v>
      </c>
      <c r="B862" s="214">
        <v>9</v>
      </c>
      <c r="C862" s="226" t="s">
        <v>2633</v>
      </c>
      <c r="D862" s="226" t="s">
        <v>1335</v>
      </c>
      <c r="E862" s="232" t="s">
        <v>2428</v>
      </c>
      <c r="F862" s="104" t="s">
        <v>332</v>
      </c>
    </row>
    <row r="863" spans="1:6" ht="13.2" thickBot="1" x14ac:dyDescent="0.6">
      <c r="A863" s="105">
        <v>851</v>
      </c>
      <c r="B863" s="214">
        <v>9</v>
      </c>
      <c r="C863" s="225" t="s">
        <v>2634</v>
      </c>
      <c r="D863" s="225" t="s">
        <v>1336</v>
      </c>
      <c r="E863" s="232" t="s">
        <v>2428</v>
      </c>
      <c r="F863" s="104" t="s">
        <v>332</v>
      </c>
    </row>
    <row r="864" spans="1:6" ht="51.9" thickBot="1" x14ac:dyDescent="0.6">
      <c r="A864" s="105">
        <v>852</v>
      </c>
      <c r="B864" s="214">
        <v>9</v>
      </c>
      <c r="C864" s="226" t="s">
        <v>2635</v>
      </c>
      <c r="D864" s="226" t="s">
        <v>1337</v>
      </c>
      <c r="E864" s="232" t="s">
        <v>2428</v>
      </c>
      <c r="F864" s="104" t="s">
        <v>332</v>
      </c>
    </row>
    <row r="865" spans="1:6" ht="51.9" thickBot="1" x14ac:dyDescent="0.6">
      <c r="A865" s="105">
        <v>853</v>
      </c>
      <c r="B865" s="214">
        <v>9</v>
      </c>
      <c r="C865" s="225" t="s">
        <v>2636</v>
      </c>
      <c r="D865" s="225" t="s">
        <v>1338</v>
      </c>
      <c r="E865" s="232" t="s">
        <v>2428</v>
      </c>
      <c r="F865" s="104" t="s">
        <v>332</v>
      </c>
    </row>
    <row r="866" spans="1:6" ht="13.2" thickBot="1" x14ac:dyDescent="0.6">
      <c r="A866" s="105">
        <v>854</v>
      </c>
      <c r="B866" s="214">
        <v>9</v>
      </c>
      <c r="C866" s="225" t="s">
        <v>495</v>
      </c>
      <c r="D866" s="225" t="s">
        <v>495</v>
      </c>
      <c r="E866" s="232" t="s">
        <v>2428</v>
      </c>
      <c r="F866" s="104" t="s">
        <v>332</v>
      </c>
    </row>
    <row r="867" spans="1:6" ht="13.2" thickBot="1" x14ac:dyDescent="0.6">
      <c r="A867" s="106">
        <v>855</v>
      </c>
      <c r="B867" s="215" t="s">
        <v>916</v>
      </c>
      <c r="C867" s="227" t="s">
        <v>493</v>
      </c>
      <c r="D867" s="227" t="s">
        <v>493</v>
      </c>
      <c r="E867" s="232" t="e">
        <v>#N/A</v>
      </c>
      <c r="F867" s="104" t="s">
        <v>2433</v>
      </c>
    </row>
    <row r="868" spans="1:6" ht="13.2" thickBot="1" x14ac:dyDescent="0.6">
      <c r="A868" s="106">
        <v>856</v>
      </c>
      <c r="B868" s="213" t="s">
        <v>916</v>
      </c>
      <c r="C868" s="225" t="s">
        <v>494</v>
      </c>
      <c r="D868" s="225" t="s">
        <v>494</v>
      </c>
      <c r="E868" s="232" t="s">
        <v>2428</v>
      </c>
      <c r="F868" s="104" t="s">
        <v>332</v>
      </c>
    </row>
    <row r="869" spans="1:6" ht="77.7" thickBot="1" x14ac:dyDescent="0.6">
      <c r="A869" s="106">
        <v>857</v>
      </c>
      <c r="B869" s="213" t="s">
        <v>916</v>
      </c>
      <c r="C869" s="225" t="s">
        <v>2633</v>
      </c>
      <c r="D869" s="225" t="s">
        <v>1335</v>
      </c>
      <c r="E869" s="232" t="s">
        <v>2428</v>
      </c>
      <c r="F869" s="104" t="s">
        <v>332</v>
      </c>
    </row>
    <row r="870" spans="1:6" ht="90.6" thickBot="1" x14ac:dyDescent="0.6">
      <c r="A870" s="106">
        <v>858</v>
      </c>
      <c r="B870" s="214" t="s">
        <v>916</v>
      </c>
      <c r="C870" s="226" t="s">
        <v>2633</v>
      </c>
      <c r="D870" s="226" t="s">
        <v>1335</v>
      </c>
      <c r="E870" s="232" t="s">
        <v>2428</v>
      </c>
      <c r="F870" s="104" t="s">
        <v>332</v>
      </c>
    </row>
    <row r="871" spans="1:6" ht="77.7" thickBot="1" x14ac:dyDescent="0.6">
      <c r="A871" s="106">
        <v>859</v>
      </c>
      <c r="B871" s="214" t="s">
        <v>916</v>
      </c>
      <c r="C871" s="225" t="s">
        <v>2633</v>
      </c>
      <c r="D871" s="225" t="s">
        <v>1335</v>
      </c>
      <c r="E871" s="232" t="s">
        <v>2428</v>
      </c>
      <c r="F871" s="104" t="s">
        <v>332</v>
      </c>
    </row>
    <row r="872" spans="1:6" ht="13.2" thickBot="1" x14ac:dyDescent="0.6">
      <c r="A872" s="105">
        <v>860</v>
      </c>
      <c r="B872" s="214" t="s">
        <v>916</v>
      </c>
      <c r="C872" s="225" t="s">
        <v>495</v>
      </c>
      <c r="D872" s="225" t="s">
        <v>495</v>
      </c>
      <c r="E872" s="232" t="s">
        <v>2428</v>
      </c>
      <c r="F872" s="104" t="s">
        <v>332</v>
      </c>
    </row>
    <row r="873" spans="1:6" ht="13.2" thickBot="1" x14ac:dyDescent="0.6">
      <c r="A873" s="105">
        <v>861</v>
      </c>
      <c r="B873" s="215" t="s">
        <v>917</v>
      </c>
      <c r="C873" s="227" t="s">
        <v>496</v>
      </c>
      <c r="D873" s="227" t="s">
        <v>496</v>
      </c>
      <c r="E873" s="232" t="e">
        <v>#N/A</v>
      </c>
      <c r="F873" s="104" t="s">
        <v>2433</v>
      </c>
    </row>
    <row r="874" spans="1:6" ht="13.2" thickBot="1" x14ac:dyDescent="0.6">
      <c r="A874" s="105">
        <v>862</v>
      </c>
      <c r="B874" s="213" t="s">
        <v>917</v>
      </c>
      <c r="C874" s="225" t="s">
        <v>501</v>
      </c>
      <c r="D874" s="225" t="s">
        <v>501</v>
      </c>
      <c r="E874" s="232" t="s">
        <v>2428</v>
      </c>
      <c r="F874" s="104" t="s">
        <v>332</v>
      </c>
    </row>
    <row r="875" spans="1:6" ht="13.2" thickBot="1" x14ac:dyDescent="0.6">
      <c r="A875" s="105">
        <v>863</v>
      </c>
      <c r="B875" s="213" t="s">
        <v>917</v>
      </c>
      <c r="C875" s="225" t="s">
        <v>503</v>
      </c>
      <c r="D875" s="225" t="s">
        <v>503</v>
      </c>
      <c r="E875" s="232" t="s">
        <v>2428</v>
      </c>
      <c r="F875" s="104" t="s">
        <v>332</v>
      </c>
    </row>
    <row r="876" spans="1:6" ht="13.2" thickBot="1" x14ac:dyDescent="0.6">
      <c r="A876" s="105">
        <v>864</v>
      </c>
      <c r="B876" s="214" t="s">
        <v>917</v>
      </c>
      <c r="C876" s="226" t="s">
        <v>497</v>
      </c>
      <c r="D876" s="226" t="s">
        <v>497</v>
      </c>
      <c r="E876" s="232" t="s">
        <v>2428</v>
      </c>
      <c r="F876" s="104" t="s">
        <v>332</v>
      </c>
    </row>
    <row r="877" spans="1:6" ht="13.2" thickBot="1" x14ac:dyDescent="0.6">
      <c r="A877" s="105">
        <v>865</v>
      </c>
      <c r="B877" s="213" t="s">
        <v>917</v>
      </c>
      <c r="C877" s="225" t="s">
        <v>1339</v>
      </c>
      <c r="D877" s="225" t="s">
        <v>1339</v>
      </c>
      <c r="E877" s="232" t="s">
        <v>2428</v>
      </c>
      <c r="F877" s="104" t="s">
        <v>332</v>
      </c>
    </row>
    <row r="878" spans="1:6" ht="13.2" thickBot="1" x14ac:dyDescent="0.6">
      <c r="A878" s="105">
        <v>866</v>
      </c>
      <c r="B878" s="213" t="s">
        <v>917</v>
      </c>
      <c r="C878" s="225" t="s">
        <v>502</v>
      </c>
      <c r="D878" s="225" t="s">
        <v>502</v>
      </c>
      <c r="E878" s="232" t="s">
        <v>2428</v>
      </c>
      <c r="F878" s="104" t="s">
        <v>332</v>
      </c>
    </row>
    <row r="879" spans="1:6" ht="26.1" thickBot="1" x14ac:dyDescent="0.6">
      <c r="A879" s="105">
        <v>867</v>
      </c>
      <c r="B879" s="213" t="s">
        <v>917</v>
      </c>
      <c r="C879" s="225" t="s">
        <v>2637</v>
      </c>
      <c r="D879" s="225" t="s">
        <v>1340</v>
      </c>
      <c r="E879" s="232" t="s">
        <v>2428</v>
      </c>
      <c r="F879" s="104" t="s">
        <v>332</v>
      </c>
    </row>
    <row r="880" spans="1:6" ht="13.2" thickBot="1" x14ac:dyDescent="0.6">
      <c r="A880" s="105">
        <v>868</v>
      </c>
      <c r="B880" s="214" t="s">
        <v>917</v>
      </c>
      <c r="C880" s="225" t="s">
        <v>499</v>
      </c>
      <c r="D880" s="225" t="s">
        <v>499</v>
      </c>
      <c r="E880" s="232" t="s">
        <v>2428</v>
      </c>
      <c r="F880" s="104" t="s">
        <v>332</v>
      </c>
    </row>
    <row r="881" spans="1:6" ht="13.2" thickBot="1" x14ac:dyDescent="0.6">
      <c r="A881" s="105">
        <v>869</v>
      </c>
      <c r="B881" s="214" t="s">
        <v>917</v>
      </c>
      <c r="C881" s="226" t="s">
        <v>498</v>
      </c>
      <c r="D881" s="226" t="s">
        <v>498</v>
      </c>
      <c r="E881" s="232" t="s">
        <v>2428</v>
      </c>
      <c r="F881" s="104" t="s">
        <v>332</v>
      </c>
    </row>
    <row r="882" spans="1:6" ht="13.2" thickBot="1" x14ac:dyDescent="0.6">
      <c r="A882" s="103">
        <v>870</v>
      </c>
      <c r="B882" s="214" t="s">
        <v>917</v>
      </c>
      <c r="C882" s="225" t="s">
        <v>500</v>
      </c>
      <c r="D882" s="225" t="s">
        <v>500</v>
      </c>
      <c r="E882" s="232" t="s">
        <v>2428</v>
      </c>
      <c r="F882" s="104" t="s">
        <v>332</v>
      </c>
    </row>
    <row r="883" spans="1:6" ht="13.2" thickBot="1" x14ac:dyDescent="0.6">
      <c r="A883" s="103">
        <v>871</v>
      </c>
      <c r="B883" s="216" t="s">
        <v>504</v>
      </c>
      <c r="C883" s="224" t="s">
        <v>259</v>
      </c>
      <c r="D883" s="224" t="s">
        <v>259</v>
      </c>
      <c r="E883" s="232" t="e">
        <v>#N/A</v>
      </c>
      <c r="F883" s="104" t="s">
        <v>2433</v>
      </c>
    </row>
    <row r="884" spans="1:6" ht="26.1" thickBot="1" x14ac:dyDescent="0.6">
      <c r="A884" s="105">
        <v>872</v>
      </c>
      <c r="B884" s="220" t="s">
        <v>504</v>
      </c>
      <c r="C884" s="225" t="s">
        <v>2638</v>
      </c>
      <c r="D884" s="225" t="s">
        <v>1341</v>
      </c>
      <c r="E884" s="232" t="s">
        <v>509</v>
      </c>
      <c r="F884" s="104" t="s">
        <v>505</v>
      </c>
    </row>
    <row r="885" spans="1:6" ht="26.1" thickBot="1" x14ac:dyDescent="0.6">
      <c r="A885" s="105">
        <v>873</v>
      </c>
      <c r="B885" s="220" t="s">
        <v>504</v>
      </c>
      <c r="C885" s="225" t="s">
        <v>2639</v>
      </c>
      <c r="D885" s="225" t="s">
        <v>1342</v>
      </c>
      <c r="E885" s="232" t="s">
        <v>509</v>
      </c>
      <c r="F885" s="104" t="s">
        <v>505</v>
      </c>
    </row>
    <row r="886" spans="1:6" ht="26.1" thickBot="1" x14ac:dyDescent="0.6">
      <c r="A886" s="103">
        <v>874</v>
      </c>
      <c r="B886" s="220" t="s">
        <v>504</v>
      </c>
      <c r="C886" s="225" t="s">
        <v>2640</v>
      </c>
      <c r="D886" s="225" t="s">
        <v>1343</v>
      </c>
      <c r="E886" s="232" t="s">
        <v>509</v>
      </c>
      <c r="F886" s="104" t="s">
        <v>505</v>
      </c>
    </row>
    <row r="887" spans="1:6" ht="26.1" thickBot="1" x14ac:dyDescent="0.6">
      <c r="A887" s="105">
        <v>875</v>
      </c>
      <c r="B887" s="220" t="s">
        <v>504</v>
      </c>
      <c r="C887" s="225" t="s">
        <v>1344</v>
      </c>
      <c r="D887" s="225" t="s">
        <v>1344</v>
      </c>
      <c r="E887" s="232" t="s">
        <v>509</v>
      </c>
      <c r="F887" s="104" t="s">
        <v>505</v>
      </c>
    </row>
    <row r="888" spans="1:6" ht="26.1" thickBot="1" x14ac:dyDescent="0.6">
      <c r="A888" s="105">
        <v>876</v>
      </c>
      <c r="B888" s="220" t="s">
        <v>504</v>
      </c>
      <c r="C888" s="225" t="s">
        <v>2641</v>
      </c>
      <c r="D888" s="225" t="s">
        <v>1345</v>
      </c>
      <c r="E888" s="232" t="s">
        <v>509</v>
      </c>
      <c r="F888" s="104" t="s">
        <v>505</v>
      </c>
    </row>
    <row r="889" spans="1:6" ht="13.2" thickBot="1" x14ac:dyDescent="0.6">
      <c r="A889" s="105">
        <v>877</v>
      </c>
      <c r="B889" s="220" t="s">
        <v>504</v>
      </c>
      <c r="C889" s="225" t="s">
        <v>1346</v>
      </c>
      <c r="D889" s="225" t="s">
        <v>1346</v>
      </c>
      <c r="E889" s="232" t="s">
        <v>509</v>
      </c>
      <c r="F889" s="104" t="s">
        <v>505</v>
      </c>
    </row>
    <row r="890" spans="1:6" ht="39" thickBot="1" x14ac:dyDescent="0.6">
      <c r="A890" s="103">
        <v>878</v>
      </c>
      <c r="B890" s="220" t="s">
        <v>504</v>
      </c>
      <c r="C890" s="225" t="s">
        <v>1347</v>
      </c>
      <c r="D890" s="225" t="s">
        <v>1347</v>
      </c>
      <c r="E890" s="232" t="s">
        <v>509</v>
      </c>
      <c r="F890" s="104" t="s">
        <v>505</v>
      </c>
    </row>
    <row r="891" spans="1:6" ht="13.2" thickBot="1" x14ac:dyDescent="0.6">
      <c r="A891" s="105">
        <v>879</v>
      </c>
      <c r="B891" s="221" t="s">
        <v>504</v>
      </c>
      <c r="C891" s="226" t="s">
        <v>1348</v>
      </c>
      <c r="D891" s="226" t="s">
        <v>1348</v>
      </c>
      <c r="E891" s="232" t="s">
        <v>509</v>
      </c>
      <c r="F891" s="104" t="s">
        <v>505</v>
      </c>
    </row>
    <row r="892" spans="1:6" ht="26.1" thickBot="1" x14ac:dyDescent="0.6">
      <c r="A892" s="105">
        <v>880</v>
      </c>
      <c r="B892" s="220" t="s">
        <v>504</v>
      </c>
      <c r="C892" s="225" t="s">
        <v>1349</v>
      </c>
      <c r="D892" s="225" t="s">
        <v>1349</v>
      </c>
      <c r="E892" s="232" t="s">
        <v>509</v>
      </c>
      <c r="F892" s="104" t="s">
        <v>505</v>
      </c>
    </row>
    <row r="893" spans="1:6" ht="13.2" thickBot="1" x14ac:dyDescent="0.6">
      <c r="A893" s="105">
        <v>881</v>
      </c>
      <c r="B893" s="220" t="s">
        <v>504</v>
      </c>
      <c r="C893" s="225" t="s">
        <v>1350</v>
      </c>
      <c r="D893" s="225" t="s">
        <v>1350</v>
      </c>
      <c r="E893" s="232" t="s">
        <v>509</v>
      </c>
      <c r="F893" s="104" t="s">
        <v>505</v>
      </c>
    </row>
    <row r="894" spans="1:6" ht="13.2" thickBot="1" x14ac:dyDescent="0.6">
      <c r="A894" s="105">
        <v>882</v>
      </c>
      <c r="B894" s="221" t="s">
        <v>504</v>
      </c>
      <c r="C894" s="226" t="s">
        <v>2642</v>
      </c>
      <c r="D894" s="226" t="s">
        <v>1351</v>
      </c>
      <c r="E894" s="232" t="s">
        <v>509</v>
      </c>
      <c r="F894" s="104" t="s">
        <v>505</v>
      </c>
    </row>
    <row r="895" spans="1:6" ht="13.2" thickBot="1" x14ac:dyDescent="0.6">
      <c r="A895" s="105">
        <v>883</v>
      </c>
      <c r="B895" s="221" t="s">
        <v>504</v>
      </c>
      <c r="C895" s="226" t="s">
        <v>2643</v>
      </c>
      <c r="D895" s="226" t="s">
        <v>1352</v>
      </c>
      <c r="E895" s="232" t="s">
        <v>509</v>
      </c>
      <c r="F895" s="104" t="s">
        <v>505</v>
      </c>
    </row>
    <row r="896" spans="1:6" ht="13.2" thickBot="1" x14ac:dyDescent="0.6">
      <c r="A896" s="105">
        <v>884</v>
      </c>
      <c r="B896" s="220" t="s">
        <v>504</v>
      </c>
      <c r="C896" s="225" t="s">
        <v>1353</v>
      </c>
      <c r="D896" s="225" t="s">
        <v>1353</v>
      </c>
      <c r="E896" s="232" t="s">
        <v>509</v>
      </c>
      <c r="F896" s="104" t="s">
        <v>505</v>
      </c>
    </row>
    <row r="897" spans="1:6" ht="26.1" thickBot="1" x14ac:dyDescent="0.6">
      <c r="A897" s="105">
        <v>885</v>
      </c>
      <c r="B897" s="220" t="s">
        <v>504</v>
      </c>
      <c r="C897" s="225" t="s">
        <v>2644</v>
      </c>
      <c r="D897" s="225" t="s">
        <v>1354</v>
      </c>
      <c r="E897" s="232" t="s">
        <v>509</v>
      </c>
      <c r="F897" s="104" t="s">
        <v>505</v>
      </c>
    </row>
    <row r="898" spans="1:6" ht="26.1" thickBot="1" x14ac:dyDescent="0.6">
      <c r="A898" s="105">
        <v>886</v>
      </c>
      <c r="B898" s="220" t="s">
        <v>504</v>
      </c>
      <c r="C898" s="225" t="s">
        <v>2645</v>
      </c>
      <c r="D898" s="225" t="s">
        <v>1355</v>
      </c>
      <c r="E898" s="232" t="s">
        <v>509</v>
      </c>
      <c r="F898" s="104" t="s">
        <v>505</v>
      </c>
    </row>
    <row r="899" spans="1:6" ht="13.2" thickBot="1" x14ac:dyDescent="0.6">
      <c r="A899" s="105">
        <v>887</v>
      </c>
      <c r="B899" s="220" t="s">
        <v>504</v>
      </c>
      <c r="C899" s="226" t="s">
        <v>1356</v>
      </c>
      <c r="D899" s="226" t="s">
        <v>1356</v>
      </c>
      <c r="E899" s="232" t="s">
        <v>509</v>
      </c>
      <c r="F899" s="104" t="s">
        <v>505</v>
      </c>
    </row>
    <row r="900" spans="1:6" ht="13.2" thickBot="1" x14ac:dyDescent="0.6">
      <c r="A900" s="105">
        <v>888</v>
      </c>
      <c r="B900" s="221" t="s">
        <v>504</v>
      </c>
      <c r="C900" s="226" t="s">
        <v>2646</v>
      </c>
      <c r="D900" s="226" t="s">
        <v>1357</v>
      </c>
      <c r="E900" s="232" t="s">
        <v>509</v>
      </c>
      <c r="F900" s="104" t="s">
        <v>505</v>
      </c>
    </row>
    <row r="901" spans="1:6" ht="13.2" thickBot="1" x14ac:dyDescent="0.6">
      <c r="A901" s="105">
        <v>889</v>
      </c>
      <c r="B901" s="221" t="s">
        <v>504</v>
      </c>
      <c r="C901" s="226" t="s">
        <v>2646</v>
      </c>
      <c r="D901" s="226" t="s">
        <v>1357</v>
      </c>
      <c r="E901" s="232" t="s">
        <v>509</v>
      </c>
      <c r="F901" s="104" t="s">
        <v>505</v>
      </c>
    </row>
    <row r="902" spans="1:6" ht="13.2" thickBot="1" x14ac:dyDescent="0.6">
      <c r="A902" s="105">
        <v>890</v>
      </c>
      <c r="B902" s="221" t="s">
        <v>504</v>
      </c>
      <c r="C902" s="226" t="s">
        <v>2646</v>
      </c>
      <c r="D902" s="226" t="s">
        <v>1357</v>
      </c>
      <c r="E902" s="232" t="s">
        <v>509</v>
      </c>
      <c r="F902" s="104" t="s">
        <v>505</v>
      </c>
    </row>
    <row r="903" spans="1:6" ht="13.2" thickBot="1" x14ac:dyDescent="0.6">
      <c r="A903" s="105">
        <v>891</v>
      </c>
      <c r="B903" s="220" t="s">
        <v>504</v>
      </c>
      <c r="C903" s="225" t="s">
        <v>2647</v>
      </c>
      <c r="D903" s="225" t="s">
        <v>1358</v>
      </c>
      <c r="E903" s="232" t="s">
        <v>509</v>
      </c>
      <c r="F903" s="104" t="s">
        <v>505</v>
      </c>
    </row>
    <row r="904" spans="1:6" ht="26.1" thickBot="1" x14ac:dyDescent="0.6">
      <c r="A904" s="105">
        <v>892</v>
      </c>
      <c r="B904" s="220" t="s">
        <v>504</v>
      </c>
      <c r="C904" s="225" t="s">
        <v>2648</v>
      </c>
      <c r="D904" s="225" t="s">
        <v>1359</v>
      </c>
      <c r="E904" s="232" t="s">
        <v>509</v>
      </c>
      <c r="F904" s="104" t="s">
        <v>505</v>
      </c>
    </row>
    <row r="905" spans="1:6" ht="13.2" thickBot="1" x14ac:dyDescent="0.6">
      <c r="A905" s="105">
        <v>893</v>
      </c>
      <c r="B905" s="221" t="s">
        <v>504</v>
      </c>
      <c r="C905" s="225" t="s">
        <v>1360</v>
      </c>
      <c r="D905" s="225" t="s">
        <v>1360</v>
      </c>
      <c r="E905" s="232" t="s">
        <v>509</v>
      </c>
      <c r="F905" s="104" t="s">
        <v>505</v>
      </c>
    </row>
    <row r="906" spans="1:6" ht="13.2" thickBot="1" x14ac:dyDescent="0.6">
      <c r="A906" s="105">
        <v>894</v>
      </c>
      <c r="B906" s="220" t="s">
        <v>504</v>
      </c>
      <c r="C906" s="225" t="s">
        <v>1361</v>
      </c>
      <c r="D906" s="225" t="s">
        <v>1361</v>
      </c>
      <c r="E906" s="232" t="s">
        <v>509</v>
      </c>
      <c r="F906" s="104" t="s">
        <v>505</v>
      </c>
    </row>
    <row r="907" spans="1:6" ht="26.1" thickBot="1" x14ac:dyDescent="0.6">
      <c r="A907" s="105">
        <v>895</v>
      </c>
      <c r="B907" s="220" t="s">
        <v>504</v>
      </c>
      <c r="C907" s="225" t="s">
        <v>2649</v>
      </c>
      <c r="D907" s="225" t="s">
        <v>1362</v>
      </c>
      <c r="E907" s="232" t="s">
        <v>509</v>
      </c>
      <c r="F907" s="104" t="s">
        <v>505</v>
      </c>
    </row>
    <row r="908" spans="1:6" ht="13.2" thickBot="1" x14ac:dyDescent="0.6">
      <c r="A908" s="105">
        <v>896</v>
      </c>
      <c r="B908" s="220" t="s">
        <v>504</v>
      </c>
      <c r="C908" s="225" t="s">
        <v>2650</v>
      </c>
      <c r="D908" s="225" t="s">
        <v>1363</v>
      </c>
      <c r="E908" s="232" t="s">
        <v>509</v>
      </c>
      <c r="F908" s="104" t="s">
        <v>505</v>
      </c>
    </row>
    <row r="909" spans="1:6" ht="26.1" thickBot="1" x14ac:dyDescent="0.6">
      <c r="A909" s="105">
        <v>897</v>
      </c>
      <c r="B909" s="221" t="s">
        <v>504</v>
      </c>
      <c r="C909" s="225" t="s">
        <v>1364</v>
      </c>
      <c r="D909" s="225" t="s">
        <v>1364</v>
      </c>
      <c r="E909" s="232" t="s">
        <v>509</v>
      </c>
      <c r="F909" s="104" t="s">
        <v>505</v>
      </c>
    </row>
    <row r="910" spans="1:6" ht="26.1" thickBot="1" x14ac:dyDescent="0.6">
      <c r="A910" s="105">
        <v>898</v>
      </c>
      <c r="B910" s="221" t="s">
        <v>504</v>
      </c>
      <c r="C910" s="226" t="s">
        <v>2651</v>
      </c>
      <c r="D910" s="226" t="s">
        <v>1365</v>
      </c>
      <c r="E910" s="232" t="s">
        <v>509</v>
      </c>
      <c r="F910" s="104" t="s">
        <v>505</v>
      </c>
    </row>
    <row r="911" spans="1:6" ht="13.2" thickBot="1" x14ac:dyDescent="0.6">
      <c r="A911" s="105">
        <v>899</v>
      </c>
      <c r="B911" s="220" t="s">
        <v>504</v>
      </c>
      <c r="C911" s="225" t="s">
        <v>1366</v>
      </c>
      <c r="D911" s="225" t="s">
        <v>1366</v>
      </c>
      <c r="E911" s="232" t="s">
        <v>509</v>
      </c>
      <c r="F911" s="104" t="s">
        <v>505</v>
      </c>
    </row>
    <row r="912" spans="1:6" ht="13.2" thickBot="1" x14ac:dyDescent="0.6">
      <c r="A912" s="105">
        <v>900</v>
      </c>
      <c r="B912" s="220" t="s">
        <v>504</v>
      </c>
      <c r="C912" s="225" t="s">
        <v>2652</v>
      </c>
      <c r="D912" s="225" t="s">
        <v>1367</v>
      </c>
      <c r="E912" s="232" t="s">
        <v>509</v>
      </c>
      <c r="F912" s="104" t="s">
        <v>505</v>
      </c>
    </row>
    <row r="913" spans="1:6" ht="13.2" thickBot="1" x14ac:dyDescent="0.6">
      <c r="A913" s="105">
        <v>901</v>
      </c>
      <c r="B913" s="220" t="s">
        <v>504</v>
      </c>
      <c r="C913" s="225" t="s">
        <v>1368</v>
      </c>
      <c r="D913" s="225" t="s">
        <v>1368</v>
      </c>
      <c r="E913" s="232" t="s">
        <v>509</v>
      </c>
      <c r="F913" s="104" t="s">
        <v>505</v>
      </c>
    </row>
    <row r="914" spans="1:6" ht="13.2" thickBot="1" x14ac:dyDescent="0.6">
      <c r="A914" s="105">
        <v>902</v>
      </c>
      <c r="B914" s="223" t="s">
        <v>918</v>
      </c>
      <c r="C914" s="227" t="s">
        <v>506</v>
      </c>
      <c r="D914" s="227" t="s">
        <v>506</v>
      </c>
      <c r="E914" s="232" t="e">
        <v>#N/A</v>
      </c>
      <c r="F914" s="104" t="s">
        <v>2433</v>
      </c>
    </row>
    <row r="915" spans="1:6" ht="13.2" thickBot="1" x14ac:dyDescent="0.6">
      <c r="A915" s="105">
        <v>903</v>
      </c>
      <c r="B915" s="220" t="s">
        <v>918</v>
      </c>
      <c r="C915" s="225" t="s">
        <v>508</v>
      </c>
      <c r="D915" s="225" t="s">
        <v>508</v>
      </c>
      <c r="E915" s="232" t="s">
        <v>509</v>
      </c>
      <c r="F915" s="104" t="s">
        <v>505</v>
      </c>
    </row>
    <row r="916" spans="1:6" ht="13.2" thickBot="1" x14ac:dyDescent="0.6">
      <c r="A916" s="106">
        <v>904</v>
      </c>
      <c r="B916" s="220" t="s">
        <v>918</v>
      </c>
      <c r="C916" s="225" t="s">
        <v>510</v>
      </c>
      <c r="D916" s="225" t="s">
        <v>510</v>
      </c>
      <c r="E916" s="232" t="s">
        <v>509</v>
      </c>
      <c r="F916" s="104" t="s">
        <v>505</v>
      </c>
    </row>
    <row r="917" spans="1:6" ht="13.2" thickBot="1" x14ac:dyDescent="0.6">
      <c r="A917" s="106">
        <v>905</v>
      </c>
      <c r="B917" s="220" t="s">
        <v>918</v>
      </c>
      <c r="C917" s="225" t="s">
        <v>511</v>
      </c>
      <c r="D917" s="225" t="s">
        <v>511</v>
      </c>
      <c r="E917" s="232" t="s">
        <v>509</v>
      </c>
      <c r="F917" s="104" t="s">
        <v>505</v>
      </c>
    </row>
    <row r="918" spans="1:6" ht="13.2" thickBot="1" x14ac:dyDescent="0.6">
      <c r="A918" s="106">
        <v>906</v>
      </c>
      <c r="B918" s="220" t="s">
        <v>918</v>
      </c>
      <c r="C918" s="225" t="s">
        <v>1369</v>
      </c>
      <c r="D918" s="225" t="s">
        <v>1369</v>
      </c>
      <c r="E918" s="232" t="s">
        <v>509</v>
      </c>
      <c r="F918" s="104" t="s">
        <v>505</v>
      </c>
    </row>
    <row r="919" spans="1:6" ht="13.2" thickBot="1" x14ac:dyDescent="0.6">
      <c r="A919" s="106">
        <v>907</v>
      </c>
      <c r="B919" s="221" t="s">
        <v>918</v>
      </c>
      <c r="C919" s="226" t="s">
        <v>1370</v>
      </c>
      <c r="D919" s="226" t="s">
        <v>1370</v>
      </c>
      <c r="E919" s="232" t="s">
        <v>509</v>
      </c>
      <c r="F919" s="104" t="s">
        <v>505</v>
      </c>
    </row>
    <row r="920" spans="1:6" ht="13.2" thickBot="1" x14ac:dyDescent="0.6">
      <c r="A920" s="106">
        <v>908</v>
      </c>
      <c r="B920" s="221" t="s">
        <v>918</v>
      </c>
      <c r="C920" s="226" t="s">
        <v>1370</v>
      </c>
      <c r="D920" s="226" t="s">
        <v>1370</v>
      </c>
      <c r="E920" s="232" t="s">
        <v>509</v>
      </c>
      <c r="F920" s="104" t="s">
        <v>505</v>
      </c>
    </row>
    <row r="921" spans="1:6" ht="13.2" thickBot="1" x14ac:dyDescent="0.6">
      <c r="A921" s="106">
        <v>909</v>
      </c>
      <c r="B921" s="221" t="s">
        <v>918</v>
      </c>
      <c r="C921" s="226" t="s">
        <v>1370</v>
      </c>
      <c r="D921" s="226" t="s">
        <v>1370</v>
      </c>
      <c r="E921" s="232" t="s">
        <v>509</v>
      </c>
      <c r="F921" s="104" t="s">
        <v>505</v>
      </c>
    </row>
    <row r="922" spans="1:6" ht="13.2" thickBot="1" x14ac:dyDescent="0.6">
      <c r="A922" s="106">
        <v>910</v>
      </c>
      <c r="B922" s="220" t="s">
        <v>918</v>
      </c>
      <c r="C922" s="226" t="s">
        <v>1371</v>
      </c>
      <c r="D922" s="226" t="s">
        <v>1371</v>
      </c>
      <c r="E922" s="232" t="s">
        <v>509</v>
      </c>
      <c r="F922" s="104" t="s">
        <v>505</v>
      </c>
    </row>
    <row r="923" spans="1:6" ht="13.2" thickBot="1" x14ac:dyDescent="0.6">
      <c r="A923" s="106">
        <v>911</v>
      </c>
      <c r="B923" s="221" t="s">
        <v>918</v>
      </c>
      <c r="C923" s="225" t="s">
        <v>1372</v>
      </c>
      <c r="D923" s="225" t="s">
        <v>1372</v>
      </c>
      <c r="E923" s="232" t="s">
        <v>509</v>
      </c>
      <c r="F923" s="104" t="s">
        <v>505</v>
      </c>
    </row>
    <row r="924" spans="1:6" ht="13.2" thickBot="1" x14ac:dyDescent="0.6">
      <c r="A924" s="106">
        <v>912</v>
      </c>
      <c r="B924" s="220" t="s">
        <v>918</v>
      </c>
      <c r="C924" s="225" t="s">
        <v>1373</v>
      </c>
      <c r="D924" s="225" t="s">
        <v>1373</v>
      </c>
      <c r="E924" s="232" t="s">
        <v>509</v>
      </c>
      <c r="F924" s="104" t="s">
        <v>505</v>
      </c>
    </row>
    <row r="925" spans="1:6" ht="13.2" thickBot="1" x14ac:dyDescent="0.6">
      <c r="A925" s="106">
        <v>913</v>
      </c>
      <c r="B925" s="221" t="s">
        <v>918</v>
      </c>
      <c r="C925" s="226" t="s">
        <v>2651</v>
      </c>
      <c r="D925" s="226" t="s">
        <v>507</v>
      </c>
      <c r="E925" s="232" t="s">
        <v>509</v>
      </c>
      <c r="F925" s="104" t="s">
        <v>505</v>
      </c>
    </row>
    <row r="926" spans="1:6" ht="13.2" thickBot="1" x14ac:dyDescent="0.6">
      <c r="A926" s="106">
        <v>914</v>
      </c>
      <c r="B926" s="221" t="s">
        <v>918</v>
      </c>
      <c r="C926" s="225" t="s">
        <v>512</v>
      </c>
      <c r="D926" s="225" t="s">
        <v>512</v>
      </c>
      <c r="E926" s="232" t="s">
        <v>509</v>
      </c>
      <c r="F926" s="104" t="s">
        <v>505</v>
      </c>
    </row>
    <row r="927" spans="1:6" ht="13.2" thickBot="1" x14ac:dyDescent="0.6">
      <c r="A927" s="106">
        <v>915</v>
      </c>
      <c r="B927" s="220" t="s">
        <v>918</v>
      </c>
      <c r="C927" s="225" t="s">
        <v>513</v>
      </c>
      <c r="D927" s="225" t="s">
        <v>513</v>
      </c>
      <c r="E927" s="232" t="s">
        <v>509</v>
      </c>
      <c r="F927" s="104" t="s">
        <v>505</v>
      </c>
    </row>
    <row r="928" spans="1:6" ht="13.2" thickBot="1" x14ac:dyDescent="0.6">
      <c r="A928" s="106">
        <v>916</v>
      </c>
      <c r="B928" s="220" t="s">
        <v>918</v>
      </c>
      <c r="C928" s="225" t="s">
        <v>1374</v>
      </c>
      <c r="D928" s="225" t="s">
        <v>1374</v>
      </c>
      <c r="E928" s="232" t="s">
        <v>509</v>
      </c>
      <c r="F928" s="104" t="s">
        <v>505</v>
      </c>
    </row>
    <row r="929" spans="1:6" ht="13.2" thickBot="1" x14ac:dyDescent="0.6">
      <c r="A929" s="106">
        <v>917</v>
      </c>
      <c r="B929" s="223" t="s">
        <v>919</v>
      </c>
      <c r="C929" s="227" t="s">
        <v>514</v>
      </c>
      <c r="D929" s="227" t="s">
        <v>514</v>
      </c>
      <c r="E929" s="232" t="e">
        <v>#N/A</v>
      </c>
      <c r="F929" s="104" t="s">
        <v>2433</v>
      </c>
    </row>
    <row r="930" spans="1:6" ht="13.2" thickBot="1" x14ac:dyDescent="0.6">
      <c r="A930" s="106">
        <v>918</v>
      </c>
      <c r="B930" s="220" t="s">
        <v>919</v>
      </c>
      <c r="C930" s="225" t="s">
        <v>1375</v>
      </c>
      <c r="D930" s="225" t="s">
        <v>1375</v>
      </c>
      <c r="E930" s="232" t="s">
        <v>509</v>
      </c>
      <c r="F930" s="104" t="s">
        <v>505</v>
      </c>
    </row>
    <row r="931" spans="1:6" ht="13.2" thickBot="1" x14ac:dyDescent="0.6">
      <c r="A931" s="106">
        <v>919</v>
      </c>
      <c r="B931" s="220" t="s">
        <v>919</v>
      </c>
      <c r="C931" s="225" t="s">
        <v>1376</v>
      </c>
      <c r="D931" s="225" t="s">
        <v>1376</v>
      </c>
      <c r="E931" s="232" t="s">
        <v>509</v>
      </c>
      <c r="F931" s="104" t="s">
        <v>505</v>
      </c>
    </row>
    <row r="932" spans="1:6" ht="13.2" thickBot="1" x14ac:dyDescent="0.6">
      <c r="A932" s="105">
        <v>920</v>
      </c>
      <c r="B932" s="220" t="s">
        <v>919</v>
      </c>
      <c r="C932" s="225" t="s">
        <v>1377</v>
      </c>
      <c r="D932" s="225" t="s">
        <v>1377</v>
      </c>
      <c r="E932" s="232" t="s">
        <v>509</v>
      </c>
      <c r="F932" s="104" t="s">
        <v>505</v>
      </c>
    </row>
    <row r="933" spans="1:6" ht="13.2" thickBot="1" x14ac:dyDescent="0.6">
      <c r="A933" s="105">
        <v>921</v>
      </c>
      <c r="B933" s="220" t="s">
        <v>919</v>
      </c>
      <c r="C933" s="225" t="s">
        <v>1378</v>
      </c>
      <c r="D933" s="225" t="s">
        <v>1378</v>
      </c>
      <c r="E933" s="232" t="s">
        <v>509</v>
      </c>
      <c r="F933" s="104" t="s">
        <v>505</v>
      </c>
    </row>
    <row r="934" spans="1:6" ht="13.2" thickBot="1" x14ac:dyDescent="0.6">
      <c r="A934" s="105">
        <v>922</v>
      </c>
      <c r="B934" s="220" t="s">
        <v>919</v>
      </c>
      <c r="C934" s="225" t="s">
        <v>517</v>
      </c>
      <c r="D934" s="225" t="s">
        <v>517</v>
      </c>
      <c r="E934" s="232" t="s">
        <v>509</v>
      </c>
      <c r="F934" s="104" t="s">
        <v>505</v>
      </c>
    </row>
    <row r="935" spans="1:6" ht="13.2" thickBot="1" x14ac:dyDescent="0.6">
      <c r="A935" s="105">
        <v>923</v>
      </c>
      <c r="B935" s="221" t="s">
        <v>919</v>
      </c>
      <c r="C935" s="226" t="s">
        <v>515</v>
      </c>
      <c r="D935" s="226" t="s">
        <v>515</v>
      </c>
      <c r="E935" s="232" t="s">
        <v>509</v>
      </c>
      <c r="F935" s="104" t="s">
        <v>505</v>
      </c>
    </row>
    <row r="936" spans="1:6" ht="13.2" thickBot="1" x14ac:dyDescent="0.6">
      <c r="A936" s="105">
        <v>924</v>
      </c>
      <c r="B936" s="221" t="s">
        <v>919</v>
      </c>
      <c r="C936" s="226" t="s">
        <v>516</v>
      </c>
      <c r="D936" s="226" t="s">
        <v>516</v>
      </c>
      <c r="E936" s="232" t="s">
        <v>509</v>
      </c>
      <c r="F936" s="104" t="s">
        <v>505</v>
      </c>
    </row>
    <row r="937" spans="1:6" ht="13.2" thickBot="1" x14ac:dyDescent="0.6">
      <c r="A937" s="105">
        <v>925</v>
      </c>
      <c r="B937" s="220" t="s">
        <v>919</v>
      </c>
      <c r="C937" s="225" t="s">
        <v>1379</v>
      </c>
      <c r="D937" s="225" t="s">
        <v>1379</v>
      </c>
      <c r="E937" s="232" t="s">
        <v>509</v>
      </c>
      <c r="F937" s="104" t="s">
        <v>505</v>
      </c>
    </row>
    <row r="938" spans="1:6" ht="13.2" thickBot="1" x14ac:dyDescent="0.6">
      <c r="A938" s="105">
        <v>926</v>
      </c>
      <c r="B938" s="220" t="s">
        <v>919</v>
      </c>
      <c r="C938" s="225" t="s">
        <v>1380</v>
      </c>
      <c r="D938" s="225" t="s">
        <v>1380</v>
      </c>
      <c r="E938" s="232" t="s">
        <v>509</v>
      </c>
      <c r="F938" s="104" t="s">
        <v>505</v>
      </c>
    </row>
    <row r="939" spans="1:6" ht="13.2" thickBot="1" x14ac:dyDescent="0.6">
      <c r="A939" s="105">
        <v>927</v>
      </c>
      <c r="B939" s="220" t="s">
        <v>919</v>
      </c>
      <c r="C939" s="225" t="s">
        <v>1381</v>
      </c>
      <c r="D939" s="225" t="s">
        <v>1381</v>
      </c>
      <c r="E939" s="232" t="s">
        <v>509</v>
      </c>
      <c r="F939" s="104" t="s">
        <v>505</v>
      </c>
    </row>
    <row r="940" spans="1:6" ht="32.5" customHeight="1" thickBot="1" x14ac:dyDescent="0.6">
      <c r="A940" s="103">
        <v>928</v>
      </c>
      <c r="B940" s="220" t="s">
        <v>919</v>
      </c>
      <c r="C940" s="225" t="s">
        <v>1382</v>
      </c>
      <c r="D940" s="225" t="s">
        <v>1382</v>
      </c>
      <c r="E940" s="232" t="s">
        <v>509</v>
      </c>
      <c r="F940" s="104" t="s">
        <v>505</v>
      </c>
    </row>
    <row r="941" spans="1:6" ht="13.2" thickBot="1" x14ac:dyDescent="0.6">
      <c r="A941" s="105">
        <v>929</v>
      </c>
      <c r="B941" s="220" t="s">
        <v>919</v>
      </c>
      <c r="C941" s="225" t="s">
        <v>1383</v>
      </c>
      <c r="D941" s="225" t="s">
        <v>1383</v>
      </c>
      <c r="E941" s="232" t="s">
        <v>509</v>
      </c>
      <c r="F941" s="104" t="s">
        <v>505</v>
      </c>
    </row>
    <row r="942" spans="1:6" ht="13.2" thickBot="1" x14ac:dyDescent="0.6">
      <c r="A942" s="105">
        <v>930</v>
      </c>
      <c r="B942" s="223" t="s">
        <v>920</v>
      </c>
      <c r="C942" s="227" t="s">
        <v>518</v>
      </c>
      <c r="D942" s="227" t="s">
        <v>518</v>
      </c>
      <c r="E942" s="232" t="e">
        <v>#N/A</v>
      </c>
      <c r="F942" s="104" t="s">
        <v>2433</v>
      </c>
    </row>
    <row r="943" spans="1:6" ht="13.2" thickBot="1" x14ac:dyDescent="0.6">
      <c r="A943" s="105">
        <v>931</v>
      </c>
      <c r="B943" s="221" t="s">
        <v>920</v>
      </c>
      <c r="C943" s="226" t="s">
        <v>519</v>
      </c>
      <c r="D943" s="226" t="s">
        <v>519</v>
      </c>
      <c r="E943" s="232" t="s">
        <v>509</v>
      </c>
      <c r="F943" s="104" t="s">
        <v>505</v>
      </c>
    </row>
    <row r="944" spans="1:6" ht="13.2" thickBot="1" x14ac:dyDescent="0.6">
      <c r="A944" s="105">
        <v>932</v>
      </c>
      <c r="B944" s="220" t="s">
        <v>920</v>
      </c>
      <c r="C944" s="225" t="s">
        <v>1384</v>
      </c>
      <c r="D944" s="225" t="s">
        <v>1384</v>
      </c>
      <c r="E944" s="232" t="s">
        <v>509</v>
      </c>
      <c r="F944" s="104" t="s">
        <v>505</v>
      </c>
    </row>
    <row r="945" spans="1:6" ht="13.2" thickBot="1" x14ac:dyDescent="0.6">
      <c r="A945" s="105">
        <v>933</v>
      </c>
      <c r="B945" s="220" t="s">
        <v>920</v>
      </c>
      <c r="C945" s="225" t="s">
        <v>520</v>
      </c>
      <c r="D945" s="225" t="s">
        <v>520</v>
      </c>
      <c r="E945" s="232" t="s">
        <v>509</v>
      </c>
      <c r="F945" s="104" t="s">
        <v>505</v>
      </c>
    </row>
    <row r="946" spans="1:6" ht="13.2" thickBot="1" x14ac:dyDescent="0.6">
      <c r="A946" s="105">
        <v>934</v>
      </c>
      <c r="B946" s="221" t="s">
        <v>920</v>
      </c>
      <c r="C946" s="225" t="s">
        <v>512</v>
      </c>
      <c r="D946" s="225" t="s">
        <v>512</v>
      </c>
      <c r="E946" s="232" t="s">
        <v>509</v>
      </c>
      <c r="F946" s="104" t="s">
        <v>505</v>
      </c>
    </row>
    <row r="947" spans="1:6" ht="13.2" thickBot="1" x14ac:dyDescent="0.6">
      <c r="A947" s="105">
        <v>935</v>
      </c>
      <c r="B947" s="220" t="s">
        <v>920</v>
      </c>
      <c r="C947" s="225" t="s">
        <v>521</v>
      </c>
      <c r="D947" s="225" t="s">
        <v>521</v>
      </c>
      <c r="E947" s="232" t="s">
        <v>509</v>
      </c>
      <c r="F947" s="104" t="s">
        <v>505</v>
      </c>
    </row>
    <row r="948" spans="1:6" ht="13.2" thickBot="1" x14ac:dyDescent="0.6">
      <c r="A948" s="105">
        <v>936</v>
      </c>
      <c r="B948" s="212">
        <v>10</v>
      </c>
      <c r="C948" s="224" t="s">
        <v>522</v>
      </c>
      <c r="D948" s="224" t="s">
        <v>522</v>
      </c>
      <c r="E948" s="232" t="e">
        <v>#N/A</v>
      </c>
      <c r="F948" s="104" t="s">
        <v>2433</v>
      </c>
    </row>
    <row r="949" spans="1:6" ht="26.1" thickBot="1" x14ac:dyDescent="0.6">
      <c r="A949" s="105">
        <v>937</v>
      </c>
      <c r="B949" s="213">
        <v>10</v>
      </c>
      <c r="C949" s="225" t="s">
        <v>2653</v>
      </c>
      <c r="D949" s="225" t="s">
        <v>1385</v>
      </c>
      <c r="E949" s="232" t="s">
        <v>509</v>
      </c>
      <c r="F949" s="104" t="s">
        <v>505</v>
      </c>
    </row>
    <row r="950" spans="1:6" ht="13.2" thickBot="1" x14ac:dyDescent="0.6">
      <c r="A950" s="105">
        <v>938</v>
      </c>
      <c r="B950" s="213">
        <v>10</v>
      </c>
      <c r="C950" s="225" t="s">
        <v>2654</v>
      </c>
      <c r="D950" s="225" t="s">
        <v>1386</v>
      </c>
      <c r="E950" s="232" t="s">
        <v>509</v>
      </c>
      <c r="F950" s="104" t="s">
        <v>505</v>
      </c>
    </row>
    <row r="951" spans="1:6" ht="26.1" thickBot="1" x14ac:dyDescent="0.6">
      <c r="A951" s="105">
        <v>939</v>
      </c>
      <c r="B951" s="213">
        <v>10</v>
      </c>
      <c r="C951" s="225" t="s">
        <v>2655</v>
      </c>
      <c r="D951" s="225" t="s">
        <v>1387</v>
      </c>
      <c r="E951" s="232" t="s">
        <v>509</v>
      </c>
      <c r="F951" s="104" t="s">
        <v>505</v>
      </c>
    </row>
    <row r="952" spans="1:6" ht="13.2" thickBot="1" x14ac:dyDescent="0.6">
      <c r="A952" s="105">
        <v>940</v>
      </c>
      <c r="B952" s="214">
        <v>10</v>
      </c>
      <c r="C952" s="226" t="s">
        <v>519</v>
      </c>
      <c r="D952" s="226" t="s">
        <v>519</v>
      </c>
      <c r="E952" s="232" t="s">
        <v>509</v>
      </c>
      <c r="F952" s="104" t="s">
        <v>505</v>
      </c>
    </row>
    <row r="953" spans="1:6" s="88" customFormat="1" ht="134.5" customHeight="1" thickBot="1" x14ac:dyDescent="0.6">
      <c r="A953" s="105">
        <v>941</v>
      </c>
      <c r="B953" s="213">
        <v>10</v>
      </c>
      <c r="C953" s="225" t="s">
        <v>517</v>
      </c>
      <c r="D953" s="225" t="s">
        <v>517</v>
      </c>
      <c r="E953" s="232" t="s">
        <v>509</v>
      </c>
      <c r="F953" s="104" t="s">
        <v>505</v>
      </c>
    </row>
    <row r="954" spans="1:6" s="88" customFormat="1" ht="13.2" thickBot="1" x14ac:dyDescent="0.6">
      <c r="A954" s="105">
        <v>942</v>
      </c>
      <c r="B954" s="214">
        <v>10</v>
      </c>
      <c r="C954" s="226" t="s">
        <v>515</v>
      </c>
      <c r="D954" s="226" t="s">
        <v>515</v>
      </c>
      <c r="E954" s="232" t="s">
        <v>509</v>
      </c>
      <c r="F954" s="104" t="s">
        <v>505</v>
      </c>
    </row>
    <row r="955" spans="1:6" s="88" customFormat="1" ht="13.2" thickBot="1" x14ac:dyDescent="0.6">
      <c r="A955" s="105">
        <v>943</v>
      </c>
      <c r="B955" s="214">
        <v>10</v>
      </c>
      <c r="C955" s="225" t="s">
        <v>516</v>
      </c>
      <c r="D955" s="225" t="s">
        <v>516</v>
      </c>
      <c r="E955" s="232" t="s">
        <v>509</v>
      </c>
      <c r="F955" s="104" t="s">
        <v>505</v>
      </c>
    </row>
    <row r="956" spans="1:6" s="88" customFormat="1" ht="13.2" thickBot="1" x14ac:dyDescent="0.6">
      <c r="A956" s="105">
        <v>944</v>
      </c>
      <c r="B956" s="214">
        <v>10</v>
      </c>
      <c r="C956" s="226" t="s">
        <v>2656</v>
      </c>
      <c r="D956" s="226" t="s">
        <v>1388</v>
      </c>
      <c r="E956" s="232" t="s">
        <v>509</v>
      </c>
      <c r="F956" s="104" t="s">
        <v>505</v>
      </c>
    </row>
    <row r="957" spans="1:6" s="88" customFormat="1" ht="13.2" thickBot="1" x14ac:dyDescent="0.6">
      <c r="A957" s="105">
        <v>945</v>
      </c>
      <c r="B957" s="214">
        <v>10</v>
      </c>
      <c r="C957" s="226" t="s">
        <v>2656</v>
      </c>
      <c r="D957" s="226" t="s">
        <v>1388</v>
      </c>
      <c r="E957" s="232" t="s">
        <v>509</v>
      </c>
      <c r="F957" s="104" t="s">
        <v>505</v>
      </c>
    </row>
    <row r="958" spans="1:6" s="88" customFormat="1" ht="13.2" thickBot="1" x14ac:dyDescent="0.6">
      <c r="A958" s="105">
        <v>946</v>
      </c>
      <c r="B958" s="214">
        <v>10</v>
      </c>
      <c r="C958" s="226" t="s">
        <v>2656</v>
      </c>
      <c r="D958" s="226" t="s">
        <v>1388</v>
      </c>
      <c r="E958" s="232" t="s">
        <v>509</v>
      </c>
      <c r="F958" s="104" t="s">
        <v>505</v>
      </c>
    </row>
    <row r="959" spans="1:6" s="88" customFormat="1" ht="13.2" thickBot="1" x14ac:dyDescent="0.6">
      <c r="A959" s="105">
        <v>947</v>
      </c>
      <c r="B959" s="213">
        <v>10</v>
      </c>
      <c r="C959" s="225" t="s">
        <v>2657</v>
      </c>
      <c r="D959" s="225" t="s">
        <v>1389</v>
      </c>
      <c r="E959" s="232" t="s">
        <v>509</v>
      </c>
      <c r="F959" s="104" t="s">
        <v>505</v>
      </c>
    </row>
    <row r="960" spans="1:6" s="88" customFormat="1" ht="13.2" thickBot="1" x14ac:dyDescent="0.6">
      <c r="A960" s="105">
        <v>948</v>
      </c>
      <c r="B960" s="213">
        <v>10</v>
      </c>
      <c r="C960" s="225" t="s">
        <v>520</v>
      </c>
      <c r="D960" s="225" t="s">
        <v>520</v>
      </c>
      <c r="E960" s="232" t="s">
        <v>509</v>
      </c>
      <c r="F960" s="104" t="s">
        <v>505</v>
      </c>
    </row>
    <row r="961" spans="1:6" s="88" customFormat="1" ht="13.2" thickBot="1" x14ac:dyDescent="0.6">
      <c r="A961" s="105">
        <v>949</v>
      </c>
      <c r="B961" s="214">
        <v>10</v>
      </c>
      <c r="C961" s="225" t="s">
        <v>2658</v>
      </c>
      <c r="D961" s="225" t="s">
        <v>1390</v>
      </c>
      <c r="E961" s="232" t="s">
        <v>509</v>
      </c>
      <c r="F961" s="104" t="s">
        <v>505</v>
      </c>
    </row>
    <row r="962" spans="1:6" s="88" customFormat="1" ht="13.2" thickBot="1" x14ac:dyDescent="0.6">
      <c r="A962" s="105">
        <v>950</v>
      </c>
      <c r="B962" s="216" t="s">
        <v>523</v>
      </c>
      <c r="C962" s="224" t="s">
        <v>261</v>
      </c>
      <c r="D962" s="224" t="s">
        <v>261</v>
      </c>
      <c r="E962" s="232" t="e">
        <v>#N/A</v>
      </c>
      <c r="F962" s="104" t="s">
        <v>2433</v>
      </c>
    </row>
    <row r="963" spans="1:6" s="88" customFormat="1" ht="13.2" thickBot="1" x14ac:dyDescent="0.6">
      <c r="A963" s="105">
        <v>951</v>
      </c>
      <c r="B963" s="218" t="s">
        <v>523</v>
      </c>
      <c r="C963" s="226" t="s">
        <v>1391</v>
      </c>
      <c r="D963" s="226" t="s">
        <v>1391</v>
      </c>
      <c r="E963" s="232" t="s">
        <v>2429</v>
      </c>
      <c r="F963" s="104" t="s">
        <v>524</v>
      </c>
    </row>
    <row r="964" spans="1:6" s="88" customFormat="1" ht="13.2" thickBot="1" x14ac:dyDescent="0.6">
      <c r="A964" s="105">
        <v>952</v>
      </c>
      <c r="B964" s="217" t="s">
        <v>523</v>
      </c>
      <c r="C964" s="225" t="s">
        <v>1392</v>
      </c>
      <c r="D964" s="225" t="s">
        <v>1392</v>
      </c>
      <c r="E964" s="232" t="s">
        <v>2429</v>
      </c>
      <c r="F964" s="104" t="s">
        <v>524</v>
      </c>
    </row>
    <row r="965" spans="1:6" s="88" customFormat="1" ht="26.1" thickBot="1" x14ac:dyDescent="0.6">
      <c r="A965" s="105">
        <v>953</v>
      </c>
      <c r="B965" s="217" t="s">
        <v>523</v>
      </c>
      <c r="C965" s="225" t="s">
        <v>2659</v>
      </c>
      <c r="D965" s="225" t="s">
        <v>1393</v>
      </c>
      <c r="E965" s="232" t="s">
        <v>2429</v>
      </c>
      <c r="F965" s="104" t="s">
        <v>524</v>
      </c>
    </row>
    <row r="966" spans="1:6" s="88" customFormat="1" ht="13.2" thickBot="1" x14ac:dyDescent="0.6">
      <c r="A966" s="105">
        <v>954</v>
      </c>
      <c r="B966" s="217" t="s">
        <v>523</v>
      </c>
      <c r="C966" s="225" t="s">
        <v>2660</v>
      </c>
      <c r="D966" s="225" t="s">
        <v>1394</v>
      </c>
      <c r="E966" s="232" t="s">
        <v>2429</v>
      </c>
      <c r="F966" s="104" t="s">
        <v>524</v>
      </c>
    </row>
    <row r="967" spans="1:6" s="88" customFormat="1" ht="26.1" thickBot="1" x14ac:dyDescent="0.6">
      <c r="A967" s="105">
        <v>955</v>
      </c>
      <c r="B967" s="217" t="s">
        <v>523</v>
      </c>
      <c r="C967" s="225" t="s">
        <v>2661</v>
      </c>
      <c r="D967" s="225" t="s">
        <v>1395</v>
      </c>
      <c r="E967" s="232" t="s">
        <v>2429</v>
      </c>
      <c r="F967" s="104" t="s">
        <v>524</v>
      </c>
    </row>
    <row r="968" spans="1:6" s="88" customFormat="1" ht="13.2" thickBot="1" x14ac:dyDescent="0.6">
      <c r="A968" s="105">
        <v>956</v>
      </c>
      <c r="B968" s="217" t="s">
        <v>523</v>
      </c>
      <c r="C968" s="225" t="s">
        <v>1396</v>
      </c>
      <c r="D968" s="225" t="s">
        <v>1396</v>
      </c>
      <c r="E968" s="232" t="s">
        <v>2429</v>
      </c>
      <c r="F968" s="104" t="s">
        <v>524</v>
      </c>
    </row>
    <row r="969" spans="1:6" s="88" customFormat="1" ht="13.2" thickBot="1" x14ac:dyDescent="0.6">
      <c r="A969" s="105">
        <v>957</v>
      </c>
      <c r="B969" s="217" t="s">
        <v>523</v>
      </c>
      <c r="C969" s="225" t="s">
        <v>1397</v>
      </c>
      <c r="D969" s="225" t="s">
        <v>1397</v>
      </c>
      <c r="E969" s="232" t="s">
        <v>2429</v>
      </c>
      <c r="F969" s="104" t="s">
        <v>524</v>
      </c>
    </row>
    <row r="970" spans="1:6" s="88" customFormat="1" ht="13.2" thickBot="1" x14ac:dyDescent="0.6">
      <c r="A970" s="105">
        <v>958</v>
      </c>
      <c r="B970" s="218" t="s">
        <v>523</v>
      </c>
      <c r="C970" s="226" t="s">
        <v>1398</v>
      </c>
      <c r="D970" s="226" t="s">
        <v>1398</v>
      </c>
      <c r="E970" s="232" t="s">
        <v>2429</v>
      </c>
      <c r="F970" s="104" t="s">
        <v>524</v>
      </c>
    </row>
    <row r="971" spans="1:6" s="88" customFormat="1" ht="13.2" thickBot="1" x14ac:dyDescent="0.6">
      <c r="A971" s="105">
        <v>959</v>
      </c>
      <c r="B971" s="218" t="s">
        <v>523</v>
      </c>
      <c r="C971" s="226" t="s">
        <v>1398</v>
      </c>
      <c r="D971" s="226" t="s">
        <v>1398</v>
      </c>
      <c r="E971" s="232" t="s">
        <v>2429</v>
      </c>
      <c r="F971" s="104" t="s">
        <v>524</v>
      </c>
    </row>
    <row r="972" spans="1:6" s="88" customFormat="1" ht="26.1" thickBot="1" x14ac:dyDescent="0.6">
      <c r="A972" s="105">
        <v>960</v>
      </c>
      <c r="B972" s="218" t="s">
        <v>523</v>
      </c>
      <c r="C972" s="225" t="s">
        <v>2662</v>
      </c>
      <c r="D972" s="225" t="s">
        <v>1399</v>
      </c>
      <c r="E972" s="232" t="s">
        <v>2429</v>
      </c>
      <c r="F972" s="104" t="s">
        <v>524</v>
      </c>
    </row>
    <row r="973" spans="1:6" s="88" customFormat="1" ht="13.2" thickBot="1" x14ac:dyDescent="0.6">
      <c r="A973" s="105">
        <v>961</v>
      </c>
      <c r="B973" s="217" t="s">
        <v>523</v>
      </c>
      <c r="C973" s="225" t="s">
        <v>2663</v>
      </c>
      <c r="D973" s="225" t="s">
        <v>1400</v>
      </c>
      <c r="E973" s="232" t="s">
        <v>2429</v>
      </c>
      <c r="F973" s="104" t="s">
        <v>524</v>
      </c>
    </row>
    <row r="974" spans="1:6" x14ac:dyDescent="0.55000000000000004">
      <c r="A974" s="105"/>
      <c r="B974" s="217" t="s">
        <v>523</v>
      </c>
      <c r="C974" s="225" t="s">
        <v>1401</v>
      </c>
      <c r="D974" s="225" t="s">
        <v>1401</v>
      </c>
      <c r="E974" s="232" t="s">
        <v>2429</v>
      </c>
      <c r="F974" s="104" t="s">
        <v>524</v>
      </c>
    </row>
    <row r="975" spans="1:6" ht="26.1" thickBot="1" x14ac:dyDescent="0.6">
      <c r="B975" s="217" t="s">
        <v>523</v>
      </c>
      <c r="C975" s="225" t="s">
        <v>2664</v>
      </c>
      <c r="D975" s="225" t="s">
        <v>1402</v>
      </c>
      <c r="E975" s="232" t="s">
        <v>2429</v>
      </c>
      <c r="F975" s="107" t="s">
        <v>524</v>
      </c>
    </row>
    <row r="976" spans="1:6" ht="25.8" x14ac:dyDescent="0.55000000000000004">
      <c r="B976" s="217" t="s">
        <v>523</v>
      </c>
      <c r="C976" s="225" t="s">
        <v>2665</v>
      </c>
      <c r="D976" s="225" t="s">
        <v>1403</v>
      </c>
      <c r="E976" s="232" t="s">
        <v>2429</v>
      </c>
      <c r="F976" s="104" t="s">
        <v>524</v>
      </c>
    </row>
    <row r="977" spans="2:6" ht="14.4" x14ac:dyDescent="0.55000000000000004">
      <c r="B977" s="217" t="s">
        <v>523</v>
      </c>
      <c r="C977" s="225" t="s">
        <v>531</v>
      </c>
      <c r="D977" s="225" t="s">
        <v>531</v>
      </c>
      <c r="E977" s="232" t="s">
        <v>2429</v>
      </c>
      <c r="F977" s="107" t="s">
        <v>524</v>
      </c>
    </row>
    <row r="978" spans="2:6" ht="14.4" x14ac:dyDescent="0.55000000000000004">
      <c r="B978" s="212">
        <v>11</v>
      </c>
      <c r="C978" s="224" t="s">
        <v>532</v>
      </c>
      <c r="D978" s="224" t="s">
        <v>532</v>
      </c>
      <c r="E978" s="232" t="e">
        <v>#N/A</v>
      </c>
      <c r="F978" s="107" t="s">
        <v>2433</v>
      </c>
    </row>
    <row r="979" spans="2:6" ht="14.4" x14ac:dyDescent="0.55000000000000004">
      <c r="B979" s="214">
        <v>11</v>
      </c>
      <c r="C979" s="226" t="s">
        <v>525</v>
      </c>
      <c r="D979" s="226" t="s">
        <v>525</v>
      </c>
      <c r="E979" s="232" t="s">
        <v>2429</v>
      </c>
      <c r="F979" s="107" t="s">
        <v>524</v>
      </c>
    </row>
    <row r="980" spans="2:6" ht="14.4" x14ac:dyDescent="0.55000000000000004">
      <c r="B980" s="213">
        <v>11</v>
      </c>
      <c r="C980" s="225" t="s">
        <v>527</v>
      </c>
      <c r="D980" s="225" t="s">
        <v>527</v>
      </c>
      <c r="E980" s="232" t="s">
        <v>2429</v>
      </c>
      <c r="F980" s="107" t="s">
        <v>524</v>
      </c>
    </row>
    <row r="981" spans="2:6" ht="14.4" x14ac:dyDescent="0.55000000000000004">
      <c r="B981" s="213">
        <v>11</v>
      </c>
      <c r="C981" s="225" t="s">
        <v>528</v>
      </c>
      <c r="D981" s="225" t="s">
        <v>528</v>
      </c>
      <c r="E981" s="232" t="s">
        <v>2429</v>
      </c>
      <c r="F981" s="107" t="s">
        <v>524</v>
      </c>
    </row>
    <row r="982" spans="2:6" ht="14.4" x14ac:dyDescent="0.55000000000000004">
      <c r="B982" s="213">
        <v>11</v>
      </c>
      <c r="C982" s="225" t="s">
        <v>529</v>
      </c>
      <c r="D982" s="225" t="s">
        <v>529</v>
      </c>
      <c r="E982" s="232" t="s">
        <v>2429</v>
      </c>
      <c r="F982" s="107" t="s">
        <v>524</v>
      </c>
    </row>
    <row r="983" spans="2:6" ht="14.7" thickBot="1" x14ac:dyDescent="0.6">
      <c r="B983" s="214">
        <v>11</v>
      </c>
      <c r="C983" s="226" t="s">
        <v>526</v>
      </c>
      <c r="D983" s="226" t="s">
        <v>526</v>
      </c>
      <c r="E983" s="232" t="s">
        <v>2429</v>
      </c>
      <c r="F983" s="107" t="s">
        <v>524</v>
      </c>
    </row>
    <row r="984" spans="2:6" ht="13.2" thickBot="1" x14ac:dyDescent="0.6">
      <c r="B984" s="214">
        <v>11</v>
      </c>
      <c r="C984" s="226" t="s">
        <v>526</v>
      </c>
      <c r="D984" s="226" t="s">
        <v>526</v>
      </c>
      <c r="E984" s="232" t="s">
        <v>2429</v>
      </c>
      <c r="F984" s="104" t="s">
        <v>524</v>
      </c>
    </row>
    <row r="985" spans="2:6" x14ac:dyDescent="0.55000000000000004">
      <c r="B985" s="214">
        <v>11</v>
      </c>
      <c r="C985" s="225" t="s">
        <v>533</v>
      </c>
      <c r="D985" s="225" t="s">
        <v>533</v>
      </c>
      <c r="E985" s="232" t="s">
        <v>2429</v>
      </c>
      <c r="F985" s="104" t="s">
        <v>524</v>
      </c>
    </row>
    <row r="986" spans="2:6" ht="14.4" x14ac:dyDescent="0.55000000000000004">
      <c r="B986" s="213">
        <v>11</v>
      </c>
      <c r="C986" s="225" t="s">
        <v>530</v>
      </c>
      <c r="D986" s="225" t="s">
        <v>530</v>
      </c>
      <c r="E986" s="232" t="s">
        <v>2429</v>
      </c>
      <c r="F986" s="107" t="s">
        <v>524</v>
      </c>
    </row>
    <row r="987" spans="2:6" ht="14.4" x14ac:dyDescent="0.55000000000000004">
      <c r="B987" s="216" t="s">
        <v>534</v>
      </c>
      <c r="C987" s="224" t="s">
        <v>262</v>
      </c>
      <c r="D987" s="224" t="s">
        <v>262</v>
      </c>
      <c r="E987" s="232" t="e">
        <v>#N/A</v>
      </c>
      <c r="F987" s="107" t="s">
        <v>2433</v>
      </c>
    </row>
    <row r="988" spans="2:6" ht="14.7" thickBot="1" x14ac:dyDescent="0.6">
      <c r="B988" s="221" t="s">
        <v>534</v>
      </c>
      <c r="C988" s="225" t="s">
        <v>2666</v>
      </c>
      <c r="D988" s="225" t="s">
        <v>1404</v>
      </c>
      <c r="E988" s="232" t="s">
        <v>2429</v>
      </c>
      <c r="F988" s="107" t="s">
        <v>524</v>
      </c>
    </row>
    <row r="989" spans="2:6" ht="25.8" x14ac:dyDescent="0.55000000000000004">
      <c r="B989" s="220" t="s">
        <v>534</v>
      </c>
      <c r="C989" s="225" t="s">
        <v>2667</v>
      </c>
      <c r="D989" s="225" t="s">
        <v>1405</v>
      </c>
      <c r="E989" s="232" t="s">
        <v>2429</v>
      </c>
      <c r="F989" s="104" t="s">
        <v>524</v>
      </c>
    </row>
    <row r="990" spans="2:6" ht="25.8" x14ac:dyDescent="0.55000000000000004">
      <c r="B990" s="220" t="s">
        <v>534</v>
      </c>
      <c r="C990" s="225" t="s">
        <v>2668</v>
      </c>
      <c r="D990" s="225" t="s">
        <v>1406</v>
      </c>
      <c r="E990" s="232" t="s">
        <v>2429</v>
      </c>
      <c r="F990" s="107" t="s">
        <v>524</v>
      </c>
    </row>
    <row r="991" spans="2:6" ht="14.4" x14ac:dyDescent="0.55000000000000004">
      <c r="B991" s="220" t="s">
        <v>534</v>
      </c>
      <c r="C991" s="225" t="s">
        <v>2669</v>
      </c>
      <c r="D991" s="225" t="s">
        <v>1407</v>
      </c>
      <c r="E991" s="232" t="s">
        <v>2429</v>
      </c>
      <c r="F991" s="107" t="s">
        <v>524</v>
      </c>
    </row>
    <row r="992" spans="2:6" ht="14.4" x14ac:dyDescent="0.55000000000000004">
      <c r="B992" s="220" t="s">
        <v>534</v>
      </c>
      <c r="C992" s="225" t="s">
        <v>2670</v>
      </c>
      <c r="D992" s="225" t="s">
        <v>1408</v>
      </c>
      <c r="E992" s="232" t="s">
        <v>2429</v>
      </c>
      <c r="F992" s="107" t="s">
        <v>524</v>
      </c>
    </row>
    <row r="993" spans="2:6" ht="14.4" x14ac:dyDescent="0.55000000000000004">
      <c r="B993" s="221" t="s">
        <v>534</v>
      </c>
      <c r="C993" s="226" t="s">
        <v>2671</v>
      </c>
      <c r="D993" s="226" t="s">
        <v>1409</v>
      </c>
      <c r="E993" s="232" t="s">
        <v>2429</v>
      </c>
      <c r="F993" s="107" t="s">
        <v>524</v>
      </c>
    </row>
    <row r="994" spans="2:6" ht="14.4" x14ac:dyDescent="0.55000000000000004">
      <c r="B994" s="221" t="s">
        <v>534</v>
      </c>
      <c r="C994" s="226" t="s">
        <v>2672</v>
      </c>
      <c r="D994" s="226" t="s">
        <v>1410</v>
      </c>
      <c r="E994" s="232" t="s">
        <v>2429</v>
      </c>
      <c r="F994" s="107" t="s">
        <v>524</v>
      </c>
    </row>
    <row r="995" spans="2:6" ht="14.4" x14ac:dyDescent="0.55000000000000004">
      <c r="B995" s="220" t="s">
        <v>534</v>
      </c>
      <c r="C995" s="225" t="s">
        <v>2673</v>
      </c>
      <c r="D995" s="225" t="s">
        <v>1411</v>
      </c>
      <c r="E995" s="232" t="s">
        <v>2429</v>
      </c>
      <c r="F995" s="107" t="s">
        <v>524</v>
      </c>
    </row>
    <row r="996" spans="2:6" ht="25.8" x14ac:dyDescent="0.55000000000000004">
      <c r="B996" s="221" t="s">
        <v>534</v>
      </c>
      <c r="C996" s="225" t="s">
        <v>2674</v>
      </c>
      <c r="D996" s="225" t="s">
        <v>1412</v>
      </c>
      <c r="E996" s="232" t="s">
        <v>2429</v>
      </c>
      <c r="F996" s="107" t="s">
        <v>524</v>
      </c>
    </row>
    <row r="997" spans="2:6" ht="25.8" x14ac:dyDescent="0.55000000000000004">
      <c r="B997" s="221" t="s">
        <v>534</v>
      </c>
      <c r="C997" s="226" t="s">
        <v>2675</v>
      </c>
      <c r="D997" s="226" t="s">
        <v>1413</v>
      </c>
      <c r="E997" s="232" t="s">
        <v>2429</v>
      </c>
      <c r="F997" s="107" t="s">
        <v>524</v>
      </c>
    </row>
    <row r="998" spans="2:6" ht="14.4" x14ac:dyDescent="0.55000000000000004">
      <c r="B998" s="221" t="s">
        <v>534</v>
      </c>
      <c r="C998" s="226" t="s">
        <v>1414</v>
      </c>
      <c r="D998" s="226" t="s">
        <v>1414</v>
      </c>
      <c r="E998" s="232" t="s">
        <v>2429</v>
      </c>
      <c r="F998" s="107" t="s">
        <v>524</v>
      </c>
    </row>
    <row r="999" spans="2:6" ht="14.4" x14ac:dyDescent="0.55000000000000004">
      <c r="B999" s="221" t="s">
        <v>534</v>
      </c>
      <c r="C999" s="226" t="s">
        <v>541</v>
      </c>
      <c r="D999" s="226" t="s">
        <v>1415</v>
      </c>
      <c r="E999" s="232" t="s">
        <v>2429</v>
      </c>
      <c r="F999" s="107" t="s">
        <v>524</v>
      </c>
    </row>
    <row r="1000" spans="2:6" ht="14.7" thickBot="1" x14ac:dyDescent="0.6">
      <c r="B1000" s="221" t="s">
        <v>534</v>
      </c>
      <c r="C1000" s="225" t="s">
        <v>2676</v>
      </c>
      <c r="D1000" s="225" t="s">
        <v>1416</v>
      </c>
      <c r="E1000" s="232" t="s">
        <v>2429</v>
      </c>
      <c r="F1000" s="107" t="s">
        <v>524</v>
      </c>
    </row>
    <row r="1001" spans="2:6" x14ac:dyDescent="0.55000000000000004">
      <c r="B1001" s="221" t="s">
        <v>534</v>
      </c>
      <c r="C1001" s="225" t="s">
        <v>2677</v>
      </c>
      <c r="D1001" s="225" t="s">
        <v>1417</v>
      </c>
      <c r="E1001" s="232" t="s">
        <v>2429</v>
      </c>
      <c r="F1001" s="104" t="s">
        <v>524</v>
      </c>
    </row>
    <row r="1002" spans="2:6" ht="14.4" x14ac:dyDescent="0.55000000000000004">
      <c r="B1002" s="221" t="s">
        <v>534</v>
      </c>
      <c r="C1002" s="225" t="s">
        <v>2678</v>
      </c>
      <c r="D1002" s="225" t="s">
        <v>1418</v>
      </c>
      <c r="E1002" s="232" t="s">
        <v>2429</v>
      </c>
      <c r="F1002" s="107" t="s">
        <v>524</v>
      </c>
    </row>
    <row r="1003" spans="2:6" ht="14.4" x14ac:dyDescent="0.55000000000000004">
      <c r="B1003" s="221" t="s">
        <v>534</v>
      </c>
      <c r="C1003" s="225" t="s">
        <v>2679</v>
      </c>
      <c r="D1003" s="225" t="s">
        <v>1419</v>
      </c>
      <c r="E1003" s="232" t="s">
        <v>2429</v>
      </c>
      <c r="F1003" s="107" t="s">
        <v>524</v>
      </c>
    </row>
    <row r="1004" spans="2:6" ht="25.8" x14ac:dyDescent="0.55000000000000004">
      <c r="B1004" s="221" t="s">
        <v>534</v>
      </c>
      <c r="C1004" s="225" t="s">
        <v>2680</v>
      </c>
      <c r="D1004" s="225" t="s">
        <v>1420</v>
      </c>
      <c r="E1004" s="232" t="s">
        <v>2429</v>
      </c>
      <c r="F1004" s="107" t="s">
        <v>524</v>
      </c>
    </row>
    <row r="1005" spans="2:6" ht="25.8" x14ac:dyDescent="0.55000000000000004">
      <c r="B1005" s="221" t="s">
        <v>534</v>
      </c>
      <c r="C1005" s="225" t="s">
        <v>2681</v>
      </c>
      <c r="D1005" s="225" t="s">
        <v>1421</v>
      </c>
      <c r="E1005" s="232" t="s">
        <v>2429</v>
      </c>
      <c r="F1005" s="107" t="s">
        <v>524</v>
      </c>
    </row>
    <row r="1006" spans="2:6" ht="25.8" x14ac:dyDescent="0.55000000000000004">
      <c r="B1006" s="221" t="s">
        <v>534</v>
      </c>
      <c r="C1006" s="225" t="s">
        <v>2682</v>
      </c>
      <c r="D1006" s="225" t="s">
        <v>1422</v>
      </c>
      <c r="E1006" s="232" t="s">
        <v>2429</v>
      </c>
      <c r="F1006" s="107" t="s">
        <v>524</v>
      </c>
    </row>
    <row r="1007" spans="2:6" ht="14.4" x14ac:dyDescent="0.55000000000000004">
      <c r="B1007" s="221" t="s">
        <v>534</v>
      </c>
      <c r="C1007" s="225" t="s">
        <v>2683</v>
      </c>
      <c r="D1007" s="225" t="s">
        <v>1423</v>
      </c>
      <c r="E1007" s="232" t="s">
        <v>2429</v>
      </c>
      <c r="F1007" s="107" t="s">
        <v>524</v>
      </c>
    </row>
    <row r="1008" spans="2:6" ht="25.8" x14ac:dyDescent="0.55000000000000004">
      <c r="B1008" s="221" t="s">
        <v>534</v>
      </c>
      <c r="C1008" s="226" t="s">
        <v>2684</v>
      </c>
      <c r="D1008" s="226" t="s">
        <v>1424</v>
      </c>
      <c r="E1008" s="232" t="s">
        <v>2429</v>
      </c>
      <c r="F1008" s="107" t="s">
        <v>524</v>
      </c>
    </row>
    <row r="1009" spans="2:6" x14ac:dyDescent="0.55000000000000004">
      <c r="B1009" s="220" t="s">
        <v>534</v>
      </c>
      <c r="C1009" s="225" t="s">
        <v>2685</v>
      </c>
      <c r="D1009" s="225" t="s">
        <v>1425</v>
      </c>
      <c r="E1009" s="232" t="s">
        <v>2429</v>
      </c>
      <c r="F1009" s="90" t="s">
        <v>524</v>
      </c>
    </row>
    <row r="1010" spans="2:6" ht="14.4" x14ac:dyDescent="0.55000000000000004">
      <c r="B1010" s="220" t="s">
        <v>534</v>
      </c>
      <c r="C1010" s="225" t="s">
        <v>2686</v>
      </c>
      <c r="D1010" s="225" t="s">
        <v>1426</v>
      </c>
      <c r="E1010" s="232" t="s">
        <v>2429</v>
      </c>
      <c r="F1010" s="107" t="s">
        <v>524</v>
      </c>
    </row>
    <row r="1011" spans="2:6" x14ac:dyDescent="0.55000000000000004">
      <c r="B1011" s="223" t="s">
        <v>921</v>
      </c>
      <c r="C1011" s="227" t="s">
        <v>535</v>
      </c>
      <c r="D1011" s="227" t="s">
        <v>535</v>
      </c>
      <c r="E1011" s="232" t="e">
        <v>#N/A</v>
      </c>
      <c r="F1011" s="90" t="s">
        <v>2433</v>
      </c>
    </row>
    <row r="1012" spans="2:6" x14ac:dyDescent="0.55000000000000004">
      <c r="B1012" s="220" t="s">
        <v>921</v>
      </c>
      <c r="C1012" s="225" t="s">
        <v>537</v>
      </c>
      <c r="D1012" s="225" t="s">
        <v>537</v>
      </c>
      <c r="E1012" s="232" t="s">
        <v>2429</v>
      </c>
      <c r="F1012" s="90" t="s">
        <v>524</v>
      </c>
    </row>
    <row r="1013" spans="2:6" x14ac:dyDescent="0.55000000000000004">
      <c r="B1013" s="221" t="s">
        <v>921</v>
      </c>
      <c r="C1013" s="225" t="s">
        <v>2687</v>
      </c>
      <c r="D1013" s="225" t="s">
        <v>1427</v>
      </c>
      <c r="E1013" s="232" t="s">
        <v>2429</v>
      </c>
      <c r="F1013" s="90" t="s">
        <v>524</v>
      </c>
    </row>
    <row r="1014" spans="2:6" x14ac:dyDescent="0.55000000000000004">
      <c r="B1014" s="221" t="s">
        <v>921</v>
      </c>
      <c r="C1014" s="225" t="s">
        <v>2687</v>
      </c>
      <c r="D1014" s="225" t="s">
        <v>1428</v>
      </c>
      <c r="E1014" s="232" t="s">
        <v>2429</v>
      </c>
      <c r="F1014" s="90" t="s">
        <v>524</v>
      </c>
    </row>
    <row r="1015" spans="2:6" x14ac:dyDescent="0.55000000000000004">
      <c r="B1015" s="221" t="s">
        <v>921</v>
      </c>
      <c r="C1015" s="226" t="s">
        <v>2687</v>
      </c>
      <c r="D1015" s="226" t="s">
        <v>1429</v>
      </c>
      <c r="E1015" s="232" t="s">
        <v>2429</v>
      </c>
      <c r="F1015" s="90" t="s">
        <v>524</v>
      </c>
    </row>
    <row r="1016" spans="2:6" x14ac:dyDescent="0.55000000000000004">
      <c r="B1016" s="221" t="s">
        <v>921</v>
      </c>
      <c r="C1016" s="226" t="s">
        <v>2687</v>
      </c>
      <c r="D1016" s="226" t="s">
        <v>1430</v>
      </c>
      <c r="E1016" s="232" t="s">
        <v>2429</v>
      </c>
      <c r="F1016" s="90" t="s">
        <v>524</v>
      </c>
    </row>
    <row r="1017" spans="2:6" x14ac:dyDescent="0.55000000000000004">
      <c r="B1017" s="223" t="s">
        <v>922</v>
      </c>
      <c r="C1017" s="227" t="s">
        <v>536</v>
      </c>
      <c r="D1017" s="227" t="s">
        <v>536</v>
      </c>
      <c r="E1017" s="232" t="e">
        <v>#N/A</v>
      </c>
      <c r="F1017" s="90" t="s">
        <v>2433</v>
      </c>
    </row>
    <row r="1018" spans="2:6" x14ac:dyDescent="0.55000000000000004">
      <c r="B1018" s="221" t="s">
        <v>922</v>
      </c>
      <c r="C1018" s="226" t="s">
        <v>538</v>
      </c>
      <c r="D1018" s="226" t="s">
        <v>538</v>
      </c>
      <c r="E1018" s="232" t="s">
        <v>2429</v>
      </c>
      <c r="F1018" s="90" t="s">
        <v>524</v>
      </c>
    </row>
    <row r="1019" spans="2:6" x14ac:dyDescent="0.55000000000000004">
      <c r="B1019" s="221" t="s">
        <v>922</v>
      </c>
      <c r="C1019" s="226" t="s">
        <v>538</v>
      </c>
      <c r="D1019" s="226" t="s">
        <v>538</v>
      </c>
      <c r="E1019" s="232" t="s">
        <v>2429</v>
      </c>
      <c r="F1019" s="90" t="s">
        <v>524</v>
      </c>
    </row>
    <row r="1020" spans="2:6" x14ac:dyDescent="0.55000000000000004">
      <c r="B1020" s="221" t="s">
        <v>922</v>
      </c>
      <c r="C1020" s="225" t="s">
        <v>539</v>
      </c>
      <c r="D1020" s="225" t="s">
        <v>539</v>
      </c>
      <c r="E1020" s="232" t="s">
        <v>2429</v>
      </c>
      <c r="F1020" s="90" t="s">
        <v>524</v>
      </c>
    </row>
    <row r="1021" spans="2:6" x14ac:dyDescent="0.55000000000000004">
      <c r="B1021" s="223" t="s">
        <v>923</v>
      </c>
      <c r="C1021" s="227" t="s">
        <v>540</v>
      </c>
      <c r="D1021" s="227" t="s">
        <v>540</v>
      </c>
      <c r="E1021" s="232" t="e">
        <v>#N/A</v>
      </c>
      <c r="F1021" s="90" t="s">
        <v>2433</v>
      </c>
    </row>
    <row r="1022" spans="2:6" x14ac:dyDescent="0.55000000000000004">
      <c r="B1022" s="221" t="s">
        <v>923</v>
      </c>
      <c r="C1022" s="225" t="s">
        <v>543</v>
      </c>
      <c r="D1022" s="225" t="s">
        <v>543</v>
      </c>
      <c r="E1022" s="232" t="s">
        <v>2429</v>
      </c>
      <c r="F1022" s="89" t="s">
        <v>524</v>
      </c>
    </row>
    <row r="1023" spans="2:6" x14ac:dyDescent="0.55000000000000004">
      <c r="B1023" s="220" t="s">
        <v>923</v>
      </c>
      <c r="C1023" s="225" t="s">
        <v>1431</v>
      </c>
      <c r="D1023" s="225" t="s">
        <v>1431</v>
      </c>
      <c r="E1023" s="232" t="s">
        <v>2429</v>
      </c>
      <c r="F1023" s="89" t="s">
        <v>524</v>
      </c>
    </row>
    <row r="1024" spans="2:6" x14ac:dyDescent="0.55000000000000004">
      <c r="B1024" s="220" t="s">
        <v>923</v>
      </c>
      <c r="C1024" s="225" t="s">
        <v>1432</v>
      </c>
      <c r="D1024" s="225" t="s">
        <v>1432</v>
      </c>
      <c r="E1024" s="232" t="s">
        <v>2429</v>
      </c>
      <c r="F1024" s="89" t="s">
        <v>524</v>
      </c>
    </row>
    <row r="1025" spans="2:6" x14ac:dyDescent="0.55000000000000004">
      <c r="B1025" s="221" t="s">
        <v>923</v>
      </c>
      <c r="C1025" s="226" t="s">
        <v>1414</v>
      </c>
      <c r="D1025" s="226" t="s">
        <v>1414</v>
      </c>
      <c r="E1025" s="232" t="s">
        <v>2429</v>
      </c>
      <c r="F1025" s="89" t="s">
        <v>524</v>
      </c>
    </row>
    <row r="1026" spans="2:6" x14ac:dyDescent="0.55000000000000004">
      <c r="B1026" s="221" t="s">
        <v>923</v>
      </c>
      <c r="C1026" s="226" t="s">
        <v>1433</v>
      </c>
      <c r="D1026" s="226" t="s">
        <v>1433</v>
      </c>
      <c r="E1026" s="232" t="s">
        <v>2429</v>
      </c>
      <c r="F1026" s="89" t="s">
        <v>524</v>
      </c>
    </row>
    <row r="1027" spans="2:6" x14ac:dyDescent="0.55000000000000004">
      <c r="B1027" s="221" t="s">
        <v>923</v>
      </c>
      <c r="C1027" s="225" t="s">
        <v>1434</v>
      </c>
      <c r="D1027" s="225" t="s">
        <v>1434</v>
      </c>
      <c r="E1027" s="232" t="s">
        <v>2429</v>
      </c>
      <c r="F1027" s="89" t="s">
        <v>524</v>
      </c>
    </row>
    <row r="1028" spans="2:6" x14ac:dyDescent="0.55000000000000004">
      <c r="B1028" s="221" t="s">
        <v>923</v>
      </c>
      <c r="C1028" s="225" t="s">
        <v>1435</v>
      </c>
      <c r="D1028" s="225" t="s">
        <v>1435</v>
      </c>
      <c r="E1028" s="232" t="s">
        <v>2429</v>
      </c>
      <c r="F1028" s="89" t="s">
        <v>524</v>
      </c>
    </row>
    <row r="1029" spans="2:6" x14ac:dyDescent="0.55000000000000004">
      <c r="B1029" s="221" t="s">
        <v>923</v>
      </c>
      <c r="C1029" s="225" t="s">
        <v>1436</v>
      </c>
      <c r="D1029" s="225" t="s">
        <v>1436</v>
      </c>
      <c r="E1029" s="232" t="s">
        <v>2429</v>
      </c>
      <c r="F1029" s="89" t="s">
        <v>524</v>
      </c>
    </row>
    <row r="1030" spans="2:6" x14ac:dyDescent="0.55000000000000004">
      <c r="B1030" s="221" t="s">
        <v>923</v>
      </c>
      <c r="C1030" s="225" t="s">
        <v>1437</v>
      </c>
      <c r="D1030" s="225" t="s">
        <v>1437</v>
      </c>
      <c r="E1030" s="232" t="s">
        <v>2429</v>
      </c>
      <c r="F1030" s="89" t="s">
        <v>524</v>
      </c>
    </row>
    <row r="1031" spans="2:6" x14ac:dyDescent="0.55000000000000004">
      <c r="B1031" s="221" t="s">
        <v>923</v>
      </c>
      <c r="C1031" s="225" t="s">
        <v>1438</v>
      </c>
      <c r="D1031" s="225" t="s">
        <v>1438</v>
      </c>
      <c r="E1031" s="232" t="s">
        <v>2429</v>
      </c>
      <c r="F1031" s="89" t="s">
        <v>524</v>
      </c>
    </row>
    <row r="1032" spans="2:6" x14ac:dyDescent="0.55000000000000004">
      <c r="B1032" s="221" t="s">
        <v>923</v>
      </c>
      <c r="C1032" s="225" t="s">
        <v>1439</v>
      </c>
      <c r="D1032" s="225" t="s">
        <v>1439</v>
      </c>
      <c r="E1032" s="232" t="s">
        <v>2429</v>
      </c>
      <c r="F1032" s="89" t="s">
        <v>524</v>
      </c>
    </row>
    <row r="1033" spans="2:6" x14ac:dyDescent="0.55000000000000004">
      <c r="B1033" s="221" t="s">
        <v>923</v>
      </c>
      <c r="C1033" s="225" t="s">
        <v>1440</v>
      </c>
      <c r="D1033" s="225" t="s">
        <v>1440</v>
      </c>
      <c r="E1033" s="232" t="s">
        <v>2429</v>
      </c>
      <c r="F1033" s="89" t="s">
        <v>524</v>
      </c>
    </row>
    <row r="1034" spans="2:6" x14ac:dyDescent="0.55000000000000004">
      <c r="B1034" s="221" t="s">
        <v>923</v>
      </c>
      <c r="C1034" s="225" t="s">
        <v>1441</v>
      </c>
      <c r="D1034" s="225" t="s">
        <v>1441</v>
      </c>
      <c r="E1034" s="232" t="s">
        <v>2429</v>
      </c>
      <c r="F1034" s="89" t="s">
        <v>524</v>
      </c>
    </row>
    <row r="1035" spans="2:6" x14ac:dyDescent="0.55000000000000004">
      <c r="B1035" s="220" t="s">
        <v>923</v>
      </c>
      <c r="C1035" s="225" t="s">
        <v>544</v>
      </c>
      <c r="D1035" s="225" t="s">
        <v>544</v>
      </c>
      <c r="E1035" s="232" t="s">
        <v>2429</v>
      </c>
      <c r="F1035" s="89" t="s">
        <v>524</v>
      </c>
    </row>
    <row r="1036" spans="2:6" x14ac:dyDescent="0.55000000000000004">
      <c r="B1036" s="221" t="s">
        <v>923</v>
      </c>
      <c r="C1036" s="226" t="s">
        <v>1442</v>
      </c>
      <c r="D1036" s="226" t="s">
        <v>1442</v>
      </c>
      <c r="E1036" s="232" t="s">
        <v>2429</v>
      </c>
      <c r="F1036" s="89" t="s">
        <v>524</v>
      </c>
    </row>
    <row r="1037" spans="2:6" x14ac:dyDescent="0.55000000000000004">
      <c r="B1037" s="220" t="s">
        <v>923</v>
      </c>
      <c r="C1037" s="225" t="s">
        <v>545</v>
      </c>
      <c r="D1037" s="225" t="s">
        <v>545</v>
      </c>
      <c r="E1037" s="232" t="s">
        <v>2429</v>
      </c>
      <c r="F1037" s="89" t="s">
        <v>524</v>
      </c>
    </row>
    <row r="1038" spans="2:6" x14ac:dyDescent="0.55000000000000004">
      <c r="B1038" s="212">
        <v>12</v>
      </c>
      <c r="C1038" s="224" t="s">
        <v>546</v>
      </c>
      <c r="D1038" s="224" t="s">
        <v>546</v>
      </c>
      <c r="E1038" s="232" t="e">
        <v>#N/A</v>
      </c>
      <c r="F1038" s="89" t="s">
        <v>2433</v>
      </c>
    </row>
    <row r="1039" spans="2:6" x14ac:dyDescent="0.55000000000000004">
      <c r="B1039" s="214">
        <v>12</v>
      </c>
      <c r="C1039" s="225" t="s">
        <v>2666</v>
      </c>
      <c r="D1039" s="225" t="s">
        <v>1443</v>
      </c>
      <c r="E1039" s="232" t="s">
        <v>2429</v>
      </c>
      <c r="F1039" s="89" t="s">
        <v>524</v>
      </c>
    </row>
    <row r="1040" spans="2:6" x14ac:dyDescent="0.55000000000000004">
      <c r="B1040" s="214">
        <v>12</v>
      </c>
      <c r="C1040" s="226" t="s">
        <v>2688</v>
      </c>
      <c r="D1040" s="226" t="s">
        <v>1444</v>
      </c>
      <c r="E1040" s="232" t="s">
        <v>2429</v>
      </c>
      <c r="F1040" s="89" t="s">
        <v>524</v>
      </c>
    </row>
    <row r="1041" spans="2:6" x14ac:dyDescent="0.55000000000000004">
      <c r="B1041" s="214">
        <v>12</v>
      </c>
      <c r="C1041" s="226" t="s">
        <v>2689</v>
      </c>
      <c r="D1041" s="226" t="s">
        <v>1445</v>
      </c>
      <c r="E1041" s="232" t="s">
        <v>2429</v>
      </c>
      <c r="F1041" s="89" t="s">
        <v>524</v>
      </c>
    </row>
    <row r="1042" spans="2:6" x14ac:dyDescent="0.55000000000000004">
      <c r="B1042" s="214">
        <v>12</v>
      </c>
      <c r="C1042" s="225" t="s">
        <v>2674</v>
      </c>
      <c r="D1042" s="225" t="s">
        <v>1446</v>
      </c>
      <c r="E1042" s="232" t="s">
        <v>2429</v>
      </c>
      <c r="F1042" s="89" t="s">
        <v>524</v>
      </c>
    </row>
    <row r="1043" spans="2:6" x14ac:dyDescent="0.55000000000000004">
      <c r="B1043" s="214">
        <v>12</v>
      </c>
      <c r="C1043" s="226" t="s">
        <v>2675</v>
      </c>
      <c r="D1043" s="226" t="s">
        <v>1447</v>
      </c>
      <c r="E1043" s="232" t="s">
        <v>2429</v>
      </c>
      <c r="F1043" s="89" t="s">
        <v>524</v>
      </c>
    </row>
    <row r="1044" spans="2:6" x14ac:dyDescent="0.55000000000000004">
      <c r="B1044" s="214">
        <v>12</v>
      </c>
      <c r="C1044" s="226" t="s">
        <v>2675</v>
      </c>
      <c r="D1044" s="226" t="s">
        <v>1447</v>
      </c>
      <c r="E1044" s="232" t="s">
        <v>2429</v>
      </c>
      <c r="F1044" s="89" t="s">
        <v>524</v>
      </c>
    </row>
    <row r="1045" spans="2:6" x14ac:dyDescent="0.55000000000000004">
      <c r="B1045" s="221">
        <v>12</v>
      </c>
      <c r="C1045" s="225" t="s">
        <v>1414</v>
      </c>
      <c r="D1045" s="225" t="s">
        <v>1414</v>
      </c>
      <c r="E1045" s="232" t="s">
        <v>2429</v>
      </c>
      <c r="F1045" s="89" t="s">
        <v>524</v>
      </c>
    </row>
    <row r="1046" spans="2:6" x14ac:dyDescent="0.55000000000000004">
      <c r="B1046" s="214">
        <v>12</v>
      </c>
      <c r="C1046" s="226" t="s">
        <v>541</v>
      </c>
      <c r="D1046" s="226" t="s">
        <v>1448</v>
      </c>
      <c r="E1046" s="232" t="s">
        <v>2429</v>
      </c>
      <c r="F1046" s="89" t="s">
        <v>524</v>
      </c>
    </row>
    <row r="1047" spans="2:6" x14ac:dyDescent="0.55000000000000004">
      <c r="B1047" s="214">
        <v>12</v>
      </c>
      <c r="C1047" s="225" t="s">
        <v>2680</v>
      </c>
      <c r="D1047" s="225" t="s">
        <v>1449</v>
      </c>
      <c r="E1047" s="232" t="s">
        <v>2429</v>
      </c>
      <c r="F1047" s="89" t="s">
        <v>524</v>
      </c>
    </row>
    <row r="1048" spans="2:6" ht="25.8" x14ac:dyDescent="0.55000000000000004">
      <c r="B1048" s="214">
        <v>12</v>
      </c>
      <c r="C1048" s="225" t="s">
        <v>2681</v>
      </c>
      <c r="D1048" s="225" t="s">
        <v>1450</v>
      </c>
      <c r="E1048" s="232" t="s">
        <v>2429</v>
      </c>
      <c r="F1048" s="89" t="s">
        <v>524</v>
      </c>
    </row>
    <row r="1049" spans="2:6" x14ac:dyDescent="0.55000000000000004">
      <c r="B1049" s="214">
        <v>12</v>
      </c>
      <c r="C1049" s="225" t="s">
        <v>2682</v>
      </c>
      <c r="D1049" s="225" t="s">
        <v>1451</v>
      </c>
      <c r="E1049" s="232" t="s">
        <v>2429</v>
      </c>
      <c r="F1049" s="89" t="s">
        <v>524</v>
      </c>
    </row>
    <row r="1050" spans="2:6" x14ac:dyDescent="0.55000000000000004">
      <c r="B1050" s="213">
        <v>12</v>
      </c>
      <c r="C1050" s="225" t="s">
        <v>544</v>
      </c>
      <c r="D1050" s="225" t="s">
        <v>544</v>
      </c>
      <c r="E1050" s="232" t="s">
        <v>2429</v>
      </c>
      <c r="F1050" s="89" t="s">
        <v>524</v>
      </c>
    </row>
    <row r="1051" spans="2:6" x14ac:dyDescent="0.55000000000000004">
      <c r="B1051" s="214">
        <v>12</v>
      </c>
      <c r="C1051" s="226" t="s">
        <v>2690</v>
      </c>
      <c r="D1051" s="226" t="s">
        <v>542</v>
      </c>
      <c r="E1051" s="232" t="s">
        <v>2429</v>
      </c>
      <c r="F1051" s="89" t="s">
        <v>524</v>
      </c>
    </row>
    <row r="1052" spans="2:6" x14ac:dyDescent="0.55000000000000004">
      <c r="B1052" s="216" t="s">
        <v>547</v>
      </c>
      <c r="C1052" s="224" t="s">
        <v>548</v>
      </c>
      <c r="D1052" s="224" t="s">
        <v>548</v>
      </c>
      <c r="E1052" s="232" t="e">
        <v>#N/A</v>
      </c>
      <c r="F1052" s="89" t="s">
        <v>2433</v>
      </c>
    </row>
    <row r="1053" spans="2:6" x14ac:dyDescent="0.55000000000000004">
      <c r="B1053" s="220" t="s">
        <v>547</v>
      </c>
      <c r="C1053" s="225" t="s">
        <v>2691</v>
      </c>
      <c r="D1053" s="225" t="s">
        <v>1452</v>
      </c>
      <c r="E1053" s="232" t="s">
        <v>2428</v>
      </c>
      <c r="F1053" s="89" t="s">
        <v>332</v>
      </c>
    </row>
    <row r="1054" spans="2:6" x14ac:dyDescent="0.55000000000000004">
      <c r="B1054" s="220" t="s">
        <v>547</v>
      </c>
      <c r="C1054" s="225" t="s">
        <v>2692</v>
      </c>
      <c r="D1054" s="225" t="s">
        <v>1453</v>
      </c>
      <c r="E1054" s="232" t="s">
        <v>2428</v>
      </c>
      <c r="F1054" s="89" t="s">
        <v>332</v>
      </c>
    </row>
    <row r="1055" spans="2:6" x14ac:dyDescent="0.55000000000000004">
      <c r="B1055" s="220" t="s">
        <v>547</v>
      </c>
      <c r="C1055" s="225" t="s">
        <v>2693</v>
      </c>
      <c r="D1055" s="225" t="s">
        <v>1454</v>
      </c>
      <c r="E1055" s="232" t="s">
        <v>2428</v>
      </c>
      <c r="F1055" s="89" t="s">
        <v>332</v>
      </c>
    </row>
    <row r="1056" spans="2:6" x14ac:dyDescent="0.55000000000000004">
      <c r="B1056" s="220" t="s">
        <v>547</v>
      </c>
      <c r="C1056" s="225" t="s">
        <v>2694</v>
      </c>
      <c r="D1056" s="225" t="s">
        <v>1455</v>
      </c>
      <c r="E1056" s="232" t="s">
        <v>2428</v>
      </c>
      <c r="F1056" s="89" t="s">
        <v>332</v>
      </c>
    </row>
    <row r="1057" spans="2:6" x14ac:dyDescent="0.55000000000000004">
      <c r="B1057" s="220" t="s">
        <v>547</v>
      </c>
      <c r="C1057" s="225" t="s">
        <v>2695</v>
      </c>
      <c r="D1057" s="225" t="s">
        <v>1456</v>
      </c>
      <c r="E1057" s="232" t="s">
        <v>2428</v>
      </c>
      <c r="F1057" s="89" t="s">
        <v>332</v>
      </c>
    </row>
    <row r="1058" spans="2:6" ht="219.3" x14ac:dyDescent="0.55000000000000004">
      <c r="B1058" s="221" t="s">
        <v>547</v>
      </c>
      <c r="C1058" s="226" t="s">
        <v>2696</v>
      </c>
      <c r="D1058" s="226" t="s">
        <v>1457</v>
      </c>
      <c r="E1058" s="232" t="s">
        <v>2428</v>
      </c>
      <c r="F1058" s="89" t="s">
        <v>549</v>
      </c>
    </row>
    <row r="1059" spans="2:6" ht="219.3" x14ac:dyDescent="0.55000000000000004">
      <c r="B1059" s="220" t="s">
        <v>547</v>
      </c>
      <c r="C1059" s="226" t="s">
        <v>2696</v>
      </c>
      <c r="D1059" s="226" t="s">
        <v>1457</v>
      </c>
      <c r="E1059" s="232" t="s">
        <v>2428</v>
      </c>
      <c r="F1059" s="89" t="s">
        <v>332</v>
      </c>
    </row>
    <row r="1060" spans="2:6" x14ac:dyDescent="0.55000000000000004">
      <c r="B1060" s="221" t="s">
        <v>547</v>
      </c>
      <c r="C1060" s="225" t="s">
        <v>1458</v>
      </c>
      <c r="D1060" s="225" t="s">
        <v>1458</v>
      </c>
      <c r="E1060" s="232" t="s">
        <v>2428</v>
      </c>
      <c r="F1060" s="89" t="s">
        <v>549</v>
      </c>
    </row>
    <row r="1061" spans="2:6" x14ac:dyDescent="0.55000000000000004">
      <c r="B1061" s="220" t="s">
        <v>547</v>
      </c>
      <c r="C1061" s="226" t="s">
        <v>2697</v>
      </c>
      <c r="D1061" s="226" t="s">
        <v>1459</v>
      </c>
      <c r="E1061" s="232" t="s">
        <v>2428</v>
      </c>
      <c r="F1061" s="89" t="s">
        <v>549</v>
      </c>
    </row>
    <row r="1062" spans="2:6" x14ac:dyDescent="0.55000000000000004">
      <c r="B1062" s="221" t="s">
        <v>547</v>
      </c>
      <c r="C1062" s="226" t="s">
        <v>2697</v>
      </c>
      <c r="D1062" s="226" t="s">
        <v>1459</v>
      </c>
      <c r="E1062" s="232" t="s">
        <v>2428</v>
      </c>
      <c r="F1062" s="89" t="s">
        <v>549</v>
      </c>
    </row>
    <row r="1063" spans="2:6" ht="25.8" x14ac:dyDescent="0.55000000000000004">
      <c r="B1063" s="221" t="s">
        <v>547</v>
      </c>
      <c r="C1063" s="225" t="s">
        <v>2698</v>
      </c>
      <c r="D1063" s="225" t="s">
        <v>1460</v>
      </c>
      <c r="E1063" s="232" t="s">
        <v>2428</v>
      </c>
      <c r="F1063" s="89" t="s">
        <v>549</v>
      </c>
    </row>
    <row r="1064" spans="2:6" ht="25.8" x14ac:dyDescent="0.55000000000000004">
      <c r="B1064" s="220" t="s">
        <v>547</v>
      </c>
      <c r="C1064" s="225" t="s">
        <v>2698</v>
      </c>
      <c r="D1064" s="225" t="s">
        <v>1460</v>
      </c>
      <c r="E1064" s="232" t="s">
        <v>2428</v>
      </c>
      <c r="F1064" s="89" t="s">
        <v>549</v>
      </c>
    </row>
    <row r="1065" spans="2:6" x14ac:dyDescent="0.55000000000000004">
      <c r="B1065" s="220" t="s">
        <v>547</v>
      </c>
      <c r="C1065" s="225" t="s">
        <v>2699</v>
      </c>
      <c r="D1065" s="225" t="s">
        <v>1461</v>
      </c>
      <c r="E1065" s="232" t="s">
        <v>2428</v>
      </c>
      <c r="F1065" s="89" t="s">
        <v>332</v>
      </c>
    </row>
    <row r="1066" spans="2:6" ht="25.8" x14ac:dyDescent="0.55000000000000004">
      <c r="B1066" s="220" t="s">
        <v>547</v>
      </c>
      <c r="C1066" s="225" t="s">
        <v>2700</v>
      </c>
      <c r="D1066" s="225" t="s">
        <v>1462</v>
      </c>
      <c r="E1066" s="232" t="s">
        <v>2428</v>
      </c>
      <c r="F1066" s="89" t="s">
        <v>332</v>
      </c>
    </row>
    <row r="1067" spans="2:6" x14ac:dyDescent="0.55000000000000004">
      <c r="B1067" s="220" t="s">
        <v>547</v>
      </c>
      <c r="C1067" s="225" t="s">
        <v>2701</v>
      </c>
      <c r="D1067" s="225" t="s">
        <v>1463</v>
      </c>
      <c r="E1067" s="232" t="s">
        <v>2428</v>
      </c>
      <c r="F1067" s="89" t="s">
        <v>332</v>
      </c>
    </row>
    <row r="1068" spans="2:6" x14ac:dyDescent="0.55000000000000004">
      <c r="B1068" s="220" t="s">
        <v>547</v>
      </c>
      <c r="C1068" s="225" t="s">
        <v>2702</v>
      </c>
      <c r="D1068" s="225" t="s">
        <v>1464</v>
      </c>
      <c r="E1068" s="232" t="s">
        <v>2428</v>
      </c>
      <c r="F1068" s="89" t="s">
        <v>332</v>
      </c>
    </row>
    <row r="1069" spans="2:6" x14ac:dyDescent="0.55000000000000004">
      <c r="B1069" s="220" t="s">
        <v>547</v>
      </c>
      <c r="C1069" s="225" t="s">
        <v>2703</v>
      </c>
      <c r="D1069" s="225" t="s">
        <v>1465</v>
      </c>
      <c r="E1069" s="232" t="s">
        <v>2428</v>
      </c>
      <c r="F1069" s="89" t="s">
        <v>332</v>
      </c>
    </row>
    <row r="1070" spans="2:6" x14ac:dyDescent="0.55000000000000004">
      <c r="B1070" s="220" t="s">
        <v>547</v>
      </c>
      <c r="C1070" s="225" t="s">
        <v>2704</v>
      </c>
      <c r="D1070" s="225" t="s">
        <v>1466</v>
      </c>
      <c r="E1070" s="232" t="s">
        <v>2428</v>
      </c>
      <c r="F1070" s="89" t="s">
        <v>332</v>
      </c>
    </row>
    <row r="1071" spans="2:6" x14ac:dyDescent="0.55000000000000004">
      <c r="B1071" s="220" t="s">
        <v>547</v>
      </c>
      <c r="C1071" s="225" t="s">
        <v>2705</v>
      </c>
      <c r="D1071" s="225" t="s">
        <v>1467</v>
      </c>
      <c r="E1071" s="232" t="s">
        <v>2428</v>
      </c>
      <c r="F1071" s="89" t="s">
        <v>549</v>
      </c>
    </row>
    <row r="1072" spans="2:6" x14ac:dyDescent="0.55000000000000004">
      <c r="B1072" s="220" t="s">
        <v>547</v>
      </c>
      <c r="C1072" s="225" t="s">
        <v>2706</v>
      </c>
      <c r="D1072" s="225" t="s">
        <v>1468</v>
      </c>
      <c r="E1072" s="232" t="s">
        <v>2428</v>
      </c>
      <c r="F1072" s="89" t="s">
        <v>332</v>
      </c>
    </row>
    <row r="1073" spans="2:6" x14ac:dyDescent="0.55000000000000004">
      <c r="B1073" s="220" t="s">
        <v>547</v>
      </c>
      <c r="C1073" s="225" t="s">
        <v>2707</v>
      </c>
      <c r="D1073" s="225" t="s">
        <v>1469</v>
      </c>
      <c r="E1073" s="232" t="s">
        <v>2428</v>
      </c>
      <c r="F1073" s="89" t="s">
        <v>332</v>
      </c>
    </row>
    <row r="1074" spans="2:6" x14ac:dyDescent="0.55000000000000004">
      <c r="B1074" s="220" t="s">
        <v>547</v>
      </c>
      <c r="C1074" s="226" t="s">
        <v>2708</v>
      </c>
      <c r="D1074" s="226" t="s">
        <v>1470</v>
      </c>
      <c r="E1074" s="232" t="s">
        <v>2428</v>
      </c>
      <c r="F1074" s="89" t="s">
        <v>332</v>
      </c>
    </row>
    <row r="1075" spans="2:6" x14ac:dyDescent="0.55000000000000004">
      <c r="B1075" s="220" t="s">
        <v>547</v>
      </c>
      <c r="C1075" s="225" t="s">
        <v>2709</v>
      </c>
      <c r="D1075" s="225" t="s">
        <v>1471</v>
      </c>
      <c r="E1075" s="232" t="s">
        <v>2428</v>
      </c>
      <c r="F1075" s="89" t="s">
        <v>332</v>
      </c>
    </row>
    <row r="1076" spans="2:6" x14ac:dyDescent="0.55000000000000004">
      <c r="B1076" s="220" t="s">
        <v>547</v>
      </c>
      <c r="C1076" s="225" t="s">
        <v>2710</v>
      </c>
      <c r="D1076" s="225" t="s">
        <v>1472</v>
      </c>
      <c r="E1076" s="232" t="s">
        <v>2428</v>
      </c>
      <c r="F1076" s="89" t="s">
        <v>332</v>
      </c>
    </row>
    <row r="1077" spans="2:6" x14ac:dyDescent="0.55000000000000004">
      <c r="B1077" s="221" t="s">
        <v>547</v>
      </c>
      <c r="C1077" s="226" t="s">
        <v>2711</v>
      </c>
      <c r="D1077" s="226" t="s">
        <v>1473</v>
      </c>
      <c r="E1077" s="232" t="s">
        <v>580</v>
      </c>
      <c r="F1077" s="89" t="s">
        <v>549</v>
      </c>
    </row>
    <row r="1078" spans="2:6" ht="25.8" x14ac:dyDescent="0.55000000000000004">
      <c r="B1078" s="220" t="s">
        <v>547</v>
      </c>
      <c r="C1078" s="225" t="s">
        <v>2712</v>
      </c>
      <c r="D1078" s="225" t="s">
        <v>1474</v>
      </c>
      <c r="E1078" s="232" t="s">
        <v>2428</v>
      </c>
      <c r="F1078" s="89" t="s">
        <v>549</v>
      </c>
    </row>
    <row r="1079" spans="2:6" ht="38.700000000000003" x14ac:dyDescent="0.55000000000000004">
      <c r="B1079" s="220" t="s">
        <v>547</v>
      </c>
      <c r="C1079" s="225" t="s">
        <v>2713</v>
      </c>
      <c r="D1079" s="225" t="s">
        <v>1475</v>
      </c>
      <c r="E1079" s="232" t="s">
        <v>2428</v>
      </c>
      <c r="F1079" s="89" t="s">
        <v>332</v>
      </c>
    </row>
    <row r="1080" spans="2:6" x14ac:dyDescent="0.55000000000000004">
      <c r="B1080" s="220" t="s">
        <v>547</v>
      </c>
      <c r="C1080" s="225" t="s">
        <v>2714</v>
      </c>
      <c r="D1080" s="225" t="s">
        <v>1476</v>
      </c>
      <c r="E1080" s="232" t="s">
        <v>2428</v>
      </c>
      <c r="F1080" s="89" t="s">
        <v>332</v>
      </c>
    </row>
    <row r="1081" spans="2:6" ht="25.8" x14ac:dyDescent="0.55000000000000004">
      <c r="B1081" s="220" t="s">
        <v>547</v>
      </c>
      <c r="C1081" s="225" t="s">
        <v>2715</v>
      </c>
      <c r="D1081" s="225" t="s">
        <v>1477</v>
      </c>
      <c r="E1081" s="232" t="s">
        <v>2428</v>
      </c>
      <c r="F1081" s="89" t="s">
        <v>332</v>
      </c>
    </row>
    <row r="1082" spans="2:6" ht="25.8" x14ac:dyDescent="0.55000000000000004">
      <c r="B1082" s="220" t="s">
        <v>547</v>
      </c>
      <c r="C1082" s="225" t="s">
        <v>2716</v>
      </c>
      <c r="D1082" s="225" t="s">
        <v>1478</v>
      </c>
      <c r="E1082" s="232" t="s">
        <v>2428</v>
      </c>
      <c r="F1082" s="89" t="s">
        <v>332</v>
      </c>
    </row>
    <row r="1083" spans="2:6" ht="38.700000000000003" x14ac:dyDescent="0.55000000000000004">
      <c r="B1083" s="221" t="s">
        <v>547</v>
      </c>
      <c r="C1083" s="226" t="s">
        <v>2717</v>
      </c>
      <c r="D1083" s="226" t="s">
        <v>1479</v>
      </c>
      <c r="E1083" s="232" t="s">
        <v>2428</v>
      </c>
      <c r="F1083" s="89" t="s">
        <v>524</v>
      </c>
    </row>
    <row r="1084" spans="2:6" ht="25.8" x14ac:dyDescent="0.55000000000000004">
      <c r="B1084" s="221" t="s">
        <v>547</v>
      </c>
      <c r="C1084" s="225" t="s">
        <v>2718</v>
      </c>
      <c r="D1084" s="225" t="s">
        <v>1480</v>
      </c>
      <c r="E1084" s="232" t="s">
        <v>2428</v>
      </c>
      <c r="F1084" s="89" t="s">
        <v>524</v>
      </c>
    </row>
    <row r="1085" spans="2:6" x14ac:dyDescent="0.55000000000000004">
      <c r="B1085" s="220" t="s">
        <v>547</v>
      </c>
      <c r="C1085" s="225" t="s">
        <v>2719</v>
      </c>
      <c r="D1085" s="225" t="s">
        <v>1481</v>
      </c>
      <c r="E1085" s="232" t="s">
        <v>2428</v>
      </c>
      <c r="F1085" s="89" t="s">
        <v>332</v>
      </c>
    </row>
    <row r="1086" spans="2:6" x14ac:dyDescent="0.55000000000000004">
      <c r="B1086" s="220" t="s">
        <v>547</v>
      </c>
      <c r="C1086" s="225" t="s">
        <v>2720</v>
      </c>
      <c r="D1086" s="225" t="s">
        <v>1482</v>
      </c>
      <c r="E1086" s="232" t="s">
        <v>2429</v>
      </c>
      <c r="F1086" s="89" t="s">
        <v>524</v>
      </c>
    </row>
    <row r="1087" spans="2:6" ht="25.8" x14ac:dyDescent="0.55000000000000004">
      <c r="B1087" s="220" t="s">
        <v>547</v>
      </c>
      <c r="C1087" s="225" t="s">
        <v>2721</v>
      </c>
      <c r="D1087" s="225" t="s">
        <v>1483</v>
      </c>
      <c r="E1087" s="232" t="s">
        <v>2428</v>
      </c>
      <c r="F1087" s="89" t="s">
        <v>332</v>
      </c>
    </row>
    <row r="1088" spans="2:6" x14ac:dyDescent="0.55000000000000004">
      <c r="B1088" s="220" t="s">
        <v>547</v>
      </c>
      <c r="C1088" s="226" t="s">
        <v>2722</v>
      </c>
      <c r="D1088" s="226" t="s">
        <v>1484</v>
      </c>
      <c r="E1088" s="232" t="s">
        <v>2429</v>
      </c>
      <c r="F1088" s="89" t="s">
        <v>332</v>
      </c>
    </row>
    <row r="1089" spans="2:6" x14ac:dyDescent="0.55000000000000004">
      <c r="B1089" s="220" t="s">
        <v>547</v>
      </c>
      <c r="C1089" s="225" t="s">
        <v>2723</v>
      </c>
      <c r="D1089" s="225" t="s">
        <v>1485</v>
      </c>
      <c r="E1089" s="232" t="s">
        <v>2428</v>
      </c>
      <c r="F1089" s="89" t="s">
        <v>332</v>
      </c>
    </row>
    <row r="1090" spans="2:6" x14ac:dyDescent="0.55000000000000004">
      <c r="B1090" s="220" t="s">
        <v>547</v>
      </c>
      <c r="C1090" s="225" t="s">
        <v>2724</v>
      </c>
      <c r="D1090" s="225" t="s">
        <v>1486</v>
      </c>
      <c r="E1090" s="232" t="s">
        <v>2428</v>
      </c>
      <c r="F1090" s="89" t="s">
        <v>332</v>
      </c>
    </row>
    <row r="1091" spans="2:6" x14ac:dyDescent="0.55000000000000004">
      <c r="B1091" s="220" t="s">
        <v>547</v>
      </c>
      <c r="C1091" s="225" t="s">
        <v>2725</v>
      </c>
      <c r="D1091" s="225" t="s">
        <v>1487</v>
      </c>
      <c r="E1091" s="232" t="s">
        <v>2428</v>
      </c>
      <c r="F1091" s="89" t="s">
        <v>332</v>
      </c>
    </row>
    <row r="1092" spans="2:6" x14ac:dyDescent="0.55000000000000004">
      <c r="B1092" s="220" t="s">
        <v>547</v>
      </c>
      <c r="C1092" s="225" t="s">
        <v>2726</v>
      </c>
      <c r="D1092" s="225" t="s">
        <v>1488</v>
      </c>
      <c r="E1092" s="232" t="s">
        <v>2428</v>
      </c>
      <c r="F1092" s="89" t="s">
        <v>332</v>
      </c>
    </row>
    <row r="1093" spans="2:6" x14ac:dyDescent="0.55000000000000004">
      <c r="B1093" s="220" t="s">
        <v>547</v>
      </c>
      <c r="C1093" s="225" t="s">
        <v>2727</v>
      </c>
      <c r="D1093" s="225" t="s">
        <v>1489</v>
      </c>
      <c r="E1093" s="232" t="s">
        <v>2428</v>
      </c>
      <c r="F1093" s="89" t="s">
        <v>332</v>
      </c>
    </row>
    <row r="1094" spans="2:6" x14ac:dyDescent="0.55000000000000004">
      <c r="B1094" s="221" t="s">
        <v>547</v>
      </c>
      <c r="C1094" s="226" t="s">
        <v>2728</v>
      </c>
      <c r="D1094" s="226" t="s">
        <v>1490</v>
      </c>
      <c r="E1094" s="232" t="s">
        <v>2428</v>
      </c>
      <c r="F1094" s="89" t="s">
        <v>549</v>
      </c>
    </row>
    <row r="1095" spans="2:6" x14ac:dyDescent="0.55000000000000004">
      <c r="B1095" s="220" t="s">
        <v>547</v>
      </c>
      <c r="C1095" s="225" t="s">
        <v>2729</v>
      </c>
      <c r="D1095" s="225" t="s">
        <v>1491</v>
      </c>
      <c r="E1095" s="232" t="s">
        <v>2428</v>
      </c>
      <c r="F1095" s="89" t="s">
        <v>332</v>
      </c>
    </row>
    <row r="1096" spans="2:6" x14ac:dyDescent="0.55000000000000004">
      <c r="B1096" s="220" t="s">
        <v>547</v>
      </c>
      <c r="C1096" s="225" t="s">
        <v>2730</v>
      </c>
      <c r="D1096" s="225" t="s">
        <v>1492</v>
      </c>
      <c r="E1096" s="232" t="s">
        <v>2428</v>
      </c>
      <c r="F1096" s="89" t="s">
        <v>332</v>
      </c>
    </row>
    <row r="1097" spans="2:6" ht="25.8" x14ac:dyDescent="0.55000000000000004">
      <c r="B1097" s="220" t="s">
        <v>547</v>
      </c>
      <c r="C1097" s="225" t="s">
        <v>2731</v>
      </c>
      <c r="D1097" s="225" t="s">
        <v>1493</v>
      </c>
      <c r="E1097" s="232" t="s">
        <v>2428</v>
      </c>
      <c r="F1097" s="89" t="s">
        <v>332</v>
      </c>
    </row>
    <row r="1098" spans="2:6" x14ac:dyDescent="0.55000000000000004">
      <c r="B1098" s="220" t="s">
        <v>547</v>
      </c>
      <c r="C1098" s="225" t="s">
        <v>2732</v>
      </c>
      <c r="D1098" s="225" t="s">
        <v>1494</v>
      </c>
      <c r="E1098" s="232" t="s">
        <v>2428</v>
      </c>
      <c r="F1098" s="89" t="s">
        <v>332</v>
      </c>
    </row>
    <row r="1099" spans="2:6" x14ac:dyDescent="0.55000000000000004">
      <c r="B1099" s="220" t="s">
        <v>547</v>
      </c>
      <c r="C1099" s="225" t="s">
        <v>2733</v>
      </c>
      <c r="D1099" s="225" t="s">
        <v>1495</v>
      </c>
      <c r="E1099" s="232" t="s">
        <v>2428</v>
      </c>
      <c r="F1099" s="89" t="s">
        <v>332</v>
      </c>
    </row>
    <row r="1100" spans="2:6" x14ac:dyDescent="0.55000000000000004">
      <c r="B1100" s="221" t="s">
        <v>547</v>
      </c>
      <c r="C1100" s="226" t="s">
        <v>2734</v>
      </c>
      <c r="D1100" s="226" t="s">
        <v>1496</v>
      </c>
      <c r="E1100" s="232" t="s">
        <v>2428</v>
      </c>
      <c r="F1100" s="89" t="s">
        <v>332</v>
      </c>
    </row>
    <row r="1101" spans="2:6" ht="25.8" x14ac:dyDescent="0.55000000000000004">
      <c r="B1101" s="221" t="s">
        <v>547</v>
      </c>
      <c r="C1101" s="225" t="s">
        <v>2735</v>
      </c>
      <c r="D1101" s="225" t="s">
        <v>1497</v>
      </c>
      <c r="E1101" s="232" t="s">
        <v>2428</v>
      </c>
      <c r="F1101" s="89" t="s">
        <v>549</v>
      </c>
    </row>
    <row r="1102" spans="2:6" x14ac:dyDescent="0.55000000000000004">
      <c r="B1102" s="215" t="s">
        <v>924</v>
      </c>
      <c r="C1102" s="227" t="s">
        <v>550</v>
      </c>
      <c r="D1102" s="227" t="s">
        <v>550</v>
      </c>
      <c r="E1102" s="232" t="e">
        <v>#N/A</v>
      </c>
      <c r="F1102" s="89" t="s">
        <v>2433</v>
      </c>
    </row>
    <row r="1103" spans="2:6" x14ac:dyDescent="0.55000000000000004">
      <c r="B1103" s="214" t="s">
        <v>924</v>
      </c>
      <c r="C1103" s="226" t="s">
        <v>254</v>
      </c>
      <c r="D1103" s="226" t="s">
        <v>254</v>
      </c>
      <c r="E1103" s="232" t="s">
        <v>2428</v>
      </c>
      <c r="F1103" s="89" t="s">
        <v>549</v>
      </c>
    </row>
    <row r="1104" spans="2:6" x14ac:dyDescent="0.55000000000000004">
      <c r="B1104" s="213" t="s">
        <v>924</v>
      </c>
      <c r="C1104" s="226" t="s">
        <v>254</v>
      </c>
      <c r="D1104" s="226" t="s">
        <v>254</v>
      </c>
      <c r="E1104" s="232" t="s">
        <v>2428</v>
      </c>
      <c r="F1104" s="89" t="s">
        <v>332</v>
      </c>
    </row>
    <row r="1105" spans="2:6" x14ac:dyDescent="0.55000000000000004">
      <c r="B1105" s="213" t="s">
        <v>924</v>
      </c>
      <c r="C1105" s="225" t="s">
        <v>552</v>
      </c>
      <c r="D1105" s="225" t="s">
        <v>552</v>
      </c>
      <c r="E1105" s="232" t="s">
        <v>2428</v>
      </c>
      <c r="F1105" s="89" t="s">
        <v>549</v>
      </c>
    </row>
    <row r="1106" spans="2:6" x14ac:dyDescent="0.55000000000000004">
      <c r="B1106" s="214" t="s">
        <v>924</v>
      </c>
      <c r="C1106" s="226" t="s">
        <v>1498</v>
      </c>
      <c r="D1106" s="226" t="s">
        <v>1498</v>
      </c>
      <c r="E1106" s="232" t="s">
        <v>2428</v>
      </c>
      <c r="F1106" s="89" t="s">
        <v>549</v>
      </c>
    </row>
    <row r="1107" spans="2:6" x14ac:dyDescent="0.55000000000000004">
      <c r="B1107" s="214" t="s">
        <v>924</v>
      </c>
      <c r="C1107" s="225" t="s">
        <v>551</v>
      </c>
      <c r="D1107" s="225" t="s">
        <v>551</v>
      </c>
      <c r="E1107" s="232" t="s">
        <v>2428</v>
      </c>
      <c r="F1107" s="89" t="s">
        <v>549</v>
      </c>
    </row>
    <row r="1108" spans="2:6" x14ac:dyDescent="0.55000000000000004">
      <c r="B1108" s="215" t="s">
        <v>925</v>
      </c>
      <c r="C1108" s="227" t="s">
        <v>553</v>
      </c>
      <c r="D1108" s="227" t="s">
        <v>553</v>
      </c>
      <c r="E1108" s="232" t="e">
        <v>#N/A</v>
      </c>
      <c r="F1108" s="89" t="s">
        <v>2433</v>
      </c>
    </row>
    <row r="1109" spans="2:6" x14ac:dyDescent="0.55000000000000004">
      <c r="B1109" s="220" t="s">
        <v>925</v>
      </c>
      <c r="C1109" s="225" t="s">
        <v>2692</v>
      </c>
      <c r="D1109" s="225" t="s">
        <v>1453</v>
      </c>
      <c r="E1109" s="232" t="s">
        <v>2428</v>
      </c>
      <c r="F1109" s="89" t="s">
        <v>332</v>
      </c>
    </row>
    <row r="1110" spans="2:6" x14ac:dyDescent="0.55000000000000004">
      <c r="B1110" s="214" t="s">
        <v>925</v>
      </c>
      <c r="C1110" s="225" t="s">
        <v>1458</v>
      </c>
      <c r="D1110" s="225" t="s">
        <v>1458</v>
      </c>
      <c r="E1110" s="232" t="s">
        <v>2428</v>
      </c>
      <c r="F1110" s="89" t="s">
        <v>549</v>
      </c>
    </row>
    <row r="1111" spans="2:6" x14ac:dyDescent="0.55000000000000004">
      <c r="B1111" s="214" t="s">
        <v>925</v>
      </c>
      <c r="C1111" s="226" t="s">
        <v>554</v>
      </c>
      <c r="D1111" s="226" t="s">
        <v>554</v>
      </c>
      <c r="E1111" s="232" t="s">
        <v>2428</v>
      </c>
      <c r="F1111" s="89" t="s">
        <v>549</v>
      </c>
    </row>
    <row r="1112" spans="2:6" x14ac:dyDescent="0.55000000000000004">
      <c r="B1112" s="213" t="s">
        <v>925</v>
      </c>
      <c r="C1112" s="226" t="s">
        <v>554</v>
      </c>
      <c r="D1112" s="226" t="s">
        <v>554</v>
      </c>
      <c r="E1112" s="232" t="s">
        <v>2428</v>
      </c>
      <c r="F1112" s="89" t="s">
        <v>549</v>
      </c>
    </row>
    <row r="1113" spans="2:6" x14ac:dyDescent="0.55000000000000004">
      <c r="B1113" s="214" t="s">
        <v>925</v>
      </c>
      <c r="C1113" s="225" t="s">
        <v>565</v>
      </c>
      <c r="D1113" s="225" t="s">
        <v>565</v>
      </c>
      <c r="E1113" s="232" t="s">
        <v>2428</v>
      </c>
      <c r="F1113" s="89" t="s">
        <v>549</v>
      </c>
    </row>
    <row r="1114" spans="2:6" x14ac:dyDescent="0.55000000000000004">
      <c r="B1114" s="213" t="s">
        <v>925</v>
      </c>
      <c r="C1114" s="225" t="s">
        <v>565</v>
      </c>
      <c r="D1114" s="225" t="s">
        <v>565</v>
      </c>
      <c r="E1114" s="232" t="s">
        <v>2428</v>
      </c>
      <c r="F1114" s="89" t="s">
        <v>549</v>
      </c>
    </row>
    <row r="1115" spans="2:6" x14ac:dyDescent="0.55000000000000004">
      <c r="B1115" s="213" t="s">
        <v>925</v>
      </c>
      <c r="C1115" s="225" t="s">
        <v>556</v>
      </c>
      <c r="D1115" s="225" t="s">
        <v>556</v>
      </c>
      <c r="E1115" s="232" t="s">
        <v>2428</v>
      </c>
      <c r="F1115" s="89" t="s">
        <v>332</v>
      </c>
    </row>
    <row r="1116" spans="2:6" x14ac:dyDescent="0.55000000000000004">
      <c r="B1116" s="213" t="s">
        <v>925</v>
      </c>
      <c r="C1116" s="225" t="s">
        <v>557</v>
      </c>
      <c r="D1116" s="225" t="s">
        <v>557</v>
      </c>
      <c r="E1116" s="232" t="s">
        <v>2428</v>
      </c>
      <c r="F1116" s="89" t="s">
        <v>332</v>
      </c>
    </row>
    <row r="1117" spans="2:6" x14ac:dyDescent="0.55000000000000004">
      <c r="B1117" s="213" t="s">
        <v>925</v>
      </c>
      <c r="C1117" s="225" t="s">
        <v>1499</v>
      </c>
      <c r="D1117" s="225" t="s">
        <v>1499</v>
      </c>
      <c r="E1117" s="232" t="s">
        <v>2428</v>
      </c>
      <c r="F1117" s="89" t="s">
        <v>332</v>
      </c>
    </row>
    <row r="1118" spans="2:6" x14ac:dyDescent="0.55000000000000004">
      <c r="B1118" s="213" t="s">
        <v>925</v>
      </c>
      <c r="C1118" s="225" t="s">
        <v>1500</v>
      </c>
      <c r="D1118" s="225" t="s">
        <v>1500</v>
      </c>
      <c r="E1118" s="232" t="s">
        <v>2428</v>
      </c>
      <c r="F1118" s="89" t="s">
        <v>332</v>
      </c>
    </row>
    <row r="1119" spans="2:6" x14ac:dyDescent="0.55000000000000004">
      <c r="B1119" s="213" t="s">
        <v>925</v>
      </c>
      <c r="C1119" s="225" t="s">
        <v>555</v>
      </c>
      <c r="D1119" s="225" t="s">
        <v>555</v>
      </c>
      <c r="E1119" s="232" t="s">
        <v>2428</v>
      </c>
      <c r="F1119" s="89" t="s">
        <v>332</v>
      </c>
    </row>
    <row r="1120" spans="2:6" x14ac:dyDescent="0.55000000000000004">
      <c r="B1120" s="213" t="s">
        <v>925</v>
      </c>
      <c r="C1120" s="225" t="s">
        <v>1501</v>
      </c>
      <c r="D1120" s="225" t="s">
        <v>1501</v>
      </c>
      <c r="E1120" s="232" t="s">
        <v>2428</v>
      </c>
      <c r="F1120" s="89" t="s">
        <v>332</v>
      </c>
    </row>
    <row r="1121" spans="2:6" x14ac:dyDescent="0.55000000000000004">
      <c r="B1121" s="213" t="s">
        <v>925</v>
      </c>
      <c r="C1121" s="225" t="s">
        <v>564</v>
      </c>
      <c r="D1121" s="225" t="s">
        <v>564</v>
      </c>
      <c r="E1121" s="232" t="s">
        <v>2428</v>
      </c>
      <c r="F1121" s="89" t="s">
        <v>332</v>
      </c>
    </row>
    <row r="1122" spans="2:6" x14ac:dyDescent="0.55000000000000004">
      <c r="B1122" s="213" t="s">
        <v>925</v>
      </c>
      <c r="C1122" s="225" t="s">
        <v>1502</v>
      </c>
      <c r="D1122" s="225" t="s">
        <v>1502</v>
      </c>
      <c r="E1122" s="232" t="s">
        <v>2428</v>
      </c>
      <c r="F1122" s="89" t="s">
        <v>549</v>
      </c>
    </row>
    <row r="1123" spans="2:6" x14ac:dyDescent="0.55000000000000004">
      <c r="B1123" s="213" t="s">
        <v>925</v>
      </c>
      <c r="C1123" s="225" t="s">
        <v>1503</v>
      </c>
      <c r="D1123" s="225" t="s">
        <v>1503</v>
      </c>
      <c r="E1123" s="232" t="s">
        <v>2428</v>
      </c>
      <c r="F1123" s="89" t="s">
        <v>332</v>
      </c>
    </row>
    <row r="1124" spans="2:6" x14ac:dyDescent="0.55000000000000004">
      <c r="B1124" s="213" t="s">
        <v>925</v>
      </c>
      <c r="C1124" s="225" t="s">
        <v>559</v>
      </c>
      <c r="D1124" s="225" t="s">
        <v>559</v>
      </c>
      <c r="E1124" s="232" t="s">
        <v>2428</v>
      </c>
      <c r="F1124" s="89" t="s">
        <v>332</v>
      </c>
    </row>
    <row r="1125" spans="2:6" x14ac:dyDescent="0.55000000000000004">
      <c r="B1125" s="213" t="s">
        <v>925</v>
      </c>
      <c r="C1125" s="225" t="s">
        <v>560</v>
      </c>
      <c r="D1125" s="225" t="s">
        <v>560</v>
      </c>
      <c r="E1125" s="232" t="s">
        <v>2428</v>
      </c>
      <c r="F1125" s="89" t="s">
        <v>332</v>
      </c>
    </row>
    <row r="1126" spans="2:6" x14ac:dyDescent="0.55000000000000004">
      <c r="B1126" s="213" t="s">
        <v>925</v>
      </c>
      <c r="C1126" s="225" t="s">
        <v>1504</v>
      </c>
      <c r="D1126" s="225" t="s">
        <v>1504</v>
      </c>
      <c r="E1126" s="232" t="s">
        <v>2428</v>
      </c>
      <c r="F1126" s="89" t="s">
        <v>332</v>
      </c>
    </row>
    <row r="1127" spans="2:6" x14ac:dyDescent="0.55000000000000004">
      <c r="B1127" s="213" t="s">
        <v>925</v>
      </c>
      <c r="C1127" s="225" t="s">
        <v>567</v>
      </c>
      <c r="D1127" s="225" t="s">
        <v>567</v>
      </c>
      <c r="E1127" s="232" t="s">
        <v>2428</v>
      </c>
      <c r="F1127" s="89" t="s">
        <v>332</v>
      </c>
    </row>
    <row r="1128" spans="2:6" x14ac:dyDescent="0.55000000000000004">
      <c r="B1128" s="213" t="s">
        <v>925</v>
      </c>
      <c r="C1128" s="225" t="s">
        <v>561</v>
      </c>
      <c r="D1128" s="225" t="s">
        <v>561</v>
      </c>
      <c r="E1128" s="232" t="s">
        <v>2428</v>
      </c>
      <c r="F1128" s="89" t="s">
        <v>332</v>
      </c>
    </row>
    <row r="1129" spans="2:6" x14ac:dyDescent="0.55000000000000004">
      <c r="B1129" s="213" t="s">
        <v>925</v>
      </c>
      <c r="C1129" s="225" t="s">
        <v>563</v>
      </c>
      <c r="D1129" s="225" t="s">
        <v>563</v>
      </c>
      <c r="E1129" s="232" t="s">
        <v>2428</v>
      </c>
      <c r="F1129" s="89" t="s">
        <v>332</v>
      </c>
    </row>
    <row r="1130" spans="2:6" x14ac:dyDescent="0.55000000000000004">
      <c r="B1130" s="213" t="s">
        <v>925</v>
      </c>
      <c r="C1130" s="225" t="s">
        <v>562</v>
      </c>
      <c r="D1130" s="225" t="s">
        <v>562</v>
      </c>
      <c r="E1130" s="232" t="s">
        <v>2428</v>
      </c>
      <c r="F1130" s="89" t="s">
        <v>332</v>
      </c>
    </row>
    <row r="1131" spans="2:6" x14ac:dyDescent="0.55000000000000004">
      <c r="B1131" s="215" t="s">
        <v>926</v>
      </c>
      <c r="C1131" s="227" t="s">
        <v>568</v>
      </c>
      <c r="D1131" s="227" t="s">
        <v>568</v>
      </c>
      <c r="E1131" s="232" t="e">
        <v>#N/A</v>
      </c>
      <c r="F1131" s="89" t="s">
        <v>2433</v>
      </c>
    </row>
    <row r="1132" spans="2:6" x14ac:dyDescent="0.55000000000000004">
      <c r="B1132" s="213" t="s">
        <v>926</v>
      </c>
      <c r="C1132" s="225" t="s">
        <v>570</v>
      </c>
      <c r="D1132" s="225" t="s">
        <v>570</v>
      </c>
      <c r="E1132" s="232" t="s">
        <v>2428</v>
      </c>
      <c r="F1132" s="89" t="s">
        <v>332</v>
      </c>
    </row>
    <row r="1133" spans="2:6" x14ac:dyDescent="0.55000000000000004">
      <c r="B1133" s="213" t="s">
        <v>926</v>
      </c>
      <c r="C1133" s="225" t="s">
        <v>571</v>
      </c>
      <c r="D1133" s="225" t="s">
        <v>571</v>
      </c>
      <c r="E1133" s="232" t="s">
        <v>2428</v>
      </c>
      <c r="F1133" s="89" t="s">
        <v>332</v>
      </c>
    </row>
    <row r="1134" spans="2:6" x14ac:dyDescent="0.55000000000000004">
      <c r="B1134" s="213" t="s">
        <v>926</v>
      </c>
      <c r="C1134" s="225" t="s">
        <v>572</v>
      </c>
      <c r="D1134" s="225" t="s">
        <v>572</v>
      </c>
      <c r="E1134" s="232" t="s">
        <v>2428</v>
      </c>
      <c r="F1134" s="89" t="s">
        <v>332</v>
      </c>
    </row>
    <row r="1135" spans="2:6" x14ac:dyDescent="0.55000000000000004">
      <c r="B1135" s="213" t="s">
        <v>926</v>
      </c>
      <c r="C1135" s="225" t="s">
        <v>573</v>
      </c>
      <c r="D1135" s="225" t="s">
        <v>573</v>
      </c>
      <c r="E1135" s="232" t="s">
        <v>2428</v>
      </c>
      <c r="F1135" s="89" t="s">
        <v>332</v>
      </c>
    </row>
    <row r="1136" spans="2:6" x14ac:dyDescent="0.55000000000000004">
      <c r="B1136" s="213" t="s">
        <v>926</v>
      </c>
      <c r="C1136" s="226" t="s">
        <v>555</v>
      </c>
      <c r="D1136" s="226" t="s">
        <v>555</v>
      </c>
      <c r="E1136" s="232" t="s">
        <v>2428</v>
      </c>
      <c r="F1136" s="89" t="s">
        <v>332</v>
      </c>
    </row>
    <row r="1137" spans="2:6" x14ac:dyDescent="0.55000000000000004">
      <c r="B1137" s="213" t="s">
        <v>926</v>
      </c>
      <c r="C1137" s="225" t="s">
        <v>1504</v>
      </c>
      <c r="D1137" s="225" t="s">
        <v>1504</v>
      </c>
      <c r="E1137" s="232" t="s">
        <v>2428</v>
      </c>
      <c r="F1137" s="89" t="s">
        <v>332</v>
      </c>
    </row>
    <row r="1138" spans="2:6" x14ac:dyDescent="0.55000000000000004">
      <c r="B1138" s="213" t="s">
        <v>926</v>
      </c>
      <c r="C1138" s="225" t="s">
        <v>574</v>
      </c>
      <c r="D1138" s="225" t="s">
        <v>574</v>
      </c>
      <c r="E1138" s="232" t="s">
        <v>2428</v>
      </c>
      <c r="F1138" s="89" t="s">
        <v>332</v>
      </c>
    </row>
    <row r="1139" spans="2:6" x14ac:dyDescent="0.55000000000000004">
      <c r="B1139" s="213" t="s">
        <v>926</v>
      </c>
      <c r="C1139" s="226" t="s">
        <v>569</v>
      </c>
      <c r="D1139" s="226" t="s">
        <v>569</v>
      </c>
      <c r="E1139" s="232" t="s">
        <v>2429</v>
      </c>
      <c r="F1139" s="89" t="s">
        <v>332</v>
      </c>
    </row>
    <row r="1140" spans="2:6" x14ac:dyDescent="0.55000000000000004">
      <c r="B1140" s="213" t="s">
        <v>926</v>
      </c>
      <c r="C1140" s="225" t="s">
        <v>575</v>
      </c>
      <c r="D1140" s="225" t="s">
        <v>575</v>
      </c>
      <c r="E1140" s="232" t="s">
        <v>2428</v>
      </c>
      <c r="F1140" s="89" t="s">
        <v>332</v>
      </c>
    </row>
    <row r="1141" spans="2:6" x14ac:dyDescent="0.55000000000000004">
      <c r="B1141" s="213" t="s">
        <v>926</v>
      </c>
      <c r="C1141" s="225" t="s">
        <v>576</v>
      </c>
      <c r="D1141" s="225" t="s">
        <v>576</v>
      </c>
      <c r="E1141" s="232" t="s">
        <v>2428</v>
      </c>
      <c r="F1141" s="89" t="s">
        <v>332</v>
      </c>
    </row>
    <row r="1142" spans="2:6" x14ac:dyDescent="0.55000000000000004">
      <c r="B1142" s="213" t="s">
        <v>926</v>
      </c>
      <c r="C1142" s="225" t="s">
        <v>577</v>
      </c>
      <c r="D1142" s="225" t="s">
        <v>577</v>
      </c>
      <c r="E1142" s="232" t="s">
        <v>2428</v>
      </c>
      <c r="F1142" s="89" t="s">
        <v>332</v>
      </c>
    </row>
    <row r="1143" spans="2:6" x14ac:dyDescent="0.55000000000000004">
      <c r="B1143" s="213" t="s">
        <v>926</v>
      </c>
      <c r="C1143" s="225" t="s">
        <v>563</v>
      </c>
      <c r="D1143" s="225" t="s">
        <v>563</v>
      </c>
      <c r="E1143" s="232" t="s">
        <v>2428</v>
      </c>
      <c r="F1143" s="89" t="s">
        <v>332</v>
      </c>
    </row>
    <row r="1144" spans="2:6" x14ac:dyDescent="0.55000000000000004">
      <c r="B1144" s="213" t="s">
        <v>926</v>
      </c>
      <c r="C1144" s="225" t="s">
        <v>578</v>
      </c>
      <c r="D1144" s="225" t="s">
        <v>578</v>
      </c>
      <c r="E1144" s="232" t="s">
        <v>2428</v>
      </c>
      <c r="F1144" s="89" t="s">
        <v>332</v>
      </c>
    </row>
    <row r="1145" spans="2:6" x14ac:dyDescent="0.55000000000000004">
      <c r="B1145" s="215" t="s">
        <v>927</v>
      </c>
      <c r="C1145" s="227" t="s">
        <v>579</v>
      </c>
      <c r="D1145" s="227" t="s">
        <v>579</v>
      </c>
      <c r="E1145" s="232" t="e">
        <v>#N/A</v>
      </c>
      <c r="F1145" s="89" t="s">
        <v>2433</v>
      </c>
    </row>
    <row r="1146" spans="2:6" x14ac:dyDescent="0.55000000000000004">
      <c r="B1146" s="213" t="s">
        <v>927</v>
      </c>
      <c r="C1146" s="225" t="s">
        <v>584</v>
      </c>
      <c r="D1146" s="225" t="s">
        <v>584</v>
      </c>
      <c r="E1146" s="232" t="s">
        <v>2428</v>
      </c>
      <c r="F1146" s="89" t="s">
        <v>332</v>
      </c>
    </row>
    <row r="1147" spans="2:6" x14ac:dyDescent="0.55000000000000004">
      <c r="B1147" s="213" t="s">
        <v>927</v>
      </c>
      <c r="C1147" s="225" t="s">
        <v>564</v>
      </c>
      <c r="D1147" s="225" t="s">
        <v>564</v>
      </c>
      <c r="E1147" s="232" t="s">
        <v>2428</v>
      </c>
      <c r="F1147" s="89" t="s">
        <v>332</v>
      </c>
    </row>
    <row r="1148" spans="2:6" x14ac:dyDescent="0.55000000000000004">
      <c r="B1148" s="214" t="s">
        <v>927</v>
      </c>
      <c r="C1148" s="226" t="s">
        <v>266</v>
      </c>
      <c r="D1148" s="226" t="s">
        <v>266</v>
      </c>
      <c r="E1148" s="232" t="s">
        <v>580</v>
      </c>
      <c r="F1148" s="89" t="s">
        <v>549</v>
      </c>
    </row>
    <row r="1149" spans="2:6" x14ac:dyDescent="0.55000000000000004">
      <c r="B1149" s="214" t="s">
        <v>927</v>
      </c>
      <c r="C1149" s="226" t="s">
        <v>582</v>
      </c>
      <c r="D1149" s="226" t="s">
        <v>582</v>
      </c>
      <c r="E1149" s="232" t="s">
        <v>2428</v>
      </c>
      <c r="F1149" s="89" t="s">
        <v>524</v>
      </c>
    </row>
    <row r="1150" spans="2:6" x14ac:dyDescent="0.55000000000000004">
      <c r="B1150" s="214" t="s">
        <v>927</v>
      </c>
      <c r="C1150" s="225" t="s">
        <v>585</v>
      </c>
      <c r="D1150" s="225" t="s">
        <v>585</v>
      </c>
      <c r="E1150" s="232" t="s">
        <v>2428</v>
      </c>
      <c r="F1150" s="89" t="s">
        <v>524</v>
      </c>
    </row>
    <row r="1151" spans="2:6" x14ac:dyDescent="0.55000000000000004">
      <c r="B1151" s="213" t="s">
        <v>927</v>
      </c>
      <c r="C1151" s="225" t="s">
        <v>586</v>
      </c>
      <c r="D1151" s="225" t="s">
        <v>586</v>
      </c>
      <c r="E1151" s="232" t="s">
        <v>2428</v>
      </c>
      <c r="F1151" s="89" t="s">
        <v>332</v>
      </c>
    </row>
    <row r="1152" spans="2:6" x14ac:dyDescent="0.55000000000000004">
      <c r="B1152" s="213" t="s">
        <v>927</v>
      </c>
      <c r="C1152" s="225" t="s">
        <v>587</v>
      </c>
      <c r="D1152" s="225" t="s">
        <v>587</v>
      </c>
      <c r="E1152" s="232" t="s">
        <v>2428</v>
      </c>
      <c r="F1152" s="89" t="s">
        <v>332</v>
      </c>
    </row>
    <row r="1153" spans="2:6" ht="25.8" x14ac:dyDescent="0.55000000000000004">
      <c r="B1153" s="215" t="s">
        <v>928</v>
      </c>
      <c r="C1153" s="227" t="s">
        <v>581</v>
      </c>
      <c r="D1153" s="227" t="s">
        <v>581</v>
      </c>
      <c r="E1153" s="232" t="e">
        <v>#N/A</v>
      </c>
      <c r="F1153" s="89" t="s">
        <v>2433</v>
      </c>
    </row>
    <row r="1154" spans="2:6" x14ac:dyDescent="0.55000000000000004">
      <c r="B1154" s="213" t="s">
        <v>928</v>
      </c>
      <c r="C1154" s="225" t="s">
        <v>584</v>
      </c>
      <c r="D1154" s="225" t="s">
        <v>584</v>
      </c>
      <c r="E1154" s="232" t="s">
        <v>2428</v>
      </c>
      <c r="F1154" s="89" t="s">
        <v>332</v>
      </c>
    </row>
    <row r="1155" spans="2:6" x14ac:dyDescent="0.55000000000000004">
      <c r="B1155" s="213" t="s">
        <v>928</v>
      </c>
      <c r="C1155" s="225" t="s">
        <v>564</v>
      </c>
      <c r="D1155" s="225" t="s">
        <v>564</v>
      </c>
      <c r="E1155" s="232" t="s">
        <v>2428</v>
      </c>
      <c r="F1155" s="89" t="s">
        <v>332</v>
      </c>
    </row>
    <row r="1156" spans="2:6" x14ac:dyDescent="0.55000000000000004">
      <c r="B1156" s="214" t="s">
        <v>928</v>
      </c>
      <c r="C1156" s="226" t="s">
        <v>582</v>
      </c>
      <c r="D1156" s="226" t="s">
        <v>582</v>
      </c>
      <c r="E1156" s="232" t="s">
        <v>2428</v>
      </c>
      <c r="F1156" s="89" t="s">
        <v>524</v>
      </c>
    </row>
    <row r="1157" spans="2:6" x14ac:dyDescent="0.55000000000000004">
      <c r="B1157" s="214" t="s">
        <v>928</v>
      </c>
      <c r="C1157" s="225" t="s">
        <v>585</v>
      </c>
      <c r="D1157" s="225" t="s">
        <v>585</v>
      </c>
      <c r="E1157" s="232" t="s">
        <v>2428</v>
      </c>
      <c r="F1157" s="89" t="s">
        <v>524</v>
      </c>
    </row>
    <row r="1158" spans="2:6" x14ac:dyDescent="0.55000000000000004">
      <c r="B1158" s="213" t="s">
        <v>928</v>
      </c>
      <c r="C1158" s="225" t="s">
        <v>586</v>
      </c>
      <c r="D1158" s="225" t="s">
        <v>586</v>
      </c>
      <c r="E1158" s="232" t="s">
        <v>2428</v>
      </c>
      <c r="F1158" s="89" t="s">
        <v>332</v>
      </c>
    </row>
    <row r="1159" spans="2:6" x14ac:dyDescent="0.55000000000000004">
      <c r="B1159" s="213" t="s">
        <v>928</v>
      </c>
      <c r="C1159" s="225" t="s">
        <v>587</v>
      </c>
      <c r="D1159" s="225" t="s">
        <v>587</v>
      </c>
      <c r="E1159" s="232" t="s">
        <v>2428</v>
      </c>
      <c r="F1159" s="89" t="s">
        <v>332</v>
      </c>
    </row>
    <row r="1160" spans="2:6" ht="25.8" x14ac:dyDescent="0.55000000000000004">
      <c r="B1160" s="215" t="s">
        <v>929</v>
      </c>
      <c r="C1160" s="227" t="s">
        <v>583</v>
      </c>
      <c r="D1160" s="227" t="s">
        <v>583</v>
      </c>
      <c r="E1160" s="232" t="e">
        <v>#N/A</v>
      </c>
      <c r="F1160" s="89" t="s">
        <v>2433</v>
      </c>
    </row>
    <row r="1161" spans="2:6" x14ac:dyDescent="0.55000000000000004">
      <c r="B1161" s="213" t="s">
        <v>929</v>
      </c>
      <c r="C1161" s="225" t="s">
        <v>584</v>
      </c>
      <c r="D1161" s="225" t="s">
        <v>584</v>
      </c>
      <c r="E1161" s="232" t="s">
        <v>2428</v>
      </c>
      <c r="F1161" s="89" t="s">
        <v>332</v>
      </c>
    </row>
    <row r="1162" spans="2:6" x14ac:dyDescent="0.55000000000000004">
      <c r="B1162" s="213" t="s">
        <v>929</v>
      </c>
      <c r="C1162" s="225" t="s">
        <v>564</v>
      </c>
      <c r="D1162" s="225" t="s">
        <v>564</v>
      </c>
      <c r="E1162" s="232" t="s">
        <v>2428</v>
      </c>
      <c r="F1162" s="89" t="s">
        <v>332</v>
      </c>
    </row>
    <row r="1163" spans="2:6" x14ac:dyDescent="0.55000000000000004">
      <c r="B1163" s="214" t="s">
        <v>929</v>
      </c>
      <c r="C1163" s="226" t="s">
        <v>266</v>
      </c>
      <c r="D1163" s="226" t="s">
        <v>266</v>
      </c>
      <c r="E1163" s="232" t="s">
        <v>580</v>
      </c>
      <c r="F1163" s="89" t="s">
        <v>549</v>
      </c>
    </row>
    <row r="1164" spans="2:6" x14ac:dyDescent="0.55000000000000004">
      <c r="B1164" s="214" t="s">
        <v>929</v>
      </c>
      <c r="C1164" s="225" t="s">
        <v>585</v>
      </c>
      <c r="D1164" s="225" t="s">
        <v>585</v>
      </c>
      <c r="E1164" s="232" t="s">
        <v>2428</v>
      </c>
      <c r="F1164" s="89" t="s">
        <v>524</v>
      </c>
    </row>
    <row r="1165" spans="2:6" x14ac:dyDescent="0.55000000000000004">
      <c r="B1165" s="213" t="s">
        <v>929</v>
      </c>
      <c r="C1165" s="225" t="s">
        <v>586</v>
      </c>
      <c r="D1165" s="225" t="s">
        <v>586</v>
      </c>
      <c r="E1165" s="232" t="s">
        <v>2428</v>
      </c>
      <c r="F1165" s="89" t="s">
        <v>332</v>
      </c>
    </row>
    <row r="1166" spans="2:6" x14ac:dyDescent="0.55000000000000004">
      <c r="B1166" s="213" t="s">
        <v>929</v>
      </c>
      <c r="C1166" s="225" t="s">
        <v>587</v>
      </c>
      <c r="D1166" s="225" t="s">
        <v>587</v>
      </c>
      <c r="E1166" s="232" t="s">
        <v>2428</v>
      </c>
      <c r="F1166" s="89" t="s">
        <v>332</v>
      </c>
    </row>
    <row r="1167" spans="2:6" x14ac:dyDescent="0.55000000000000004">
      <c r="B1167" s="215" t="s">
        <v>930</v>
      </c>
      <c r="C1167" s="227" t="s">
        <v>588</v>
      </c>
      <c r="D1167" s="227" t="s">
        <v>588</v>
      </c>
      <c r="E1167" s="232" t="e">
        <v>#N/A</v>
      </c>
      <c r="F1167" s="89" t="s">
        <v>2433</v>
      </c>
    </row>
    <row r="1168" spans="2:6" x14ac:dyDescent="0.55000000000000004">
      <c r="B1168" s="213" t="s">
        <v>930</v>
      </c>
      <c r="C1168" s="225" t="s">
        <v>591</v>
      </c>
      <c r="D1168" s="225" t="s">
        <v>591</v>
      </c>
      <c r="E1168" s="232" t="s">
        <v>2428</v>
      </c>
      <c r="F1168" s="89" t="s">
        <v>332</v>
      </c>
    </row>
    <row r="1169" spans="2:6" x14ac:dyDescent="0.55000000000000004">
      <c r="B1169" s="213" t="s">
        <v>930</v>
      </c>
      <c r="C1169" s="225" t="s">
        <v>592</v>
      </c>
      <c r="D1169" s="225" t="s">
        <v>592</v>
      </c>
      <c r="E1169" s="232" t="s">
        <v>2428</v>
      </c>
      <c r="F1169" s="89" t="s">
        <v>332</v>
      </c>
    </row>
    <row r="1170" spans="2:6" x14ac:dyDescent="0.55000000000000004">
      <c r="B1170" s="214" t="s">
        <v>930</v>
      </c>
      <c r="C1170" s="225" t="s">
        <v>1458</v>
      </c>
      <c r="D1170" s="225" t="s">
        <v>1458</v>
      </c>
      <c r="E1170" s="232" t="s">
        <v>2428</v>
      </c>
      <c r="F1170" s="89" t="s">
        <v>549</v>
      </c>
    </row>
    <row r="1171" spans="2:6" x14ac:dyDescent="0.55000000000000004">
      <c r="B1171" s="214" t="s">
        <v>930</v>
      </c>
      <c r="C1171" s="225" t="s">
        <v>565</v>
      </c>
      <c r="D1171" s="225" t="s">
        <v>565</v>
      </c>
      <c r="E1171" s="232" t="s">
        <v>2428</v>
      </c>
      <c r="F1171" s="89" t="s">
        <v>549</v>
      </c>
    </row>
    <row r="1172" spans="2:6" x14ac:dyDescent="0.55000000000000004">
      <c r="B1172" s="213" t="s">
        <v>930</v>
      </c>
      <c r="C1172" s="225" t="s">
        <v>565</v>
      </c>
      <c r="D1172" s="225" t="s">
        <v>565</v>
      </c>
      <c r="E1172" s="232" t="s">
        <v>2428</v>
      </c>
      <c r="F1172" s="89" t="s">
        <v>549</v>
      </c>
    </row>
    <row r="1173" spans="2:6" x14ac:dyDescent="0.55000000000000004">
      <c r="B1173" s="213" t="s">
        <v>930</v>
      </c>
      <c r="C1173" s="225" t="s">
        <v>593</v>
      </c>
      <c r="D1173" s="225" t="s">
        <v>593</v>
      </c>
      <c r="E1173" s="232" t="s">
        <v>2428</v>
      </c>
      <c r="F1173" s="89" t="s">
        <v>332</v>
      </c>
    </row>
    <row r="1174" spans="2:6" x14ac:dyDescent="0.55000000000000004">
      <c r="B1174" s="213" t="s">
        <v>930</v>
      </c>
      <c r="C1174" s="225" t="s">
        <v>566</v>
      </c>
      <c r="D1174" s="225" t="s">
        <v>566</v>
      </c>
      <c r="E1174" s="232" t="s">
        <v>2428</v>
      </c>
      <c r="F1174" s="89" t="s">
        <v>549</v>
      </c>
    </row>
    <row r="1175" spans="2:6" x14ac:dyDescent="0.55000000000000004">
      <c r="B1175" s="213" t="s">
        <v>930</v>
      </c>
      <c r="C1175" s="225" t="s">
        <v>567</v>
      </c>
      <c r="D1175" s="225" t="s">
        <v>567</v>
      </c>
      <c r="E1175" s="232" t="s">
        <v>2428</v>
      </c>
      <c r="F1175" s="89" t="s">
        <v>332</v>
      </c>
    </row>
    <row r="1176" spans="2:6" x14ac:dyDescent="0.55000000000000004">
      <c r="B1176" s="213" t="s">
        <v>930</v>
      </c>
      <c r="C1176" s="225" t="s">
        <v>594</v>
      </c>
      <c r="D1176" s="225" t="s">
        <v>594</v>
      </c>
      <c r="E1176" s="232" t="s">
        <v>2428</v>
      </c>
      <c r="F1176" s="89" t="s">
        <v>332</v>
      </c>
    </row>
    <row r="1177" spans="2:6" x14ac:dyDescent="0.55000000000000004">
      <c r="B1177" s="213" t="s">
        <v>930</v>
      </c>
      <c r="C1177" s="225" t="s">
        <v>595</v>
      </c>
      <c r="D1177" s="225" t="s">
        <v>595</v>
      </c>
      <c r="E1177" s="232" t="s">
        <v>2428</v>
      </c>
      <c r="F1177" s="89" t="s">
        <v>332</v>
      </c>
    </row>
    <row r="1178" spans="2:6" x14ac:dyDescent="0.55000000000000004">
      <c r="B1178" s="214" t="s">
        <v>930</v>
      </c>
      <c r="C1178" s="226" t="s">
        <v>589</v>
      </c>
      <c r="D1178" s="226" t="s">
        <v>589</v>
      </c>
      <c r="E1178" s="232" t="s">
        <v>2428</v>
      </c>
      <c r="F1178" s="89" t="s">
        <v>332</v>
      </c>
    </row>
    <row r="1179" spans="2:6" ht="25.8" x14ac:dyDescent="0.55000000000000004">
      <c r="B1179" s="215" t="s">
        <v>931</v>
      </c>
      <c r="C1179" s="227" t="s">
        <v>590</v>
      </c>
      <c r="D1179" s="227" t="s">
        <v>590</v>
      </c>
      <c r="E1179" s="232" t="e">
        <v>#N/A</v>
      </c>
      <c r="F1179" s="89" t="s">
        <v>2433</v>
      </c>
    </row>
    <row r="1180" spans="2:6" x14ac:dyDescent="0.55000000000000004">
      <c r="B1180" s="213" t="s">
        <v>931</v>
      </c>
      <c r="C1180" s="225" t="s">
        <v>591</v>
      </c>
      <c r="D1180" s="225" t="s">
        <v>591</v>
      </c>
      <c r="E1180" s="232" t="s">
        <v>2428</v>
      </c>
      <c r="F1180" s="89" t="s">
        <v>332</v>
      </c>
    </row>
    <row r="1181" spans="2:6" x14ac:dyDescent="0.55000000000000004">
      <c r="B1181" s="213" t="s">
        <v>931</v>
      </c>
      <c r="C1181" s="225" t="s">
        <v>592</v>
      </c>
      <c r="D1181" s="225" t="s">
        <v>592</v>
      </c>
      <c r="E1181" s="232" t="s">
        <v>2428</v>
      </c>
      <c r="F1181" s="89" t="s">
        <v>332</v>
      </c>
    </row>
    <row r="1182" spans="2:6" x14ac:dyDescent="0.55000000000000004">
      <c r="B1182" s="214" t="s">
        <v>931</v>
      </c>
      <c r="C1182" s="225" t="s">
        <v>1458</v>
      </c>
      <c r="D1182" s="225" t="s">
        <v>1458</v>
      </c>
      <c r="E1182" s="232" t="s">
        <v>2428</v>
      </c>
      <c r="F1182" s="89" t="s">
        <v>549</v>
      </c>
    </row>
    <row r="1183" spans="2:6" x14ac:dyDescent="0.55000000000000004">
      <c r="B1183" s="214" t="s">
        <v>931</v>
      </c>
      <c r="C1183" s="225" t="s">
        <v>565</v>
      </c>
      <c r="D1183" s="225" t="s">
        <v>565</v>
      </c>
      <c r="E1183" s="232" t="s">
        <v>2428</v>
      </c>
      <c r="F1183" s="89" t="s">
        <v>549</v>
      </c>
    </row>
    <row r="1184" spans="2:6" x14ac:dyDescent="0.55000000000000004">
      <c r="B1184" s="213" t="s">
        <v>931</v>
      </c>
      <c r="C1184" s="225" t="s">
        <v>565</v>
      </c>
      <c r="D1184" s="225" t="s">
        <v>565</v>
      </c>
      <c r="E1184" s="232" t="s">
        <v>2428</v>
      </c>
      <c r="F1184" s="89" t="s">
        <v>549</v>
      </c>
    </row>
    <row r="1185" spans="2:6" x14ac:dyDescent="0.55000000000000004">
      <c r="B1185" s="213" t="s">
        <v>931</v>
      </c>
      <c r="C1185" s="225" t="s">
        <v>593</v>
      </c>
      <c r="D1185" s="225" t="s">
        <v>593</v>
      </c>
      <c r="E1185" s="232" t="s">
        <v>2428</v>
      </c>
      <c r="F1185" s="89" t="s">
        <v>332</v>
      </c>
    </row>
    <row r="1186" spans="2:6" x14ac:dyDescent="0.55000000000000004">
      <c r="B1186" s="213" t="s">
        <v>931</v>
      </c>
      <c r="C1186" s="226" t="s">
        <v>566</v>
      </c>
      <c r="D1186" s="226" t="s">
        <v>566</v>
      </c>
      <c r="E1186" s="232" t="s">
        <v>2428</v>
      </c>
      <c r="F1186" s="89" t="s">
        <v>549</v>
      </c>
    </row>
    <row r="1187" spans="2:6" x14ac:dyDescent="0.55000000000000004">
      <c r="B1187" s="213" t="s">
        <v>931</v>
      </c>
      <c r="C1187" s="225" t="s">
        <v>567</v>
      </c>
      <c r="D1187" s="225" t="s">
        <v>567</v>
      </c>
      <c r="E1187" s="232" t="s">
        <v>2428</v>
      </c>
      <c r="F1187" s="89" t="s">
        <v>332</v>
      </c>
    </row>
    <row r="1188" spans="2:6" x14ac:dyDescent="0.55000000000000004">
      <c r="B1188" s="213" t="s">
        <v>931</v>
      </c>
      <c r="C1188" s="225" t="s">
        <v>594</v>
      </c>
      <c r="D1188" s="225" t="s">
        <v>594</v>
      </c>
      <c r="E1188" s="232" t="s">
        <v>2428</v>
      </c>
      <c r="F1188" s="89" t="s">
        <v>332</v>
      </c>
    </row>
    <row r="1189" spans="2:6" x14ac:dyDescent="0.55000000000000004">
      <c r="B1189" s="213" t="s">
        <v>931</v>
      </c>
      <c r="C1189" s="225" t="s">
        <v>595</v>
      </c>
      <c r="D1189" s="225" t="s">
        <v>595</v>
      </c>
      <c r="E1189" s="232" t="s">
        <v>2428</v>
      </c>
      <c r="F1189" s="89" t="s">
        <v>332</v>
      </c>
    </row>
    <row r="1190" spans="2:6" x14ac:dyDescent="0.55000000000000004">
      <c r="B1190" s="212">
        <v>13</v>
      </c>
      <c r="C1190" s="224" t="s">
        <v>596</v>
      </c>
      <c r="D1190" s="224" t="s">
        <v>596</v>
      </c>
      <c r="E1190" s="232" t="e">
        <v>#N/A</v>
      </c>
      <c r="F1190" s="89" t="s">
        <v>2433</v>
      </c>
    </row>
    <row r="1191" spans="2:6" ht="154.80000000000001" x14ac:dyDescent="0.55000000000000004">
      <c r="B1191" s="214">
        <v>13</v>
      </c>
      <c r="C1191" s="226" t="s">
        <v>2696</v>
      </c>
      <c r="D1191" s="226" t="s">
        <v>1505</v>
      </c>
      <c r="E1191" s="232" t="s">
        <v>2428</v>
      </c>
      <c r="F1191" s="89" t="s">
        <v>549</v>
      </c>
    </row>
    <row r="1192" spans="2:6" ht="154.80000000000001" x14ac:dyDescent="0.55000000000000004">
      <c r="B1192" s="213">
        <v>13</v>
      </c>
      <c r="C1192" s="226" t="s">
        <v>2696</v>
      </c>
      <c r="D1192" s="226" t="s">
        <v>1505</v>
      </c>
      <c r="E1192" s="232" t="s">
        <v>2428</v>
      </c>
      <c r="F1192" s="89" t="s">
        <v>332</v>
      </c>
    </row>
    <row r="1193" spans="2:6" x14ac:dyDescent="0.55000000000000004">
      <c r="B1193" s="214">
        <v>13</v>
      </c>
      <c r="C1193" s="225" t="s">
        <v>2736</v>
      </c>
      <c r="D1193" s="225" t="s">
        <v>1506</v>
      </c>
      <c r="E1193" s="232" t="s">
        <v>2428</v>
      </c>
      <c r="F1193" s="89" t="s">
        <v>549</v>
      </c>
    </row>
    <row r="1194" spans="2:6" x14ac:dyDescent="0.55000000000000004">
      <c r="B1194" s="214">
        <v>13</v>
      </c>
      <c r="C1194" s="225" t="s">
        <v>2736</v>
      </c>
      <c r="D1194" s="225" t="s">
        <v>1506</v>
      </c>
      <c r="E1194" s="232" t="s">
        <v>2428</v>
      </c>
      <c r="F1194" s="89" t="s">
        <v>549</v>
      </c>
    </row>
    <row r="1195" spans="2:6" x14ac:dyDescent="0.55000000000000004">
      <c r="B1195" s="213">
        <v>13</v>
      </c>
      <c r="C1195" s="225" t="s">
        <v>2737</v>
      </c>
      <c r="D1195" s="225" t="s">
        <v>1507</v>
      </c>
      <c r="E1195" s="232" t="s">
        <v>2428</v>
      </c>
      <c r="F1195" s="89" t="s">
        <v>332</v>
      </c>
    </row>
    <row r="1196" spans="2:6" x14ac:dyDescent="0.55000000000000004">
      <c r="B1196" s="213">
        <v>13</v>
      </c>
      <c r="C1196" s="225" t="s">
        <v>2708</v>
      </c>
      <c r="D1196" s="225" t="s">
        <v>1470</v>
      </c>
      <c r="E1196" s="232" t="s">
        <v>2428</v>
      </c>
      <c r="F1196" s="89" t="s">
        <v>332</v>
      </c>
    </row>
    <row r="1197" spans="2:6" x14ac:dyDescent="0.55000000000000004">
      <c r="B1197" s="213">
        <v>13</v>
      </c>
      <c r="C1197" s="225" t="s">
        <v>2710</v>
      </c>
      <c r="D1197" s="225" t="s">
        <v>1472</v>
      </c>
      <c r="E1197" s="232" t="s">
        <v>2428</v>
      </c>
      <c r="F1197" s="89" t="s">
        <v>332</v>
      </c>
    </row>
    <row r="1198" spans="2:6" x14ac:dyDescent="0.55000000000000004">
      <c r="B1198" s="213">
        <v>13</v>
      </c>
      <c r="C1198" s="225" t="s">
        <v>2714</v>
      </c>
      <c r="D1198" s="225" t="s">
        <v>1476</v>
      </c>
      <c r="E1198" s="232" t="s">
        <v>2428</v>
      </c>
      <c r="F1198" s="89" t="s">
        <v>332</v>
      </c>
    </row>
    <row r="1199" spans="2:6" x14ac:dyDescent="0.55000000000000004">
      <c r="B1199" s="213">
        <v>13</v>
      </c>
      <c r="C1199" s="225" t="s">
        <v>2738</v>
      </c>
      <c r="D1199" s="225" t="s">
        <v>1508</v>
      </c>
      <c r="E1199" s="232" t="s">
        <v>2428</v>
      </c>
      <c r="F1199" s="89" t="s">
        <v>549</v>
      </c>
    </row>
    <row r="1200" spans="2:6" ht="25.8" x14ac:dyDescent="0.55000000000000004">
      <c r="B1200" s="214">
        <v>13</v>
      </c>
      <c r="C1200" s="226" t="s">
        <v>2728</v>
      </c>
      <c r="D1200" s="226" t="s">
        <v>1509</v>
      </c>
      <c r="E1200" s="232" t="s">
        <v>2428</v>
      </c>
      <c r="F1200" s="89" t="s">
        <v>549</v>
      </c>
    </row>
    <row r="1201" spans="2:6" ht="25.8" x14ac:dyDescent="0.55000000000000004">
      <c r="B1201" s="215" t="s">
        <v>932</v>
      </c>
      <c r="C1201" s="227" t="s">
        <v>2739</v>
      </c>
      <c r="D1201" s="227" t="s">
        <v>597</v>
      </c>
      <c r="E1201" s="232" t="e">
        <v>#N/A</v>
      </c>
      <c r="F1201" s="89" t="s">
        <v>2433</v>
      </c>
    </row>
    <row r="1202" spans="2:6" x14ac:dyDescent="0.55000000000000004">
      <c r="B1202" s="214" t="s">
        <v>932</v>
      </c>
      <c r="C1202" s="226" t="s">
        <v>254</v>
      </c>
      <c r="D1202" s="226" t="s">
        <v>254</v>
      </c>
      <c r="E1202" s="232" t="s">
        <v>2428</v>
      </c>
      <c r="F1202" s="89" t="s">
        <v>549</v>
      </c>
    </row>
    <row r="1203" spans="2:6" x14ac:dyDescent="0.55000000000000004">
      <c r="B1203" s="213" t="s">
        <v>932</v>
      </c>
      <c r="C1203" s="226" t="s">
        <v>254</v>
      </c>
      <c r="D1203" s="226" t="s">
        <v>254</v>
      </c>
      <c r="E1203" s="232" t="s">
        <v>2428</v>
      </c>
      <c r="F1203" s="89" t="s">
        <v>332</v>
      </c>
    </row>
    <row r="1204" spans="2:6" x14ac:dyDescent="0.55000000000000004">
      <c r="B1204" s="213" t="s">
        <v>932</v>
      </c>
      <c r="C1204" s="225" t="s">
        <v>552</v>
      </c>
      <c r="D1204" s="225" t="s">
        <v>552</v>
      </c>
      <c r="E1204" s="232" t="s">
        <v>2428</v>
      </c>
      <c r="F1204" s="89" t="s">
        <v>549</v>
      </c>
    </row>
    <row r="1205" spans="2:6" x14ac:dyDescent="0.55000000000000004">
      <c r="B1205" s="214" t="s">
        <v>932</v>
      </c>
      <c r="C1205" s="226" t="s">
        <v>1498</v>
      </c>
      <c r="D1205" s="226" t="s">
        <v>1498</v>
      </c>
      <c r="E1205" s="232" t="s">
        <v>2428</v>
      </c>
      <c r="F1205" s="89" t="s">
        <v>549</v>
      </c>
    </row>
    <row r="1206" spans="2:6" x14ac:dyDescent="0.55000000000000004">
      <c r="B1206" s="215" t="s">
        <v>933</v>
      </c>
      <c r="C1206" s="227" t="s">
        <v>1510</v>
      </c>
      <c r="D1206" s="227" t="s">
        <v>1510</v>
      </c>
      <c r="E1206" s="232" t="e">
        <v>#N/A</v>
      </c>
      <c r="F1206" s="89" t="s">
        <v>2433</v>
      </c>
    </row>
    <row r="1207" spans="2:6" x14ac:dyDescent="0.55000000000000004">
      <c r="B1207" s="214" t="s">
        <v>933</v>
      </c>
      <c r="C1207" s="225" t="s">
        <v>1458</v>
      </c>
      <c r="D1207" s="225" t="s">
        <v>1458</v>
      </c>
      <c r="E1207" s="232" t="s">
        <v>2428</v>
      </c>
      <c r="F1207" s="89" t="s">
        <v>549</v>
      </c>
    </row>
    <row r="1208" spans="2:6" x14ac:dyDescent="0.55000000000000004">
      <c r="B1208" s="214" t="s">
        <v>933</v>
      </c>
      <c r="C1208" s="226" t="s">
        <v>554</v>
      </c>
      <c r="D1208" s="226" t="s">
        <v>554</v>
      </c>
      <c r="E1208" s="232" t="s">
        <v>2428</v>
      </c>
      <c r="F1208" s="89" t="s">
        <v>549</v>
      </c>
    </row>
    <row r="1209" spans="2:6" x14ac:dyDescent="0.55000000000000004">
      <c r="B1209" s="213" t="s">
        <v>933</v>
      </c>
      <c r="C1209" s="226" t="s">
        <v>554</v>
      </c>
      <c r="D1209" s="226" t="s">
        <v>554</v>
      </c>
      <c r="E1209" s="232" t="s">
        <v>2428</v>
      </c>
      <c r="F1209" s="89" t="s">
        <v>549</v>
      </c>
    </row>
    <row r="1210" spans="2:6" x14ac:dyDescent="0.55000000000000004">
      <c r="B1210" s="214" t="s">
        <v>933</v>
      </c>
      <c r="C1210" s="225" t="s">
        <v>565</v>
      </c>
      <c r="D1210" s="225" t="s">
        <v>565</v>
      </c>
      <c r="E1210" s="232" t="s">
        <v>2428</v>
      </c>
      <c r="F1210" s="89" t="s">
        <v>549</v>
      </c>
    </row>
    <row r="1211" spans="2:6" x14ac:dyDescent="0.55000000000000004">
      <c r="B1211" s="213" t="s">
        <v>933</v>
      </c>
      <c r="C1211" s="225" t="s">
        <v>565</v>
      </c>
      <c r="D1211" s="225" t="s">
        <v>565</v>
      </c>
      <c r="E1211" s="232" t="s">
        <v>2428</v>
      </c>
      <c r="F1211" s="89" t="s">
        <v>549</v>
      </c>
    </row>
    <row r="1212" spans="2:6" x14ac:dyDescent="0.55000000000000004">
      <c r="B1212" s="213" t="s">
        <v>933</v>
      </c>
      <c r="C1212" s="225" t="s">
        <v>558</v>
      </c>
      <c r="D1212" s="225" t="s">
        <v>558</v>
      </c>
      <c r="E1212" s="232" t="s">
        <v>2428</v>
      </c>
      <c r="F1212" s="89" t="s">
        <v>332</v>
      </c>
    </row>
    <row r="1213" spans="2:6" x14ac:dyDescent="0.55000000000000004">
      <c r="B1213" s="213" t="s">
        <v>933</v>
      </c>
      <c r="C1213" s="225" t="s">
        <v>555</v>
      </c>
      <c r="D1213" s="225" t="s">
        <v>555</v>
      </c>
      <c r="E1213" s="232" t="s">
        <v>2428</v>
      </c>
      <c r="F1213" s="89" t="s">
        <v>332</v>
      </c>
    </row>
    <row r="1214" spans="2:6" x14ac:dyDescent="0.55000000000000004">
      <c r="B1214" s="213" t="s">
        <v>933</v>
      </c>
      <c r="C1214" s="225" t="s">
        <v>564</v>
      </c>
      <c r="D1214" s="225" t="s">
        <v>564</v>
      </c>
      <c r="E1214" s="232" t="s">
        <v>2428</v>
      </c>
      <c r="F1214" s="89" t="s">
        <v>332</v>
      </c>
    </row>
    <row r="1215" spans="2:6" x14ac:dyDescent="0.55000000000000004">
      <c r="B1215" s="213" t="s">
        <v>933</v>
      </c>
      <c r="C1215" s="225" t="s">
        <v>559</v>
      </c>
      <c r="D1215" s="225" t="s">
        <v>559</v>
      </c>
      <c r="E1215" s="232" t="s">
        <v>2428</v>
      </c>
      <c r="F1215" s="89" t="s">
        <v>332</v>
      </c>
    </row>
    <row r="1216" spans="2:6" x14ac:dyDescent="0.55000000000000004">
      <c r="B1216" s="216" t="s">
        <v>598</v>
      </c>
      <c r="C1216" s="224" t="s">
        <v>599</v>
      </c>
      <c r="D1216" s="224" t="s">
        <v>599</v>
      </c>
      <c r="E1216" s="232" t="e">
        <v>#N/A</v>
      </c>
      <c r="F1216" s="89" t="s">
        <v>2433</v>
      </c>
    </row>
    <row r="1217" spans="2:6" x14ac:dyDescent="0.55000000000000004">
      <c r="B1217" s="213" t="s">
        <v>598</v>
      </c>
      <c r="C1217" s="225" t="s">
        <v>604</v>
      </c>
      <c r="D1217" s="225" t="s">
        <v>604</v>
      </c>
      <c r="E1217" s="232" t="s">
        <v>2429</v>
      </c>
      <c r="F1217" s="89" t="s">
        <v>524</v>
      </c>
    </row>
    <row r="1218" spans="2:6" x14ac:dyDescent="0.55000000000000004">
      <c r="B1218" s="214" t="s">
        <v>598</v>
      </c>
      <c r="C1218" s="226" t="s">
        <v>263</v>
      </c>
      <c r="D1218" s="226" t="s">
        <v>263</v>
      </c>
      <c r="E1218" s="232" t="s">
        <v>2429</v>
      </c>
      <c r="F1218" s="89" t="s">
        <v>524</v>
      </c>
    </row>
    <row r="1219" spans="2:6" x14ac:dyDescent="0.55000000000000004">
      <c r="B1219" s="213" t="s">
        <v>598</v>
      </c>
      <c r="C1219" s="225" t="s">
        <v>605</v>
      </c>
      <c r="D1219" s="225" t="s">
        <v>605</v>
      </c>
      <c r="E1219" s="232" t="s">
        <v>2429</v>
      </c>
      <c r="F1219" s="89" t="s">
        <v>524</v>
      </c>
    </row>
    <row r="1220" spans="2:6" x14ac:dyDescent="0.55000000000000004">
      <c r="B1220" s="213" t="s">
        <v>598</v>
      </c>
      <c r="C1220" s="225" t="s">
        <v>606</v>
      </c>
      <c r="D1220" s="225" t="s">
        <v>606</v>
      </c>
      <c r="E1220" s="232" t="s">
        <v>2429</v>
      </c>
      <c r="F1220" s="89" t="s">
        <v>524</v>
      </c>
    </row>
    <row r="1221" spans="2:6" x14ac:dyDescent="0.55000000000000004">
      <c r="B1221" s="213" t="s">
        <v>598</v>
      </c>
      <c r="C1221" s="225" t="s">
        <v>607</v>
      </c>
      <c r="D1221" s="225" t="s">
        <v>607</v>
      </c>
      <c r="E1221" s="232" t="s">
        <v>2429</v>
      </c>
      <c r="F1221" s="89" t="s">
        <v>524</v>
      </c>
    </row>
    <row r="1222" spans="2:6" x14ac:dyDescent="0.55000000000000004">
      <c r="B1222" s="213" t="s">
        <v>598</v>
      </c>
      <c r="C1222" s="225" t="s">
        <v>608</v>
      </c>
      <c r="D1222" s="225" t="s">
        <v>608</v>
      </c>
      <c r="E1222" s="232" t="s">
        <v>2429</v>
      </c>
      <c r="F1222" s="89" t="s">
        <v>524</v>
      </c>
    </row>
    <row r="1223" spans="2:6" x14ac:dyDescent="0.55000000000000004">
      <c r="B1223" s="213" t="s">
        <v>598</v>
      </c>
      <c r="C1223" s="225" t="s">
        <v>609</v>
      </c>
      <c r="D1223" s="225" t="s">
        <v>609</v>
      </c>
      <c r="E1223" s="232" t="s">
        <v>2429</v>
      </c>
      <c r="F1223" s="89" t="s">
        <v>524</v>
      </c>
    </row>
    <row r="1224" spans="2:6" x14ac:dyDescent="0.55000000000000004">
      <c r="B1224" s="213" t="s">
        <v>598</v>
      </c>
      <c r="C1224" s="225" t="s">
        <v>610</v>
      </c>
      <c r="D1224" s="225" t="s">
        <v>610</v>
      </c>
      <c r="E1224" s="232" t="s">
        <v>2429</v>
      </c>
      <c r="F1224" s="89" t="s">
        <v>524</v>
      </c>
    </row>
    <row r="1225" spans="2:6" x14ac:dyDescent="0.55000000000000004">
      <c r="B1225" s="213" t="s">
        <v>598</v>
      </c>
      <c r="C1225" s="225" t="s">
        <v>611</v>
      </c>
      <c r="D1225" s="225" t="s">
        <v>611</v>
      </c>
      <c r="E1225" s="232" t="s">
        <v>2429</v>
      </c>
      <c r="F1225" s="89" t="s">
        <v>524</v>
      </c>
    </row>
    <row r="1226" spans="2:6" x14ac:dyDescent="0.55000000000000004">
      <c r="B1226" s="213" t="s">
        <v>598</v>
      </c>
      <c r="C1226" s="225" t="s">
        <v>612</v>
      </c>
      <c r="D1226" s="225" t="s">
        <v>612</v>
      </c>
      <c r="E1226" s="232" t="s">
        <v>2429</v>
      </c>
      <c r="F1226" s="89" t="s">
        <v>524</v>
      </c>
    </row>
    <row r="1227" spans="2:6" x14ac:dyDescent="0.55000000000000004">
      <c r="B1227" s="213" t="s">
        <v>598</v>
      </c>
      <c r="C1227" s="225" t="s">
        <v>613</v>
      </c>
      <c r="D1227" s="225" t="s">
        <v>613</v>
      </c>
      <c r="E1227" s="232" t="s">
        <v>2429</v>
      </c>
      <c r="F1227" s="89" t="s">
        <v>524</v>
      </c>
    </row>
    <row r="1228" spans="2:6" x14ac:dyDescent="0.55000000000000004">
      <c r="B1228" s="213" t="s">
        <v>598</v>
      </c>
      <c r="C1228" s="225" t="s">
        <v>614</v>
      </c>
      <c r="D1228" s="225" t="s">
        <v>614</v>
      </c>
      <c r="E1228" s="232" t="s">
        <v>2429</v>
      </c>
      <c r="F1228" s="89" t="s">
        <v>524</v>
      </c>
    </row>
    <row r="1229" spans="2:6" x14ac:dyDescent="0.55000000000000004">
      <c r="B1229" s="213" t="s">
        <v>598</v>
      </c>
      <c r="C1229" s="225" t="s">
        <v>615</v>
      </c>
      <c r="D1229" s="225" t="s">
        <v>615</v>
      </c>
      <c r="E1229" s="232" t="s">
        <v>2429</v>
      </c>
      <c r="F1229" s="89" t="s">
        <v>524</v>
      </c>
    </row>
    <row r="1230" spans="2:6" x14ac:dyDescent="0.55000000000000004">
      <c r="B1230" s="213" t="s">
        <v>598</v>
      </c>
      <c r="C1230" s="225" t="s">
        <v>616</v>
      </c>
      <c r="D1230" s="225" t="s">
        <v>616</v>
      </c>
      <c r="E1230" s="232" t="s">
        <v>2429</v>
      </c>
      <c r="F1230" s="89" t="s">
        <v>524</v>
      </c>
    </row>
    <row r="1231" spans="2:6" x14ac:dyDescent="0.55000000000000004">
      <c r="B1231" s="213" t="s">
        <v>598</v>
      </c>
      <c r="C1231" s="225" t="s">
        <v>617</v>
      </c>
      <c r="D1231" s="225" t="s">
        <v>617</v>
      </c>
      <c r="E1231" s="232" t="s">
        <v>2429</v>
      </c>
      <c r="F1231" s="89" t="s">
        <v>524</v>
      </c>
    </row>
    <row r="1232" spans="2:6" x14ac:dyDescent="0.55000000000000004">
      <c r="B1232" s="213" t="s">
        <v>598</v>
      </c>
      <c r="C1232" s="225" t="s">
        <v>618</v>
      </c>
      <c r="D1232" s="225" t="s">
        <v>618</v>
      </c>
      <c r="E1232" s="232" t="s">
        <v>2429</v>
      </c>
      <c r="F1232" s="89" t="s">
        <v>524</v>
      </c>
    </row>
    <row r="1233" spans="2:6" x14ac:dyDescent="0.55000000000000004">
      <c r="B1233" s="213" t="s">
        <v>598</v>
      </c>
      <c r="C1233" s="225" t="s">
        <v>619</v>
      </c>
      <c r="D1233" s="225" t="s">
        <v>619</v>
      </c>
      <c r="E1233" s="232" t="s">
        <v>2429</v>
      </c>
      <c r="F1233" s="89" t="s">
        <v>524</v>
      </c>
    </row>
    <row r="1234" spans="2:6" x14ac:dyDescent="0.55000000000000004">
      <c r="B1234" s="213" t="s">
        <v>598</v>
      </c>
      <c r="C1234" s="225" t="s">
        <v>2740</v>
      </c>
      <c r="D1234" s="225" t="s">
        <v>1511</v>
      </c>
      <c r="E1234" s="232" t="s">
        <v>2429</v>
      </c>
      <c r="F1234" s="89" t="s">
        <v>524</v>
      </c>
    </row>
    <row r="1235" spans="2:6" x14ac:dyDescent="0.55000000000000004">
      <c r="B1235" s="214" t="s">
        <v>598</v>
      </c>
      <c r="C1235" s="225" t="s">
        <v>2741</v>
      </c>
      <c r="D1235" s="225" t="s">
        <v>1512</v>
      </c>
      <c r="E1235" s="232" t="s">
        <v>2429</v>
      </c>
      <c r="F1235" s="89" t="s">
        <v>524</v>
      </c>
    </row>
    <row r="1236" spans="2:6" x14ac:dyDescent="0.55000000000000004">
      <c r="B1236" s="213" t="s">
        <v>598</v>
      </c>
      <c r="C1236" s="225" t="s">
        <v>620</v>
      </c>
      <c r="D1236" s="225" t="s">
        <v>620</v>
      </c>
      <c r="E1236" s="232" t="s">
        <v>2429</v>
      </c>
      <c r="F1236" s="89" t="s">
        <v>524</v>
      </c>
    </row>
    <row r="1237" spans="2:6" x14ac:dyDescent="0.55000000000000004">
      <c r="B1237" s="213" t="s">
        <v>598</v>
      </c>
      <c r="C1237" s="225" t="s">
        <v>621</v>
      </c>
      <c r="D1237" s="225" t="s">
        <v>621</v>
      </c>
      <c r="E1237" s="232" t="s">
        <v>2429</v>
      </c>
      <c r="F1237" s="89" t="s">
        <v>524</v>
      </c>
    </row>
    <row r="1238" spans="2:6" ht="25.8" x14ac:dyDescent="0.55000000000000004">
      <c r="B1238" s="213" t="s">
        <v>598</v>
      </c>
      <c r="C1238" s="225" t="s">
        <v>2742</v>
      </c>
      <c r="D1238" s="225" t="s">
        <v>1513</v>
      </c>
      <c r="E1238" s="232" t="s">
        <v>2429</v>
      </c>
      <c r="F1238" s="89" t="s">
        <v>524</v>
      </c>
    </row>
    <row r="1239" spans="2:6" x14ac:dyDescent="0.55000000000000004">
      <c r="B1239" s="213" t="s">
        <v>598</v>
      </c>
      <c r="C1239" s="225" t="s">
        <v>622</v>
      </c>
      <c r="D1239" s="225" t="s">
        <v>622</v>
      </c>
      <c r="E1239" s="232" t="s">
        <v>2429</v>
      </c>
      <c r="F1239" s="89" t="s">
        <v>524</v>
      </c>
    </row>
    <row r="1240" spans="2:6" x14ac:dyDescent="0.55000000000000004">
      <c r="B1240" s="213" t="s">
        <v>598</v>
      </c>
      <c r="C1240" s="225" t="s">
        <v>623</v>
      </c>
      <c r="D1240" s="225" t="s">
        <v>623</v>
      </c>
      <c r="E1240" s="232" t="s">
        <v>2429</v>
      </c>
      <c r="F1240" s="89" t="s">
        <v>524</v>
      </c>
    </row>
    <row r="1241" spans="2:6" x14ac:dyDescent="0.55000000000000004">
      <c r="B1241" s="213" t="s">
        <v>598</v>
      </c>
      <c r="C1241" s="225" t="s">
        <v>624</v>
      </c>
      <c r="D1241" s="225" t="s">
        <v>624</v>
      </c>
      <c r="E1241" s="232" t="s">
        <v>2429</v>
      </c>
      <c r="F1241" s="89" t="s">
        <v>524</v>
      </c>
    </row>
    <row r="1242" spans="2:6" x14ac:dyDescent="0.55000000000000004">
      <c r="B1242" s="213" t="s">
        <v>598</v>
      </c>
      <c r="C1242" s="225" t="s">
        <v>625</v>
      </c>
      <c r="D1242" s="225" t="s">
        <v>625</v>
      </c>
      <c r="E1242" s="232" t="s">
        <v>2429</v>
      </c>
      <c r="F1242" s="89" t="s">
        <v>524</v>
      </c>
    </row>
    <row r="1243" spans="2:6" x14ac:dyDescent="0.55000000000000004">
      <c r="B1243" s="213" t="s">
        <v>598</v>
      </c>
      <c r="C1243" s="225" t="s">
        <v>1514</v>
      </c>
      <c r="D1243" s="225" t="s">
        <v>1514</v>
      </c>
      <c r="E1243" s="232" t="s">
        <v>2429</v>
      </c>
      <c r="F1243" s="89" t="s">
        <v>524</v>
      </c>
    </row>
    <row r="1244" spans="2:6" x14ac:dyDescent="0.55000000000000004">
      <c r="B1244" s="213" t="s">
        <v>598</v>
      </c>
      <c r="C1244" s="225" t="s">
        <v>1515</v>
      </c>
      <c r="D1244" s="225" t="s">
        <v>1515</v>
      </c>
      <c r="E1244" s="232" t="s">
        <v>2429</v>
      </c>
      <c r="F1244" s="89" t="s">
        <v>524</v>
      </c>
    </row>
    <row r="1245" spans="2:6" x14ac:dyDescent="0.55000000000000004">
      <c r="B1245" s="213" t="s">
        <v>598</v>
      </c>
      <c r="C1245" s="225" t="s">
        <v>626</v>
      </c>
      <c r="D1245" s="225" t="s">
        <v>626</v>
      </c>
      <c r="E1245" s="232" t="s">
        <v>2429</v>
      </c>
      <c r="F1245" s="89" t="s">
        <v>524</v>
      </c>
    </row>
    <row r="1246" spans="2:6" x14ac:dyDescent="0.55000000000000004">
      <c r="B1246" s="214" t="s">
        <v>598</v>
      </c>
      <c r="C1246" s="226" t="s">
        <v>601</v>
      </c>
      <c r="D1246" s="226" t="s">
        <v>601</v>
      </c>
      <c r="E1246" s="232" t="s">
        <v>2429</v>
      </c>
      <c r="F1246" s="89" t="s">
        <v>524</v>
      </c>
    </row>
    <row r="1247" spans="2:6" x14ac:dyDescent="0.55000000000000004">
      <c r="B1247" s="214" t="s">
        <v>598</v>
      </c>
      <c r="C1247" s="226" t="s">
        <v>601</v>
      </c>
      <c r="D1247" s="226" t="s">
        <v>601</v>
      </c>
      <c r="E1247" s="232" t="s">
        <v>2429</v>
      </c>
      <c r="F1247" s="89" t="s">
        <v>524</v>
      </c>
    </row>
    <row r="1248" spans="2:6" x14ac:dyDescent="0.55000000000000004">
      <c r="B1248" s="214" t="s">
        <v>598</v>
      </c>
      <c r="C1248" s="226" t="s">
        <v>601</v>
      </c>
      <c r="D1248" s="226" t="s">
        <v>601</v>
      </c>
      <c r="E1248" s="232" t="s">
        <v>2429</v>
      </c>
      <c r="F1248" s="89" t="s">
        <v>524</v>
      </c>
    </row>
    <row r="1249" spans="2:6" x14ac:dyDescent="0.55000000000000004">
      <c r="B1249" s="213" t="s">
        <v>598</v>
      </c>
      <c r="C1249" s="225" t="s">
        <v>627</v>
      </c>
      <c r="D1249" s="225" t="s">
        <v>627</v>
      </c>
      <c r="E1249" s="232" t="s">
        <v>2429</v>
      </c>
      <c r="F1249" s="89" t="s">
        <v>524</v>
      </c>
    </row>
    <row r="1250" spans="2:6" x14ac:dyDescent="0.55000000000000004">
      <c r="B1250" s="213" t="s">
        <v>598</v>
      </c>
      <c r="C1250" s="225" t="s">
        <v>628</v>
      </c>
      <c r="D1250" s="225" t="s">
        <v>628</v>
      </c>
      <c r="E1250" s="232" t="s">
        <v>2429</v>
      </c>
      <c r="F1250" s="89" t="s">
        <v>524</v>
      </c>
    </row>
    <row r="1251" spans="2:6" x14ac:dyDescent="0.55000000000000004">
      <c r="B1251" s="213" t="s">
        <v>598</v>
      </c>
      <c r="C1251" s="225" t="s">
        <v>629</v>
      </c>
      <c r="D1251" s="225" t="s">
        <v>629</v>
      </c>
      <c r="E1251" s="232" t="s">
        <v>2429</v>
      </c>
      <c r="F1251" s="89" t="s">
        <v>524</v>
      </c>
    </row>
    <row r="1252" spans="2:6" x14ac:dyDescent="0.55000000000000004">
      <c r="B1252" s="214" t="s">
        <v>598</v>
      </c>
      <c r="C1252" s="225" t="s">
        <v>602</v>
      </c>
      <c r="D1252" s="225" t="s">
        <v>602</v>
      </c>
      <c r="E1252" s="232" t="s">
        <v>2429</v>
      </c>
      <c r="F1252" s="89" t="s">
        <v>524</v>
      </c>
    </row>
    <row r="1253" spans="2:6" x14ac:dyDescent="0.55000000000000004">
      <c r="B1253" s="213" t="s">
        <v>598</v>
      </c>
      <c r="C1253" s="225" t="s">
        <v>1516</v>
      </c>
      <c r="D1253" s="225" t="s">
        <v>1516</v>
      </c>
      <c r="E1253" s="232" t="s">
        <v>2429</v>
      </c>
      <c r="F1253" s="89" t="s">
        <v>524</v>
      </c>
    </row>
    <row r="1254" spans="2:6" x14ac:dyDescent="0.55000000000000004">
      <c r="B1254" s="213" t="s">
        <v>598</v>
      </c>
      <c r="C1254" s="225" t="s">
        <v>2743</v>
      </c>
      <c r="D1254" s="225" t="s">
        <v>1517</v>
      </c>
      <c r="E1254" s="232" t="s">
        <v>2429</v>
      </c>
      <c r="F1254" s="89" t="s">
        <v>524</v>
      </c>
    </row>
    <row r="1255" spans="2:6" x14ac:dyDescent="0.55000000000000004">
      <c r="B1255" s="214" t="s">
        <v>598</v>
      </c>
      <c r="C1255" s="225" t="s">
        <v>1518</v>
      </c>
      <c r="D1255" s="225" t="s">
        <v>1518</v>
      </c>
      <c r="E1255" s="232" t="s">
        <v>2429</v>
      </c>
      <c r="F1255" s="89" t="s">
        <v>524</v>
      </c>
    </row>
    <row r="1256" spans="2:6" x14ac:dyDescent="0.55000000000000004">
      <c r="B1256" s="214" t="s">
        <v>598</v>
      </c>
      <c r="C1256" s="225" t="s">
        <v>1519</v>
      </c>
      <c r="D1256" s="225" t="s">
        <v>1519</v>
      </c>
      <c r="E1256" s="232" t="s">
        <v>2429</v>
      </c>
      <c r="F1256" s="89" t="s">
        <v>524</v>
      </c>
    </row>
    <row r="1257" spans="2:6" x14ac:dyDescent="0.55000000000000004">
      <c r="B1257" s="213" t="s">
        <v>598</v>
      </c>
      <c r="C1257" s="225" t="s">
        <v>1520</v>
      </c>
      <c r="D1257" s="225" t="s">
        <v>1520</v>
      </c>
      <c r="E1257" s="232" t="s">
        <v>2429</v>
      </c>
      <c r="F1257" s="89" t="s">
        <v>524</v>
      </c>
    </row>
    <row r="1258" spans="2:6" x14ac:dyDescent="0.55000000000000004">
      <c r="B1258" s="212">
        <v>14</v>
      </c>
      <c r="C1258" s="224" t="s">
        <v>630</v>
      </c>
      <c r="D1258" s="224" t="s">
        <v>630</v>
      </c>
      <c r="E1258" s="232" t="e">
        <v>#N/A</v>
      </c>
      <c r="F1258" s="89" t="s">
        <v>2433</v>
      </c>
    </row>
    <row r="1259" spans="2:6" x14ac:dyDescent="0.55000000000000004">
      <c r="B1259" s="214">
        <v>14</v>
      </c>
      <c r="C1259" s="225" t="s">
        <v>263</v>
      </c>
      <c r="D1259" s="225" t="s">
        <v>263</v>
      </c>
      <c r="E1259" s="232" t="s">
        <v>2429</v>
      </c>
      <c r="F1259" s="89" t="s">
        <v>524</v>
      </c>
    </row>
    <row r="1260" spans="2:6" x14ac:dyDescent="0.55000000000000004">
      <c r="B1260" s="213">
        <v>14</v>
      </c>
      <c r="C1260" s="225" t="s">
        <v>605</v>
      </c>
      <c r="D1260" s="225" t="s">
        <v>605</v>
      </c>
      <c r="E1260" s="232" t="s">
        <v>2429</v>
      </c>
      <c r="F1260" s="89" t="s">
        <v>524</v>
      </c>
    </row>
    <row r="1261" spans="2:6" x14ac:dyDescent="0.55000000000000004">
      <c r="B1261" s="213">
        <v>14</v>
      </c>
      <c r="C1261" s="225" t="s">
        <v>606</v>
      </c>
      <c r="D1261" s="225" t="s">
        <v>606</v>
      </c>
      <c r="E1261" s="232" t="s">
        <v>2429</v>
      </c>
      <c r="F1261" s="89" t="s">
        <v>524</v>
      </c>
    </row>
    <row r="1262" spans="2:6" x14ac:dyDescent="0.55000000000000004">
      <c r="B1262" s="213">
        <v>14</v>
      </c>
      <c r="C1262" s="225" t="s">
        <v>610</v>
      </c>
      <c r="D1262" s="225" t="s">
        <v>610</v>
      </c>
      <c r="E1262" s="232" t="s">
        <v>2429</v>
      </c>
      <c r="F1262" s="89" t="s">
        <v>524</v>
      </c>
    </row>
    <row r="1263" spans="2:6" x14ac:dyDescent="0.55000000000000004">
      <c r="B1263" s="213">
        <v>14</v>
      </c>
      <c r="C1263" s="225" t="s">
        <v>613</v>
      </c>
      <c r="D1263" s="225" t="s">
        <v>613</v>
      </c>
      <c r="E1263" s="232" t="s">
        <v>2429</v>
      </c>
      <c r="F1263" s="89" t="s">
        <v>524</v>
      </c>
    </row>
    <row r="1264" spans="2:6" x14ac:dyDescent="0.55000000000000004">
      <c r="B1264" s="213">
        <v>14</v>
      </c>
      <c r="C1264" s="225" t="s">
        <v>614</v>
      </c>
      <c r="D1264" s="225" t="s">
        <v>614</v>
      </c>
      <c r="E1264" s="232" t="s">
        <v>2429</v>
      </c>
      <c r="F1264" s="89" t="s">
        <v>524</v>
      </c>
    </row>
    <row r="1265" spans="2:6" x14ac:dyDescent="0.55000000000000004">
      <c r="B1265" s="213">
        <v>14</v>
      </c>
      <c r="C1265" s="225" t="s">
        <v>615</v>
      </c>
      <c r="D1265" s="225" t="s">
        <v>615</v>
      </c>
      <c r="E1265" s="232" t="s">
        <v>2429</v>
      </c>
      <c r="F1265" s="89" t="s">
        <v>524</v>
      </c>
    </row>
    <row r="1266" spans="2:6" x14ac:dyDescent="0.55000000000000004">
      <c r="B1266" s="214">
        <v>14</v>
      </c>
      <c r="C1266" s="225" t="s">
        <v>2744</v>
      </c>
      <c r="D1266" s="225" t="s">
        <v>600</v>
      </c>
      <c r="E1266" s="232" t="s">
        <v>2429</v>
      </c>
      <c r="F1266" s="89" t="s">
        <v>524</v>
      </c>
    </row>
    <row r="1267" spans="2:6" x14ac:dyDescent="0.55000000000000004">
      <c r="B1267" s="213">
        <v>14</v>
      </c>
      <c r="C1267" s="225" t="s">
        <v>621</v>
      </c>
      <c r="D1267" s="225" t="s">
        <v>621</v>
      </c>
      <c r="E1267" s="232" t="s">
        <v>2429</v>
      </c>
      <c r="F1267" s="89" t="s">
        <v>524</v>
      </c>
    </row>
    <row r="1268" spans="2:6" x14ac:dyDescent="0.55000000000000004">
      <c r="B1268" s="213">
        <v>14</v>
      </c>
      <c r="C1268" s="225" t="s">
        <v>622</v>
      </c>
      <c r="D1268" s="225" t="s">
        <v>622</v>
      </c>
      <c r="E1268" s="232" t="s">
        <v>2429</v>
      </c>
      <c r="F1268" s="89" t="s">
        <v>524</v>
      </c>
    </row>
    <row r="1269" spans="2:6" x14ac:dyDescent="0.55000000000000004">
      <c r="B1269" s="214">
        <v>14</v>
      </c>
      <c r="C1269" s="225" t="s">
        <v>601</v>
      </c>
      <c r="D1269" s="225" t="s">
        <v>601</v>
      </c>
      <c r="E1269" s="232" t="s">
        <v>2429</v>
      </c>
      <c r="F1269" s="89" t="s">
        <v>524</v>
      </c>
    </row>
    <row r="1270" spans="2:6" x14ac:dyDescent="0.55000000000000004">
      <c r="B1270" s="214">
        <v>14</v>
      </c>
      <c r="C1270" s="225" t="s">
        <v>601</v>
      </c>
      <c r="D1270" s="225" t="s">
        <v>601</v>
      </c>
      <c r="E1270" s="232" t="s">
        <v>2429</v>
      </c>
      <c r="F1270" s="89" t="s">
        <v>524</v>
      </c>
    </row>
    <row r="1271" spans="2:6" x14ac:dyDescent="0.55000000000000004">
      <c r="B1271" s="214">
        <v>14</v>
      </c>
      <c r="C1271" s="225" t="s">
        <v>601</v>
      </c>
      <c r="D1271" s="225" t="s">
        <v>601</v>
      </c>
      <c r="E1271" s="232" t="s">
        <v>2429</v>
      </c>
      <c r="F1271" s="89" t="s">
        <v>524</v>
      </c>
    </row>
    <row r="1272" spans="2:6" x14ac:dyDescent="0.55000000000000004">
      <c r="B1272" s="214">
        <v>14</v>
      </c>
      <c r="C1272" s="225" t="s">
        <v>603</v>
      </c>
      <c r="D1272" s="225" t="s">
        <v>603</v>
      </c>
      <c r="E1272" s="232" t="s">
        <v>2429</v>
      </c>
      <c r="F1272" s="89" t="s">
        <v>524</v>
      </c>
    </row>
    <row r="1273" spans="2:6" x14ac:dyDescent="0.55000000000000004">
      <c r="B1273" s="219" t="s">
        <v>934</v>
      </c>
      <c r="C1273" s="224" t="s">
        <v>1521</v>
      </c>
      <c r="D1273" s="224" t="s">
        <v>1521</v>
      </c>
      <c r="E1273" s="232" t="e">
        <v>#N/A</v>
      </c>
      <c r="F1273" s="89" t="s">
        <v>2433</v>
      </c>
    </row>
    <row r="1274" spans="2:6" x14ac:dyDescent="0.55000000000000004">
      <c r="B1274" s="220" t="s">
        <v>934</v>
      </c>
      <c r="C1274" s="225" t="s">
        <v>1522</v>
      </c>
      <c r="D1274" s="225" t="s">
        <v>1522</v>
      </c>
      <c r="E1274" s="232" t="s">
        <v>645</v>
      </c>
      <c r="F1274" s="89" t="s">
        <v>338</v>
      </c>
    </row>
    <row r="1275" spans="2:6" x14ac:dyDescent="0.55000000000000004">
      <c r="B1275" s="220" t="s">
        <v>934</v>
      </c>
      <c r="C1275" s="225" t="s">
        <v>1523</v>
      </c>
      <c r="D1275" s="225" t="s">
        <v>1523</v>
      </c>
      <c r="E1275" s="232" t="s">
        <v>645</v>
      </c>
      <c r="F1275" s="89" t="s">
        <v>338</v>
      </c>
    </row>
    <row r="1276" spans="2:6" x14ac:dyDescent="0.55000000000000004">
      <c r="B1276" s="220" t="s">
        <v>934</v>
      </c>
      <c r="C1276" s="225" t="s">
        <v>1524</v>
      </c>
      <c r="D1276" s="225" t="s">
        <v>1524</v>
      </c>
      <c r="E1276" s="232" t="s">
        <v>645</v>
      </c>
      <c r="F1276" s="89" t="s">
        <v>338</v>
      </c>
    </row>
    <row r="1277" spans="2:6" x14ac:dyDescent="0.55000000000000004">
      <c r="B1277" s="221" t="s">
        <v>934</v>
      </c>
      <c r="C1277" s="226" t="s">
        <v>1525</v>
      </c>
      <c r="D1277" s="226" t="s">
        <v>1525</v>
      </c>
      <c r="E1277" s="232" t="s">
        <v>633</v>
      </c>
      <c r="F1277" s="89" t="s">
        <v>416</v>
      </c>
    </row>
    <row r="1278" spans="2:6" x14ac:dyDescent="0.55000000000000004">
      <c r="B1278" s="220" t="s">
        <v>934</v>
      </c>
      <c r="C1278" s="225" t="s">
        <v>1526</v>
      </c>
      <c r="D1278" s="225" t="s">
        <v>1526</v>
      </c>
      <c r="E1278" s="232" t="s">
        <v>633</v>
      </c>
      <c r="F1278" s="89" t="s">
        <v>416</v>
      </c>
    </row>
    <row r="1279" spans="2:6" ht="25.8" x14ac:dyDescent="0.55000000000000004">
      <c r="B1279" s="220" t="s">
        <v>934</v>
      </c>
      <c r="C1279" s="225" t="s">
        <v>2745</v>
      </c>
      <c r="D1279" s="225" t="s">
        <v>1527</v>
      </c>
      <c r="E1279" s="232" t="s">
        <v>633</v>
      </c>
      <c r="F1279" s="89" t="s">
        <v>416</v>
      </c>
    </row>
    <row r="1280" spans="2:6" x14ac:dyDescent="0.55000000000000004">
      <c r="B1280" s="220" t="s">
        <v>934</v>
      </c>
      <c r="C1280" s="225" t="s">
        <v>1528</v>
      </c>
      <c r="D1280" s="225" t="s">
        <v>1528</v>
      </c>
      <c r="E1280" s="232" t="s">
        <v>645</v>
      </c>
      <c r="F1280" s="89" t="s">
        <v>648</v>
      </c>
    </row>
    <row r="1281" spans="2:6" x14ac:dyDescent="0.55000000000000004">
      <c r="B1281" s="220" t="s">
        <v>934</v>
      </c>
      <c r="C1281" s="225" t="s">
        <v>1529</v>
      </c>
      <c r="D1281" s="225" t="s">
        <v>1529</v>
      </c>
      <c r="E1281" s="232" t="s">
        <v>645</v>
      </c>
      <c r="F1281" s="89" t="s">
        <v>338</v>
      </c>
    </row>
    <row r="1282" spans="2:6" x14ac:dyDescent="0.55000000000000004">
      <c r="B1282" s="220" t="s">
        <v>934</v>
      </c>
      <c r="C1282" s="225" t="s">
        <v>1530</v>
      </c>
      <c r="D1282" s="225" t="s">
        <v>1530</v>
      </c>
      <c r="E1282" s="232" t="s">
        <v>645</v>
      </c>
      <c r="F1282" s="89" t="s">
        <v>338</v>
      </c>
    </row>
    <row r="1283" spans="2:6" x14ac:dyDescent="0.55000000000000004">
      <c r="B1283" s="220" t="s">
        <v>934</v>
      </c>
      <c r="C1283" s="225" t="s">
        <v>1531</v>
      </c>
      <c r="D1283" s="225" t="s">
        <v>1531</v>
      </c>
      <c r="E1283" s="232" t="s">
        <v>2428</v>
      </c>
      <c r="F1283" s="89" t="s">
        <v>264</v>
      </c>
    </row>
    <row r="1284" spans="2:6" x14ac:dyDescent="0.55000000000000004">
      <c r="B1284" s="220" t="s">
        <v>934</v>
      </c>
      <c r="C1284" s="225" t="s">
        <v>1532</v>
      </c>
      <c r="D1284" s="225" t="s">
        <v>1532</v>
      </c>
      <c r="E1284" s="232" t="s">
        <v>2428</v>
      </c>
      <c r="F1284" s="89" t="s">
        <v>264</v>
      </c>
    </row>
    <row r="1285" spans="2:6" x14ac:dyDescent="0.55000000000000004">
      <c r="B1285" s="213">
        <v>15</v>
      </c>
      <c r="C1285" s="225" t="s">
        <v>1532</v>
      </c>
      <c r="D1285" s="225" t="s">
        <v>1532</v>
      </c>
      <c r="E1285" s="232" t="s">
        <v>2428</v>
      </c>
      <c r="F1285" s="89" t="s">
        <v>264</v>
      </c>
    </row>
    <row r="1286" spans="2:6" x14ac:dyDescent="0.55000000000000004">
      <c r="B1286" s="221" t="s">
        <v>934</v>
      </c>
      <c r="C1286" s="226" t="s">
        <v>1533</v>
      </c>
      <c r="D1286" s="226" t="s">
        <v>1533</v>
      </c>
      <c r="E1286" s="232" t="s">
        <v>2428</v>
      </c>
      <c r="F1286" s="89" t="s">
        <v>332</v>
      </c>
    </row>
    <row r="1287" spans="2:6" x14ac:dyDescent="0.55000000000000004">
      <c r="B1287" s="220" t="s">
        <v>934</v>
      </c>
      <c r="C1287" s="225" t="s">
        <v>1534</v>
      </c>
      <c r="D1287" s="225" t="s">
        <v>1534</v>
      </c>
      <c r="E1287" s="232" t="s">
        <v>2430</v>
      </c>
      <c r="F1287" s="89" t="s">
        <v>650</v>
      </c>
    </row>
    <row r="1288" spans="2:6" x14ac:dyDescent="0.55000000000000004">
      <c r="B1288" s="220" t="s">
        <v>934</v>
      </c>
      <c r="C1288" s="225" t="s">
        <v>1535</v>
      </c>
      <c r="D1288" s="225" t="s">
        <v>1535</v>
      </c>
      <c r="E1288" s="232" t="s">
        <v>645</v>
      </c>
      <c r="F1288" s="89" t="s">
        <v>338</v>
      </c>
    </row>
    <row r="1289" spans="2:6" x14ac:dyDescent="0.55000000000000004">
      <c r="B1289" s="220" t="s">
        <v>934</v>
      </c>
      <c r="C1289" s="225" t="s">
        <v>2746</v>
      </c>
      <c r="D1289" s="225" t="s">
        <v>1536</v>
      </c>
      <c r="E1289" s="232" t="s">
        <v>645</v>
      </c>
      <c r="F1289" s="89" t="s">
        <v>338</v>
      </c>
    </row>
    <row r="1290" spans="2:6" x14ac:dyDescent="0.55000000000000004">
      <c r="B1290" s="221" t="s">
        <v>934</v>
      </c>
      <c r="C1290" s="226" t="s">
        <v>2747</v>
      </c>
      <c r="D1290" s="226" t="s">
        <v>1537</v>
      </c>
      <c r="E1290" s="232" t="s">
        <v>633</v>
      </c>
      <c r="F1290" s="89" t="s">
        <v>2434</v>
      </c>
    </row>
    <row r="1291" spans="2:6" ht="51.6" x14ac:dyDescent="0.55000000000000004">
      <c r="B1291" s="220" t="s">
        <v>934</v>
      </c>
      <c r="C1291" s="225" t="s">
        <v>2748</v>
      </c>
      <c r="D1291" s="225" t="s">
        <v>1538</v>
      </c>
      <c r="E1291" s="232" t="s">
        <v>645</v>
      </c>
      <c r="F1291" s="89" t="s">
        <v>338</v>
      </c>
    </row>
    <row r="1292" spans="2:6" x14ac:dyDescent="0.55000000000000004">
      <c r="B1292" s="220" t="s">
        <v>934</v>
      </c>
      <c r="C1292" s="225" t="s">
        <v>1539</v>
      </c>
      <c r="D1292" s="225" t="s">
        <v>1539</v>
      </c>
      <c r="E1292" s="232" t="s">
        <v>645</v>
      </c>
      <c r="F1292" s="89" t="s">
        <v>338</v>
      </c>
    </row>
    <row r="1293" spans="2:6" ht="25.8" x14ac:dyDescent="0.55000000000000004">
      <c r="B1293" s="220" t="s">
        <v>934</v>
      </c>
      <c r="C1293" s="225" t="s">
        <v>2749</v>
      </c>
      <c r="D1293" s="225" t="s">
        <v>1540</v>
      </c>
      <c r="E1293" s="232" t="s">
        <v>645</v>
      </c>
      <c r="F1293" s="89" t="s">
        <v>338</v>
      </c>
    </row>
    <row r="1294" spans="2:6" ht="25.8" x14ac:dyDescent="0.55000000000000004">
      <c r="B1294" s="220" t="s">
        <v>934</v>
      </c>
      <c r="C1294" s="225" t="s">
        <v>1541</v>
      </c>
      <c r="D1294" s="225" t="s">
        <v>1541</v>
      </c>
      <c r="E1294" s="232" t="s">
        <v>645</v>
      </c>
      <c r="F1294" s="89" t="s">
        <v>338</v>
      </c>
    </row>
    <row r="1295" spans="2:6" ht="25.8" x14ac:dyDescent="0.55000000000000004">
      <c r="B1295" s="220" t="s">
        <v>934</v>
      </c>
      <c r="C1295" s="225" t="s">
        <v>2750</v>
      </c>
      <c r="D1295" s="225" t="s">
        <v>1542</v>
      </c>
      <c r="E1295" s="232" t="s">
        <v>645</v>
      </c>
      <c r="F1295" s="89" t="s">
        <v>338</v>
      </c>
    </row>
    <row r="1296" spans="2:6" ht="25.8" x14ac:dyDescent="0.55000000000000004">
      <c r="B1296" s="220" t="s">
        <v>934</v>
      </c>
      <c r="C1296" s="225" t="s">
        <v>2751</v>
      </c>
      <c r="D1296" s="225" t="s">
        <v>1543</v>
      </c>
      <c r="E1296" s="232" t="s">
        <v>645</v>
      </c>
      <c r="F1296" s="89" t="s">
        <v>338</v>
      </c>
    </row>
    <row r="1297" spans="2:6" x14ac:dyDescent="0.55000000000000004">
      <c r="B1297" s="220" t="s">
        <v>934</v>
      </c>
      <c r="C1297" s="225" t="s">
        <v>1544</v>
      </c>
      <c r="D1297" s="225" t="s">
        <v>1544</v>
      </c>
      <c r="E1297" s="232" t="s">
        <v>645</v>
      </c>
      <c r="F1297" s="89" t="s">
        <v>338</v>
      </c>
    </row>
    <row r="1298" spans="2:6" x14ac:dyDescent="0.55000000000000004">
      <c r="B1298" s="220" t="s">
        <v>934</v>
      </c>
      <c r="C1298" s="225" t="s">
        <v>2752</v>
      </c>
      <c r="D1298" s="225" t="s">
        <v>1545</v>
      </c>
      <c r="E1298" s="232" t="s">
        <v>645</v>
      </c>
      <c r="F1298" s="89" t="s">
        <v>338</v>
      </c>
    </row>
    <row r="1299" spans="2:6" ht="25.8" x14ac:dyDescent="0.55000000000000004">
      <c r="B1299" s="220" t="s">
        <v>934</v>
      </c>
      <c r="C1299" s="226" t="s">
        <v>1546</v>
      </c>
      <c r="D1299" s="226" t="s">
        <v>1546</v>
      </c>
      <c r="E1299" s="232" t="s">
        <v>633</v>
      </c>
      <c r="F1299" s="89" t="s">
        <v>2434</v>
      </c>
    </row>
    <row r="1300" spans="2:6" x14ac:dyDescent="0.55000000000000004">
      <c r="B1300" s="221" t="s">
        <v>934</v>
      </c>
      <c r="C1300" s="225" t="s">
        <v>1547</v>
      </c>
      <c r="D1300" s="225" t="s">
        <v>1547</v>
      </c>
      <c r="E1300" s="232" t="s">
        <v>633</v>
      </c>
      <c r="F1300" s="89" t="s">
        <v>416</v>
      </c>
    </row>
    <row r="1301" spans="2:6" ht="25.8" x14ac:dyDescent="0.55000000000000004">
      <c r="B1301" s="221" t="s">
        <v>934</v>
      </c>
      <c r="C1301" s="225" t="s">
        <v>1548</v>
      </c>
      <c r="D1301" s="225" t="s">
        <v>1548</v>
      </c>
      <c r="E1301" s="232" t="s">
        <v>633</v>
      </c>
      <c r="F1301" s="89" t="s">
        <v>416</v>
      </c>
    </row>
    <row r="1302" spans="2:6" x14ac:dyDescent="0.55000000000000004">
      <c r="B1302" s="221" t="s">
        <v>934</v>
      </c>
      <c r="C1302" s="225" t="s">
        <v>1549</v>
      </c>
      <c r="D1302" s="225" t="s">
        <v>1549</v>
      </c>
      <c r="E1302" s="232" t="s">
        <v>633</v>
      </c>
      <c r="F1302" s="89" t="s">
        <v>416</v>
      </c>
    </row>
    <row r="1303" spans="2:6" x14ac:dyDescent="0.55000000000000004">
      <c r="B1303" s="221" t="s">
        <v>934</v>
      </c>
      <c r="C1303" s="225" t="s">
        <v>1550</v>
      </c>
      <c r="D1303" s="225" t="s">
        <v>1550</v>
      </c>
      <c r="E1303" s="232" t="s">
        <v>633</v>
      </c>
      <c r="F1303" s="89" t="s">
        <v>416</v>
      </c>
    </row>
    <row r="1304" spans="2:6" x14ac:dyDescent="0.55000000000000004">
      <c r="B1304" s="221" t="s">
        <v>934</v>
      </c>
      <c r="C1304" s="225" t="s">
        <v>1551</v>
      </c>
      <c r="D1304" s="225" t="s">
        <v>1551</v>
      </c>
      <c r="E1304" s="232" t="s">
        <v>633</v>
      </c>
      <c r="F1304" s="89" t="s">
        <v>416</v>
      </c>
    </row>
    <row r="1305" spans="2:6" x14ac:dyDescent="0.55000000000000004">
      <c r="B1305" s="220" t="s">
        <v>935</v>
      </c>
      <c r="C1305" s="226" t="s">
        <v>1531</v>
      </c>
      <c r="D1305" s="226" t="s">
        <v>1531</v>
      </c>
      <c r="E1305" s="232" t="s">
        <v>2428</v>
      </c>
      <c r="F1305" s="89" t="s">
        <v>264</v>
      </c>
    </row>
    <row r="1306" spans="2:6" ht="25.8" x14ac:dyDescent="0.55000000000000004">
      <c r="B1306" s="220" t="s">
        <v>934</v>
      </c>
      <c r="C1306" s="225" t="s">
        <v>1552</v>
      </c>
      <c r="D1306" s="225" t="s">
        <v>1552</v>
      </c>
      <c r="E1306" s="232" t="s">
        <v>645</v>
      </c>
      <c r="F1306" s="89" t="s">
        <v>338</v>
      </c>
    </row>
    <row r="1307" spans="2:6" x14ac:dyDescent="0.55000000000000004">
      <c r="B1307" s="220" t="s">
        <v>934</v>
      </c>
      <c r="C1307" s="225" t="s">
        <v>1553</v>
      </c>
      <c r="D1307" s="225" t="s">
        <v>1553</v>
      </c>
      <c r="E1307" s="232" t="s">
        <v>645</v>
      </c>
      <c r="F1307" s="89" t="s">
        <v>338</v>
      </c>
    </row>
    <row r="1308" spans="2:6" x14ac:dyDescent="0.55000000000000004">
      <c r="B1308" s="220" t="s">
        <v>934</v>
      </c>
      <c r="C1308" s="225" t="s">
        <v>1554</v>
      </c>
      <c r="D1308" s="225" t="s">
        <v>1554</v>
      </c>
      <c r="E1308" s="232" t="s">
        <v>645</v>
      </c>
      <c r="F1308" s="89" t="s">
        <v>338</v>
      </c>
    </row>
    <row r="1309" spans="2:6" ht="25.8" x14ac:dyDescent="0.55000000000000004">
      <c r="B1309" s="220" t="s">
        <v>934</v>
      </c>
      <c r="C1309" s="225" t="s">
        <v>1555</v>
      </c>
      <c r="D1309" s="225" t="s">
        <v>1555</v>
      </c>
      <c r="E1309" s="232" t="s">
        <v>645</v>
      </c>
      <c r="F1309" s="89" t="s">
        <v>338</v>
      </c>
    </row>
    <row r="1310" spans="2:6" x14ac:dyDescent="0.55000000000000004">
      <c r="B1310" s="221" t="s">
        <v>934</v>
      </c>
      <c r="C1310" s="225" t="s">
        <v>1556</v>
      </c>
      <c r="D1310" s="225" t="s">
        <v>1556</v>
      </c>
      <c r="E1310" s="232" t="s">
        <v>635</v>
      </c>
      <c r="F1310" s="89" t="s">
        <v>636</v>
      </c>
    </row>
    <row r="1311" spans="2:6" x14ac:dyDescent="0.55000000000000004">
      <c r="B1311" s="221" t="s">
        <v>934</v>
      </c>
      <c r="C1311" s="226" t="s">
        <v>1557</v>
      </c>
      <c r="D1311" s="226" t="s">
        <v>1557</v>
      </c>
      <c r="E1311" s="232" t="s">
        <v>635</v>
      </c>
      <c r="F1311" s="89" t="s">
        <v>636</v>
      </c>
    </row>
    <row r="1312" spans="2:6" x14ac:dyDescent="0.55000000000000004">
      <c r="B1312" s="220" t="s">
        <v>934</v>
      </c>
      <c r="C1312" s="225" t="s">
        <v>1558</v>
      </c>
      <c r="D1312" s="225" t="s">
        <v>1558</v>
      </c>
      <c r="E1312" s="232" t="s">
        <v>633</v>
      </c>
      <c r="F1312" s="89" t="s">
        <v>416</v>
      </c>
    </row>
    <row r="1313" spans="2:6" x14ac:dyDescent="0.55000000000000004">
      <c r="B1313" s="220" t="s">
        <v>934</v>
      </c>
      <c r="C1313" s="225" t="s">
        <v>2753</v>
      </c>
      <c r="D1313" s="225" t="s">
        <v>1559</v>
      </c>
      <c r="E1313" s="232" t="s">
        <v>645</v>
      </c>
      <c r="F1313" s="89" t="s">
        <v>338</v>
      </c>
    </row>
    <row r="1314" spans="2:6" ht="25.8" x14ac:dyDescent="0.55000000000000004">
      <c r="B1314" s="220" t="s">
        <v>934</v>
      </c>
      <c r="C1314" s="225" t="s">
        <v>2754</v>
      </c>
      <c r="D1314" s="225" t="s">
        <v>1560</v>
      </c>
      <c r="E1314" s="232" t="s">
        <v>645</v>
      </c>
      <c r="F1314" s="89" t="s">
        <v>338</v>
      </c>
    </row>
    <row r="1315" spans="2:6" x14ac:dyDescent="0.55000000000000004">
      <c r="B1315" s="220" t="s">
        <v>934</v>
      </c>
      <c r="C1315" s="225" t="s">
        <v>1561</v>
      </c>
      <c r="D1315" s="225" t="s">
        <v>1561</v>
      </c>
      <c r="E1315" s="232" t="s">
        <v>633</v>
      </c>
      <c r="F1315" s="89" t="s">
        <v>416</v>
      </c>
    </row>
    <row r="1316" spans="2:6" x14ac:dyDescent="0.55000000000000004">
      <c r="B1316" s="220" t="s">
        <v>934</v>
      </c>
      <c r="C1316" s="226" t="s">
        <v>1562</v>
      </c>
      <c r="D1316" s="226" t="s">
        <v>1562</v>
      </c>
      <c r="E1316" s="232" t="s">
        <v>2431</v>
      </c>
      <c r="F1316" s="89" t="s">
        <v>639</v>
      </c>
    </row>
    <row r="1317" spans="2:6" ht="25.8" x14ac:dyDescent="0.55000000000000004">
      <c r="B1317" s="220" t="s">
        <v>934</v>
      </c>
      <c r="C1317" s="225" t="s">
        <v>2755</v>
      </c>
      <c r="D1317" s="225" t="s">
        <v>1563</v>
      </c>
      <c r="E1317" s="232" t="s">
        <v>2431</v>
      </c>
      <c r="F1317" s="89" t="s">
        <v>639</v>
      </c>
    </row>
    <row r="1318" spans="2:6" ht="25.8" x14ac:dyDescent="0.55000000000000004">
      <c r="B1318" s="220" t="s">
        <v>934</v>
      </c>
      <c r="C1318" s="225" t="s">
        <v>1564</v>
      </c>
      <c r="D1318" s="225" t="s">
        <v>1564</v>
      </c>
      <c r="E1318" s="232" t="s">
        <v>2431</v>
      </c>
      <c r="F1318" s="89" t="s">
        <v>639</v>
      </c>
    </row>
    <row r="1319" spans="2:6" ht="25.8" x14ac:dyDescent="0.55000000000000004">
      <c r="B1319" s="221" t="s">
        <v>934</v>
      </c>
      <c r="C1319" s="225" t="s">
        <v>2756</v>
      </c>
      <c r="D1319" s="225" t="s">
        <v>1565</v>
      </c>
      <c r="E1319" s="232" t="s">
        <v>2431</v>
      </c>
      <c r="F1319" s="89" t="s">
        <v>639</v>
      </c>
    </row>
    <row r="1320" spans="2:6" ht="25.8" x14ac:dyDescent="0.55000000000000004">
      <c r="B1320" s="220" t="s">
        <v>934</v>
      </c>
      <c r="C1320" s="225" t="s">
        <v>1566</v>
      </c>
      <c r="D1320" s="225" t="s">
        <v>1566</v>
      </c>
      <c r="E1320" s="232" t="s">
        <v>2431</v>
      </c>
      <c r="F1320" s="89" t="s">
        <v>639</v>
      </c>
    </row>
    <row r="1321" spans="2:6" ht="25.8" x14ac:dyDescent="0.55000000000000004">
      <c r="B1321" s="220" t="s">
        <v>934</v>
      </c>
      <c r="C1321" s="225" t="s">
        <v>2757</v>
      </c>
      <c r="D1321" s="225" t="s">
        <v>1567</v>
      </c>
      <c r="E1321" s="232" t="s">
        <v>633</v>
      </c>
      <c r="F1321" s="89" t="s">
        <v>416</v>
      </c>
    </row>
    <row r="1322" spans="2:6" ht="25.8" x14ac:dyDescent="0.55000000000000004">
      <c r="B1322" s="220" t="s">
        <v>934</v>
      </c>
      <c r="C1322" s="225" t="s">
        <v>2758</v>
      </c>
      <c r="D1322" s="225" t="s">
        <v>1568</v>
      </c>
      <c r="E1322" s="232" t="s">
        <v>2431</v>
      </c>
      <c r="F1322" s="89" t="s">
        <v>639</v>
      </c>
    </row>
    <row r="1323" spans="2:6" ht="25.8" x14ac:dyDescent="0.55000000000000004">
      <c r="B1323" s="220" t="s">
        <v>934</v>
      </c>
      <c r="C1323" s="225" t="s">
        <v>2759</v>
      </c>
      <c r="D1323" s="225" t="s">
        <v>1569</v>
      </c>
      <c r="E1323" s="232" t="s">
        <v>2431</v>
      </c>
      <c r="F1323" s="89" t="s">
        <v>639</v>
      </c>
    </row>
    <row r="1324" spans="2:6" ht="25.8" x14ac:dyDescent="0.55000000000000004">
      <c r="B1324" s="220" t="s">
        <v>934</v>
      </c>
      <c r="C1324" s="225" t="s">
        <v>2760</v>
      </c>
      <c r="D1324" s="225" t="s">
        <v>1570</v>
      </c>
      <c r="E1324" s="232" t="s">
        <v>2431</v>
      </c>
      <c r="F1324" s="89" t="s">
        <v>639</v>
      </c>
    </row>
    <row r="1325" spans="2:6" ht="25.8" x14ac:dyDescent="0.55000000000000004">
      <c r="B1325" s="220" t="s">
        <v>934</v>
      </c>
      <c r="C1325" s="225" t="s">
        <v>2761</v>
      </c>
      <c r="D1325" s="225" t="s">
        <v>1571</v>
      </c>
      <c r="E1325" s="232" t="s">
        <v>2431</v>
      </c>
      <c r="F1325" s="89" t="s">
        <v>639</v>
      </c>
    </row>
    <row r="1326" spans="2:6" ht="25.8" x14ac:dyDescent="0.55000000000000004">
      <c r="B1326" s="220" t="s">
        <v>934</v>
      </c>
      <c r="C1326" s="225" t="s">
        <v>1572</v>
      </c>
      <c r="D1326" s="225" t="s">
        <v>1572</v>
      </c>
      <c r="E1326" s="232" t="s">
        <v>2431</v>
      </c>
      <c r="F1326" s="89" t="s">
        <v>639</v>
      </c>
    </row>
    <row r="1327" spans="2:6" ht="25.8" x14ac:dyDescent="0.55000000000000004">
      <c r="B1327" s="220" t="s">
        <v>934</v>
      </c>
      <c r="C1327" s="225" t="s">
        <v>2762</v>
      </c>
      <c r="D1327" s="225" t="s">
        <v>1573</v>
      </c>
      <c r="E1327" s="232" t="s">
        <v>2431</v>
      </c>
      <c r="F1327" s="89" t="s">
        <v>639</v>
      </c>
    </row>
    <row r="1328" spans="2:6" ht="25.8" x14ac:dyDescent="0.55000000000000004">
      <c r="B1328" s="220" t="s">
        <v>934</v>
      </c>
      <c r="C1328" s="225" t="s">
        <v>2763</v>
      </c>
      <c r="D1328" s="225" t="s">
        <v>1574</v>
      </c>
      <c r="E1328" s="232" t="s">
        <v>633</v>
      </c>
      <c r="F1328" s="89" t="s">
        <v>416</v>
      </c>
    </row>
    <row r="1329" spans="2:6" ht="25.8" x14ac:dyDescent="0.55000000000000004">
      <c r="B1329" s="220" t="s">
        <v>934</v>
      </c>
      <c r="C1329" s="225" t="s">
        <v>2764</v>
      </c>
      <c r="D1329" s="225" t="s">
        <v>1575</v>
      </c>
      <c r="E1329" s="232" t="s">
        <v>2431</v>
      </c>
      <c r="F1329" s="89" t="s">
        <v>639</v>
      </c>
    </row>
    <row r="1330" spans="2:6" x14ac:dyDescent="0.55000000000000004">
      <c r="B1330" s="220" t="s">
        <v>934</v>
      </c>
      <c r="C1330" s="225" t="s">
        <v>1576</v>
      </c>
      <c r="D1330" s="225" t="s">
        <v>1576</v>
      </c>
      <c r="E1330" s="232" t="s">
        <v>2431</v>
      </c>
      <c r="F1330" s="89" t="s">
        <v>639</v>
      </c>
    </row>
    <row r="1331" spans="2:6" ht="25.8" x14ac:dyDescent="0.55000000000000004">
      <c r="B1331" s="220" t="s">
        <v>934</v>
      </c>
      <c r="C1331" s="225" t="s">
        <v>2765</v>
      </c>
      <c r="D1331" s="225" t="s">
        <v>1577</v>
      </c>
      <c r="E1331" s="232" t="s">
        <v>2431</v>
      </c>
      <c r="F1331" s="89" t="s">
        <v>639</v>
      </c>
    </row>
    <row r="1332" spans="2:6" ht="38.700000000000003" x14ac:dyDescent="0.55000000000000004">
      <c r="B1332" s="220" t="s">
        <v>934</v>
      </c>
      <c r="C1332" s="225" t="s">
        <v>2766</v>
      </c>
      <c r="D1332" s="225" t="s">
        <v>1578</v>
      </c>
      <c r="E1332" s="232" t="s">
        <v>633</v>
      </c>
      <c r="F1332" s="89" t="s">
        <v>416</v>
      </c>
    </row>
    <row r="1333" spans="2:6" ht="25.8" x14ac:dyDescent="0.55000000000000004">
      <c r="B1333" s="220" t="s">
        <v>934</v>
      </c>
      <c r="C1333" s="225" t="s">
        <v>2767</v>
      </c>
      <c r="D1333" s="225" t="s">
        <v>1579</v>
      </c>
      <c r="E1333" s="232" t="s">
        <v>645</v>
      </c>
      <c r="F1333" s="89" t="s">
        <v>648</v>
      </c>
    </row>
    <row r="1334" spans="2:6" x14ac:dyDescent="0.55000000000000004">
      <c r="B1334" s="221" t="s">
        <v>934</v>
      </c>
      <c r="C1334" s="225" t="s">
        <v>1580</v>
      </c>
      <c r="D1334" s="225" t="s">
        <v>1580</v>
      </c>
      <c r="E1334" s="232" t="s">
        <v>635</v>
      </c>
      <c r="F1334" s="89" t="s">
        <v>636</v>
      </c>
    </row>
    <row r="1335" spans="2:6" x14ac:dyDescent="0.55000000000000004">
      <c r="B1335" s="221" t="s">
        <v>934</v>
      </c>
      <c r="C1335" s="225" t="s">
        <v>1581</v>
      </c>
      <c r="D1335" s="225" t="s">
        <v>1581</v>
      </c>
      <c r="E1335" s="232" t="s">
        <v>635</v>
      </c>
      <c r="F1335" s="89" t="s">
        <v>636</v>
      </c>
    </row>
    <row r="1336" spans="2:6" x14ac:dyDescent="0.55000000000000004">
      <c r="B1336" s="222" t="s">
        <v>936</v>
      </c>
      <c r="C1336" s="227" t="s">
        <v>1582</v>
      </c>
      <c r="D1336" s="227" t="s">
        <v>1582</v>
      </c>
      <c r="E1336" s="232" t="e">
        <v>#N/A</v>
      </c>
      <c r="F1336" s="89" t="s">
        <v>2433</v>
      </c>
    </row>
    <row r="1337" spans="2:6" x14ac:dyDescent="0.55000000000000004">
      <c r="B1337" s="220" t="s">
        <v>936</v>
      </c>
      <c r="C1337" s="229" t="s">
        <v>1583</v>
      </c>
      <c r="D1337" s="229" t="s">
        <v>1583</v>
      </c>
      <c r="E1337" s="232" t="s">
        <v>645</v>
      </c>
      <c r="F1337" s="89" t="s">
        <v>338</v>
      </c>
    </row>
    <row r="1338" spans="2:6" x14ac:dyDescent="0.55000000000000004">
      <c r="B1338" s="220" t="s">
        <v>936</v>
      </c>
      <c r="C1338" s="229" t="s">
        <v>1584</v>
      </c>
      <c r="D1338" s="229" t="s">
        <v>1584</v>
      </c>
      <c r="E1338" s="232" t="s">
        <v>645</v>
      </c>
      <c r="F1338" s="89" t="s">
        <v>338</v>
      </c>
    </row>
    <row r="1339" spans="2:6" x14ac:dyDescent="0.55000000000000004">
      <c r="B1339" s="220" t="s">
        <v>936</v>
      </c>
      <c r="C1339" s="225" t="s">
        <v>1585</v>
      </c>
      <c r="D1339" s="225" t="s">
        <v>1585</v>
      </c>
      <c r="E1339" s="232" t="s">
        <v>645</v>
      </c>
      <c r="F1339" s="89" t="s">
        <v>338</v>
      </c>
    </row>
    <row r="1340" spans="2:6" x14ac:dyDescent="0.55000000000000004">
      <c r="B1340" s="220" t="s">
        <v>936</v>
      </c>
      <c r="C1340" s="225" t="s">
        <v>1586</v>
      </c>
      <c r="D1340" s="225" t="s">
        <v>1586</v>
      </c>
      <c r="E1340" s="232" t="s">
        <v>645</v>
      </c>
      <c r="F1340" s="89" t="s">
        <v>338</v>
      </c>
    </row>
    <row r="1341" spans="2:6" x14ac:dyDescent="0.55000000000000004">
      <c r="B1341" s="220" t="s">
        <v>936</v>
      </c>
      <c r="C1341" s="225" t="s">
        <v>1587</v>
      </c>
      <c r="D1341" s="225" t="s">
        <v>1587</v>
      </c>
      <c r="E1341" s="232" t="s">
        <v>2430</v>
      </c>
      <c r="F1341" s="89" t="s">
        <v>650</v>
      </c>
    </row>
    <row r="1342" spans="2:6" x14ac:dyDescent="0.55000000000000004">
      <c r="B1342" s="220" t="s">
        <v>936</v>
      </c>
      <c r="C1342" s="225" t="s">
        <v>1588</v>
      </c>
      <c r="D1342" s="225" t="s">
        <v>1588</v>
      </c>
      <c r="E1342" s="232" t="s">
        <v>645</v>
      </c>
      <c r="F1342" s="89" t="s">
        <v>338</v>
      </c>
    </row>
    <row r="1343" spans="2:6" x14ac:dyDescent="0.55000000000000004">
      <c r="B1343" s="220" t="s">
        <v>936</v>
      </c>
      <c r="C1343" s="225" t="s">
        <v>1589</v>
      </c>
      <c r="D1343" s="225" t="s">
        <v>1589</v>
      </c>
      <c r="E1343" s="232" t="s">
        <v>645</v>
      </c>
      <c r="F1343" s="89" t="s">
        <v>338</v>
      </c>
    </row>
    <row r="1344" spans="2:6" x14ac:dyDescent="0.55000000000000004">
      <c r="B1344" s="220" t="s">
        <v>936</v>
      </c>
      <c r="C1344" s="225" t="s">
        <v>1590</v>
      </c>
      <c r="D1344" s="225" t="s">
        <v>1590</v>
      </c>
      <c r="E1344" s="232" t="s">
        <v>645</v>
      </c>
      <c r="F1344" s="89" t="s">
        <v>338</v>
      </c>
    </row>
    <row r="1345" spans="2:6" x14ac:dyDescent="0.55000000000000004">
      <c r="B1345" s="220" t="s">
        <v>936</v>
      </c>
      <c r="C1345" s="225" t="s">
        <v>1591</v>
      </c>
      <c r="D1345" s="225" t="s">
        <v>1591</v>
      </c>
      <c r="E1345" s="232" t="s">
        <v>645</v>
      </c>
      <c r="F1345" s="89" t="s">
        <v>338</v>
      </c>
    </row>
    <row r="1346" spans="2:6" x14ac:dyDescent="0.55000000000000004">
      <c r="B1346" s="220" t="s">
        <v>936</v>
      </c>
      <c r="C1346" s="225" t="s">
        <v>1592</v>
      </c>
      <c r="D1346" s="225" t="s">
        <v>1592</v>
      </c>
      <c r="E1346" s="232" t="s">
        <v>645</v>
      </c>
      <c r="F1346" s="89" t="s">
        <v>338</v>
      </c>
    </row>
    <row r="1347" spans="2:6" x14ac:dyDescent="0.55000000000000004">
      <c r="B1347" s="220" t="s">
        <v>936</v>
      </c>
      <c r="C1347" s="225" t="s">
        <v>1592</v>
      </c>
      <c r="D1347" s="225" t="s">
        <v>1592</v>
      </c>
      <c r="E1347" s="232" t="s">
        <v>645</v>
      </c>
      <c r="F1347" s="89" t="s">
        <v>338</v>
      </c>
    </row>
    <row r="1348" spans="2:6" x14ac:dyDescent="0.55000000000000004">
      <c r="B1348" s="220" t="s">
        <v>936</v>
      </c>
      <c r="C1348" s="225" t="s">
        <v>643</v>
      </c>
      <c r="D1348" s="225" t="s">
        <v>643</v>
      </c>
      <c r="E1348" s="232" t="s">
        <v>633</v>
      </c>
      <c r="F1348" s="89" t="s">
        <v>416</v>
      </c>
    </row>
    <row r="1349" spans="2:6" x14ac:dyDescent="0.55000000000000004">
      <c r="B1349" s="220" t="s">
        <v>936</v>
      </c>
      <c r="C1349" s="225" t="s">
        <v>646</v>
      </c>
      <c r="D1349" s="225" t="s">
        <v>646</v>
      </c>
      <c r="E1349" s="232" t="s">
        <v>633</v>
      </c>
      <c r="F1349" s="89" t="s">
        <v>416</v>
      </c>
    </row>
    <row r="1350" spans="2:6" x14ac:dyDescent="0.55000000000000004">
      <c r="B1350" s="220" t="s">
        <v>936</v>
      </c>
      <c r="C1350" s="226" t="s">
        <v>638</v>
      </c>
      <c r="D1350" s="226" t="s">
        <v>638</v>
      </c>
      <c r="E1350" s="232" t="s">
        <v>2431</v>
      </c>
      <c r="F1350" s="89" t="s">
        <v>639</v>
      </c>
    </row>
    <row r="1351" spans="2:6" x14ac:dyDescent="0.55000000000000004">
      <c r="B1351" s="220" t="s">
        <v>936</v>
      </c>
      <c r="C1351" s="225" t="s">
        <v>1593</v>
      </c>
      <c r="D1351" s="225" t="s">
        <v>1593</v>
      </c>
      <c r="E1351" s="232" t="s">
        <v>2431</v>
      </c>
      <c r="F1351" s="89" t="s">
        <v>639</v>
      </c>
    </row>
    <row r="1352" spans="2:6" x14ac:dyDescent="0.55000000000000004">
      <c r="B1352" s="220" t="s">
        <v>936</v>
      </c>
      <c r="C1352" s="225" t="s">
        <v>1594</v>
      </c>
      <c r="D1352" s="225" t="s">
        <v>1594</v>
      </c>
      <c r="E1352" s="232" t="s">
        <v>2431</v>
      </c>
      <c r="F1352" s="89" t="s">
        <v>639</v>
      </c>
    </row>
    <row r="1353" spans="2:6" x14ac:dyDescent="0.55000000000000004">
      <c r="B1353" s="221" t="s">
        <v>936</v>
      </c>
      <c r="C1353" s="225" t="s">
        <v>1595</v>
      </c>
      <c r="D1353" s="225" t="s">
        <v>1595</v>
      </c>
      <c r="E1353" s="232" t="s">
        <v>2431</v>
      </c>
      <c r="F1353" s="89" t="s">
        <v>639</v>
      </c>
    </row>
    <row r="1354" spans="2:6" ht="25.8" x14ac:dyDescent="0.55000000000000004">
      <c r="B1354" s="220" t="s">
        <v>936</v>
      </c>
      <c r="C1354" s="225" t="s">
        <v>1566</v>
      </c>
      <c r="D1354" s="225" t="s">
        <v>1566</v>
      </c>
      <c r="E1354" s="232" t="s">
        <v>2431</v>
      </c>
      <c r="F1354" s="89" t="s">
        <v>639</v>
      </c>
    </row>
    <row r="1355" spans="2:6" ht="25.8" x14ac:dyDescent="0.55000000000000004">
      <c r="B1355" s="220" t="s">
        <v>936</v>
      </c>
      <c r="C1355" s="225" t="s">
        <v>2757</v>
      </c>
      <c r="D1355" s="225" t="s">
        <v>1567</v>
      </c>
      <c r="E1355" s="232" t="s">
        <v>633</v>
      </c>
      <c r="F1355" s="89" t="s">
        <v>416</v>
      </c>
    </row>
    <row r="1356" spans="2:6" ht="25.8" x14ac:dyDescent="0.55000000000000004">
      <c r="B1356" s="220" t="s">
        <v>936</v>
      </c>
      <c r="C1356" s="225" t="s">
        <v>2758</v>
      </c>
      <c r="D1356" s="225" t="s">
        <v>1568</v>
      </c>
      <c r="E1356" s="232" t="s">
        <v>2431</v>
      </c>
      <c r="F1356" s="89" t="s">
        <v>639</v>
      </c>
    </row>
    <row r="1357" spans="2:6" ht="25.8" x14ac:dyDescent="0.55000000000000004">
      <c r="B1357" s="220" t="s">
        <v>936</v>
      </c>
      <c r="C1357" s="225" t="s">
        <v>2759</v>
      </c>
      <c r="D1357" s="225" t="s">
        <v>1569</v>
      </c>
      <c r="E1357" s="232" t="s">
        <v>2431</v>
      </c>
      <c r="F1357" s="89" t="s">
        <v>639</v>
      </c>
    </row>
    <row r="1358" spans="2:6" ht="25.8" x14ac:dyDescent="0.55000000000000004">
      <c r="B1358" s="220" t="s">
        <v>936</v>
      </c>
      <c r="C1358" s="225" t="s">
        <v>2760</v>
      </c>
      <c r="D1358" s="225" t="s">
        <v>1570</v>
      </c>
      <c r="E1358" s="232" t="s">
        <v>2431</v>
      </c>
      <c r="F1358" s="89" t="s">
        <v>639</v>
      </c>
    </row>
    <row r="1359" spans="2:6" ht="25.8" x14ac:dyDescent="0.55000000000000004">
      <c r="B1359" s="220" t="s">
        <v>936</v>
      </c>
      <c r="C1359" s="225" t="s">
        <v>2761</v>
      </c>
      <c r="D1359" s="225" t="s">
        <v>1571</v>
      </c>
      <c r="E1359" s="232" t="s">
        <v>2431</v>
      </c>
      <c r="F1359" s="89" t="s">
        <v>639</v>
      </c>
    </row>
    <row r="1360" spans="2:6" x14ac:dyDescent="0.55000000000000004">
      <c r="B1360" s="220" t="s">
        <v>936</v>
      </c>
      <c r="C1360" s="225" t="s">
        <v>1596</v>
      </c>
      <c r="D1360" s="225" t="s">
        <v>1596</v>
      </c>
      <c r="E1360" s="232" t="s">
        <v>2431</v>
      </c>
      <c r="F1360" s="89" t="s">
        <v>639</v>
      </c>
    </row>
    <row r="1361" spans="2:6" x14ac:dyDescent="0.55000000000000004">
      <c r="B1361" s="220" t="s">
        <v>936</v>
      </c>
      <c r="C1361" s="225" t="s">
        <v>1597</v>
      </c>
      <c r="D1361" s="225" t="s">
        <v>1597</v>
      </c>
      <c r="E1361" s="232" t="s">
        <v>2431</v>
      </c>
      <c r="F1361" s="89" t="s">
        <v>639</v>
      </c>
    </row>
    <row r="1362" spans="2:6" x14ac:dyDescent="0.55000000000000004">
      <c r="B1362" s="220" t="s">
        <v>936</v>
      </c>
      <c r="C1362" s="225" t="s">
        <v>1598</v>
      </c>
      <c r="D1362" s="225" t="s">
        <v>1598</v>
      </c>
      <c r="E1362" s="232" t="s">
        <v>633</v>
      </c>
      <c r="F1362" s="89" t="s">
        <v>416</v>
      </c>
    </row>
    <row r="1363" spans="2:6" x14ac:dyDescent="0.55000000000000004">
      <c r="B1363" s="220" t="s">
        <v>936</v>
      </c>
      <c r="C1363" s="225" t="s">
        <v>1599</v>
      </c>
      <c r="D1363" s="225" t="s">
        <v>1599</v>
      </c>
      <c r="E1363" s="232" t="s">
        <v>2431</v>
      </c>
      <c r="F1363" s="89" t="s">
        <v>639</v>
      </c>
    </row>
    <row r="1364" spans="2:6" x14ac:dyDescent="0.55000000000000004">
      <c r="B1364" s="220" t="s">
        <v>936</v>
      </c>
      <c r="C1364" s="225" t="s">
        <v>1600</v>
      </c>
      <c r="D1364" s="225" t="s">
        <v>1600</v>
      </c>
      <c r="E1364" s="232" t="s">
        <v>2431</v>
      </c>
      <c r="F1364" s="89" t="s">
        <v>639</v>
      </c>
    </row>
    <row r="1365" spans="2:6" x14ac:dyDescent="0.55000000000000004">
      <c r="B1365" s="220" t="s">
        <v>936</v>
      </c>
      <c r="C1365" s="225" t="s">
        <v>1601</v>
      </c>
      <c r="D1365" s="225" t="s">
        <v>1601</v>
      </c>
      <c r="E1365" s="232" t="s">
        <v>2431</v>
      </c>
      <c r="F1365" s="89" t="s">
        <v>639</v>
      </c>
    </row>
    <row r="1366" spans="2:6" x14ac:dyDescent="0.55000000000000004">
      <c r="B1366" s="220" t="s">
        <v>936</v>
      </c>
      <c r="C1366" s="225" t="s">
        <v>1602</v>
      </c>
      <c r="D1366" s="225" t="s">
        <v>1602</v>
      </c>
      <c r="E1366" s="232" t="s">
        <v>633</v>
      </c>
      <c r="F1366" s="89" t="s">
        <v>416</v>
      </c>
    </row>
    <row r="1367" spans="2:6" x14ac:dyDescent="0.55000000000000004">
      <c r="B1367" s="220" t="s">
        <v>936</v>
      </c>
      <c r="C1367" s="225" t="s">
        <v>1603</v>
      </c>
      <c r="D1367" s="225" t="s">
        <v>1603</v>
      </c>
      <c r="E1367" s="232" t="s">
        <v>645</v>
      </c>
      <c r="F1367" s="89" t="s">
        <v>648</v>
      </c>
    </row>
    <row r="1368" spans="2:6" x14ac:dyDescent="0.55000000000000004">
      <c r="B1368" s="222" t="s">
        <v>937</v>
      </c>
      <c r="C1368" s="227" t="s">
        <v>1604</v>
      </c>
      <c r="D1368" s="227" t="s">
        <v>1604</v>
      </c>
      <c r="E1368" s="232" t="e">
        <v>#N/A</v>
      </c>
      <c r="F1368" s="89" t="s">
        <v>2433</v>
      </c>
    </row>
    <row r="1369" spans="2:6" x14ac:dyDescent="0.55000000000000004">
      <c r="B1369" s="221" t="s">
        <v>934</v>
      </c>
      <c r="C1369" s="226" t="s">
        <v>632</v>
      </c>
      <c r="D1369" s="226" t="s">
        <v>632</v>
      </c>
      <c r="E1369" s="232" t="s">
        <v>633</v>
      </c>
      <c r="F1369" s="89" t="s">
        <v>416</v>
      </c>
    </row>
    <row r="1370" spans="2:6" x14ac:dyDescent="0.55000000000000004">
      <c r="B1370" s="220" t="s">
        <v>934</v>
      </c>
      <c r="C1370" s="225" t="s">
        <v>641</v>
      </c>
      <c r="D1370" s="225" t="s">
        <v>641</v>
      </c>
      <c r="E1370" s="232" t="s">
        <v>633</v>
      </c>
      <c r="F1370" s="89" t="s">
        <v>416</v>
      </c>
    </row>
    <row r="1371" spans="2:6" x14ac:dyDescent="0.55000000000000004">
      <c r="B1371" s="220" t="s">
        <v>934</v>
      </c>
      <c r="C1371" s="225" t="s">
        <v>1605</v>
      </c>
      <c r="D1371" s="225" t="s">
        <v>1605</v>
      </c>
      <c r="E1371" s="232" t="s">
        <v>633</v>
      </c>
      <c r="F1371" s="89" t="s">
        <v>416</v>
      </c>
    </row>
    <row r="1372" spans="2:6" x14ac:dyDescent="0.55000000000000004">
      <c r="B1372" s="220" t="s">
        <v>934</v>
      </c>
      <c r="C1372" s="225" t="s">
        <v>1606</v>
      </c>
      <c r="D1372" s="225" t="s">
        <v>1606</v>
      </c>
      <c r="E1372" s="232" t="s">
        <v>645</v>
      </c>
      <c r="F1372" s="89" t="s">
        <v>648</v>
      </c>
    </row>
    <row r="1373" spans="2:6" x14ac:dyDescent="0.55000000000000004">
      <c r="B1373" s="221" t="s">
        <v>934</v>
      </c>
      <c r="C1373" s="225" t="s">
        <v>642</v>
      </c>
      <c r="D1373" s="225" t="s">
        <v>642</v>
      </c>
      <c r="E1373" s="232" t="s">
        <v>633</v>
      </c>
      <c r="F1373" s="89" t="s">
        <v>416</v>
      </c>
    </row>
    <row r="1374" spans="2:6" x14ac:dyDescent="0.55000000000000004">
      <c r="B1374" s="221" t="s">
        <v>934</v>
      </c>
      <c r="C1374" s="225" t="s">
        <v>1607</v>
      </c>
      <c r="D1374" s="225" t="s">
        <v>1607</v>
      </c>
      <c r="E1374" s="232" t="s">
        <v>633</v>
      </c>
      <c r="F1374" s="89" t="s">
        <v>416</v>
      </c>
    </row>
    <row r="1375" spans="2:6" x14ac:dyDescent="0.55000000000000004">
      <c r="B1375" s="221" t="s">
        <v>934</v>
      </c>
      <c r="C1375" s="225" t="s">
        <v>1608</v>
      </c>
      <c r="D1375" s="225" t="s">
        <v>1608</v>
      </c>
      <c r="E1375" s="232" t="s">
        <v>633</v>
      </c>
      <c r="F1375" s="89" t="s">
        <v>416</v>
      </c>
    </row>
    <row r="1376" spans="2:6" x14ac:dyDescent="0.55000000000000004">
      <c r="B1376" s="221" t="s">
        <v>934</v>
      </c>
      <c r="C1376" s="225" t="s">
        <v>1609</v>
      </c>
      <c r="D1376" s="225" t="s">
        <v>1609</v>
      </c>
      <c r="E1376" s="232" t="s">
        <v>633</v>
      </c>
      <c r="F1376" s="89" t="s">
        <v>416</v>
      </c>
    </row>
    <row r="1377" spans="2:6" x14ac:dyDescent="0.55000000000000004">
      <c r="B1377" s="221" t="s">
        <v>934</v>
      </c>
      <c r="C1377" s="225" t="s">
        <v>1610</v>
      </c>
      <c r="D1377" s="225" t="s">
        <v>1610</v>
      </c>
      <c r="E1377" s="232" t="s">
        <v>633</v>
      </c>
      <c r="F1377" s="89" t="s">
        <v>416</v>
      </c>
    </row>
    <row r="1378" spans="2:6" x14ac:dyDescent="0.55000000000000004">
      <c r="B1378" s="222" t="s">
        <v>938</v>
      </c>
      <c r="C1378" s="227" t="s">
        <v>1611</v>
      </c>
      <c r="D1378" s="227" t="s">
        <v>1611</v>
      </c>
      <c r="E1378" s="232" t="e">
        <v>#N/A</v>
      </c>
      <c r="F1378" s="89" t="s">
        <v>2433</v>
      </c>
    </row>
    <row r="1379" spans="2:6" x14ac:dyDescent="0.55000000000000004">
      <c r="B1379" s="213">
        <v>16</v>
      </c>
      <c r="C1379" s="226" t="s">
        <v>1532</v>
      </c>
      <c r="D1379" s="226" t="s">
        <v>1532</v>
      </c>
      <c r="E1379" s="232" t="s">
        <v>2428</v>
      </c>
      <c r="F1379" s="89" t="s">
        <v>264</v>
      </c>
    </row>
    <row r="1380" spans="2:6" x14ac:dyDescent="0.55000000000000004">
      <c r="B1380" s="221" t="s">
        <v>934</v>
      </c>
      <c r="C1380" s="226" t="s">
        <v>1612</v>
      </c>
      <c r="D1380" s="226" t="s">
        <v>1612</v>
      </c>
      <c r="E1380" s="232" t="s">
        <v>264</v>
      </c>
      <c r="F1380" s="89" t="s">
        <v>264</v>
      </c>
    </row>
    <row r="1381" spans="2:6" x14ac:dyDescent="0.55000000000000004">
      <c r="B1381" s="221" t="s">
        <v>934</v>
      </c>
      <c r="C1381" s="226" t="s">
        <v>1612</v>
      </c>
      <c r="D1381" s="226" t="s">
        <v>1612</v>
      </c>
      <c r="E1381" s="232" t="s">
        <v>264</v>
      </c>
      <c r="F1381" s="89" t="s">
        <v>264</v>
      </c>
    </row>
    <row r="1382" spans="2:6" x14ac:dyDescent="0.55000000000000004">
      <c r="B1382" s="221" t="s">
        <v>934</v>
      </c>
      <c r="C1382" s="226" t="s">
        <v>1612</v>
      </c>
      <c r="D1382" s="226" t="s">
        <v>1612</v>
      </c>
      <c r="E1382" s="232" t="s">
        <v>264</v>
      </c>
      <c r="F1382" s="89" t="s">
        <v>264</v>
      </c>
    </row>
    <row r="1383" spans="2:6" x14ac:dyDescent="0.55000000000000004">
      <c r="B1383" s="220" t="s">
        <v>934</v>
      </c>
      <c r="C1383" s="225" t="s">
        <v>644</v>
      </c>
      <c r="D1383" s="225" t="s">
        <v>644</v>
      </c>
      <c r="E1383" s="232" t="s">
        <v>645</v>
      </c>
      <c r="F1383" s="89" t="s">
        <v>338</v>
      </c>
    </row>
    <row r="1384" spans="2:6" x14ac:dyDescent="0.55000000000000004">
      <c r="B1384" s="222" t="s">
        <v>939</v>
      </c>
      <c r="C1384" s="227" t="s">
        <v>1613</v>
      </c>
      <c r="D1384" s="227" t="s">
        <v>1613</v>
      </c>
      <c r="E1384" s="232" t="e">
        <v>#N/A</v>
      </c>
      <c r="F1384" s="89" t="s">
        <v>2433</v>
      </c>
    </row>
    <row r="1385" spans="2:6" x14ac:dyDescent="0.55000000000000004">
      <c r="B1385" s="220" t="s">
        <v>934</v>
      </c>
      <c r="C1385" s="225" t="s">
        <v>1614</v>
      </c>
      <c r="D1385" s="225" t="s">
        <v>1614</v>
      </c>
      <c r="E1385" s="232" t="s">
        <v>645</v>
      </c>
      <c r="F1385" s="89" t="s">
        <v>338</v>
      </c>
    </row>
    <row r="1386" spans="2:6" x14ac:dyDescent="0.55000000000000004">
      <c r="B1386" s="221" t="s">
        <v>934</v>
      </c>
      <c r="C1386" s="226" t="s">
        <v>1615</v>
      </c>
      <c r="D1386" s="226" t="s">
        <v>1615</v>
      </c>
      <c r="E1386" s="232" t="s">
        <v>2428</v>
      </c>
      <c r="F1386" s="89" t="s">
        <v>332</v>
      </c>
    </row>
    <row r="1387" spans="2:6" x14ac:dyDescent="0.55000000000000004">
      <c r="B1387" s="222" t="s">
        <v>940</v>
      </c>
      <c r="C1387" s="227" t="s">
        <v>1616</v>
      </c>
      <c r="D1387" s="227" t="s">
        <v>1616</v>
      </c>
      <c r="E1387" s="232" t="e">
        <v>#N/A</v>
      </c>
      <c r="F1387" s="89" t="s">
        <v>2433</v>
      </c>
    </row>
    <row r="1388" spans="2:6" x14ac:dyDescent="0.55000000000000004">
      <c r="B1388" s="220" t="s">
        <v>940</v>
      </c>
      <c r="C1388" s="225" t="s">
        <v>1617</v>
      </c>
      <c r="D1388" s="225" t="s">
        <v>1617</v>
      </c>
      <c r="E1388" s="232" t="s">
        <v>645</v>
      </c>
      <c r="F1388" s="89" t="s">
        <v>338</v>
      </c>
    </row>
    <row r="1389" spans="2:6" x14ac:dyDescent="0.55000000000000004">
      <c r="B1389" s="220" t="s">
        <v>940</v>
      </c>
      <c r="C1389" s="225" t="s">
        <v>1618</v>
      </c>
      <c r="D1389" s="225" t="s">
        <v>1618</v>
      </c>
      <c r="E1389" s="232" t="s">
        <v>645</v>
      </c>
      <c r="F1389" s="89" t="s">
        <v>338</v>
      </c>
    </row>
    <row r="1390" spans="2:6" x14ac:dyDescent="0.55000000000000004">
      <c r="B1390" s="221" t="s">
        <v>940</v>
      </c>
      <c r="C1390" s="226" t="s">
        <v>1619</v>
      </c>
      <c r="D1390" s="226" t="s">
        <v>1619</v>
      </c>
      <c r="E1390" s="232" t="s">
        <v>633</v>
      </c>
      <c r="F1390" s="89" t="s">
        <v>2434</v>
      </c>
    </row>
    <row r="1391" spans="2:6" x14ac:dyDescent="0.55000000000000004">
      <c r="B1391" s="220" t="s">
        <v>940</v>
      </c>
      <c r="C1391" s="225" t="s">
        <v>1620</v>
      </c>
      <c r="D1391" s="225" t="s">
        <v>1620</v>
      </c>
      <c r="E1391" s="232" t="s">
        <v>645</v>
      </c>
      <c r="F1391" s="89" t="s">
        <v>338</v>
      </c>
    </row>
    <row r="1392" spans="2:6" x14ac:dyDescent="0.55000000000000004">
      <c r="B1392" s="220" t="s">
        <v>940</v>
      </c>
      <c r="C1392" s="225" t="s">
        <v>1621</v>
      </c>
      <c r="D1392" s="225" t="s">
        <v>1621</v>
      </c>
      <c r="E1392" s="232" t="s">
        <v>645</v>
      </c>
      <c r="F1392" s="89" t="s">
        <v>338</v>
      </c>
    </row>
    <row r="1393" spans="2:6" x14ac:dyDescent="0.55000000000000004">
      <c r="B1393" s="220" t="s">
        <v>940</v>
      </c>
      <c r="C1393" s="225" t="s">
        <v>1622</v>
      </c>
      <c r="D1393" s="225" t="s">
        <v>1622</v>
      </c>
      <c r="E1393" s="232" t="s">
        <v>645</v>
      </c>
      <c r="F1393" s="89" t="s">
        <v>338</v>
      </c>
    </row>
    <row r="1394" spans="2:6" x14ac:dyDescent="0.55000000000000004">
      <c r="B1394" s="220" t="s">
        <v>940</v>
      </c>
      <c r="C1394" s="225" t="s">
        <v>1623</v>
      </c>
      <c r="D1394" s="225" t="s">
        <v>1623</v>
      </c>
      <c r="E1394" s="232" t="s">
        <v>645</v>
      </c>
      <c r="F1394" s="89" t="s">
        <v>338</v>
      </c>
    </row>
    <row r="1395" spans="2:6" x14ac:dyDescent="0.55000000000000004">
      <c r="B1395" s="220" t="s">
        <v>940</v>
      </c>
      <c r="C1395" s="225" t="s">
        <v>1624</v>
      </c>
      <c r="D1395" s="225" t="s">
        <v>1624</v>
      </c>
      <c r="E1395" s="232" t="s">
        <v>645</v>
      </c>
      <c r="F1395" s="89" t="s">
        <v>338</v>
      </c>
    </row>
    <row r="1396" spans="2:6" x14ac:dyDescent="0.55000000000000004">
      <c r="B1396" s="220" t="s">
        <v>940</v>
      </c>
      <c r="C1396" s="225" t="s">
        <v>1625</v>
      </c>
      <c r="D1396" s="225" t="s">
        <v>1625</v>
      </c>
      <c r="E1396" s="232" t="s">
        <v>645</v>
      </c>
      <c r="F1396" s="89" t="s">
        <v>338</v>
      </c>
    </row>
    <row r="1397" spans="2:6" x14ac:dyDescent="0.55000000000000004">
      <c r="B1397" s="220" t="s">
        <v>940</v>
      </c>
      <c r="C1397" s="226" t="s">
        <v>1626</v>
      </c>
      <c r="D1397" s="226" t="s">
        <v>1626</v>
      </c>
      <c r="E1397" s="232" t="s">
        <v>633</v>
      </c>
      <c r="F1397" s="89" t="s">
        <v>2434</v>
      </c>
    </row>
    <row r="1398" spans="2:6" x14ac:dyDescent="0.55000000000000004">
      <c r="B1398" s="220" t="s">
        <v>940</v>
      </c>
      <c r="C1398" s="225" t="s">
        <v>788</v>
      </c>
      <c r="D1398" s="225" t="s">
        <v>788</v>
      </c>
      <c r="E1398" s="232" t="s">
        <v>645</v>
      </c>
      <c r="F1398" s="89" t="s">
        <v>338</v>
      </c>
    </row>
    <row r="1399" spans="2:6" x14ac:dyDescent="0.55000000000000004">
      <c r="B1399" s="222" t="s">
        <v>941</v>
      </c>
      <c r="C1399" s="227" t="s">
        <v>1627</v>
      </c>
      <c r="D1399" s="227" t="s">
        <v>1627</v>
      </c>
      <c r="E1399" s="232" t="e">
        <v>#N/A</v>
      </c>
      <c r="F1399" s="89" t="s">
        <v>2433</v>
      </c>
    </row>
    <row r="1400" spans="2:6" x14ac:dyDescent="0.55000000000000004">
      <c r="B1400" s="221" t="s">
        <v>934</v>
      </c>
      <c r="C1400" s="226" t="s">
        <v>635</v>
      </c>
      <c r="D1400" s="226" t="s">
        <v>635</v>
      </c>
      <c r="E1400" s="232" t="s">
        <v>635</v>
      </c>
      <c r="F1400" s="89" t="s">
        <v>636</v>
      </c>
    </row>
    <row r="1401" spans="2:6" x14ac:dyDescent="0.55000000000000004">
      <c r="B1401" s="221" t="s">
        <v>934</v>
      </c>
      <c r="C1401" s="225" t="s">
        <v>1628</v>
      </c>
      <c r="D1401" s="225" t="s">
        <v>1628</v>
      </c>
      <c r="E1401" s="232" t="s">
        <v>635</v>
      </c>
      <c r="F1401" s="89" t="s">
        <v>636</v>
      </c>
    </row>
    <row r="1402" spans="2:6" x14ac:dyDescent="0.55000000000000004">
      <c r="B1402" s="221" t="s">
        <v>934</v>
      </c>
      <c r="C1402" s="225" t="s">
        <v>1629</v>
      </c>
      <c r="D1402" s="225" t="s">
        <v>1629</v>
      </c>
      <c r="E1402" s="232" t="s">
        <v>635</v>
      </c>
      <c r="F1402" s="89" t="s">
        <v>636</v>
      </c>
    </row>
    <row r="1403" spans="2:6" x14ac:dyDescent="0.55000000000000004">
      <c r="B1403" s="221" t="s">
        <v>934</v>
      </c>
      <c r="C1403" s="225" t="s">
        <v>1630</v>
      </c>
      <c r="D1403" s="225" t="s">
        <v>1630</v>
      </c>
      <c r="E1403" s="232" t="s">
        <v>635</v>
      </c>
      <c r="F1403" s="89" t="s">
        <v>636</v>
      </c>
    </row>
    <row r="1404" spans="2:6" x14ac:dyDescent="0.55000000000000004">
      <c r="B1404" s="212">
        <v>15</v>
      </c>
      <c r="C1404" s="224" t="s">
        <v>631</v>
      </c>
      <c r="D1404" s="224" t="s">
        <v>631</v>
      </c>
      <c r="E1404" s="232" t="e">
        <v>#N/A</v>
      </c>
      <c r="F1404" s="89" t="s">
        <v>2433</v>
      </c>
    </row>
    <row r="1405" spans="2:6" x14ac:dyDescent="0.55000000000000004">
      <c r="B1405" s="214">
        <v>15</v>
      </c>
      <c r="C1405" s="225" t="s">
        <v>632</v>
      </c>
      <c r="D1405" s="225" t="s">
        <v>632</v>
      </c>
      <c r="E1405" s="232" t="s">
        <v>633</v>
      </c>
      <c r="F1405" s="89" t="s">
        <v>416</v>
      </c>
    </row>
    <row r="1406" spans="2:6" x14ac:dyDescent="0.55000000000000004">
      <c r="B1406" s="213">
        <v>15</v>
      </c>
      <c r="C1406" s="225" t="s">
        <v>641</v>
      </c>
      <c r="D1406" s="225" t="s">
        <v>641</v>
      </c>
      <c r="E1406" s="232" t="s">
        <v>633</v>
      </c>
      <c r="F1406" s="89" t="s">
        <v>416</v>
      </c>
    </row>
    <row r="1407" spans="2:6" x14ac:dyDescent="0.55000000000000004">
      <c r="B1407" s="221" t="s">
        <v>934</v>
      </c>
      <c r="C1407" s="226" t="s">
        <v>1631</v>
      </c>
      <c r="D1407" s="226" t="s">
        <v>1631</v>
      </c>
      <c r="E1407" s="232" t="s">
        <v>264</v>
      </c>
      <c r="F1407" s="89" t="s">
        <v>264</v>
      </c>
    </row>
    <row r="1408" spans="2:6" x14ac:dyDescent="0.55000000000000004">
      <c r="B1408" s="221" t="s">
        <v>934</v>
      </c>
      <c r="C1408" s="226" t="s">
        <v>1631</v>
      </c>
      <c r="D1408" s="226" t="s">
        <v>1631</v>
      </c>
      <c r="E1408" s="232" t="s">
        <v>264</v>
      </c>
      <c r="F1408" s="89" t="s">
        <v>264</v>
      </c>
    </row>
    <row r="1409" spans="2:6" x14ac:dyDescent="0.55000000000000004">
      <c r="B1409" s="221" t="s">
        <v>934</v>
      </c>
      <c r="C1409" s="226" t="s">
        <v>1631</v>
      </c>
      <c r="D1409" s="226" t="s">
        <v>1631</v>
      </c>
      <c r="E1409" s="232" t="s">
        <v>264</v>
      </c>
      <c r="F1409" s="89" t="s">
        <v>264</v>
      </c>
    </row>
    <row r="1410" spans="2:6" x14ac:dyDescent="0.55000000000000004">
      <c r="B1410" s="214">
        <v>15</v>
      </c>
      <c r="C1410" s="226" t="s">
        <v>634</v>
      </c>
      <c r="D1410" s="226" t="s">
        <v>634</v>
      </c>
      <c r="E1410" s="232" t="s">
        <v>2428</v>
      </c>
      <c r="F1410" s="89" t="s">
        <v>332</v>
      </c>
    </row>
    <row r="1411" spans="2:6" x14ac:dyDescent="0.55000000000000004">
      <c r="B1411" s="213">
        <v>15</v>
      </c>
      <c r="C1411" s="225" t="s">
        <v>1625</v>
      </c>
      <c r="D1411" s="225" t="s">
        <v>1625</v>
      </c>
      <c r="E1411" s="232" t="s">
        <v>645</v>
      </c>
      <c r="F1411" s="89" t="s">
        <v>338</v>
      </c>
    </row>
    <row r="1412" spans="2:6" x14ac:dyDescent="0.55000000000000004">
      <c r="B1412" s="213">
        <v>15</v>
      </c>
      <c r="C1412" s="225" t="s">
        <v>1626</v>
      </c>
      <c r="D1412" s="225" t="s">
        <v>1626</v>
      </c>
      <c r="E1412" s="232" t="s">
        <v>633</v>
      </c>
      <c r="F1412" s="89" t="s">
        <v>2434</v>
      </c>
    </row>
    <row r="1413" spans="2:6" x14ac:dyDescent="0.55000000000000004">
      <c r="B1413" s="214">
        <v>15</v>
      </c>
      <c r="C1413" s="225" t="s">
        <v>1632</v>
      </c>
      <c r="D1413" s="225" t="s">
        <v>1632</v>
      </c>
      <c r="E1413" s="232" t="s">
        <v>633</v>
      </c>
      <c r="F1413" s="89" t="s">
        <v>416</v>
      </c>
    </row>
    <row r="1414" spans="2:6" x14ac:dyDescent="0.55000000000000004">
      <c r="B1414" s="214">
        <v>15</v>
      </c>
      <c r="C1414" s="226" t="s">
        <v>264</v>
      </c>
      <c r="D1414" s="226" t="s">
        <v>264</v>
      </c>
      <c r="E1414" s="232" t="s">
        <v>264</v>
      </c>
      <c r="F1414" s="89" t="s">
        <v>264</v>
      </c>
    </row>
    <row r="1415" spans="2:6" x14ac:dyDescent="0.55000000000000004">
      <c r="B1415" s="214">
        <v>15</v>
      </c>
      <c r="C1415" s="226" t="s">
        <v>635</v>
      </c>
      <c r="D1415" s="226" t="s">
        <v>635</v>
      </c>
      <c r="E1415" s="232" t="s">
        <v>635</v>
      </c>
      <c r="F1415" s="89" t="s">
        <v>636</v>
      </c>
    </row>
    <row r="1416" spans="2:6" x14ac:dyDescent="0.55000000000000004">
      <c r="B1416" s="213">
        <v>15</v>
      </c>
      <c r="C1416" s="225" t="s">
        <v>643</v>
      </c>
      <c r="D1416" s="225" t="s">
        <v>643</v>
      </c>
      <c r="E1416" s="232" t="s">
        <v>633</v>
      </c>
      <c r="F1416" s="89" t="s">
        <v>416</v>
      </c>
    </row>
    <row r="1417" spans="2:6" x14ac:dyDescent="0.55000000000000004">
      <c r="B1417" s="214">
        <v>15</v>
      </c>
      <c r="C1417" s="226" t="s">
        <v>637</v>
      </c>
      <c r="D1417" s="226" t="s">
        <v>637</v>
      </c>
      <c r="E1417" s="232" t="s">
        <v>633</v>
      </c>
      <c r="F1417" s="89" t="s">
        <v>2434</v>
      </c>
    </row>
    <row r="1418" spans="2:6" x14ac:dyDescent="0.55000000000000004">
      <c r="B1418" s="214">
        <v>15</v>
      </c>
      <c r="C1418" s="226" t="s">
        <v>637</v>
      </c>
      <c r="D1418" s="226" t="s">
        <v>637</v>
      </c>
      <c r="E1418" s="232" t="s">
        <v>633</v>
      </c>
      <c r="F1418" s="89" t="s">
        <v>2434</v>
      </c>
    </row>
    <row r="1419" spans="2:6" x14ac:dyDescent="0.55000000000000004">
      <c r="B1419" s="214">
        <v>15</v>
      </c>
      <c r="C1419" s="226" t="s">
        <v>637</v>
      </c>
      <c r="D1419" s="226" t="s">
        <v>637</v>
      </c>
      <c r="E1419" s="232" t="s">
        <v>633</v>
      </c>
      <c r="F1419" s="89" t="s">
        <v>2434</v>
      </c>
    </row>
    <row r="1420" spans="2:6" x14ac:dyDescent="0.55000000000000004">
      <c r="B1420" s="213">
        <v>15</v>
      </c>
      <c r="C1420" s="225" t="s">
        <v>644</v>
      </c>
      <c r="D1420" s="225" t="s">
        <v>644</v>
      </c>
      <c r="E1420" s="232" t="s">
        <v>645</v>
      </c>
      <c r="F1420" s="89" t="s">
        <v>338</v>
      </c>
    </row>
    <row r="1421" spans="2:6" x14ac:dyDescent="0.55000000000000004">
      <c r="B1421" s="213">
        <v>15</v>
      </c>
      <c r="C1421" s="225" t="s">
        <v>646</v>
      </c>
      <c r="D1421" s="225" t="s">
        <v>646</v>
      </c>
      <c r="E1421" s="232" t="s">
        <v>633</v>
      </c>
      <c r="F1421" s="89" t="s">
        <v>416</v>
      </c>
    </row>
    <row r="1422" spans="2:6" x14ac:dyDescent="0.55000000000000004">
      <c r="B1422" s="214">
        <v>15</v>
      </c>
      <c r="C1422" s="226" t="s">
        <v>638</v>
      </c>
      <c r="D1422" s="226" t="s">
        <v>638</v>
      </c>
      <c r="E1422" s="232" t="s">
        <v>2431</v>
      </c>
      <c r="F1422" s="89" t="s">
        <v>639</v>
      </c>
    </row>
    <row r="1423" spans="2:6" x14ac:dyDescent="0.55000000000000004">
      <c r="B1423" s="214">
        <v>15</v>
      </c>
      <c r="C1423" s="226" t="s">
        <v>638</v>
      </c>
      <c r="D1423" s="226" t="s">
        <v>638</v>
      </c>
      <c r="E1423" s="232" t="s">
        <v>2431</v>
      </c>
      <c r="F1423" s="89" t="s">
        <v>639</v>
      </c>
    </row>
    <row r="1424" spans="2:6" x14ac:dyDescent="0.55000000000000004">
      <c r="B1424" s="214">
        <v>15</v>
      </c>
      <c r="C1424" s="226" t="s">
        <v>638</v>
      </c>
      <c r="D1424" s="226" t="s">
        <v>638</v>
      </c>
      <c r="E1424" s="232" t="s">
        <v>2432</v>
      </c>
      <c r="F1424" s="89" t="s">
        <v>640</v>
      </c>
    </row>
    <row r="1425" spans="2:6" x14ac:dyDescent="0.55000000000000004">
      <c r="B1425" s="214">
        <v>15</v>
      </c>
      <c r="C1425" s="225" t="s">
        <v>1629</v>
      </c>
      <c r="D1425" s="225" t="s">
        <v>1629</v>
      </c>
      <c r="E1425" s="232" t="s">
        <v>635</v>
      </c>
      <c r="F1425" s="89" t="s">
        <v>636</v>
      </c>
    </row>
    <row r="1426" spans="2:6" ht="25.8" x14ac:dyDescent="0.55000000000000004">
      <c r="B1426" s="219" t="s">
        <v>935</v>
      </c>
      <c r="C1426" s="224" t="s">
        <v>1633</v>
      </c>
      <c r="D1426" s="224" t="s">
        <v>1633</v>
      </c>
      <c r="E1426" s="232" t="e">
        <v>#N/A</v>
      </c>
      <c r="F1426" s="89" t="s">
        <v>2433</v>
      </c>
    </row>
    <row r="1427" spans="2:6" x14ac:dyDescent="0.55000000000000004">
      <c r="B1427" s="220" t="s">
        <v>935</v>
      </c>
      <c r="C1427" s="225" t="s">
        <v>1522</v>
      </c>
      <c r="D1427" s="225" t="s">
        <v>1522</v>
      </c>
      <c r="E1427" s="232" t="s">
        <v>645</v>
      </c>
      <c r="F1427" s="89" t="s">
        <v>338</v>
      </c>
    </row>
    <row r="1428" spans="2:6" x14ac:dyDescent="0.55000000000000004">
      <c r="B1428" s="220" t="s">
        <v>935</v>
      </c>
      <c r="C1428" s="225" t="s">
        <v>1523</v>
      </c>
      <c r="D1428" s="225" t="s">
        <v>1523</v>
      </c>
      <c r="E1428" s="232" t="s">
        <v>645</v>
      </c>
      <c r="F1428" s="89" t="s">
        <v>338</v>
      </c>
    </row>
    <row r="1429" spans="2:6" x14ac:dyDescent="0.55000000000000004">
      <c r="B1429" s="220" t="s">
        <v>935</v>
      </c>
      <c r="C1429" s="225" t="s">
        <v>1524</v>
      </c>
      <c r="D1429" s="225" t="s">
        <v>1524</v>
      </c>
      <c r="E1429" s="232" t="s">
        <v>645</v>
      </c>
      <c r="F1429" s="89" t="s">
        <v>338</v>
      </c>
    </row>
    <row r="1430" spans="2:6" x14ac:dyDescent="0.55000000000000004">
      <c r="B1430" s="221" t="s">
        <v>935</v>
      </c>
      <c r="C1430" s="226" t="s">
        <v>1525</v>
      </c>
      <c r="D1430" s="226" t="s">
        <v>1525</v>
      </c>
      <c r="E1430" s="232" t="s">
        <v>633</v>
      </c>
      <c r="F1430" s="89" t="s">
        <v>416</v>
      </c>
    </row>
    <row r="1431" spans="2:6" x14ac:dyDescent="0.55000000000000004">
      <c r="B1431" s="220" t="s">
        <v>935</v>
      </c>
      <c r="C1431" s="225" t="s">
        <v>1526</v>
      </c>
      <c r="D1431" s="225" t="s">
        <v>1526</v>
      </c>
      <c r="E1431" s="232" t="s">
        <v>633</v>
      </c>
      <c r="F1431" s="89" t="s">
        <v>416</v>
      </c>
    </row>
    <row r="1432" spans="2:6" ht="25.8" x14ac:dyDescent="0.55000000000000004">
      <c r="B1432" s="220" t="s">
        <v>935</v>
      </c>
      <c r="C1432" s="225" t="s">
        <v>2745</v>
      </c>
      <c r="D1432" s="225" t="s">
        <v>1527</v>
      </c>
      <c r="E1432" s="232" t="s">
        <v>633</v>
      </c>
      <c r="F1432" s="89" t="s">
        <v>416</v>
      </c>
    </row>
    <row r="1433" spans="2:6" x14ac:dyDescent="0.55000000000000004">
      <c r="B1433" s="220" t="s">
        <v>935</v>
      </c>
      <c r="C1433" s="225" t="s">
        <v>1528</v>
      </c>
      <c r="D1433" s="225" t="s">
        <v>1528</v>
      </c>
      <c r="E1433" s="232" t="s">
        <v>645</v>
      </c>
      <c r="F1433" s="89" t="s">
        <v>648</v>
      </c>
    </row>
    <row r="1434" spans="2:6" x14ac:dyDescent="0.55000000000000004">
      <c r="B1434" s="220" t="s">
        <v>935</v>
      </c>
      <c r="C1434" s="225" t="s">
        <v>1529</v>
      </c>
      <c r="D1434" s="225" t="s">
        <v>1529</v>
      </c>
      <c r="E1434" s="232" t="s">
        <v>645</v>
      </c>
      <c r="F1434" s="89" t="s">
        <v>338</v>
      </c>
    </row>
    <row r="1435" spans="2:6" x14ac:dyDescent="0.55000000000000004">
      <c r="B1435" s="220" t="s">
        <v>935</v>
      </c>
      <c r="C1435" s="225" t="s">
        <v>1530</v>
      </c>
      <c r="D1435" s="225" t="s">
        <v>1530</v>
      </c>
      <c r="E1435" s="232" t="s">
        <v>645</v>
      </c>
      <c r="F1435" s="89" t="s">
        <v>338</v>
      </c>
    </row>
    <row r="1436" spans="2:6" x14ac:dyDescent="0.55000000000000004">
      <c r="B1436" s="214">
        <v>15</v>
      </c>
      <c r="C1436" s="226" t="s">
        <v>264</v>
      </c>
      <c r="D1436" s="226" t="s">
        <v>264</v>
      </c>
      <c r="E1436" s="232" t="s">
        <v>264</v>
      </c>
      <c r="F1436" s="89" t="s">
        <v>264</v>
      </c>
    </row>
    <row r="1437" spans="2:6" x14ac:dyDescent="0.55000000000000004">
      <c r="B1437" s="214">
        <v>15</v>
      </c>
      <c r="C1437" s="226" t="s">
        <v>264</v>
      </c>
      <c r="D1437" s="226" t="s">
        <v>264</v>
      </c>
      <c r="E1437" s="232" t="s">
        <v>264</v>
      </c>
      <c r="F1437" s="89" t="s">
        <v>264</v>
      </c>
    </row>
    <row r="1438" spans="2:6" x14ac:dyDescent="0.55000000000000004">
      <c r="B1438" s="221" t="s">
        <v>935</v>
      </c>
      <c r="C1438" s="226" t="s">
        <v>1612</v>
      </c>
      <c r="D1438" s="226" t="s">
        <v>1612</v>
      </c>
      <c r="E1438" s="232" t="s">
        <v>264</v>
      </c>
      <c r="F1438" s="89" t="s">
        <v>264</v>
      </c>
    </row>
    <row r="1439" spans="2:6" x14ac:dyDescent="0.55000000000000004">
      <c r="B1439" s="221" t="s">
        <v>935</v>
      </c>
      <c r="C1439" s="226" t="s">
        <v>1533</v>
      </c>
      <c r="D1439" s="226" t="s">
        <v>1533</v>
      </c>
      <c r="E1439" s="232" t="s">
        <v>2428</v>
      </c>
      <c r="F1439" s="89" t="s">
        <v>332</v>
      </c>
    </row>
    <row r="1440" spans="2:6" x14ac:dyDescent="0.55000000000000004">
      <c r="B1440" s="220" t="s">
        <v>935</v>
      </c>
      <c r="C1440" s="225" t="s">
        <v>1534</v>
      </c>
      <c r="D1440" s="225" t="s">
        <v>1534</v>
      </c>
      <c r="E1440" s="232" t="s">
        <v>2430</v>
      </c>
      <c r="F1440" s="89" t="s">
        <v>650</v>
      </c>
    </row>
    <row r="1441" spans="2:6" x14ac:dyDescent="0.55000000000000004">
      <c r="B1441" s="220" t="s">
        <v>935</v>
      </c>
      <c r="C1441" s="225" t="s">
        <v>1535</v>
      </c>
      <c r="D1441" s="225" t="s">
        <v>1535</v>
      </c>
      <c r="E1441" s="232" t="s">
        <v>645</v>
      </c>
      <c r="F1441" s="89" t="s">
        <v>338</v>
      </c>
    </row>
    <row r="1442" spans="2:6" x14ac:dyDescent="0.55000000000000004">
      <c r="B1442" s="220" t="s">
        <v>935</v>
      </c>
      <c r="C1442" s="225" t="s">
        <v>2746</v>
      </c>
      <c r="D1442" s="225" t="s">
        <v>1536</v>
      </c>
      <c r="E1442" s="232" t="s">
        <v>645</v>
      </c>
      <c r="F1442" s="89" t="s">
        <v>338</v>
      </c>
    </row>
    <row r="1443" spans="2:6" x14ac:dyDescent="0.55000000000000004">
      <c r="B1443" s="221" t="s">
        <v>935</v>
      </c>
      <c r="C1443" s="226" t="s">
        <v>2747</v>
      </c>
      <c r="D1443" s="226" t="s">
        <v>1537</v>
      </c>
      <c r="E1443" s="232" t="s">
        <v>633</v>
      </c>
      <c r="F1443" s="89" t="s">
        <v>2434</v>
      </c>
    </row>
    <row r="1444" spans="2:6" ht="51.6" x14ac:dyDescent="0.55000000000000004">
      <c r="B1444" s="220" t="s">
        <v>935</v>
      </c>
      <c r="C1444" s="225" t="s">
        <v>2748</v>
      </c>
      <c r="D1444" s="225" t="s">
        <v>1538</v>
      </c>
      <c r="E1444" s="232" t="s">
        <v>645</v>
      </c>
      <c r="F1444" s="89" t="s">
        <v>338</v>
      </c>
    </row>
    <row r="1445" spans="2:6" x14ac:dyDescent="0.55000000000000004">
      <c r="B1445" s="220" t="s">
        <v>935</v>
      </c>
      <c r="C1445" s="225" t="s">
        <v>1539</v>
      </c>
      <c r="D1445" s="225" t="s">
        <v>1539</v>
      </c>
      <c r="E1445" s="232" t="s">
        <v>645</v>
      </c>
      <c r="F1445" s="89" t="s">
        <v>338</v>
      </c>
    </row>
    <row r="1446" spans="2:6" ht="25.8" x14ac:dyDescent="0.55000000000000004">
      <c r="B1446" s="220" t="s">
        <v>935</v>
      </c>
      <c r="C1446" s="225" t="s">
        <v>2749</v>
      </c>
      <c r="D1446" s="225" t="s">
        <v>1540</v>
      </c>
      <c r="E1446" s="232" t="s">
        <v>645</v>
      </c>
      <c r="F1446" s="89" t="s">
        <v>338</v>
      </c>
    </row>
    <row r="1447" spans="2:6" ht="25.8" x14ac:dyDescent="0.55000000000000004">
      <c r="B1447" s="220" t="s">
        <v>935</v>
      </c>
      <c r="C1447" s="225" t="s">
        <v>1541</v>
      </c>
      <c r="D1447" s="225" t="s">
        <v>1541</v>
      </c>
      <c r="E1447" s="232" t="s">
        <v>645</v>
      </c>
      <c r="F1447" s="89" t="s">
        <v>338</v>
      </c>
    </row>
    <row r="1448" spans="2:6" ht="25.8" x14ac:dyDescent="0.55000000000000004">
      <c r="B1448" s="220" t="s">
        <v>935</v>
      </c>
      <c r="C1448" s="225" t="s">
        <v>2750</v>
      </c>
      <c r="D1448" s="225" t="s">
        <v>1542</v>
      </c>
      <c r="E1448" s="232" t="s">
        <v>645</v>
      </c>
      <c r="F1448" s="89" t="s">
        <v>338</v>
      </c>
    </row>
    <row r="1449" spans="2:6" ht="25.8" x14ac:dyDescent="0.55000000000000004">
      <c r="B1449" s="220" t="s">
        <v>935</v>
      </c>
      <c r="C1449" s="225" t="s">
        <v>2751</v>
      </c>
      <c r="D1449" s="225" t="s">
        <v>1543</v>
      </c>
      <c r="E1449" s="232" t="s">
        <v>645</v>
      </c>
      <c r="F1449" s="89" t="s">
        <v>338</v>
      </c>
    </row>
    <row r="1450" spans="2:6" x14ac:dyDescent="0.55000000000000004">
      <c r="B1450" s="220" t="s">
        <v>935</v>
      </c>
      <c r="C1450" s="225" t="s">
        <v>1544</v>
      </c>
      <c r="D1450" s="225" t="s">
        <v>1544</v>
      </c>
      <c r="E1450" s="232" t="s">
        <v>645</v>
      </c>
      <c r="F1450" s="89" t="s">
        <v>338</v>
      </c>
    </row>
    <row r="1451" spans="2:6" x14ac:dyDescent="0.55000000000000004">
      <c r="B1451" s="220" t="s">
        <v>935</v>
      </c>
      <c r="C1451" s="225" t="s">
        <v>2752</v>
      </c>
      <c r="D1451" s="225" t="s">
        <v>1545</v>
      </c>
      <c r="E1451" s="232" t="s">
        <v>645</v>
      </c>
      <c r="F1451" s="89" t="s">
        <v>338</v>
      </c>
    </row>
    <row r="1452" spans="2:6" ht="25.8" x14ac:dyDescent="0.55000000000000004">
      <c r="B1452" s="220" t="s">
        <v>935</v>
      </c>
      <c r="C1452" s="226" t="s">
        <v>1546</v>
      </c>
      <c r="D1452" s="226" t="s">
        <v>1546</v>
      </c>
      <c r="E1452" s="232" t="s">
        <v>633</v>
      </c>
      <c r="F1452" s="89" t="s">
        <v>2434</v>
      </c>
    </row>
    <row r="1453" spans="2:6" x14ac:dyDescent="0.55000000000000004">
      <c r="B1453" s="221" t="s">
        <v>935</v>
      </c>
      <c r="C1453" s="226" t="s">
        <v>1547</v>
      </c>
      <c r="D1453" s="226" t="s">
        <v>1547</v>
      </c>
      <c r="E1453" s="232" t="s">
        <v>633</v>
      </c>
      <c r="F1453" s="89" t="s">
        <v>416</v>
      </c>
    </row>
    <row r="1454" spans="2:6" ht="25.8" x14ac:dyDescent="0.55000000000000004">
      <c r="B1454" s="221" t="s">
        <v>935</v>
      </c>
      <c r="C1454" s="226" t="s">
        <v>1548</v>
      </c>
      <c r="D1454" s="226" t="s">
        <v>1548</v>
      </c>
      <c r="E1454" s="232" t="s">
        <v>633</v>
      </c>
      <c r="F1454" s="89" t="s">
        <v>416</v>
      </c>
    </row>
    <row r="1455" spans="2:6" x14ac:dyDescent="0.55000000000000004">
      <c r="B1455" s="221" t="s">
        <v>935</v>
      </c>
      <c r="C1455" s="226" t="s">
        <v>1549</v>
      </c>
      <c r="D1455" s="226" t="s">
        <v>1549</v>
      </c>
      <c r="E1455" s="232" t="s">
        <v>633</v>
      </c>
      <c r="F1455" s="89" t="s">
        <v>416</v>
      </c>
    </row>
    <row r="1456" spans="2:6" x14ac:dyDescent="0.55000000000000004">
      <c r="B1456" s="221" t="s">
        <v>935</v>
      </c>
      <c r="C1456" s="226" t="s">
        <v>1550</v>
      </c>
      <c r="D1456" s="226" t="s">
        <v>1550</v>
      </c>
      <c r="E1456" s="232" t="s">
        <v>633</v>
      </c>
      <c r="F1456" s="89" t="s">
        <v>416</v>
      </c>
    </row>
    <row r="1457" spans="2:6" x14ac:dyDescent="0.55000000000000004">
      <c r="B1457" s="221" t="s">
        <v>935</v>
      </c>
      <c r="C1457" s="226" t="s">
        <v>1551</v>
      </c>
      <c r="D1457" s="226" t="s">
        <v>1551</v>
      </c>
      <c r="E1457" s="232" t="s">
        <v>633</v>
      </c>
      <c r="F1457" s="89" t="s">
        <v>416</v>
      </c>
    </row>
    <row r="1458" spans="2:6" x14ac:dyDescent="0.55000000000000004">
      <c r="B1458" s="221" t="s">
        <v>935</v>
      </c>
      <c r="C1458" s="226" t="s">
        <v>1612</v>
      </c>
      <c r="D1458" s="226" t="s">
        <v>1612</v>
      </c>
      <c r="E1458" s="232" t="s">
        <v>264</v>
      </c>
      <c r="F1458" s="89" t="s">
        <v>264</v>
      </c>
    </row>
    <row r="1459" spans="2:6" ht="25.8" x14ac:dyDescent="0.55000000000000004">
      <c r="B1459" s="220" t="s">
        <v>935</v>
      </c>
      <c r="C1459" s="225" t="s">
        <v>1552</v>
      </c>
      <c r="D1459" s="225" t="s">
        <v>1552</v>
      </c>
      <c r="E1459" s="232" t="s">
        <v>645</v>
      </c>
      <c r="F1459" s="89" t="s">
        <v>338</v>
      </c>
    </row>
    <row r="1460" spans="2:6" x14ac:dyDescent="0.55000000000000004">
      <c r="B1460" s="220" t="s">
        <v>935</v>
      </c>
      <c r="C1460" s="225" t="s">
        <v>1553</v>
      </c>
      <c r="D1460" s="225" t="s">
        <v>1553</v>
      </c>
      <c r="E1460" s="232" t="s">
        <v>645</v>
      </c>
      <c r="F1460" s="89" t="s">
        <v>338</v>
      </c>
    </row>
    <row r="1461" spans="2:6" x14ac:dyDescent="0.55000000000000004">
      <c r="B1461" s="220" t="s">
        <v>935</v>
      </c>
      <c r="C1461" s="225" t="s">
        <v>1554</v>
      </c>
      <c r="D1461" s="225" t="s">
        <v>1554</v>
      </c>
      <c r="E1461" s="232" t="s">
        <v>645</v>
      </c>
      <c r="F1461" s="89" t="s">
        <v>338</v>
      </c>
    </row>
    <row r="1462" spans="2:6" ht="25.8" x14ac:dyDescent="0.55000000000000004">
      <c r="B1462" s="220" t="s">
        <v>935</v>
      </c>
      <c r="C1462" s="225" t="s">
        <v>1555</v>
      </c>
      <c r="D1462" s="225" t="s">
        <v>1555</v>
      </c>
      <c r="E1462" s="232" t="s">
        <v>645</v>
      </c>
      <c r="F1462" s="89" t="s">
        <v>338</v>
      </c>
    </row>
    <row r="1463" spans="2:6" x14ac:dyDescent="0.55000000000000004">
      <c r="B1463" s="221" t="s">
        <v>935</v>
      </c>
      <c r="C1463" s="226" t="s">
        <v>1556</v>
      </c>
      <c r="D1463" s="226" t="s">
        <v>1556</v>
      </c>
      <c r="E1463" s="232" t="s">
        <v>635</v>
      </c>
      <c r="F1463" s="89" t="s">
        <v>636</v>
      </c>
    </row>
    <row r="1464" spans="2:6" x14ac:dyDescent="0.55000000000000004">
      <c r="B1464" s="221" t="s">
        <v>935</v>
      </c>
      <c r="C1464" s="226" t="s">
        <v>1557</v>
      </c>
      <c r="D1464" s="226" t="s">
        <v>1557</v>
      </c>
      <c r="E1464" s="232" t="s">
        <v>635</v>
      </c>
      <c r="F1464" s="89" t="s">
        <v>636</v>
      </c>
    </row>
    <row r="1465" spans="2:6" x14ac:dyDescent="0.55000000000000004">
      <c r="B1465" s="220" t="s">
        <v>935</v>
      </c>
      <c r="C1465" s="226" t="s">
        <v>1558</v>
      </c>
      <c r="D1465" s="226" t="s">
        <v>1558</v>
      </c>
      <c r="E1465" s="232" t="s">
        <v>633</v>
      </c>
      <c r="F1465" s="89" t="s">
        <v>416</v>
      </c>
    </row>
    <row r="1466" spans="2:6" x14ac:dyDescent="0.55000000000000004">
      <c r="B1466" s="220" t="s">
        <v>935</v>
      </c>
      <c r="C1466" s="225" t="s">
        <v>2753</v>
      </c>
      <c r="D1466" s="225" t="s">
        <v>1559</v>
      </c>
      <c r="E1466" s="232" t="s">
        <v>645</v>
      </c>
      <c r="F1466" s="89" t="s">
        <v>338</v>
      </c>
    </row>
    <row r="1467" spans="2:6" ht="25.8" x14ac:dyDescent="0.55000000000000004">
      <c r="B1467" s="220" t="s">
        <v>935</v>
      </c>
      <c r="C1467" s="225" t="s">
        <v>2754</v>
      </c>
      <c r="D1467" s="225" t="s">
        <v>1560</v>
      </c>
      <c r="E1467" s="232" t="s">
        <v>645</v>
      </c>
      <c r="F1467" s="89" t="s">
        <v>338</v>
      </c>
    </row>
    <row r="1468" spans="2:6" x14ac:dyDescent="0.55000000000000004">
      <c r="B1468" s="220" t="s">
        <v>935</v>
      </c>
      <c r="C1468" s="225" t="s">
        <v>1561</v>
      </c>
      <c r="D1468" s="225" t="s">
        <v>1561</v>
      </c>
      <c r="E1468" s="232" t="s">
        <v>633</v>
      </c>
      <c r="F1468" s="89" t="s">
        <v>416</v>
      </c>
    </row>
    <row r="1469" spans="2:6" x14ac:dyDescent="0.55000000000000004">
      <c r="B1469" s="220" t="s">
        <v>935</v>
      </c>
      <c r="C1469" s="226" t="s">
        <v>1562</v>
      </c>
      <c r="D1469" s="226" t="s">
        <v>1562</v>
      </c>
      <c r="E1469" s="232" t="s">
        <v>2431</v>
      </c>
      <c r="F1469" s="89" t="s">
        <v>639</v>
      </c>
    </row>
    <row r="1470" spans="2:6" ht="25.8" x14ac:dyDescent="0.55000000000000004">
      <c r="B1470" s="220" t="s">
        <v>935</v>
      </c>
      <c r="C1470" s="226" t="s">
        <v>2755</v>
      </c>
      <c r="D1470" s="226" t="s">
        <v>1563</v>
      </c>
      <c r="E1470" s="232" t="s">
        <v>2431</v>
      </c>
      <c r="F1470" s="89" t="s">
        <v>639</v>
      </c>
    </row>
    <row r="1471" spans="2:6" ht="25.8" x14ac:dyDescent="0.55000000000000004">
      <c r="B1471" s="220" t="s">
        <v>935</v>
      </c>
      <c r="C1471" s="226" t="s">
        <v>1564</v>
      </c>
      <c r="D1471" s="226" t="s">
        <v>1564</v>
      </c>
      <c r="E1471" s="232" t="s">
        <v>2431</v>
      </c>
      <c r="F1471" s="89" t="s">
        <v>639</v>
      </c>
    </row>
    <row r="1472" spans="2:6" ht="25.8" x14ac:dyDescent="0.55000000000000004">
      <c r="B1472" s="221" t="s">
        <v>935</v>
      </c>
      <c r="C1472" s="226" t="s">
        <v>2756</v>
      </c>
      <c r="D1472" s="226" t="s">
        <v>1565</v>
      </c>
      <c r="E1472" s="232" t="s">
        <v>2431</v>
      </c>
      <c r="F1472" s="89" t="s">
        <v>639</v>
      </c>
    </row>
    <row r="1473" spans="2:6" ht="25.8" x14ac:dyDescent="0.55000000000000004">
      <c r="B1473" s="220" t="s">
        <v>935</v>
      </c>
      <c r="C1473" s="226" t="s">
        <v>1566</v>
      </c>
      <c r="D1473" s="226" t="s">
        <v>1566</v>
      </c>
      <c r="E1473" s="232" t="s">
        <v>2431</v>
      </c>
      <c r="F1473" s="89" t="s">
        <v>639</v>
      </c>
    </row>
    <row r="1474" spans="2:6" ht="25.8" x14ac:dyDescent="0.55000000000000004">
      <c r="B1474" s="220" t="s">
        <v>935</v>
      </c>
      <c r="C1474" s="226" t="s">
        <v>2757</v>
      </c>
      <c r="D1474" s="226" t="s">
        <v>1567</v>
      </c>
      <c r="E1474" s="232" t="s">
        <v>633</v>
      </c>
      <c r="F1474" s="89" t="s">
        <v>416</v>
      </c>
    </row>
    <row r="1475" spans="2:6" ht="25.8" x14ac:dyDescent="0.55000000000000004">
      <c r="B1475" s="220" t="s">
        <v>935</v>
      </c>
      <c r="C1475" s="226" t="s">
        <v>2758</v>
      </c>
      <c r="D1475" s="226" t="s">
        <v>1568</v>
      </c>
      <c r="E1475" s="232" t="s">
        <v>2431</v>
      </c>
      <c r="F1475" s="89" t="s">
        <v>639</v>
      </c>
    </row>
    <row r="1476" spans="2:6" ht="25.8" x14ac:dyDescent="0.55000000000000004">
      <c r="B1476" s="220" t="s">
        <v>935</v>
      </c>
      <c r="C1476" s="226" t="s">
        <v>2759</v>
      </c>
      <c r="D1476" s="226" t="s">
        <v>1569</v>
      </c>
      <c r="E1476" s="232" t="s">
        <v>2431</v>
      </c>
      <c r="F1476" s="89" t="s">
        <v>639</v>
      </c>
    </row>
    <row r="1477" spans="2:6" ht="25.8" x14ac:dyDescent="0.55000000000000004">
      <c r="B1477" s="220" t="s">
        <v>935</v>
      </c>
      <c r="C1477" s="226" t="s">
        <v>2760</v>
      </c>
      <c r="D1477" s="226" t="s">
        <v>1570</v>
      </c>
      <c r="E1477" s="232" t="s">
        <v>2431</v>
      </c>
      <c r="F1477" s="89" t="s">
        <v>639</v>
      </c>
    </row>
    <row r="1478" spans="2:6" ht="25.8" x14ac:dyDescent="0.55000000000000004">
      <c r="B1478" s="220" t="s">
        <v>935</v>
      </c>
      <c r="C1478" s="226" t="s">
        <v>2761</v>
      </c>
      <c r="D1478" s="226" t="s">
        <v>1571</v>
      </c>
      <c r="E1478" s="232" t="s">
        <v>2431</v>
      </c>
      <c r="F1478" s="89" t="s">
        <v>639</v>
      </c>
    </row>
    <row r="1479" spans="2:6" ht="25.8" x14ac:dyDescent="0.55000000000000004">
      <c r="B1479" s="220" t="s">
        <v>935</v>
      </c>
      <c r="C1479" s="226" t="s">
        <v>1572</v>
      </c>
      <c r="D1479" s="226" t="s">
        <v>1572</v>
      </c>
      <c r="E1479" s="232" t="s">
        <v>2431</v>
      </c>
      <c r="F1479" s="89" t="s">
        <v>639</v>
      </c>
    </row>
    <row r="1480" spans="2:6" ht="25.8" x14ac:dyDescent="0.55000000000000004">
      <c r="B1480" s="220" t="s">
        <v>935</v>
      </c>
      <c r="C1480" s="226" t="s">
        <v>2762</v>
      </c>
      <c r="D1480" s="226" t="s">
        <v>1573</v>
      </c>
      <c r="E1480" s="232" t="s">
        <v>2431</v>
      </c>
      <c r="F1480" s="89" t="s">
        <v>639</v>
      </c>
    </row>
    <row r="1481" spans="2:6" ht="25.8" x14ac:dyDescent="0.55000000000000004">
      <c r="B1481" s="220" t="s">
        <v>935</v>
      </c>
      <c r="C1481" s="226" t="s">
        <v>2763</v>
      </c>
      <c r="D1481" s="226" t="s">
        <v>1574</v>
      </c>
      <c r="E1481" s="232" t="s">
        <v>633</v>
      </c>
      <c r="F1481" s="89" t="s">
        <v>416</v>
      </c>
    </row>
    <row r="1482" spans="2:6" ht="25.8" x14ac:dyDescent="0.55000000000000004">
      <c r="B1482" s="220" t="s">
        <v>935</v>
      </c>
      <c r="C1482" s="226" t="s">
        <v>2764</v>
      </c>
      <c r="D1482" s="226" t="s">
        <v>1575</v>
      </c>
      <c r="E1482" s="232" t="s">
        <v>2431</v>
      </c>
      <c r="F1482" s="89" t="s">
        <v>639</v>
      </c>
    </row>
    <row r="1483" spans="2:6" x14ac:dyDescent="0.55000000000000004">
      <c r="B1483" s="220" t="s">
        <v>935</v>
      </c>
      <c r="C1483" s="226" t="s">
        <v>1576</v>
      </c>
      <c r="D1483" s="226" t="s">
        <v>1576</v>
      </c>
      <c r="E1483" s="232" t="s">
        <v>2431</v>
      </c>
      <c r="F1483" s="89" t="s">
        <v>639</v>
      </c>
    </row>
    <row r="1484" spans="2:6" ht="38.700000000000003" x14ac:dyDescent="0.55000000000000004">
      <c r="B1484" s="220" t="s">
        <v>935</v>
      </c>
      <c r="C1484" s="226" t="s">
        <v>2765</v>
      </c>
      <c r="D1484" s="226" t="s">
        <v>1577</v>
      </c>
      <c r="E1484" s="232" t="s">
        <v>2431</v>
      </c>
      <c r="F1484" s="89" t="s">
        <v>639</v>
      </c>
    </row>
    <row r="1485" spans="2:6" ht="38.700000000000003" x14ac:dyDescent="0.55000000000000004">
      <c r="B1485" s="220" t="s">
        <v>935</v>
      </c>
      <c r="C1485" s="226" t="s">
        <v>2766</v>
      </c>
      <c r="D1485" s="226" t="s">
        <v>1578</v>
      </c>
      <c r="E1485" s="232" t="s">
        <v>633</v>
      </c>
      <c r="F1485" s="89" t="s">
        <v>416</v>
      </c>
    </row>
    <row r="1486" spans="2:6" ht="25.8" x14ac:dyDescent="0.55000000000000004">
      <c r="B1486" s="220" t="s">
        <v>935</v>
      </c>
      <c r="C1486" s="225" t="s">
        <v>2767</v>
      </c>
      <c r="D1486" s="225" t="s">
        <v>1579</v>
      </c>
      <c r="E1486" s="232" t="s">
        <v>645</v>
      </c>
      <c r="F1486" s="89" t="s">
        <v>648</v>
      </c>
    </row>
    <row r="1487" spans="2:6" x14ac:dyDescent="0.55000000000000004">
      <c r="B1487" s="221" t="s">
        <v>935</v>
      </c>
      <c r="C1487" s="226" t="s">
        <v>1580</v>
      </c>
      <c r="D1487" s="226" t="s">
        <v>1580</v>
      </c>
      <c r="E1487" s="232" t="s">
        <v>635</v>
      </c>
      <c r="F1487" s="89" t="s">
        <v>636</v>
      </c>
    </row>
    <row r="1488" spans="2:6" x14ac:dyDescent="0.55000000000000004">
      <c r="B1488" s="221" t="s">
        <v>935</v>
      </c>
      <c r="C1488" s="226" t="s">
        <v>1581</v>
      </c>
      <c r="D1488" s="226" t="s">
        <v>1581</v>
      </c>
      <c r="E1488" s="232" t="s">
        <v>635</v>
      </c>
      <c r="F1488" s="89" t="s">
        <v>636</v>
      </c>
    </row>
    <row r="1489" spans="2:6" ht="25.8" x14ac:dyDescent="0.55000000000000004">
      <c r="B1489" s="212">
        <v>16</v>
      </c>
      <c r="C1489" s="224" t="s">
        <v>647</v>
      </c>
      <c r="D1489" s="224" t="s">
        <v>647</v>
      </c>
      <c r="E1489" s="232" t="e">
        <v>#N/A</v>
      </c>
      <c r="F1489" s="89" t="s">
        <v>2433</v>
      </c>
    </row>
    <row r="1490" spans="2:6" x14ac:dyDescent="0.55000000000000004">
      <c r="B1490" s="214">
        <v>16</v>
      </c>
      <c r="C1490" s="226" t="s">
        <v>632</v>
      </c>
      <c r="D1490" s="226" t="s">
        <v>632</v>
      </c>
      <c r="E1490" s="232" t="s">
        <v>633</v>
      </c>
      <c r="F1490" s="89" t="s">
        <v>416</v>
      </c>
    </row>
    <row r="1491" spans="2:6" x14ac:dyDescent="0.55000000000000004">
      <c r="B1491" s="213">
        <v>16</v>
      </c>
      <c r="C1491" s="225" t="s">
        <v>641</v>
      </c>
      <c r="D1491" s="225" t="s">
        <v>641</v>
      </c>
      <c r="E1491" s="232" t="s">
        <v>633</v>
      </c>
      <c r="F1491" s="89" t="s">
        <v>416</v>
      </c>
    </row>
    <row r="1492" spans="2:6" x14ac:dyDescent="0.55000000000000004">
      <c r="B1492" s="221" t="s">
        <v>935</v>
      </c>
      <c r="C1492" s="226" t="s">
        <v>1612</v>
      </c>
      <c r="D1492" s="226" t="s">
        <v>1612</v>
      </c>
      <c r="E1492" s="232" t="s">
        <v>264</v>
      </c>
      <c r="F1492" s="89" t="s">
        <v>264</v>
      </c>
    </row>
    <row r="1493" spans="2:6" x14ac:dyDescent="0.55000000000000004">
      <c r="B1493" s="214">
        <v>16</v>
      </c>
      <c r="C1493" s="226" t="s">
        <v>264</v>
      </c>
      <c r="D1493" s="226" t="s">
        <v>264</v>
      </c>
      <c r="E1493" s="232" t="s">
        <v>264</v>
      </c>
      <c r="F1493" s="89" t="s">
        <v>264</v>
      </c>
    </row>
    <row r="1494" spans="2:6" x14ac:dyDescent="0.55000000000000004">
      <c r="B1494" s="214">
        <v>16</v>
      </c>
      <c r="C1494" s="226" t="s">
        <v>264</v>
      </c>
      <c r="D1494" s="226" t="s">
        <v>264</v>
      </c>
      <c r="E1494" s="232" t="s">
        <v>264</v>
      </c>
      <c r="F1494" s="89" t="s">
        <v>264</v>
      </c>
    </row>
    <row r="1495" spans="2:6" x14ac:dyDescent="0.55000000000000004">
      <c r="B1495" s="214">
        <v>16</v>
      </c>
      <c r="C1495" s="226" t="s">
        <v>634</v>
      </c>
      <c r="D1495" s="226" t="s">
        <v>634</v>
      </c>
      <c r="E1495" s="232" t="s">
        <v>2428</v>
      </c>
      <c r="F1495" s="89" t="s">
        <v>332</v>
      </c>
    </row>
    <row r="1496" spans="2:6" x14ac:dyDescent="0.55000000000000004">
      <c r="B1496" s="213">
        <v>16</v>
      </c>
      <c r="C1496" s="226" t="s">
        <v>1625</v>
      </c>
      <c r="D1496" s="226" t="s">
        <v>1625</v>
      </c>
      <c r="E1496" s="232" t="s">
        <v>645</v>
      </c>
      <c r="F1496" s="89" t="s">
        <v>338</v>
      </c>
    </row>
    <row r="1497" spans="2:6" x14ac:dyDescent="0.55000000000000004">
      <c r="B1497" s="213">
        <v>16</v>
      </c>
      <c r="C1497" s="226" t="s">
        <v>1626</v>
      </c>
      <c r="D1497" s="226" t="s">
        <v>1626</v>
      </c>
      <c r="E1497" s="232" t="s">
        <v>633</v>
      </c>
      <c r="F1497" s="89" t="s">
        <v>2434</v>
      </c>
    </row>
    <row r="1498" spans="2:6" x14ac:dyDescent="0.55000000000000004">
      <c r="B1498" s="214">
        <v>16</v>
      </c>
      <c r="C1498" s="226" t="s">
        <v>1632</v>
      </c>
      <c r="D1498" s="226" t="s">
        <v>1632</v>
      </c>
      <c r="E1498" s="232" t="s">
        <v>633</v>
      </c>
      <c r="F1498" s="89" t="s">
        <v>416</v>
      </c>
    </row>
    <row r="1499" spans="2:6" x14ac:dyDescent="0.55000000000000004">
      <c r="B1499" s="214">
        <v>16</v>
      </c>
      <c r="C1499" s="226" t="s">
        <v>264</v>
      </c>
      <c r="D1499" s="226" t="s">
        <v>264</v>
      </c>
      <c r="E1499" s="232" t="s">
        <v>264</v>
      </c>
      <c r="F1499" s="89" t="s">
        <v>264</v>
      </c>
    </row>
    <row r="1500" spans="2:6" x14ac:dyDescent="0.55000000000000004">
      <c r="B1500" s="214">
        <v>16</v>
      </c>
      <c r="C1500" s="226" t="s">
        <v>635</v>
      </c>
      <c r="D1500" s="226" t="s">
        <v>635</v>
      </c>
      <c r="E1500" s="232" t="s">
        <v>635</v>
      </c>
      <c r="F1500" s="89" t="s">
        <v>636</v>
      </c>
    </row>
    <row r="1501" spans="2:6" x14ac:dyDescent="0.55000000000000004">
      <c r="B1501" s="213">
        <v>16</v>
      </c>
      <c r="C1501" s="226" t="s">
        <v>643</v>
      </c>
      <c r="D1501" s="226" t="s">
        <v>643</v>
      </c>
      <c r="E1501" s="232" t="s">
        <v>633</v>
      </c>
      <c r="F1501" s="89" t="s">
        <v>416</v>
      </c>
    </row>
    <row r="1502" spans="2:6" x14ac:dyDescent="0.55000000000000004">
      <c r="B1502" s="214">
        <v>16</v>
      </c>
      <c r="C1502" s="226" t="s">
        <v>637</v>
      </c>
      <c r="D1502" s="226" t="s">
        <v>637</v>
      </c>
      <c r="E1502" s="232" t="s">
        <v>633</v>
      </c>
      <c r="F1502" s="89" t="s">
        <v>2434</v>
      </c>
    </row>
    <row r="1503" spans="2:6" x14ac:dyDescent="0.55000000000000004">
      <c r="B1503" s="214">
        <v>16</v>
      </c>
      <c r="C1503" s="226" t="s">
        <v>637</v>
      </c>
      <c r="D1503" s="226" t="s">
        <v>637</v>
      </c>
      <c r="E1503" s="232" t="s">
        <v>633</v>
      </c>
      <c r="F1503" s="89" t="s">
        <v>2434</v>
      </c>
    </row>
    <row r="1504" spans="2:6" x14ac:dyDescent="0.55000000000000004">
      <c r="B1504" s="214">
        <v>16</v>
      </c>
      <c r="C1504" s="226" t="s">
        <v>637</v>
      </c>
      <c r="D1504" s="226" t="s">
        <v>637</v>
      </c>
      <c r="E1504" s="232" t="s">
        <v>633</v>
      </c>
      <c r="F1504" s="89" t="s">
        <v>2434</v>
      </c>
    </row>
    <row r="1505" spans="2:6" x14ac:dyDescent="0.55000000000000004">
      <c r="B1505" s="213">
        <v>16</v>
      </c>
      <c r="C1505" s="225" t="s">
        <v>644</v>
      </c>
      <c r="D1505" s="225" t="s">
        <v>644</v>
      </c>
      <c r="E1505" s="232" t="s">
        <v>645</v>
      </c>
      <c r="F1505" s="89" t="s">
        <v>338</v>
      </c>
    </row>
    <row r="1506" spans="2:6" x14ac:dyDescent="0.55000000000000004">
      <c r="B1506" s="213">
        <v>16</v>
      </c>
      <c r="C1506" s="225" t="s">
        <v>646</v>
      </c>
      <c r="D1506" s="225" t="s">
        <v>646</v>
      </c>
      <c r="E1506" s="232" t="s">
        <v>633</v>
      </c>
      <c r="F1506" s="89" t="s">
        <v>416</v>
      </c>
    </row>
    <row r="1507" spans="2:6" x14ac:dyDescent="0.55000000000000004">
      <c r="B1507" s="214">
        <v>16</v>
      </c>
      <c r="C1507" s="226" t="s">
        <v>638</v>
      </c>
      <c r="D1507" s="226" t="s">
        <v>638</v>
      </c>
      <c r="E1507" s="232" t="s">
        <v>2431</v>
      </c>
      <c r="F1507" s="89" t="s">
        <v>639</v>
      </c>
    </row>
    <row r="1508" spans="2:6" x14ac:dyDescent="0.55000000000000004">
      <c r="B1508" s="214">
        <v>16</v>
      </c>
      <c r="C1508" s="226" t="s">
        <v>638</v>
      </c>
      <c r="D1508" s="226" t="s">
        <v>638</v>
      </c>
      <c r="E1508" s="232" t="s">
        <v>2431</v>
      </c>
      <c r="F1508" s="89" t="s">
        <v>639</v>
      </c>
    </row>
    <row r="1509" spans="2:6" x14ac:dyDescent="0.55000000000000004">
      <c r="B1509" s="214">
        <v>16</v>
      </c>
      <c r="C1509" s="226" t="s">
        <v>638</v>
      </c>
      <c r="D1509" s="226" t="s">
        <v>638</v>
      </c>
      <c r="E1509" s="232" t="s">
        <v>2432</v>
      </c>
      <c r="F1509" s="89" t="s">
        <v>640</v>
      </c>
    </row>
    <row r="1510" spans="2:6" x14ac:dyDescent="0.55000000000000004">
      <c r="B1510" s="214">
        <v>16</v>
      </c>
      <c r="C1510" s="226" t="s">
        <v>1629</v>
      </c>
      <c r="D1510" s="226" t="s">
        <v>1629</v>
      </c>
      <c r="E1510" s="232" t="s">
        <v>635</v>
      </c>
      <c r="F1510" s="89" t="s">
        <v>636</v>
      </c>
    </row>
    <row r="1511" spans="2:6" x14ac:dyDescent="0.55000000000000004">
      <c r="B1511" s="212">
        <v>17</v>
      </c>
      <c r="C1511" s="224" t="s">
        <v>649</v>
      </c>
      <c r="D1511" s="224" t="s">
        <v>649</v>
      </c>
      <c r="E1511" s="232" t="e">
        <v>#N/A</v>
      </c>
      <c r="F1511" s="89" t="s">
        <v>2433</v>
      </c>
    </row>
    <row r="1512" spans="2:6" x14ac:dyDescent="0.55000000000000004">
      <c r="B1512" s="214">
        <v>17</v>
      </c>
      <c r="C1512" s="225" t="s">
        <v>651</v>
      </c>
      <c r="D1512" s="225" t="s">
        <v>651</v>
      </c>
      <c r="E1512" s="232" t="s">
        <v>2430</v>
      </c>
      <c r="F1512" s="89" t="s">
        <v>650</v>
      </c>
    </row>
    <row r="1513" spans="2:6" x14ac:dyDescent="0.55000000000000004">
      <c r="B1513" s="214">
        <v>17</v>
      </c>
      <c r="C1513" s="225" t="s">
        <v>651</v>
      </c>
      <c r="D1513" s="225" t="s">
        <v>651</v>
      </c>
      <c r="E1513" s="232" t="s">
        <v>2430</v>
      </c>
      <c r="F1513" s="89" t="s">
        <v>650</v>
      </c>
    </row>
    <row r="1514" spans="2:6" x14ac:dyDescent="0.55000000000000004">
      <c r="B1514" s="214">
        <v>17</v>
      </c>
      <c r="C1514" s="225" t="s">
        <v>651</v>
      </c>
      <c r="D1514" s="225" t="s">
        <v>651</v>
      </c>
      <c r="E1514" s="232" t="s">
        <v>2430</v>
      </c>
      <c r="F1514" s="89" t="s">
        <v>650</v>
      </c>
    </row>
    <row r="1515" spans="2:6" x14ac:dyDescent="0.55000000000000004">
      <c r="B1515" s="214">
        <v>17</v>
      </c>
      <c r="C1515" s="225" t="s">
        <v>651</v>
      </c>
      <c r="D1515" s="225" t="s">
        <v>651</v>
      </c>
      <c r="E1515" s="232" t="s">
        <v>2430</v>
      </c>
      <c r="F1515" s="89" t="s">
        <v>650</v>
      </c>
    </row>
    <row r="1516" spans="2:6" x14ac:dyDescent="0.55000000000000004">
      <c r="B1516" s="213">
        <v>17</v>
      </c>
      <c r="C1516" s="225" t="s">
        <v>652</v>
      </c>
      <c r="D1516" s="225" t="s">
        <v>652</v>
      </c>
      <c r="E1516" s="232" t="s">
        <v>2430</v>
      </c>
      <c r="F1516" s="89" t="s">
        <v>650</v>
      </c>
    </row>
    <row r="1517" spans="2:6" x14ac:dyDescent="0.55000000000000004">
      <c r="B1517" s="213">
        <v>17</v>
      </c>
      <c r="C1517" s="225" t="s">
        <v>652</v>
      </c>
      <c r="D1517" s="225" t="s">
        <v>652</v>
      </c>
      <c r="E1517" s="232" t="s">
        <v>2430</v>
      </c>
      <c r="F1517" s="89" t="s">
        <v>650</v>
      </c>
    </row>
    <row r="1518" spans="2:6" x14ac:dyDescent="0.55000000000000004">
      <c r="B1518" s="213">
        <v>17</v>
      </c>
      <c r="C1518" s="225" t="s">
        <v>652</v>
      </c>
      <c r="D1518" s="225" t="s">
        <v>652</v>
      </c>
      <c r="E1518" s="232" t="s">
        <v>2430</v>
      </c>
      <c r="F1518" s="89" t="s">
        <v>650</v>
      </c>
    </row>
    <row r="1519" spans="2:6" x14ac:dyDescent="0.55000000000000004">
      <c r="B1519" s="213">
        <v>17</v>
      </c>
      <c r="C1519" s="225" t="s">
        <v>652</v>
      </c>
      <c r="D1519" s="225" t="s">
        <v>652</v>
      </c>
      <c r="E1519" s="232" t="s">
        <v>2430</v>
      </c>
      <c r="F1519" s="89" t="s">
        <v>650</v>
      </c>
    </row>
    <row r="1520" spans="2:6" x14ac:dyDescent="0.55000000000000004">
      <c r="B1520" s="213">
        <v>17</v>
      </c>
      <c r="C1520" s="225" t="s">
        <v>653</v>
      </c>
      <c r="D1520" s="225" t="s">
        <v>653</v>
      </c>
      <c r="E1520" s="232" t="s">
        <v>2430</v>
      </c>
      <c r="F1520" s="89" t="s">
        <v>650</v>
      </c>
    </row>
    <row r="1521" spans="2:6" x14ac:dyDescent="0.55000000000000004">
      <c r="B1521" s="213">
        <v>17</v>
      </c>
      <c r="C1521" s="225" t="s">
        <v>653</v>
      </c>
      <c r="D1521" s="225" t="s">
        <v>653</v>
      </c>
      <c r="E1521" s="232" t="s">
        <v>2430</v>
      </c>
      <c r="F1521" s="89" t="s">
        <v>650</v>
      </c>
    </row>
    <row r="1522" spans="2:6" x14ac:dyDescent="0.55000000000000004">
      <c r="B1522" s="213">
        <v>17</v>
      </c>
      <c r="C1522" s="225" t="s">
        <v>653</v>
      </c>
      <c r="D1522" s="225" t="s">
        <v>653</v>
      </c>
      <c r="E1522" s="232" t="s">
        <v>2430</v>
      </c>
      <c r="F1522" s="89" t="s">
        <v>650</v>
      </c>
    </row>
    <row r="1523" spans="2:6" x14ac:dyDescent="0.55000000000000004">
      <c r="B1523" s="213">
        <v>17</v>
      </c>
      <c r="C1523" s="225" t="s">
        <v>653</v>
      </c>
      <c r="D1523" s="225" t="s">
        <v>653</v>
      </c>
      <c r="E1523" s="232" t="s">
        <v>2430</v>
      </c>
      <c r="F1523" s="89" t="s">
        <v>650</v>
      </c>
    </row>
    <row r="1524" spans="2:6" ht="25.8" x14ac:dyDescent="0.55000000000000004">
      <c r="B1524" s="212">
        <v>18</v>
      </c>
      <c r="C1524" s="224" t="s">
        <v>2768</v>
      </c>
      <c r="D1524" s="224" t="s">
        <v>654</v>
      </c>
      <c r="E1524" s="232" t="e">
        <v>#N/A</v>
      </c>
      <c r="F1524" s="89" t="s">
        <v>2433</v>
      </c>
    </row>
    <row r="1525" spans="2:6" x14ac:dyDescent="0.55000000000000004">
      <c r="B1525" s="214">
        <v>18</v>
      </c>
      <c r="C1525" s="226" t="s">
        <v>655</v>
      </c>
      <c r="D1525" s="226" t="s">
        <v>655</v>
      </c>
      <c r="E1525" s="232" t="s">
        <v>656</v>
      </c>
      <c r="F1525" s="89" t="s">
        <v>648</v>
      </c>
    </row>
    <row r="1526" spans="2:6" x14ac:dyDescent="0.55000000000000004">
      <c r="B1526" s="214">
        <v>18</v>
      </c>
      <c r="C1526" s="226" t="s">
        <v>655</v>
      </c>
      <c r="D1526" s="226" t="s">
        <v>655</v>
      </c>
      <c r="E1526" s="232" t="s">
        <v>656</v>
      </c>
      <c r="F1526" s="89" t="s">
        <v>648</v>
      </c>
    </row>
    <row r="1527" spans="2:6" x14ac:dyDescent="0.55000000000000004">
      <c r="B1527" s="214">
        <v>18</v>
      </c>
      <c r="C1527" s="226" t="s">
        <v>655</v>
      </c>
      <c r="D1527" s="226" t="s">
        <v>655</v>
      </c>
      <c r="E1527" s="232" t="s">
        <v>656</v>
      </c>
      <c r="F1527" s="89" t="s">
        <v>648</v>
      </c>
    </row>
    <row r="1528" spans="2:6" x14ac:dyDescent="0.55000000000000004">
      <c r="B1528" s="213">
        <v>18</v>
      </c>
      <c r="C1528" s="225" t="s">
        <v>1634</v>
      </c>
      <c r="D1528" s="225" t="s">
        <v>1634</v>
      </c>
      <c r="E1528" s="232" t="s">
        <v>645</v>
      </c>
      <c r="F1528" s="89" t="s">
        <v>338</v>
      </c>
    </row>
    <row r="1529" spans="2:6" x14ac:dyDescent="0.55000000000000004">
      <c r="B1529" s="213">
        <v>18</v>
      </c>
      <c r="C1529" s="226" t="s">
        <v>657</v>
      </c>
      <c r="D1529" s="226" t="s">
        <v>657</v>
      </c>
      <c r="E1529" s="232" t="s">
        <v>645</v>
      </c>
      <c r="F1529" s="89" t="s">
        <v>648</v>
      </c>
    </row>
    <row r="1530" spans="2:6" x14ac:dyDescent="0.55000000000000004">
      <c r="B1530" s="213">
        <v>18</v>
      </c>
      <c r="C1530" s="226" t="s">
        <v>657</v>
      </c>
      <c r="D1530" s="226" t="s">
        <v>657</v>
      </c>
      <c r="E1530" s="232" t="s">
        <v>645</v>
      </c>
      <c r="F1530" s="89" t="s">
        <v>648</v>
      </c>
    </row>
    <row r="1531" spans="2:6" x14ac:dyDescent="0.55000000000000004">
      <c r="B1531" s="213">
        <v>18</v>
      </c>
      <c r="C1531" s="226" t="s">
        <v>657</v>
      </c>
      <c r="D1531" s="226" t="s">
        <v>657</v>
      </c>
      <c r="E1531" s="232" t="s">
        <v>645</v>
      </c>
      <c r="F1531" s="89" t="s">
        <v>648</v>
      </c>
    </row>
    <row r="1532" spans="2:6" x14ac:dyDescent="0.55000000000000004">
      <c r="B1532" s="213">
        <v>18</v>
      </c>
      <c r="C1532" s="225" t="s">
        <v>658</v>
      </c>
      <c r="D1532" s="225" t="s">
        <v>658</v>
      </c>
      <c r="E1532" s="232" t="s">
        <v>645</v>
      </c>
      <c r="F1532" s="89" t="s">
        <v>338</v>
      </c>
    </row>
    <row r="1533" spans="2:6" x14ac:dyDescent="0.55000000000000004">
      <c r="B1533" s="213">
        <v>18</v>
      </c>
      <c r="C1533" s="225" t="s">
        <v>659</v>
      </c>
      <c r="D1533" s="225" t="s">
        <v>659</v>
      </c>
      <c r="E1533" s="232" t="s">
        <v>2430</v>
      </c>
      <c r="F1533" s="89" t="s">
        <v>650</v>
      </c>
    </row>
    <row r="1534" spans="2:6" x14ac:dyDescent="0.55000000000000004">
      <c r="B1534" s="213">
        <v>18</v>
      </c>
      <c r="C1534" s="225" t="s">
        <v>660</v>
      </c>
      <c r="D1534" s="225" t="s">
        <v>660</v>
      </c>
      <c r="E1534" s="232" t="s">
        <v>645</v>
      </c>
      <c r="F1534" s="89" t="s">
        <v>338</v>
      </c>
    </row>
    <row r="1535" spans="2:6" x14ac:dyDescent="0.55000000000000004">
      <c r="B1535" s="213">
        <v>18</v>
      </c>
      <c r="C1535" s="225" t="s">
        <v>661</v>
      </c>
      <c r="D1535" s="225" t="s">
        <v>661</v>
      </c>
      <c r="E1535" s="232" t="s">
        <v>645</v>
      </c>
      <c r="F1535" s="89" t="s">
        <v>338</v>
      </c>
    </row>
    <row r="1536" spans="2:6" x14ac:dyDescent="0.55000000000000004">
      <c r="B1536" s="213">
        <v>18</v>
      </c>
      <c r="C1536" s="225" t="s">
        <v>662</v>
      </c>
      <c r="D1536" s="225" t="s">
        <v>662</v>
      </c>
      <c r="E1536" s="232" t="s">
        <v>2430</v>
      </c>
      <c r="F1536" s="89" t="s">
        <v>650</v>
      </c>
    </row>
    <row r="1537" spans="2:6" x14ac:dyDescent="0.55000000000000004">
      <c r="B1537" s="213">
        <v>18</v>
      </c>
      <c r="C1537" s="225" t="s">
        <v>663</v>
      </c>
      <c r="D1537" s="225" t="s">
        <v>663</v>
      </c>
      <c r="E1537" s="232" t="s">
        <v>656</v>
      </c>
      <c r="F1537" s="89" t="s">
        <v>648</v>
      </c>
    </row>
    <row r="1538" spans="2:6" x14ac:dyDescent="0.55000000000000004">
      <c r="B1538" s="213">
        <v>18</v>
      </c>
      <c r="C1538" s="225" t="s">
        <v>1635</v>
      </c>
      <c r="D1538" s="225" t="s">
        <v>1635</v>
      </c>
      <c r="E1538" s="232" t="s">
        <v>656</v>
      </c>
      <c r="F1538" s="89" t="s">
        <v>648</v>
      </c>
    </row>
    <row r="1539" spans="2:6" x14ac:dyDescent="0.55000000000000004">
      <c r="B1539" s="213">
        <v>18</v>
      </c>
      <c r="C1539" s="225" t="s">
        <v>1636</v>
      </c>
      <c r="D1539" s="225" t="s">
        <v>1636</v>
      </c>
      <c r="E1539" s="232" t="s">
        <v>656</v>
      </c>
      <c r="F1539" s="89" t="s">
        <v>648</v>
      </c>
    </row>
    <row r="1540" spans="2:6" x14ac:dyDescent="0.55000000000000004">
      <c r="B1540" s="212">
        <v>19</v>
      </c>
      <c r="C1540" s="224" t="s">
        <v>664</v>
      </c>
      <c r="D1540" s="224" t="s">
        <v>664</v>
      </c>
      <c r="E1540" s="232" t="e">
        <v>#N/A</v>
      </c>
      <c r="F1540" s="89" t="s">
        <v>2433</v>
      </c>
    </row>
    <row r="1541" spans="2:6" x14ac:dyDescent="0.55000000000000004">
      <c r="B1541" s="213">
        <v>19</v>
      </c>
      <c r="C1541" s="225" t="s">
        <v>2769</v>
      </c>
      <c r="D1541" s="225" t="s">
        <v>1637</v>
      </c>
      <c r="E1541" s="232" t="s">
        <v>789</v>
      </c>
      <c r="F1541" s="89" t="s">
        <v>332</v>
      </c>
    </row>
    <row r="1542" spans="2:6" x14ac:dyDescent="0.55000000000000004">
      <c r="B1542" s="213">
        <v>19</v>
      </c>
      <c r="C1542" s="225" t="s">
        <v>2769</v>
      </c>
      <c r="D1542" s="225" t="s">
        <v>1637</v>
      </c>
      <c r="E1542" s="232" t="s">
        <v>789</v>
      </c>
      <c r="F1542" s="89" t="s">
        <v>332</v>
      </c>
    </row>
    <row r="1543" spans="2:6" x14ac:dyDescent="0.55000000000000004">
      <c r="B1543" s="213">
        <v>19</v>
      </c>
      <c r="C1543" s="225" t="s">
        <v>2770</v>
      </c>
      <c r="D1543" s="225" t="s">
        <v>1638</v>
      </c>
      <c r="E1543" s="232" t="s">
        <v>789</v>
      </c>
      <c r="F1543" s="89" t="s">
        <v>332</v>
      </c>
    </row>
    <row r="1544" spans="2:6" x14ac:dyDescent="0.55000000000000004">
      <c r="B1544" s="213">
        <v>19</v>
      </c>
      <c r="C1544" s="225" t="s">
        <v>2770</v>
      </c>
      <c r="D1544" s="225" t="s">
        <v>1638</v>
      </c>
      <c r="E1544" s="232" t="s">
        <v>789</v>
      </c>
      <c r="F1544" s="89" t="s">
        <v>332</v>
      </c>
    </row>
    <row r="1545" spans="2:6" x14ac:dyDescent="0.55000000000000004">
      <c r="B1545" s="213">
        <v>19</v>
      </c>
      <c r="C1545" s="225" t="s">
        <v>2771</v>
      </c>
      <c r="D1545" s="225" t="s">
        <v>1639</v>
      </c>
      <c r="E1545" s="232" t="s">
        <v>789</v>
      </c>
      <c r="F1545" s="89" t="s">
        <v>332</v>
      </c>
    </row>
    <row r="1546" spans="2:6" x14ac:dyDescent="0.55000000000000004">
      <c r="B1546" s="213">
        <v>19</v>
      </c>
      <c r="C1546" s="225" t="s">
        <v>2771</v>
      </c>
      <c r="D1546" s="225" t="s">
        <v>1639</v>
      </c>
      <c r="E1546" s="232" t="s">
        <v>789</v>
      </c>
      <c r="F1546" s="89" t="s">
        <v>332</v>
      </c>
    </row>
    <row r="1547" spans="2:6" x14ac:dyDescent="0.55000000000000004">
      <c r="B1547" s="213">
        <v>19</v>
      </c>
      <c r="C1547" s="225" t="s">
        <v>2772</v>
      </c>
      <c r="D1547" s="225" t="s">
        <v>1640</v>
      </c>
      <c r="E1547" s="232" t="s">
        <v>789</v>
      </c>
      <c r="F1547" s="89" t="s">
        <v>332</v>
      </c>
    </row>
    <row r="1548" spans="2:6" x14ac:dyDescent="0.55000000000000004">
      <c r="B1548" s="213">
        <v>19</v>
      </c>
      <c r="C1548" s="225" t="s">
        <v>2772</v>
      </c>
      <c r="D1548" s="225" t="s">
        <v>1640</v>
      </c>
      <c r="E1548" s="232" t="s">
        <v>789</v>
      </c>
      <c r="F1548" s="89" t="s">
        <v>332</v>
      </c>
    </row>
    <row r="1549" spans="2:6" x14ac:dyDescent="0.55000000000000004">
      <c r="B1549" s="213">
        <v>19</v>
      </c>
      <c r="C1549" s="225" t="s">
        <v>2773</v>
      </c>
      <c r="D1549" s="225" t="s">
        <v>1641</v>
      </c>
      <c r="E1549" s="232" t="s">
        <v>789</v>
      </c>
      <c r="F1549" s="89" t="s">
        <v>332</v>
      </c>
    </row>
    <row r="1550" spans="2:6" x14ac:dyDescent="0.55000000000000004">
      <c r="B1550" s="213">
        <v>19</v>
      </c>
      <c r="C1550" s="225" t="s">
        <v>2773</v>
      </c>
      <c r="D1550" s="225" t="s">
        <v>1641</v>
      </c>
      <c r="E1550" s="232" t="s">
        <v>789</v>
      </c>
      <c r="F1550" s="89" t="s">
        <v>332</v>
      </c>
    </row>
    <row r="1551" spans="2:6" x14ac:dyDescent="0.55000000000000004">
      <c r="B1551" s="213">
        <v>19</v>
      </c>
      <c r="C1551" s="225" t="s">
        <v>2774</v>
      </c>
      <c r="D1551" s="225" t="s">
        <v>1642</v>
      </c>
      <c r="E1551" s="232" t="s">
        <v>789</v>
      </c>
      <c r="F1551" s="89" t="s">
        <v>332</v>
      </c>
    </row>
    <row r="1552" spans="2:6" x14ac:dyDescent="0.55000000000000004">
      <c r="B1552" s="213">
        <v>19</v>
      </c>
      <c r="C1552" s="225" t="s">
        <v>2774</v>
      </c>
      <c r="D1552" s="225" t="s">
        <v>1642</v>
      </c>
      <c r="E1552" s="232" t="s">
        <v>789</v>
      </c>
      <c r="F1552" s="89" t="s">
        <v>332</v>
      </c>
    </row>
    <row r="1553" spans="2:6" x14ac:dyDescent="0.55000000000000004">
      <c r="B1553" s="213">
        <v>19</v>
      </c>
      <c r="C1553" s="226" t="s">
        <v>2775</v>
      </c>
      <c r="D1553" s="226" t="s">
        <v>1643</v>
      </c>
      <c r="E1553" s="232" t="s">
        <v>789</v>
      </c>
      <c r="F1553" s="89" t="s">
        <v>332</v>
      </c>
    </row>
    <row r="1554" spans="2:6" x14ac:dyDescent="0.55000000000000004">
      <c r="B1554" s="213">
        <v>19</v>
      </c>
      <c r="C1554" s="226" t="s">
        <v>2775</v>
      </c>
      <c r="D1554" s="226" t="s">
        <v>1643</v>
      </c>
      <c r="E1554" s="232" t="s">
        <v>789</v>
      </c>
      <c r="F1554" s="89" t="s">
        <v>332</v>
      </c>
    </row>
    <row r="1555" spans="2:6" x14ac:dyDescent="0.55000000000000004">
      <c r="B1555" s="213">
        <v>19</v>
      </c>
      <c r="C1555" s="225" t="s">
        <v>2776</v>
      </c>
      <c r="D1555" s="225" t="s">
        <v>1644</v>
      </c>
      <c r="E1555" s="232" t="s">
        <v>789</v>
      </c>
      <c r="F1555" s="89" t="s">
        <v>332</v>
      </c>
    </row>
    <row r="1556" spans="2:6" x14ac:dyDescent="0.55000000000000004">
      <c r="B1556" s="213">
        <v>19</v>
      </c>
      <c r="C1556" s="225" t="s">
        <v>2776</v>
      </c>
      <c r="D1556" s="225" t="s">
        <v>1644</v>
      </c>
      <c r="E1556" s="232" t="s">
        <v>789</v>
      </c>
      <c r="F1556" s="89" t="s">
        <v>332</v>
      </c>
    </row>
    <row r="1557" spans="2:6" x14ac:dyDescent="0.55000000000000004">
      <c r="B1557" s="213">
        <v>19</v>
      </c>
      <c r="C1557" s="225" t="s">
        <v>2777</v>
      </c>
      <c r="D1557" s="225" t="s">
        <v>1645</v>
      </c>
      <c r="E1557" s="232" t="s">
        <v>789</v>
      </c>
      <c r="F1557" s="89" t="s">
        <v>332</v>
      </c>
    </row>
    <row r="1558" spans="2:6" x14ac:dyDescent="0.55000000000000004">
      <c r="B1558" s="213">
        <v>19</v>
      </c>
      <c r="C1558" s="225" t="s">
        <v>2777</v>
      </c>
      <c r="D1558" s="225" t="s">
        <v>1645</v>
      </c>
      <c r="E1558" s="232" t="s">
        <v>789</v>
      </c>
      <c r="F1558" s="89" t="s">
        <v>332</v>
      </c>
    </row>
    <row r="1559" spans="2:6" x14ac:dyDescent="0.55000000000000004">
      <c r="B1559" s="213">
        <v>19</v>
      </c>
      <c r="C1559" s="225" t="s">
        <v>2778</v>
      </c>
      <c r="D1559" s="225" t="s">
        <v>1646</v>
      </c>
      <c r="E1559" s="232" t="s">
        <v>789</v>
      </c>
      <c r="F1559" s="89" t="s">
        <v>332</v>
      </c>
    </row>
    <row r="1560" spans="2:6" x14ac:dyDescent="0.55000000000000004">
      <c r="B1560" s="213">
        <v>19</v>
      </c>
      <c r="C1560" s="225" t="s">
        <v>2778</v>
      </c>
      <c r="D1560" s="225" t="s">
        <v>1646</v>
      </c>
      <c r="E1560" s="232" t="s">
        <v>789</v>
      </c>
      <c r="F1560" s="89" t="s">
        <v>332</v>
      </c>
    </row>
    <row r="1561" spans="2:6" x14ac:dyDescent="0.55000000000000004">
      <c r="B1561" s="213">
        <v>19</v>
      </c>
      <c r="C1561" s="225" t="s">
        <v>2779</v>
      </c>
      <c r="D1561" s="225" t="s">
        <v>1647</v>
      </c>
      <c r="E1561" s="232" t="s">
        <v>789</v>
      </c>
      <c r="F1561" s="89" t="s">
        <v>332</v>
      </c>
    </row>
    <row r="1562" spans="2:6" x14ac:dyDescent="0.55000000000000004">
      <c r="B1562" s="213">
        <v>19</v>
      </c>
      <c r="C1562" s="225" t="s">
        <v>2779</v>
      </c>
      <c r="D1562" s="225" t="s">
        <v>1647</v>
      </c>
      <c r="E1562" s="232" t="s">
        <v>789</v>
      </c>
      <c r="F1562" s="89" t="s">
        <v>332</v>
      </c>
    </row>
    <row r="1563" spans="2:6" x14ac:dyDescent="0.55000000000000004">
      <c r="B1563" s="213">
        <v>19</v>
      </c>
      <c r="C1563" s="225" t="s">
        <v>2780</v>
      </c>
      <c r="D1563" s="225" t="s">
        <v>1648</v>
      </c>
      <c r="E1563" s="232" t="s">
        <v>789</v>
      </c>
      <c r="F1563" s="89" t="s">
        <v>332</v>
      </c>
    </row>
    <row r="1564" spans="2:6" x14ac:dyDescent="0.55000000000000004">
      <c r="B1564" s="213">
        <v>19</v>
      </c>
      <c r="C1564" s="225" t="s">
        <v>2780</v>
      </c>
      <c r="D1564" s="225" t="s">
        <v>1648</v>
      </c>
      <c r="E1564" s="232" t="s">
        <v>789</v>
      </c>
      <c r="F1564" s="89" t="s">
        <v>332</v>
      </c>
    </row>
    <row r="1565" spans="2:6" x14ac:dyDescent="0.55000000000000004">
      <c r="B1565" s="213">
        <v>19</v>
      </c>
      <c r="C1565" s="225" t="s">
        <v>2781</v>
      </c>
      <c r="D1565" s="225" t="s">
        <v>1649</v>
      </c>
      <c r="E1565" s="232" t="s">
        <v>789</v>
      </c>
      <c r="F1565" s="89" t="s">
        <v>332</v>
      </c>
    </row>
    <row r="1566" spans="2:6" x14ac:dyDescent="0.55000000000000004">
      <c r="B1566" s="213">
        <v>19</v>
      </c>
      <c r="C1566" s="225" t="s">
        <v>2781</v>
      </c>
      <c r="D1566" s="225" t="s">
        <v>1649</v>
      </c>
      <c r="E1566" s="232" t="s">
        <v>789</v>
      </c>
      <c r="F1566" s="89" t="s">
        <v>332</v>
      </c>
    </row>
    <row r="1567" spans="2:6" x14ac:dyDescent="0.55000000000000004">
      <c r="B1567" s="213">
        <v>19</v>
      </c>
      <c r="C1567" s="225" t="s">
        <v>2782</v>
      </c>
      <c r="D1567" s="225" t="s">
        <v>1650</v>
      </c>
      <c r="E1567" s="232" t="s">
        <v>789</v>
      </c>
      <c r="F1567" s="89" t="s">
        <v>332</v>
      </c>
    </row>
    <row r="1568" spans="2:6" x14ac:dyDescent="0.55000000000000004">
      <c r="B1568" s="213">
        <v>19</v>
      </c>
      <c r="C1568" s="225" t="s">
        <v>2782</v>
      </c>
      <c r="D1568" s="225" t="s">
        <v>1650</v>
      </c>
      <c r="E1568" s="232" t="s">
        <v>789</v>
      </c>
      <c r="F1568" s="89" t="s">
        <v>332</v>
      </c>
    </row>
    <row r="1569" spans="2:6" x14ac:dyDescent="0.55000000000000004">
      <c r="B1569" s="213">
        <v>19</v>
      </c>
      <c r="C1569" s="225" t="s">
        <v>2783</v>
      </c>
      <c r="D1569" s="225" t="s">
        <v>1651</v>
      </c>
      <c r="E1569" s="232" t="s">
        <v>789</v>
      </c>
      <c r="F1569" s="89" t="s">
        <v>332</v>
      </c>
    </row>
    <row r="1570" spans="2:6" x14ac:dyDescent="0.55000000000000004">
      <c r="B1570" s="213">
        <v>19</v>
      </c>
      <c r="C1570" s="225" t="s">
        <v>2783</v>
      </c>
      <c r="D1570" s="225" t="s">
        <v>1651</v>
      </c>
      <c r="E1570" s="232" t="s">
        <v>789</v>
      </c>
      <c r="F1570" s="89" t="s">
        <v>332</v>
      </c>
    </row>
    <row r="1571" spans="2:6" x14ac:dyDescent="0.55000000000000004">
      <c r="B1571" s="213">
        <v>19</v>
      </c>
      <c r="C1571" s="225" t="s">
        <v>2784</v>
      </c>
      <c r="D1571" s="225" t="s">
        <v>1652</v>
      </c>
      <c r="E1571" s="232" t="s">
        <v>789</v>
      </c>
      <c r="F1571" s="89" t="s">
        <v>332</v>
      </c>
    </row>
    <row r="1572" spans="2:6" x14ac:dyDescent="0.55000000000000004">
      <c r="B1572" s="213">
        <v>19</v>
      </c>
      <c r="C1572" s="225" t="s">
        <v>2784</v>
      </c>
      <c r="D1572" s="225" t="s">
        <v>1652</v>
      </c>
      <c r="E1572" s="232" t="s">
        <v>789</v>
      </c>
      <c r="F1572" s="89" t="s">
        <v>332</v>
      </c>
    </row>
    <row r="1573" spans="2:6" x14ac:dyDescent="0.55000000000000004">
      <c r="B1573" s="213">
        <v>19</v>
      </c>
      <c r="C1573" s="225" t="s">
        <v>2785</v>
      </c>
      <c r="D1573" s="225" t="s">
        <v>1653</v>
      </c>
      <c r="E1573" s="232" t="s">
        <v>789</v>
      </c>
      <c r="F1573" s="89" t="s">
        <v>332</v>
      </c>
    </row>
    <row r="1574" spans="2:6" x14ac:dyDescent="0.55000000000000004">
      <c r="B1574" s="213">
        <v>19</v>
      </c>
      <c r="C1574" s="225" t="s">
        <v>2785</v>
      </c>
      <c r="D1574" s="225" t="s">
        <v>1653</v>
      </c>
      <c r="E1574" s="232" t="s">
        <v>789</v>
      </c>
      <c r="F1574" s="89" t="s">
        <v>332</v>
      </c>
    </row>
    <row r="1575" spans="2:6" x14ac:dyDescent="0.55000000000000004">
      <c r="B1575" s="214">
        <v>19</v>
      </c>
      <c r="C1575" s="226" t="s">
        <v>2786</v>
      </c>
      <c r="D1575" s="226" t="s">
        <v>1654</v>
      </c>
      <c r="E1575" s="232" t="s">
        <v>789</v>
      </c>
      <c r="F1575" s="89" t="s">
        <v>332</v>
      </c>
    </row>
    <row r="1576" spans="2:6" x14ac:dyDescent="0.55000000000000004">
      <c r="B1576" s="214">
        <v>19</v>
      </c>
      <c r="C1576" s="226" t="s">
        <v>2786</v>
      </c>
      <c r="D1576" s="226" t="s">
        <v>1654</v>
      </c>
      <c r="E1576" s="232" t="s">
        <v>789</v>
      </c>
      <c r="F1576" s="89" t="s">
        <v>332</v>
      </c>
    </row>
    <row r="1577" spans="2:6" x14ac:dyDescent="0.55000000000000004">
      <c r="B1577" s="213">
        <v>19</v>
      </c>
      <c r="C1577" s="225" t="s">
        <v>2565</v>
      </c>
      <c r="D1577" s="225" t="s">
        <v>1655</v>
      </c>
      <c r="E1577" s="232" t="s">
        <v>789</v>
      </c>
      <c r="F1577" s="89" t="s">
        <v>332</v>
      </c>
    </row>
    <row r="1578" spans="2:6" x14ac:dyDescent="0.55000000000000004">
      <c r="B1578" s="213">
        <v>19</v>
      </c>
      <c r="C1578" s="225" t="s">
        <v>2565</v>
      </c>
      <c r="D1578" s="225" t="s">
        <v>1655</v>
      </c>
      <c r="E1578" s="232" t="s">
        <v>789</v>
      </c>
      <c r="F1578" s="89" t="s">
        <v>332</v>
      </c>
    </row>
    <row r="1579" spans="2:6" x14ac:dyDescent="0.55000000000000004">
      <c r="B1579" s="213">
        <v>19</v>
      </c>
      <c r="C1579" s="226" t="s">
        <v>2787</v>
      </c>
      <c r="D1579" s="226" t="s">
        <v>1656</v>
      </c>
      <c r="E1579" s="232" t="s">
        <v>789</v>
      </c>
      <c r="F1579" s="89" t="s">
        <v>332</v>
      </c>
    </row>
    <row r="1580" spans="2:6" x14ac:dyDescent="0.55000000000000004">
      <c r="B1580" s="213">
        <v>19</v>
      </c>
      <c r="C1580" s="226" t="s">
        <v>2787</v>
      </c>
      <c r="D1580" s="226" t="s">
        <v>1656</v>
      </c>
      <c r="E1580" s="232" t="s">
        <v>789</v>
      </c>
      <c r="F1580" s="89" t="s">
        <v>332</v>
      </c>
    </row>
    <row r="1581" spans="2:6" x14ac:dyDescent="0.55000000000000004">
      <c r="B1581" s="213">
        <v>19</v>
      </c>
      <c r="C1581" s="225" t="s">
        <v>2788</v>
      </c>
      <c r="D1581" s="225" t="s">
        <v>1657</v>
      </c>
      <c r="E1581" s="232" t="s">
        <v>789</v>
      </c>
      <c r="F1581" s="89" t="s">
        <v>332</v>
      </c>
    </row>
    <row r="1582" spans="2:6" x14ac:dyDescent="0.55000000000000004">
      <c r="B1582" s="213">
        <v>19</v>
      </c>
      <c r="C1582" s="225" t="s">
        <v>2788</v>
      </c>
      <c r="D1582" s="225" t="s">
        <v>1657</v>
      </c>
      <c r="E1582" s="232" t="s">
        <v>789</v>
      </c>
      <c r="F1582" s="89" t="s">
        <v>332</v>
      </c>
    </row>
    <row r="1583" spans="2:6" x14ac:dyDescent="0.55000000000000004">
      <c r="B1583" s="213">
        <v>19</v>
      </c>
      <c r="C1583" s="225" t="s">
        <v>2789</v>
      </c>
      <c r="D1583" s="225" t="s">
        <v>1658</v>
      </c>
      <c r="E1583" s="232" t="s">
        <v>789</v>
      </c>
      <c r="F1583" s="89" t="s">
        <v>332</v>
      </c>
    </row>
    <row r="1584" spans="2:6" x14ac:dyDescent="0.55000000000000004">
      <c r="B1584" s="213">
        <v>19</v>
      </c>
      <c r="C1584" s="225" t="s">
        <v>2789</v>
      </c>
      <c r="D1584" s="225" t="s">
        <v>1658</v>
      </c>
      <c r="E1584" s="232" t="s">
        <v>789</v>
      </c>
      <c r="F1584" s="89" t="s">
        <v>332</v>
      </c>
    </row>
    <row r="1585" spans="2:6" x14ac:dyDescent="0.55000000000000004">
      <c r="B1585" s="213">
        <v>19</v>
      </c>
      <c r="C1585" s="225" t="s">
        <v>2790</v>
      </c>
      <c r="D1585" s="225" t="s">
        <v>1659</v>
      </c>
      <c r="E1585" s="232" t="s">
        <v>789</v>
      </c>
      <c r="F1585" s="89" t="s">
        <v>332</v>
      </c>
    </row>
    <row r="1586" spans="2:6" x14ac:dyDescent="0.55000000000000004">
      <c r="B1586" s="213">
        <v>19</v>
      </c>
      <c r="C1586" s="225" t="s">
        <v>2790</v>
      </c>
      <c r="D1586" s="225" t="s">
        <v>1659</v>
      </c>
      <c r="E1586" s="232" t="s">
        <v>789</v>
      </c>
      <c r="F1586" s="89" t="s">
        <v>332</v>
      </c>
    </row>
    <row r="1587" spans="2:6" x14ac:dyDescent="0.55000000000000004">
      <c r="B1587" s="213">
        <v>19</v>
      </c>
      <c r="C1587" s="225" t="s">
        <v>2791</v>
      </c>
      <c r="D1587" s="225" t="s">
        <v>1660</v>
      </c>
      <c r="E1587" s="232" t="s">
        <v>789</v>
      </c>
      <c r="F1587" s="89" t="s">
        <v>332</v>
      </c>
    </row>
    <row r="1588" spans="2:6" x14ac:dyDescent="0.55000000000000004">
      <c r="B1588" s="213">
        <v>19</v>
      </c>
      <c r="C1588" s="225" t="s">
        <v>2791</v>
      </c>
      <c r="D1588" s="225" t="s">
        <v>1660</v>
      </c>
      <c r="E1588" s="232" t="s">
        <v>789</v>
      </c>
      <c r="F1588" s="89" t="s">
        <v>332</v>
      </c>
    </row>
    <row r="1589" spans="2:6" ht="25.8" x14ac:dyDescent="0.55000000000000004">
      <c r="B1589" s="213">
        <v>19</v>
      </c>
      <c r="C1589" s="225" t="s">
        <v>2792</v>
      </c>
      <c r="D1589" s="225" t="s">
        <v>1661</v>
      </c>
      <c r="E1589" s="232" t="s">
        <v>789</v>
      </c>
      <c r="F1589" s="89" t="s">
        <v>332</v>
      </c>
    </row>
    <row r="1590" spans="2:6" ht="25.8" x14ac:dyDescent="0.55000000000000004">
      <c r="B1590" s="213">
        <v>19</v>
      </c>
      <c r="C1590" s="225" t="s">
        <v>2792</v>
      </c>
      <c r="D1590" s="225" t="s">
        <v>1661</v>
      </c>
      <c r="E1590" s="232" t="s">
        <v>789</v>
      </c>
      <c r="F1590" s="89" t="s">
        <v>332</v>
      </c>
    </row>
    <row r="1591" spans="2:6" ht="25.8" x14ac:dyDescent="0.55000000000000004">
      <c r="B1591" s="213">
        <v>19</v>
      </c>
      <c r="C1591" s="225" t="s">
        <v>2792</v>
      </c>
      <c r="D1591" s="225" t="s">
        <v>1662</v>
      </c>
      <c r="E1591" s="232" t="s">
        <v>789</v>
      </c>
      <c r="F1591" s="89" t="s">
        <v>332</v>
      </c>
    </row>
    <row r="1592" spans="2:6" ht="25.8" x14ac:dyDescent="0.55000000000000004">
      <c r="B1592" s="213">
        <v>19</v>
      </c>
      <c r="C1592" s="225" t="s">
        <v>2792</v>
      </c>
      <c r="D1592" s="225" t="s">
        <v>1662</v>
      </c>
      <c r="E1592" s="232" t="s">
        <v>789</v>
      </c>
      <c r="F1592" s="89" t="s">
        <v>332</v>
      </c>
    </row>
    <row r="1593" spans="2:6" x14ac:dyDescent="0.55000000000000004">
      <c r="B1593" s="213">
        <v>19</v>
      </c>
      <c r="C1593" s="225" t="s">
        <v>2793</v>
      </c>
      <c r="D1593" s="225" t="s">
        <v>1663</v>
      </c>
      <c r="E1593" s="232" t="s">
        <v>789</v>
      </c>
      <c r="F1593" s="89" t="s">
        <v>332</v>
      </c>
    </row>
    <row r="1594" spans="2:6" x14ac:dyDescent="0.55000000000000004">
      <c r="B1594" s="213">
        <v>19</v>
      </c>
      <c r="C1594" s="225" t="s">
        <v>2793</v>
      </c>
      <c r="D1594" s="225" t="s">
        <v>1663</v>
      </c>
      <c r="E1594" s="232" t="s">
        <v>789</v>
      </c>
      <c r="F1594" s="89" t="s">
        <v>332</v>
      </c>
    </row>
    <row r="1595" spans="2:6" x14ac:dyDescent="0.55000000000000004">
      <c r="B1595" s="213">
        <v>19</v>
      </c>
      <c r="C1595" s="225" t="s">
        <v>2794</v>
      </c>
      <c r="D1595" s="225" t="s">
        <v>1664</v>
      </c>
      <c r="E1595" s="232" t="s">
        <v>789</v>
      </c>
      <c r="F1595" s="89" t="s">
        <v>332</v>
      </c>
    </row>
    <row r="1596" spans="2:6" x14ac:dyDescent="0.55000000000000004">
      <c r="B1596" s="213">
        <v>19</v>
      </c>
      <c r="C1596" s="225" t="s">
        <v>2794</v>
      </c>
      <c r="D1596" s="225" t="s">
        <v>1664</v>
      </c>
      <c r="E1596" s="232" t="s">
        <v>789</v>
      </c>
      <c r="F1596" s="89" t="s">
        <v>332</v>
      </c>
    </row>
    <row r="1597" spans="2:6" x14ac:dyDescent="0.55000000000000004">
      <c r="B1597" s="213">
        <v>19</v>
      </c>
      <c r="C1597" s="225" t="s">
        <v>2794</v>
      </c>
      <c r="D1597" s="225" t="s">
        <v>1665</v>
      </c>
      <c r="E1597" s="232" t="s">
        <v>789</v>
      </c>
      <c r="F1597" s="89" t="s">
        <v>332</v>
      </c>
    </row>
    <row r="1598" spans="2:6" x14ac:dyDescent="0.55000000000000004">
      <c r="B1598" s="213">
        <v>19</v>
      </c>
      <c r="C1598" s="225" t="s">
        <v>2794</v>
      </c>
      <c r="D1598" s="225" t="s">
        <v>1665</v>
      </c>
      <c r="E1598" s="232" t="s">
        <v>789</v>
      </c>
      <c r="F1598" s="89" t="s">
        <v>332</v>
      </c>
    </row>
    <row r="1599" spans="2:6" x14ac:dyDescent="0.55000000000000004">
      <c r="B1599" s="213">
        <v>19</v>
      </c>
      <c r="C1599" s="225" t="s">
        <v>2795</v>
      </c>
      <c r="D1599" s="225" t="s">
        <v>1666</v>
      </c>
      <c r="E1599" s="232" t="s">
        <v>789</v>
      </c>
      <c r="F1599" s="89" t="s">
        <v>332</v>
      </c>
    </row>
    <row r="1600" spans="2:6" x14ac:dyDescent="0.55000000000000004">
      <c r="B1600" s="213">
        <v>19</v>
      </c>
      <c r="C1600" s="225" t="s">
        <v>2795</v>
      </c>
      <c r="D1600" s="225" t="s">
        <v>1666</v>
      </c>
      <c r="E1600" s="232" t="s">
        <v>789</v>
      </c>
      <c r="F1600" s="89" t="s">
        <v>332</v>
      </c>
    </row>
    <row r="1601" spans="2:6" x14ac:dyDescent="0.55000000000000004">
      <c r="B1601" s="213">
        <v>19</v>
      </c>
      <c r="C1601" s="225" t="s">
        <v>2796</v>
      </c>
      <c r="D1601" s="225" t="s">
        <v>1667</v>
      </c>
      <c r="E1601" s="232" t="s">
        <v>789</v>
      </c>
      <c r="F1601" s="89" t="s">
        <v>332</v>
      </c>
    </row>
    <row r="1602" spans="2:6" x14ac:dyDescent="0.55000000000000004">
      <c r="B1602" s="213">
        <v>19</v>
      </c>
      <c r="C1602" s="225" t="s">
        <v>2796</v>
      </c>
      <c r="D1602" s="225" t="s">
        <v>1667</v>
      </c>
      <c r="E1602" s="232" t="s">
        <v>789</v>
      </c>
      <c r="F1602" s="89" t="s">
        <v>332</v>
      </c>
    </row>
    <row r="1603" spans="2:6" x14ac:dyDescent="0.55000000000000004">
      <c r="B1603" s="213">
        <v>19</v>
      </c>
      <c r="C1603" s="225" t="s">
        <v>2797</v>
      </c>
      <c r="D1603" s="225" t="s">
        <v>1668</v>
      </c>
      <c r="E1603" s="232" t="s">
        <v>789</v>
      </c>
      <c r="F1603" s="89" t="s">
        <v>332</v>
      </c>
    </row>
    <row r="1604" spans="2:6" x14ac:dyDescent="0.55000000000000004">
      <c r="B1604" s="213">
        <v>19</v>
      </c>
      <c r="C1604" s="225" t="s">
        <v>2797</v>
      </c>
      <c r="D1604" s="225" t="s">
        <v>1668</v>
      </c>
      <c r="E1604" s="232" t="s">
        <v>789</v>
      </c>
      <c r="F1604" s="89" t="s">
        <v>332</v>
      </c>
    </row>
    <row r="1605" spans="2:6" x14ac:dyDescent="0.55000000000000004">
      <c r="B1605" s="213">
        <v>19</v>
      </c>
      <c r="C1605" s="226" t="s">
        <v>2797</v>
      </c>
      <c r="D1605" s="226" t="s">
        <v>1669</v>
      </c>
      <c r="E1605" s="232" t="s">
        <v>789</v>
      </c>
      <c r="F1605" s="89" t="s">
        <v>332</v>
      </c>
    </row>
    <row r="1606" spans="2:6" x14ac:dyDescent="0.55000000000000004">
      <c r="B1606" s="213">
        <v>19</v>
      </c>
      <c r="C1606" s="226" t="s">
        <v>2797</v>
      </c>
      <c r="D1606" s="226" t="s">
        <v>1669</v>
      </c>
      <c r="E1606" s="232" t="s">
        <v>789</v>
      </c>
      <c r="F1606" s="89" t="s">
        <v>332</v>
      </c>
    </row>
    <row r="1607" spans="2:6" x14ac:dyDescent="0.55000000000000004">
      <c r="B1607" s="213">
        <v>19</v>
      </c>
      <c r="C1607" s="225" t="s">
        <v>2798</v>
      </c>
      <c r="D1607" s="225" t="s">
        <v>1670</v>
      </c>
      <c r="E1607" s="232" t="s">
        <v>789</v>
      </c>
      <c r="F1607" s="89" t="s">
        <v>332</v>
      </c>
    </row>
    <row r="1608" spans="2:6" x14ac:dyDescent="0.55000000000000004">
      <c r="B1608" s="213">
        <v>19</v>
      </c>
      <c r="C1608" s="225" t="s">
        <v>2798</v>
      </c>
      <c r="D1608" s="225" t="s">
        <v>1670</v>
      </c>
      <c r="E1608" s="232" t="s">
        <v>789</v>
      </c>
      <c r="F1608" s="89" t="s">
        <v>332</v>
      </c>
    </row>
    <row r="1609" spans="2:6" ht="25.8" x14ac:dyDescent="0.55000000000000004">
      <c r="B1609" s="213">
        <v>19</v>
      </c>
      <c r="C1609" s="225" t="s">
        <v>2568</v>
      </c>
      <c r="D1609" s="225" t="s">
        <v>1671</v>
      </c>
      <c r="E1609" s="232" t="s">
        <v>789</v>
      </c>
      <c r="F1609" s="89" t="s">
        <v>332</v>
      </c>
    </row>
    <row r="1610" spans="2:6" ht="25.8" x14ac:dyDescent="0.55000000000000004">
      <c r="B1610" s="213">
        <v>19</v>
      </c>
      <c r="C1610" s="225" t="s">
        <v>2568</v>
      </c>
      <c r="D1610" s="225" t="s">
        <v>1671</v>
      </c>
      <c r="E1610" s="232" t="s">
        <v>789</v>
      </c>
      <c r="F1610" s="89" t="s">
        <v>332</v>
      </c>
    </row>
    <row r="1611" spans="2:6" x14ac:dyDescent="0.55000000000000004">
      <c r="B1611" s="213">
        <v>19</v>
      </c>
      <c r="C1611" s="225" t="s">
        <v>2799</v>
      </c>
      <c r="D1611" s="225" t="s">
        <v>1672</v>
      </c>
      <c r="E1611" s="232" t="s">
        <v>789</v>
      </c>
      <c r="F1611" s="89" t="s">
        <v>332</v>
      </c>
    </row>
    <row r="1612" spans="2:6" x14ac:dyDescent="0.55000000000000004">
      <c r="B1612" s="213">
        <v>19</v>
      </c>
      <c r="C1612" s="225" t="s">
        <v>2799</v>
      </c>
      <c r="D1612" s="225" t="s">
        <v>1672</v>
      </c>
      <c r="E1612" s="232" t="s">
        <v>789</v>
      </c>
      <c r="F1612" s="89" t="s">
        <v>332</v>
      </c>
    </row>
    <row r="1613" spans="2:6" x14ac:dyDescent="0.55000000000000004">
      <c r="B1613" s="213">
        <v>19</v>
      </c>
      <c r="C1613" s="225" t="s">
        <v>2800</v>
      </c>
      <c r="D1613" s="225" t="s">
        <v>1673</v>
      </c>
      <c r="E1613" s="232" t="s">
        <v>789</v>
      </c>
      <c r="F1613" s="89" t="s">
        <v>332</v>
      </c>
    </row>
    <row r="1614" spans="2:6" x14ac:dyDescent="0.55000000000000004">
      <c r="B1614" s="213">
        <v>19</v>
      </c>
      <c r="C1614" s="225" t="s">
        <v>2800</v>
      </c>
      <c r="D1614" s="225" t="s">
        <v>1673</v>
      </c>
      <c r="E1614" s="232" t="s">
        <v>789</v>
      </c>
      <c r="F1614" s="89" t="s">
        <v>332</v>
      </c>
    </row>
    <row r="1615" spans="2:6" x14ac:dyDescent="0.55000000000000004">
      <c r="B1615" s="213">
        <v>19</v>
      </c>
      <c r="C1615" s="225" t="s">
        <v>2801</v>
      </c>
      <c r="D1615" s="225" t="s">
        <v>1674</v>
      </c>
      <c r="E1615" s="232" t="s">
        <v>789</v>
      </c>
      <c r="F1615" s="89" t="s">
        <v>332</v>
      </c>
    </row>
    <row r="1616" spans="2:6" x14ac:dyDescent="0.55000000000000004">
      <c r="B1616" s="213">
        <v>19</v>
      </c>
      <c r="C1616" s="225" t="s">
        <v>2801</v>
      </c>
      <c r="D1616" s="225" t="s">
        <v>1674</v>
      </c>
      <c r="E1616" s="232" t="s">
        <v>789</v>
      </c>
      <c r="F1616" s="89" t="s">
        <v>332</v>
      </c>
    </row>
    <row r="1617" spans="2:6" x14ac:dyDescent="0.55000000000000004">
      <c r="B1617" s="213">
        <v>19</v>
      </c>
      <c r="C1617" s="225" t="s">
        <v>2802</v>
      </c>
      <c r="D1617" s="225" t="s">
        <v>1675</v>
      </c>
      <c r="E1617" s="232" t="s">
        <v>789</v>
      </c>
      <c r="F1617" s="89" t="s">
        <v>332</v>
      </c>
    </row>
    <row r="1618" spans="2:6" x14ac:dyDescent="0.55000000000000004">
      <c r="B1618" s="213">
        <v>19</v>
      </c>
      <c r="C1618" s="225" t="s">
        <v>2802</v>
      </c>
      <c r="D1618" s="225" t="s">
        <v>1675</v>
      </c>
      <c r="E1618" s="232" t="s">
        <v>789</v>
      </c>
      <c r="F1618" s="89" t="s">
        <v>332</v>
      </c>
    </row>
    <row r="1619" spans="2:6" x14ac:dyDescent="0.55000000000000004">
      <c r="B1619" s="213">
        <v>19</v>
      </c>
      <c r="C1619" s="225" t="s">
        <v>2803</v>
      </c>
      <c r="D1619" s="225" t="s">
        <v>1676</v>
      </c>
      <c r="E1619" s="232" t="s">
        <v>789</v>
      </c>
      <c r="F1619" s="89" t="s">
        <v>332</v>
      </c>
    </row>
    <row r="1620" spans="2:6" x14ac:dyDescent="0.55000000000000004">
      <c r="B1620" s="213">
        <v>19</v>
      </c>
      <c r="C1620" s="225" t="s">
        <v>2803</v>
      </c>
      <c r="D1620" s="225" t="s">
        <v>1676</v>
      </c>
      <c r="E1620" s="232" t="s">
        <v>789</v>
      </c>
      <c r="F1620" s="89" t="s">
        <v>332</v>
      </c>
    </row>
    <row r="1621" spans="2:6" x14ac:dyDescent="0.55000000000000004">
      <c r="B1621" s="213">
        <v>19</v>
      </c>
      <c r="C1621" s="225" t="s">
        <v>2804</v>
      </c>
      <c r="D1621" s="225" t="s">
        <v>1677</v>
      </c>
      <c r="E1621" s="232" t="s">
        <v>789</v>
      </c>
      <c r="F1621" s="89" t="s">
        <v>332</v>
      </c>
    </row>
    <row r="1622" spans="2:6" x14ac:dyDescent="0.55000000000000004">
      <c r="B1622" s="213">
        <v>19</v>
      </c>
      <c r="C1622" s="225" t="s">
        <v>2804</v>
      </c>
      <c r="D1622" s="225" t="s">
        <v>1677</v>
      </c>
      <c r="E1622" s="232" t="s">
        <v>789</v>
      </c>
      <c r="F1622" s="89" t="s">
        <v>332</v>
      </c>
    </row>
    <row r="1623" spans="2:6" x14ac:dyDescent="0.55000000000000004">
      <c r="B1623" s="213">
        <v>19</v>
      </c>
      <c r="C1623" s="225" t="s">
        <v>2805</v>
      </c>
      <c r="D1623" s="225" t="s">
        <v>1678</v>
      </c>
      <c r="E1623" s="232" t="s">
        <v>789</v>
      </c>
      <c r="F1623" s="89" t="s">
        <v>332</v>
      </c>
    </row>
    <row r="1624" spans="2:6" x14ac:dyDescent="0.55000000000000004">
      <c r="B1624" s="213">
        <v>19</v>
      </c>
      <c r="C1624" s="225" t="s">
        <v>2805</v>
      </c>
      <c r="D1624" s="225" t="s">
        <v>1678</v>
      </c>
      <c r="E1624" s="232" t="s">
        <v>789</v>
      </c>
      <c r="F1624" s="89" t="s">
        <v>332</v>
      </c>
    </row>
    <row r="1625" spans="2:6" x14ac:dyDescent="0.55000000000000004">
      <c r="B1625" s="213">
        <v>19</v>
      </c>
      <c r="C1625" s="225" t="s">
        <v>2806</v>
      </c>
      <c r="D1625" s="225" t="s">
        <v>1679</v>
      </c>
      <c r="E1625" s="232" t="s">
        <v>789</v>
      </c>
      <c r="F1625" s="89" t="s">
        <v>332</v>
      </c>
    </row>
    <row r="1626" spans="2:6" x14ac:dyDescent="0.55000000000000004">
      <c r="B1626" s="213">
        <v>19</v>
      </c>
      <c r="C1626" s="225" t="s">
        <v>2806</v>
      </c>
      <c r="D1626" s="225" t="s">
        <v>1679</v>
      </c>
      <c r="E1626" s="232" t="s">
        <v>789</v>
      </c>
      <c r="F1626" s="89" t="s">
        <v>332</v>
      </c>
    </row>
    <row r="1627" spans="2:6" x14ac:dyDescent="0.55000000000000004">
      <c r="B1627" s="213">
        <v>19</v>
      </c>
      <c r="C1627" s="225" t="s">
        <v>2806</v>
      </c>
      <c r="D1627" s="225" t="s">
        <v>1680</v>
      </c>
      <c r="E1627" s="232" t="s">
        <v>789</v>
      </c>
      <c r="F1627" s="89" t="s">
        <v>332</v>
      </c>
    </row>
    <row r="1628" spans="2:6" x14ac:dyDescent="0.55000000000000004">
      <c r="B1628" s="213">
        <v>19</v>
      </c>
      <c r="C1628" s="225" t="s">
        <v>2806</v>
      </c>
      <c r="D1628" s="225" t="s">
        <v>1680</v>
      </c>
      <c r="E1628" s="232" t="s">
        <v>789</v>
      </c>
      <c r="F1628" s="89" t="s">
        <v>332</v>
      </c>
    </row>
    <row r="1629" spans="2:6" x14ac:dyDescent="0.55000000000000004">
      <c r="B1629" s="213">
        <v>19</v>
      </c>
      <c r="C1629" s="225" t="s">
        <v>2807</v>
      </c>
      <c r="D1629" s="225" t="s">
        <v>1681</v>
      </c>
      <c r="E1629" s="232" t="s">
        <v>789</v>
      </c>
      <c r="F1629" s="89" t="s">
        <v>332</v>
      </c>
    </row>
    <row r="1630" spans="2:6" x14ac:dyDescent="0.55000000000000004">
      <c r="B1630" s="213">
        <v>19</v>
      </c>
      <c r="C1630" s="225" t="s">
        <v>2807</v>
      </c>
      <c r="D1630" s="225" t="s">
        <v>1681</v>
      </c>
      <c r="E1630" s="232" t="s">
        <v>789</v>
      </c>
      <c r="F1630" s="89" t="s">
        <v>332</v>
      </c>
    </row>
    <row r="1631" spans="2:6" x14ac:dyDescent="0.55000000000000004">
      <c r="B1631" s="213">
        <v>19</v>
      </c>
      <c r="C1631" s="225" t="s">
        <v>2808</v>
      </c>
      <c r="D1631" s="225" t="s">
        <v>1682</v>
      </c>
      <c r="E1631" s="232" t="s">
        <v>789</v>
      </c>
      <c r="F1631" s="89" t="s">
        <v>332</v>
      </c>
    </row>
    <row r="1632" spans="2:6" x14ac:dyDescent="0.55000000000000004">
      <c r="B1632" s="213">
        <v>19</v>
      </c>
      <c r="C1632" s="225" t="s">
        <v>2808</v>
      </c>
      <c r="D1632" s="225" t="s">
        <v>1682</v>
      </c>
      <c r="E1632" s="232" t="s">
        <v>789</v>
      </c>
      <c r="F1632" s="89" t="s">
        <v>332</v>
      </c>
    </row>
    <row r="1633" spans="2:6" ht="38.700000000000003" x14ac:dyDescent="0.55000000000000004">
      <c r="B1633" s="213">
        <v>19</v>
      </c>
      <c r="C1633" s="225" t="s">
        <v>2809</v>
      </c>
      <c r="D1633" s="225" t="s">
        <v>1683</v>
      </c>
      <c r="E1633" s="232" t="s">
        <v>789</v>
      </c>
      <c r="F1633" s="89" t="s">
        <v>332</v>
      </c>
    </row>
    <row r="1634" spans="2:6" ht="38.700000000000003" x14ac:dyDescent="0.55000000000000004">
      <c r="B1634" s="213">
        <v>19</v>
      </c>
      <c r="C1634" s="225" t="s">
        <v>2809</v>
      </c>
      <c r="D1634" s="225" t="s">
        <v>1683</v>
      </c>
      <c r="E1634" s="232" t="s">
        <v>789</v>
      </c>
      <c r="F1634" s="89" t="s">
        <v>332</v>
      </c>
    </row>
    <row r="1635" spans="2:6" ht="25.8" x14ac:dyDescent="0.55000000000000004">
      <c r="B1635" s="213">
        <v>19</v>
      </c>
      <c r="C1635" s="225" t="s">
        <v>2810</v>
      </c>
      <c r="D1635" s="225" t="s">
        <v>1684</v>
      </c>
      <c r="E1635" s="232" t="s">
        <v>645</v>
      </c>
      <c r="F1635" s="89" t="s">
        <v>338</v>
      </c>
    </row>
    <row r="1636" spans="2:6" x14ac:dyDescent="0.55000000000000004">
      <c r="B1636" s="213">
        <v>19</v>
      </c>
      <c r="C1636" s="225" t="s">
        <v>2811</v>
      </c>
      <c r="D1636" s="225" t="s">
        <v>1685</v>
      </c>
      <c r="E1636" s="232" t="s">
        <v>789</v>
      </c>
      <c r="F1636" s="89" t="s">
        <v>332</v>
      </c>
    </row>
    <row r="1637" spans="2:6" x14ac:dyDescent="0.55000000000000004">
      <c r="B1637" s="213">
        <v>19</v>
      </c>
      <c r="C1637" s="225" t="s">
        <v>2811</v>
      </c>
      <c r="D1637" s="225" t="s">
        <v>1685</v>
      </c>
      <c r="E1637" s="232" t="s">
        <v>789</v>
      </c>
      <c r="F1637" s="89" t="s">
        <v>332</v>
      </c>
    </row>
    <row r="1638" spans="2:6" x14ac:dyDescent="0.55000000000000004">
      <c r="B1638" s="213">
        <v>19</v>
      </c>
      <c r="C1638" s="225" t="s">
        <v>2812</v>
      </c>
      <c r="D1638" s="225" t="s">
        <v>1686</v>
      </c>
      <c r="E1638" s="232" t="s">
        <v>789</v>
      </c>
      <c r="F1638" s="89" t="s">
        <v>332</v>
      </c>
    </row>
    <row r="1639" spans="2:6" x14ac:dyDescent="0.55000000000000004">
      <c r="B1639" s="213">
        <v>19</v>
      </c>
      <c r="C1639" s="225" t="s">
        <v>2812</v>
      </c>
      <c r="D1639" s="225" t="s">
        <v>1686</v>
      </c>
      <c r="E1639" s="232" t="s">
        <v>789</v>
      </c>
      <c r="F1639" s="89" t="s">
        <v>332</v>
      </c>
    </row>
    <row r="1640" spans="2:6" x14ac:dyDescent="0.55000000000000004">
      <c r="B1640" s="213">
        <v>19</v>
      </c>
      <c r="C1640" s="225" t="s">
        <v>2570</v>
      </c>
      <c r="D1640" s="225" t="s">
        <v>1687</v>
      </c>
      <c r="E1640" s="232" t="s">
        <v>789</v>
      </c>
      <c r="F1640" s="89" t="s">
        <v>332</v>
      </c>
    </row>
    <row r="1641" spans="2:6" x14ac:dyDescent="0.55000000000000004">
      <c r="B1641" s="213">
        <v>19</v>
      </c>
      <c r="C1641" s="225" t="s">
        <v>2813</v>
      </c>
      <c r="D1641" s="225" t="s">
        <v>1688</v>
      </c>
      <c r="E1641" s="232" t="s">
        <v>789</v>
      </c>
      <c r="F1641" s="89" t="s">
        <v>332</v>
      </c>
    </row>
    <row r="1642" spans="2:6" x14ac:dyDescent="0.55000000000000004">
      <c r="B1642" s="213">
        <v>19</v>
      </c>
      <c r="C1642" s="225" t="s">
        <v>2813</v>
      </c>
      <c r="D1642" s="225" t="s">
        <v>1688</v>
      </c>
      <c r="E1642" s="232" t="s">
        <v>789</v>
      </c>
      <c r="F1642" s="89" t="s">
        <v>332</v>
      </c>
    </row>
    <row r="1643" spans="2:6" x14ac:dyDescent="0.55000000000000004">
      <c r="B1643" s="213">
        <v>19</v>
      </c>
      <c r="C1643" s="226" t="s">
        <v>2814</v>
      </c>
      <c r="D1643" s="226" t="s">
        <v>1689</v>
      </c>
      <c r="E1643" s="232" t="s">
        <v>789</v>
      </c>
      <c r="F1643" s="89" t="s">
        <v>332</v>
      </c>
    </row>
    <row r="1644" spans="2:6" x14ac:dyDescent="0.55000000000000004">
      <c r="B1644" s="213">
        <v>19</v>
      </c>
      <c r="C1644" s="226" t="s">
        <v>2814</v>
      </c>
      <c r="D1644" s="226" t="s">
        <v>1689</v>
      </c>
      <c r="E1644" s="232" t="s">
        <v>789</v>
      </c>
      <c r="F1644" s="89" t="s">
        <v>332</v>
      </c>
    </row>
    <row r="1645" spans="2:6" x14ac:dyDescent="0.55000000000000004">
      <c r="B1645" s="213">
        <v>19</v>
      </c>
      <c r="C1645" s="225" t="s">
        <v>1690</v>
      </c>
      <c r="D1645" s="225" t="s">
        <v>1690</v>
      </c>
      <c r="E1645" s="232" t="s">
        <v>789</v>
      </c>
      <c r="F1645" s="89" t="s">
        <v>332</v>
      </c>
    </row>
    <row r="1646" spans="2:6" x14ac:dyDescent="0.55000000000000004">
      <c r="B1646" s="213">
        <v>19</v>
      </c>
      <c r="C1646" s="225" t="s">
        <v>1690</v>
      </c>
      <c r="D1646" s="225" t="s">
        <v>1690</v>
      </c>
      <c r="E1646" s="232" t="s">
        <v>789</v>
      </c>
      <c r="F1646" s="89" t="s">
        <v>332</v>
      </c>
    </row>
    <row r="1647" spans="2:6" x14ac:dyDescent="0.55000000000000004">
      <c r="B1647" s="213">
        <v>19</v>
      </c>
      <c r="C1647" s="225" t="s">
        <v>2815</v>
      </c>
      <c r="D1647" s="225" t="s">
        <v>1691</v>
      </c>
      <c r="E1647" s="232" t="s">
        <v>789</v>
      </c>
      <c r="F1647" s="89" t="s">
        <v>332</v>
      </c>
    </row>
    <row r="1648" spans="2:6" x14ac:dyDescent="0.55000000000000004">
      <c r="B1648" s="213">
        <v>19</v>
      </c>
      <c r="C1648" s="225" t="s">
        <v>2815</v>
      </c>
      <c r="D1648" s="225" t="s">
        <v>1691</v>
      </c>
      <c r="E1648" s="232" t="s">
        <v>789</v>
      </c>
      <c r="F1648" s="89" t="s">
        <v>332</v>
      </c>
    </row>
    <row r="1649" spans="2:6" x14ac:dyDescent="0.55000000000000004">
      <c r="B1649" s="213">
        <v>19</v>
      </c>
      <c r="C1649" s="225" t="s">
        <v>2816</v>
      </c>
      <c r="D1649" s="225" t="s">
        <v>1692</v>
      </c>
      <c r="E1649" s="232" t="s">
        <v>789</v>
      </c>
      <c r="F1649" s="89" t="s">
        <v>332</v>
      </c>
    </row>
    <row r="1650" spans="2:6" x14ac:dyDescent="0.55000000000000004">
      <c r="B1650" s="213">
        <v>19</v>
      </c>
      <c r="C1650" s="225" t="s">
        <v>2816</v>
      </c>
      <c r="D1650" s="225" t="s">
        <v>1692</v>
      </c>
      <c r="E1650" s="232" t="s">
        <v>789</v>
      </c>
      <c r="F1650" s="89" t="s">
        <v>332</v>
      </c>
    </row>
    <row r="1651" spans="2:6" x14ac:dyDescent="0.55000000000000004">
      <c r="B1651" s="213">
        <v>19</v>
      </c>
      <c r="C1651" s="225" t="s">
        <v>2817</v>
      </c>
      <c r="D1651" s="225" t="s">
        <v>1693</v>
      </c>
      <c r="E1651" s="232" t="s">
        <v>789</v>
      </c>
      <c r="F1651" s="89" t="s">
        <v>332</v>
      </c>
    </row>
    <row r="1652" spans="2:6" x14ac:dyDescent="0.55000000000000004">
      <c r="B1652" s="213">
        <v>19</v>
      </c>
      <c r="C1652" s="225" t="s">
        <v>2817</v>
      </c>
      <c r="D1652" s="225" t="s">
        <v>1693</v>
      </c>
      <c r="E1652" s="232" t="s">
        <v>789</v>
      </c>
      <c r="F1652" s="89" t="s">
        <v>332</v>
      </c>
    </row>
    <row r="1653" spans="2:6" x14ac:dyDescent="0.55000000000000004">
      <c r="B1653" s="213">
        <v>19</v>
      </c>
      <c r="C1653" s="225" t="s">
        <v>2818</v>
      </c>
      <c r="D1653" s="225" t="s">
        <v>1694</v>
      </c>
      <c r="E1653" s="232" t="s">
        <v>789</v>
      </c>
      <c r="F1653" s="89" t="s">
        <v>332</v>
      </c>
    </row>
    <row r="1654" spans="2:6" x14ac:dyDescent="0.55000000000000004">
      <c r="B1654" s="213">
        <v>19</v>
      </c>
      <c r="C1654" s="225" t="s">
        <v>2818</v>
      </c>
      <c r="D1654" s="225" t="s">
        <v>1694</v>
      </c>
      <c r="E1654" s="232" t="s">
        <v>789</v>
      </c>
      <c r="F1654" s="89" t="s">
        <v>332</v>
      </c>
    </row>
    <row r="1655" spans="2:6" x14ac:dyDescent="0.55000000000000004">
      <c r="B1655" s="213">
        <v>19</v>
      </c>
      <c r="C1655" s="225" t="s">
        <v>2819</v>
      </c>
      <c r="D1655" s="225" t="s">
        <v>1695</v>
      </c>
      <c r="E1655" s="232" t="s">
        <v>789</v>
      </c>
      <c r="F1655" s="89" t="s">
        <v>332</v>
      </c>
    </row>
    <row r="1656" spans="2:6" x14ac:dyDescent="0.55000000000000004">
      <c r="B1656" s="213">
        <v>19</v>
      </c>
      <c r="C1656" s="225" t="s">
        <v>2819</v>
      </c>
      <c r="D1656" s="225" t="s">
        <v>1695</v>
      </c>
      <c r="E1656" s="232" t="s">
        <v>789</v>
      </c>
      <c r="F1656" s="89" t="s">
        <v>332</v>
      </c>
    </row>
    <row r="1657" spans="2:6" x14ac:dyDescent="0.55000000000000004">
      <c r="B1657" s="213">
        <v>19</v>
      </c>
      <c r="C1657" s="225" t="s">
        <v>2820</v>
      </c>
      <c r="D1657" s="225" t="s">
        <v>1696</v>
      </c>
      <c r="E1657" s="232" t="s">
        <v>789</v>
      </c>
      <c r="F1657" s="89" t="s">
        <v>332</v>
      </c>
    </row>
    <row r="1658" spans="2:6" x14ac:dyDescent="0.55000000000000004">
      <c r="B1658" s="213">
        <v>19</v>
      </c>
      <c r="C1658" s="225" t="s">
        <v>2820</v>
      </c>
      <c r="D1658" s="225" t="s">
        <v>1696</v>
      </c>
      <c r="E1658" s="232" t="s">
        <v>789</v>
      </c>
      <c r="F1658" s="89" t="s">
        <v>332</v>
      </c>
    </row>
    <row r="1659" spans="2:6" x14ac:dyDescent="0.55000000000000004">
      <c r="B1659" s="213">
        <v>19</v>
      </c>
      <c r="C1659" s="225" t="s">
        <v>2821</v>
      </c>
      <c r="D1659" s="225" t="s">
        <v>1697</v>
      </c>
      <c r="E1659" s="232" t="s">
        <v>789</v>
      </c>
      <c r="F1659" s="89" t="s">
        <v>332</v>
      </c>
    </row>
    <row r="1660" spans="2:6" x14ac:dyDescent="0.55000000000000004">
      <c r="B1660" s="213">
        <v>19</v>
      </c>
      <c r="C1660" s="225" t="s">
        <v>2821</v>
      </c>
      <c r="D1660" s="225" t="s">
        <v>1697</v>
      </c>
      <c r="E1660" s="232" t="s">
        <v>789</v>
      </c>
      <c r="F1660" s="89" t="s">
        <v>332</v>
      </c>
    </row>
    <row r="1661" spans="2:6" x14ac:dyDescent="0.55000000000000004">
      <c r="B1661" s="213">
        <v>19</v>
      </c>
      <c r="C1661" s="225" t="s">
        <v>2822</v>
      </c>
      <c r="D1661" s="225" t="s">
        <v>1698</v>
      </c>
      <c r="E1661" s="232" t="s">
        <v>789</v>
      </c>
      <c r="F1661" s="89" t="s">
        <v>332</v>
      </c>
    </row>
    <row r="1662" spans="2:6" x14ac:dyDescent="0.55000000000000004">
      <c r="B1662" s="213">
        <v>19</v>
      </c>
      <c r="C1662" s="225" t="s">
        <v>2822</v>
      </c>
      <c r="D1662" s="225" t="s">
        <v>1698</v>
      </c>
      <c r="E1662" s="232" t="s">
        <v>789</v>
      </c>
      <c r="F1662" s="89" t="s">
        <v>332</v>
      </c>
    </row>
    <row r="1663" spans="2:6" x14ac:dyDescent="0.55000000000000004">
      <c r="B1663" s="213">
        <v>19</v>
      </c>
      <c r="C1663" s="225" t="s">
        <v>2823</v>
      </c>
      <c r="D1663" s="225" t="s">
        <v>1699</v>
      </c>
      <c r="E1663" s="232" t="s">
        <v>789</v>
      </c>
      <c r="F1663" s="89" t="s">
        <v>332</v>
      </c>
    </row>
    <row r="1664" spans="2:6" x14ac:dyDescent="0.55000000000000004">
      <c r="B1664" s="213">
        <v>19</v>
      </c>
      <c r="C1664" s="225" t="s">
        <v>2823</v>
      </c>
      <c r="D1664" s="225" t="s">
        <v>1699</v>
      </c>
      <c r="E1664" s="232" t="s">
        <v>789</v>
      </c>
      <c r="F1664" s="89" t="s">
        <v>332</v>
      </c>
    </row>
    <row r="1665" spans="2:6" x14ac:dyDescent="0.55000000000000004">
      <c r="B1665" s="213">
        <v>19</v>
      </c>
      <c r="C1665" s="225" t="s">
        <v>2824</v>
      </c>
      <c r="D1665" s="225" t="s">
        <v>1700</v>
      </c>
      <c r="E1665" s="232" t="s">
        <v>789</v>
      </c>
      <c r="F1665" s="89" t="s">
        <v>332</v>
      </c>
    </row>
    <row r="1666" spans="2:6" x14ac:dyDescent="0.55000000000000004">
      <c r="B1666" s="213">
        <v>19</v>
      </c>
      <c r="C1666" s="225" t="s">
        <v>2824</v>
      </c>
      <c r="D1666" s="225" t="s">
        <v>1700</v>
      </c>
      <c r="E1666" s="232" t="s">
        <v>789</v>
      </c>
      <c r="F1666" s="89" t="s">
        <v>332</v>
      </c>
    </row>
    <row r="1667" spans="2:6" x14ac:dyDescent="0.55000000000000004">
      <c r="B1667" s="213">
        <v>19</v>
      </c>
      <c r="C1667" s="225" t="s">
        <v>2825</v>
      </c>
      <c r="D1667" s="225" t="s">
        <v>1701</v>
      </c>
      <c r="E1667" s="232" t="s">
        <v>789</v>
      </c>
      <c r="F1667" s="89" t="s">
        <v>332</v>
      </c>
    </row>
    <row r="1668" spans="2:6" x14ac:dyDescent="0.55000000000000004">
      <c r="B1668" s="213">
        <v>19</v>
      </c>
      <c r="C1668" s="225" t="s">
        <v>2825</v>
      </c>
      <c r="D1668" s="225" t="s">
        <v>1701</v>
      </c>
      <c r="E1668" s="232" t="s">
        <v>789</v>
      </c>
      <c r="F1668" s="89" t="s">
        <v>332</v>
      </c>
    </row>
    <row r="1669" spans="2:6" x14ac:dyDescent="0.55000000000000004">
      <c r="B1669" s="213">
        <v>19</v>
      </c>
      <c r="C1669" s="225" t="s">
        <v>2826</v>
      </c>
      <c r="D1669" s="225" t="s">
        <v>1702</v>
      </c>
      <c r="E1669" s="232" t="s">
        <v>789</v>
      </c>
      <c r="F1669" s="89" t="s">
        <v>332</v>
      </c>
    </row>
    <row r="1670" spans="2:6" x14ac:dyDescent="0.55000000000000004">
      <c r="B1670" s="213">
        <v>19</v>
      </c>
      <c r="C1670" s="225" t="s">
        <v>2826</v>
      </c>
      <c r="D1670" s="225" t="s">
        <v>1702</v>
      </c>
      <c r="E1670" s="232" t="s">
        <v>789</v>
      </c>
      <c r="F1670" s="89" t="s">
        <v>332</v>
      </c>
    </row>
    <row r="1671" spans="2:6" x14ac:dyDescent="0.55000000000000004">
      <c r="B1671" s="213">
        <v>19</v>
      </c>
      <c r="C1671" s="225" t="s">
        <v>2827</v>
      </c>
      <c r="D1671" s="225" t="s">
        <v>1703</v>
      </c>
      <c r="E1671" s="232" t="s">
        <v>789</v>
      </c>
      <c r="F1671" s="89" t="s">
        <v>332</v>
      </c>
    </row>
    <row r="1672" spans="2:6" x14ac:dyDescent="0.55000000000000004">
      <c r="B1672" s="213">
        <v>19</v>
      </c>
      <c r="C1672" s="225" t="s">
        <v>2827</v>
      </c>
      <c r="D1672" s="225" t="s">
        <v>1703</v>
      </c>
      <c r="E1672" s="232" t="s">
        <v>789</v>
      </c>
      <c r="F1672" s="89" t="s">
        <v>332</v>
      </c>
    </row>
    <row r="1673" spans="2:6" x14ac:dyDescent="0.55000000000000004">
      <c r="B1673" s="213">
        <v>19</v>
      </c>
      <c r="C1673" s="225" t="s">
        <v>2828</v>
      </c>
      <c r="D1673" s="225" t="s">
        <v>1704</v>
      </c>
      <c r="E1673" s="232" t="s">
        <v>789</v>
      </c>
      <c r="F1673" s="89" t="s">
        <v>332</v>
      </c>
    </row>
    <row r="1674" spans="2:6" x14ac:dyDescent="0.55000000000000004">
      <c r="B1674" s="213">
        <v>19</v>
      </c>
      <c r="C1674" s="225" t="s">
        <v>2828</v>
      </c>
      <c r="D1674" s="225" t="s">
        <v>1704</v>
      </c>
      <c r="E1674" s="232" t="s">
        <v>789</v>
      </c>
      <c r="F1674" s="89" t="s">
        <v>332</v>
      </c>
    </row>
    <row r="1675" spans="2:6" x14ac:dyDescent="0.55000000000000004">
      <c r="B1675" s="215" t="s">
        <v>942</v>
      </c>
      <c r="C1675" s="227" t="s">
        <v>665</v>
      </c>
      <c r="D1675" s="227" t="s">
        <v>665</v>
      </c>
      <c r="E1675" s="232" t="e">
        <v>#N/A</v>
      </c>
      <c r="F1675" s="89" t="s">
        <v>2433</v>
      </c>
    </row>
    <row r="1676" spans="2:6" x14ac:dyDescent="0.55000000000000004">
      <c r="B1676" s="213" t="s">
        <v>942</v>
      </c>
      <c r="C1676" s="225" t="s">
        <v>666</v>
      </c>
      <c r="D1676" s="225" t="s">
        <v>666</v>
      </c>
      <c r="E1676" s="232" t="s">
        <v>789</v>
      </c>
      <c r="F1676" s="89" t="s">
        <v>332</v>
      </c>
    </row>
    <row r="1677" spans="2:6" x14ac:dyDescent="0.55000000000000004">
      <c r="B1677" s="213" t="s">
        <v>942</v>
      </c>
      <c r="C1677" s="225" t="s">
        <v>666</v>
      </c>
      <c r="D1677" s="225" t="s">
        <v>666</v>
      </c>
      <c r="E1677" s="232" t="s">
        <v>789</v>
      </c>
      <c r="F1677" s="89" t="s">
        <v>332</v>
      </c>
    </row>
    <row r="1678" spans="2:6" x14ac:dyDescent="0.55000000000000004">
      <c r="B1678" s="213" t="s">
        <v>942</v>
      </c>
      <c r="C1678" s="225" t="s">
        <v>667</v>
      </c>
      <c r="D1678" s="225" t="s">
        <v>667</v>
      </c>
      <c r="E1678" s="232" t="s">
        <v>789</v>
      </c>
      <c r="F1678" s="89" t="s">
        <v>332</v>
      </c>
    </row>
    <row r="1679" spans="2:6" x14ac:dyDescent="0.55000000000000004">
      <c r="B1679" s="213" t="s">
        <v>942</v>
      </c>
      <c r="C1679" s="225" t="s">
        <v>667</v>
      </c>
      <c r="D1679" s="225" t="s">
        <v>667</v>
      </c>
      <c r="E1679" s="232" t="s">
        <v>789</v>
      </c>
      <c r="F1679" s="89" t="s">
        <v>332</v>
      </c>
    </row>
    <row r="1680" spans="2:6" x14ac:dyDescent="0.55000000000000004">
      <c r="B1680" s="213" t="s">
        <v>942</v>
      </c>
      <c r="C1680" s="226" t="s">
        <v>668</v>
      </c>
      <c r="D1680" s="226" t="s">
        <v>668</v>
      </c>
      <c r="E1680" s="232" t="s">
        <v>789</v>
      </c>
      <c r="F1680" s="89" t="s">
        <v>332</v>
      </c>
    </row>
    <row r="1681" spans="2:6" x14ac:dyDescent="0.55000000000000004">
      <c r="B1681" s="213" t="s">
        <v>942</v>
      </c>
      <c r="C1681" s="226" t="s">
        <v>668</v>
      </c>
      <c r="D1681" s="226" t="s">
        <v>668</v>
      </c>
      <c r="E1681" s="232" t="s">
        <v>789</v>
      </c>
      <c r="F1681" s="89" t="s">
        <v>332</v>
      </c>
    </row>
    <row r="1682" spans="2:6" x14ac:dyDescent="0.55000000000000004">
      <c r="B1682" s="213" t="s">
        <v>942</v>
      </c>
      <c r="C1682" s="225" t="s">
        <v>669</v>
      </c>
      <c r="D1682" s="225" t="s">
        <v>669</v>
      </c>
      <c r="E1682" s="232" t="s">
        <v>789</v>
      </c>
      <c r="F1682" s="89" t="s">
        <v>332</v>
      </c>
    </row>
    <row r="1683" spans="2:6" x14ac:dyDescent="0.55000000000000004">
      <c r="B1683" s="213" t="s">
        <v>942</v>
      </c>
      <c r="C1683" s="225" t="s">
        <v>669</v>
      </c>
      <c r="D1683" s="225" t="s">
        <v>669</v>
      </c>
      <c r="E1683" s="232" t="s">
        <v>789</v>
      </c>
      <c r="F1683" s="89" t="s">
        <v>332</v>
      </c>
    </row>
    <row r="1684" spans="2:6" x14ac:dyDescent="0.55000000000000004">
      <c r="B1684" s="213" t="s">
        <v>942</v>
      </c>
      <c r="C1684" s="225" t="s">
        <v>670</v>
      </c>
      <c r="D1684" s="225" t="s">
        <v>670</v>
      </c>
      <c r="E1684" s="232" t="s">
        <v>789</v>
      </c>
      <c r="F1684" s="89" t="s">
        <v>332</v>
      </c>
    </row>
    <row r="1685" spans="2:6" x14ac:dyDescent="0.55000000000000004">
      <c r="B1685" s="213" t="s">
        <v>942</v>
      </c>
      <c r="C1685" s="225" t="s">
        <v>670</v>
      </c>
      <c r="D1685" s="225" t="s">
        <v>670</v>
      </c>
      <c r="E1685" s="232" t="s">
        <v>789</v>
      </c>
      <c r="F1685" s="89" t="s">
        <v>332</v>
      </c>
    </row>
    <row r="1686" spans="2:6" x14ac:dyDescent="0.55000000000000004">
      <c r="B1686" s="213" t="s">
        <v>942</v>
      </c>
      <c r="C1686" s="225" t="s">
        <v>671</v>
      </c>
      <c r="D1686" s="225" t="s">
        <v>671</v>
      </c>
      <c r="E1686" s="232" t="s">
        <v>789</v>
      </c>
      <c r="F1686" s="89" t="s">
        <v>332</v>
      </c>
    </row>
    <row r="1687" spans="2:6" x14ac:dyDescent="0.55000000000000004">
      <c r="B1687" s="213" t="s">
        <v>942</v>
      </c>
      <c r="C1687" s="225" t="s">
        <v>671</v>
      </c>
      <c r="D1687" s="225" t="s">
        <v>671</v>
      </c>
      <c r="E1687" s="232" t="s">
        <v>789</v>
      </c>
      <c r="F1687" s="89" t="s">
        <v>332</v>
      </c>
    </row>
    <row r="1688" spans="2:6" x14ac:dyDescent="0.55000000000000004">
      <c r="B1688" s="213" t="s">
        <v>942</v>
      </c>
      <c r="C1688" s="225" t="s">
        <v>672</v>
      </c>
      <c r="D1688" s="225" t="s">
        <v>672</v>
      </c>
      <c r="E1688" s="232" t="s">
        <v>789</v>
      </c>
      <c r="F1688" s="89" t="s">
        <v>332</v>
      </c>
    </row>
    <row r="1689" spans="2:6" x14ac:dyDescent="0.55000000000000004">
      <c r="B1689" s="213" t="s">
        <v>942</v>
      </c>
      <c r="C1689" s="225" t="s">
        <v>672</v>
      </c>
      <c r="D1689" s="225" t="s">
        <v>672</v>
      </c>
      <c r="E1689" s="232" t="s">
        <v>789</v>
      </c>
      <c r="F1689" s="89" t="s">
        <v>332</v>
      </c>
    </row>
    <row r="1690" spans="2:6" x14ac:dyDescent="0.55000000000000004">
      <c r="B1690" s="213" t="s">
        <v>942</v>
      </c>
      <c r="C1690" s="225" t="s">
        <v>429</v>
      </c>
      <c r="D1690" s="225" t="s">
        <v>429</v>
      </c>
      <c r="E1690" s="232" t="s">
        <v>789</v>
      </c>
      <c r="F1690" s="89" t="s">
        <v>332</v>
      </c>
    </row>
    <row r="1691" spans="2:6" x14ac:dyDescent="0.55000000000000004">
      <c r="B1691" s="213" t="s">
        <v>942</v>
      </c>
      <c r="C1691" s="225" t="s">
        <v>429</v>
      </c>
      <c r="D1691" s="225" t="s">
        <v>429</v>
      </c>
      <c r="E1691" s="232" t="s">
        <v>789</v>
      </c>
      <c r="F1691" s="89" t="s">
        <v>332</v>
      </c>
    </row>
    <row r="1692" spans="2:6" x14ac:dyDescent="0.55000000000000004">
      <c r="B1692" s="213" t="s">
        <v>942</v>
      </c>
      <c r="C1692" s="226" t="s">
        <v>673</v>
      </c>
      <c r="D1692" s="226" t="s">
        <v>673</v>
      </c>
      <c r="E1692" s="232" t="s">
        <v>789</v>
      </c>
      <c r="F1692" s="89" t="s">
        <v>332</v>
      </c>
    </row>
    <row r="1693" spans="2:6" x14ac:dyDescent="0.55000000000000004">
      <c r="B1693" s="213" t="s">
        <v>942</v>
      </c>
      <c r="C1693" s="226" t="s">
        <v>673</v>
      </c>
      <c r="D1693" s="226" t="s">
        <v>673</v>
      </c>
      <c r="E1693" s="232" t="s">
        <v>789</v>
      </c>
      <c r="F1693" s="89" t="s">
        <v>332</v>
      </c>
    </row>
    <row r="1694" spans="2:6" x14ac:dyDescent="0.55000000000000004">
      <c r="B1694" s="213" t="s">
        <v>942</v>
      </c>
      <c r="C1694" s="225" t="s">
        <v>674</v>
      </c>
      <c r="D1694" s="225" t="s">
        <v>674</v>
      </c>
      <c r="E1694" s="232" t="s">
        <v>789</v>
      </c>
      <c r="F1694" s="89" t="s">
        <v>332</v>
      </c>
    </row>
    <row r="1695" spans="2:6" x14ac:dyDescent="0.55000000000000004">
      <c r="B1695" s="213" t="s">
        <v>942</v>
      </c>
      <c r="C1695" s="225" t="s">
        <v>674</v>
      </c>
      <c r="D1695" s="225" t="s">
        <v>674</v>
      </c>
      <c r="E1695" s="232" t="s">
        <v>789</v>
      </c>
      <c r="F1695" s="89" t="s">
        <v>332</v>
      </c>
    </row>
    <row r="1696" spans="2:6" x14ac:dyDescent="0.55000000000000004">
      <c r="B1696" s="213" t="s">
        <v>942</v>
      </c>
      <c r="C1696" s="225" t="s">
        <v>2792</v>
      </c>
      <c r="D1696" s="225" t="s">
        <v>675</v>
      </c>
      <c r="E1696" s="232" t="s">
        <v>789</v>
      </c>
      <c r="F1696" s="89" t="s">
        <v>332</v>
      </c>
    </row>
    <row r="1697" spans="2:6" x14ac:dyDescent="0.55000000000000004">
      <c r="B1697" s="213" t="s">
        <v>942</v>
      </c>
      <c r="C1697" s="225" t="s">
        <v>2792</v>
      </c>
      <c r="D1697" s="225" t="s">
        <v>675</v>
      </c>
      <c r="E1697" s="232" t="s">
        <v>789</v>
      </c>
      <c r="F1697" s="89" t="s">
        <v>332</v>
      </c>
    </row>
    <row r="1698" spans="2:6" x14ac:dyDescent="0.55000000000000004">
      <c r="B1698" s="213" t="s">
        <v>942</v>
      </c>
      <c r="C1698" s="225" t="s">
        <v>676</v>
      </c>
      <c r="D1698" s="225" t="s">
        <v>676</v>
      </c>
      <c r="E1698" s="232" t="s">
        <v>789</v>
      </c>
      <c r="F1698" s="89" t="s">
        <v>332</v>
      </c>
    </row>
    <row r="1699" spans="2:6" x14ac:dyDescent="0.55000000000000004">
      <c r="B1699" s="213" t="s">
        <v>942</v>
      </c>
      <c r="C1699" s="225" t="s">
        <v>676</v>
      </c>
      <c r="D1699" s="225" t="s">
        <v>676</v>
      </c>
      <c r="E1699" s="232" t="s">
        <v>789</v>
      </c>
      <c r="F1699" s="89" t="s">
        <v>332</v>
      </c>
    </row>
    <row r="1700" spans="2:6" x14ac:dyDescent="0.55000000000000004">
      <c r="B1700" s="213" t="s">
        <v>942</v>
      </c>
      <c r="C1700" s="225" t="s">
        <v>2794</v>
      </c>
      <c r="D1700" s="225" t="s">
        <v>677</v>
      </c>
      <c r="E1700" s="232" t="s">
        <v>789</v>
      </c>
      <c r="F1700" s="89" t="s">
        <v>332</v>
      </c>
    </row>
    <row r="1701" spans="2:6" x14ac:dyDescent="0.55000000000000004">
      <c r="B1701" s="213" t="s">
        <v>942</v>
      </c>
      <c r="C1701" s="225" t="s">
        <v>2794</v>
      </c>
      <c r="D1701" s="225" t="s">
        <v>677</v>
      </c>
      <c r="E1701" s="232" t="s">
        <v>789</v>
      </c>
      <c r="F1701" s="89" t="s">
        <v>332</v>
      </c>
    </row>
    <row r="1702" spans="2:6" x14ac:dyDescent="0.55000000000000004">
      <c r="B1702" s="213" t="s">
        <v>942</v>
      </c>
      <c r="C1702" s="225" t="s">
        <v>2796</v>
      </c>
      <c r="D1702" s="225" t="s">
        <v>678</v>
      </c>
      <c r="E1702" s="232" t="s">
        <v>789</v>
      </c>
      <c r="F1702" s="89" t="s">
        <v>332</v>
      </c>
    </row>
    <row r="1703" spans="2:6" x14ac:dyDescent="0.55000000000000004">
      <c r="B1703" s="213" t="s">
        <v>942</v>
      </c>
      <c r="C1703" s="225" t="s">
        <v>2796</v>
      </c>
      <c r="D1703" s="225" t="s">
        <v>678</v>
      </c>
      <c r="E1703" s="232" t="s">
        <v>789</v>
      </c>
      <c r="F1703" s="89" t="s">
        <v>332</v>
      </c>
    </row>
    <row r="1704" spans="2:6" x14ac:dyDescent="0.55000000000000004">
      <c r="B1704" s="213" t="s">
        <v>942</v>
      </c>
      <c r="C1704" s="225" t="s">
        <v>679</v>
      </c>
      <c r="D1704" s="225" t="s">
        <v>679</v>
      </c>
      <c r="E1704" s="232" t="s">
        <v>789</v>
      </c>
      <c r="F1704" s="89" t="s">
        <v>332</v>
      </c>
    </row>
    <row r="1705" spans="2:6" x14ac:dyDescent="0.55000000000000004">
      <c r="B1705" s="213" t="s">
        <v>942</v>
      </c>
      <c r="C1705" s="225" t="s">
        <v>680</v>
      </c>
      <c r="D1705" s="225" t="s">
        <v>680</v>
      </c>
      <c r="E1705" s="232" t="s">
        <v>789</v>
      </c>
      <c r="F1705" s="89" t="s">
        <v>332</v>
      </c>
    </row>
    <row r="1706" spans="2:6" x14ac:dyDescent="0.55000000000000004">
      <c r="B1706" s="213" t="s">
        <v>942</v>
      </c>
      <c r="C1706" s="225" t="s">
        <v>680</v>
      </c>
      <c r="D1706" s="225" t="s">
        <v>680</v>
      </c>
      <c r="E1706" s="232" t="s">
        <v>789</v>
      </c>
      <c r="F1706" s="89" t="s">
        <v>332</v>
      </c>
    </row>
    <row r="1707" spans="2:6" x14ac:dyDescent="0.55000000000000004">
      <c r="B1707" s="213" t="s">
        <v>942</v>
      </c>
      <c r="C1707" s="225" t="s">
        <v>681</v>
      </c>
      <c r="D1707" s="225" t="s">
        <v>681</v>
      </c>
      <c r="E1707" s="232" t="s">
        <v>789</v>
      </c>
      <c r="F1707" s="89" t="s">
        <v>332</v>
      </c>
    </row>
    <row r="1708" spans="2:6" x14ac:dyDescent="0.55000000000000004">
      <c r="B1708" s="213" t="s">
        <v>942</v>
      </c>
      <c r="C1708" s="225" t="s">
        <v>681</v>
      </c>
      <c r="D1708" s="225" t="s">
        <v>681</v>
      </c>
      <c r="E1708" s="232" t="s">
        <v>789</v>
      </c>
      <c r="F1708" s="89" t="s">
        <v>332</v>
      </c>
    </row>
    <row r="1709" spans="2:6" x14ac:dyDescent="0.55000000000000004">
      <c r="B1709" s="213" t="s">
        <v>942</v>
      </c>
      <c r="C1709" s="225" t="s">
        <v>682</v>
      </c>
      <c r="D1709" s="225" t="s">
        <v>682</v>
      </c>
      <c r="E1709" s="232" t="s">
        <v>789</v>
      </c>
      <c r="F1709" s="89" t="s">
        <v>332</v>
      </c>
    </row>
    <row r="1710" spans="2:6" x14ac:dyDescent="0.55000000000000004">
      <c r="B1710" s="213" t="s">
        <v>942</v>
      </c>
      <c r="C1710" s="225" t="s">
        <v>682</v>
      </c>
      <c r="D1710" s="225" t="s">
        <v>682</v>
      </c>
      <c r="E1710" s="232" t="s">
        <v>789</v>
      </c>
      <c r="F1710" s="89" t="s">
        <v>332</v>
      </c>
    </row>
    <row r="1711" spans="2:6" x14ac:dyDescent="0.55000000000000004">
      <c r="B1711" s="213" t="s">
        <v>942</v>
      </c>
      <c r="C1711" s="225" t="s">
        <v>683</v>
      </c>
      <c r="D1711" s="225" t="s">
        <v>683</v>
      </c>
      <c r="E1711" s="232" t="s">
        <v>789</v>
      </c>
      <c r="F1711" s="89" t="s">
        <v>332</v>
      </c>
    </row>
    <row r="1712" spans="2:6" x14ac:dyDescent="0.55000000000000004">
      <c r="B1712" s="213" t="s">
        <v>942</v>
      </c>
      <c r="C1712" s="225" t="s">
        <v>683</v>
      </c>
      <c r="D1712" s="225" t="s">
        <v>683</v>
      </c>
      <c r="E1712" s="232" t="s">
        <v>789</v>
      </c>
      <c r="F1712" s="89" t="s">
        <v>332</v>
      </c>
    </row>
    <row r="1713" spans="2:6" x14ac:dyDescent="0.55000000000000004">
      <c r="B1713" s="213" t="s">
        <v>942</v>
      </c>
      <c r="C1713" s="225" t="s">
        <v>2806</v>
      </c>
      <c r="D1713" s="225" t="s">
        <v>684</v>
      </c>
      <c r="E1713" s="232" t="s">
        <v>789</v>
      </c>
      <c r="F1713" s="89" t="s">
        <v>332</v>
      </c>
    </row>
    <row r="1714" spans="2:6" x14ac:dyDescent="0.55000000000000004">
      <c r="B1714" s="213" t="s">
        <v>942</v>
      </c>
      <c r="C1714" s="225" t="s">
        <v>2806</v>
      </c>
      <c r="D1714" s="225" t="s">
        <v>684</v>
      </c>
      <c r="E1714" s="232" t="s">
        <v>789</v>
      </c>
      <c r="F1714" s="89" t="s">
        <v>332</v>
      </c>
    </row>
    <row r="1715" spans="2:6" x14ac:dyDescent="0.55000000000000004">
      <c r="B1715" s="213" t="s">
        <v>942</v>
      </c>
      <c r="C1715" s="225" t="s">
        <v>685</v>
      </c>
      <c r="D1715" s="225" t="s">
        <v>685</v>
      </c>
      <c r="E1715" s="232" t="s">
        <v>789</v>
      </c>
      <c r="F1715" s="89" t="s">
        <v>332</v>
      </c>
    </row>
    <row r="1716" spans="2:6" x14ac:dyDescent="0.55000000000000004">
      <c r="B1716" s="213" t="s">
        <v>942</v>
      </c>
      <c r="C1716" s="225" t="s">
        <v>685</v>
      </c>
      <c r="D1716" s="225" t="s">
        <v>685</v>
      </c>
      <c r="E1716" s="232" t="s">
        <v>789</v>
      </c>
      <c r="F1716" s="89" t="s">
        <v>332</v>
      </c>
    </row>
    <row r="1717" spans="2:6" x14ac:dyDescent="0.55000000000000004">
      <c r="B1717" s="213" t="s">
        <v>942</v>
      </c>
      <c r="C1717" s="225" t="s">
        <v>686</v>
      </c>
      <c r="D1717" s="225" t="s">
        <v>686</v>
      </c>
      <c r="E1717" s="232" t="s">
        <v>789</v>
      </c>
      <c r="F1717" s="89" t="s">
        <v>332</v>
      </c>
    </row>
    <row r="1718" spans="2:6" x14ac:dyDescent="0.55000000000000004">
      <c r="B1718" s="213" t="s">
        <v>942</v>
      </c>
      <c r="C1718" s="225" t="s">
        <v>686</v>
      </c>
      <c r="D1718" s="225" t="s">
        <v>686</v>
      </c>
      <c r="E1718" s="232" t="s">
        <v>789</v>
      </c>
      <c r="F1718" s="89" t="s">
        <v>332</v>
      </c>
    </row>
    <row r="1719" spans="2:6" x14ac:dyDescent="0.55000000000000004">
      <c r="B1719" s="213" t="s">
        <v>942</v>
      </c>
      <c r="C1719" s="225" t="s">
        <v>687</v>
      </c>
      <c r="D1719" s="225" t="s">
        <v>687</v>
      </c>
      <c r="E1719" s="232" t="s">
        <v>789</v>
      </c>
      <c r="F1719" s="89" t="s">
        <v>332</v>
      </c>
    </row>
    <row r="1720" spans="2:6" x14ac:dyDescent="0.55000000000000004">
      <c r="B1720" s="213" t="s">
        <v>942</v>
      </c>
      <c r="C1720" s="225" t="s">
        <v>687</v>
      </c>
      <c r="D1720" s="225" t="s">
        <v>687</v>
      </c>
      <c r="E1720" s="232" t="s">
        <v>789</v>
      </c>
      <c r="F1720" s="89" t="s">
        <v>332</v>
      </c>
    </row>
    <row r="1721" spans="2:6" x14ac:dyDescent="0.55000000000000004">
      <c r="B1721" s="213" t="s">
        <v>942</v>
      </c>
      <c r="C1721" s="225" t="s">
        <v>688</v>
      </c>
      <c r="D1721" s="225" t="s">
        <v>688</v>
      </c>
      <c r="E1721" s="232" t="s">
        <v>789</v>
      </c>
      <c r="F1721" s="89" t="s">
        <v>332</v>
      </c>
    </row>
    <row r="1722" spans="2:6" x14ac:dyDescent="0.55000000000000004">
      <c r="B1722" s="213" t="s">
        <v>942</v>
      </c>
      <c r="C1722" s="225" t="s">
        <v>688</v>
      </c>
      <c r="D1722" s="225" t="s">
        <v>688</v>
      </c>
      <c r="E1722" s="232" t="s">
        <v>789</v>
      </c>
      <c r="F1722" s="89" t="s">
        <v>332</v>
      </c>
    </row>
    <row r="1723" spans="2:6" x14ac:dyDescent="0.55000000000000004">
      <c r="B1723" s="213" t="s">
        <v>942</v>
      </c>
      <c r="C1723" s="225" t="s">
        <v>430</v>
      </c>
      <c r="D1723" s="225" t="s">
        <v>430</v>
      </c>
      <c r="E1723" s="232" t="s">
        <v>789</v>
      </c>
      <c r="F1723" s="89" t="s">
        <v>332</v>
      </c>
    </row>
    <row r="1724" spans="2:6" x14ac:dyDescent="0.55000000000000004">
      <c r="B1724" s="213" t="s">
        <v>942</v>
      </c>
      <c r="C1724" s="225" t="s">
        <v>689</v>
      </c>
      <c r="D1724" s="225" t="s">
        <v>689</v>
      </c>
      <c r="E1724" s="232" t="s">
        <v>789</v>
      </c>
      <c r="F1724" s="89" t="s">
        <v>332</v>
      </c>
    </row>
    <row r="1725" spans="2:6" x14ac:dyDescent="0.55000000000000004">
      <c r="B1725" s="213" t="s">
        <v>942</v>
      </c>
      <c r="C1725" s="225" t="s">
        <v>689</v>
      </c>
      <c r="D1725" s="225" t="s">
        <v>689</v>
      </c>
      <c r="E1725" s="232" t="s">
        <v>789</v>
      </c>
      <c r="F1725" s="89" t="s">
        <v>332</v>
      </c>
    </row>
    <row r="1726" spans="2:6" x14ac:dyDescent="0.55000000000000004">
      <c r="B1726" s="213" t="s">
        <v>942</v>
      </c>
      <c r="C1726" s="225" t="s">
        <v>690</v>
      </c>
      <c r="D1726" s="225" t="s">
        <v>690</v>
      </c>
      <c r="E1726" s="232" t="s">
        <v>789</v>
      </c>
      <c r="F1726" s="89" t="s">
        <v>332</v>
      </c>
    </row>
    <row r="1727" spans="2:6" x14ac:dyDescent="0.55000000000000004">
      <c r="B1727" s="213" t="s">
        <v>942</v>
      </c>
      <c r="C1727" s="225" t="s">
        <v>690</v>
      </c>
      <c r="D1727" s="225" t="s">
        <v>690</v>
      </c>
      <c r="E1727" s="232" t="s">
        <v>789</v>
      </c>
      <c r="F1727" s="89" t="s">
        <v>332</v>
      </c>
    </row>
    <row r="1728" spans="2:6" x14ac:dyDescent="0.55000000000000004">
      <c r="B1728" s="213" t="s">
        <v>942</v>
      </c>
      <c r="C1728" s="225" t="s">
        <v>691</v>
      </c>
      <c r="D1728" s="225" t="s">
        <v>691</v>
      </c>
      <c r="E1728" s="232" t="s">
        <v>789</v>
      </c>
      <c r="F1728" s="89" t="s">
        <v>332</v>
      </c>
    </row>
    <row r="1729" spans="2:6" x14ac:dyDescent="0.55000000000000004">
      <c r="B1729" s="213" t="s">
        <v>942</v>
      </c>
      <c r="C1729" s="225" t="s">
        <v>691</v>
      </c>
      <c r="D1729" s="225" t="s">
        <v>691</v>
      </c>
      <c r="E1729" s="232" t="s">
        <v>789</v>
      </c>
      <c r="F1729" s="89" t="s">
        <v>332</v>
      </c>
    </row>
    <row r="1730" spans="2:6" x14ac:dyDescent="0.55000000000000004">
      <c r="B1730" s="213" t="s">
        <v>942</v>
      </c>
      <c r="C1730" s="225" t="s">
        <v>692</v>
      </c>
      <c r="D1730" s="225" t="s">
        <v>692</v>
      </c>
      <c r="E1730" s="232" t="s">
        <v>789</v>
      </c>
      <c r="F1730" s="89" t="s">
        <v>332</v>
      </c>
    </row>
    <row r="1731" spans="2:6" x14ac:dyDescent="0.55000000000000004">
      <c r="B1731" s="213" t="s">
        <v>942</v>
      </c>
      <c r="C1731" s="225" t="s">
        <v>692</v>
      </c>
      <c r="D1731" s="225" t="s">
        <v>692</v>
      </c>
      <c r="E1731" s="232" t="s">
        <v>789</v>
      </c>
      <c r="F1731" s="89" t="s">
        <v>332</v>
      </c>
    </row>
    <row r="1732" spans="2:6" x14ac:dyDescent="0.55000000000000004">
      <c r="B1732" s="213" t="s">
        <v>942</v>
      </c>
      <c r="C1732" s="225" t="s">
        <v>693</v>
      </c>
      <c r="D1732" s="225" t="s">
        <v>693</v>
      </c>
      <c r="E1732" s="232" t="s">
        <v>789</v>
      </c>
      <c r="F1732" s="89" t="s">
        <v>332</v>
      </c>
    </row>
    <row r="1733" spans="2:6" x14ac:dyDescent="0.55000000000000004">
      <c r="B1733" s="213" t="s">
        <v>942</v>
      </c>
      <c r="C1733" s="225" t="s">
        <v>693</v>
      </c>
      <c r="D1733" s="225" t="s">
        <v>693</v>
      </c>
      <c r="E1733" s="232" t="s">
        <v>789</v>
      </c>
      <c r="F1733" s="89" t="s">
        <v>332</v>
      </c>
    </row>
    <row r="1734" spans="2:6" x14ac:dyDescent="0.55000000000000004">
      <c r="B1734" s="213" t="s">
        <v>942</v>
      </c>
      <c r="C1734" s="225" t="s">
        <v>694</v>
      </c>
      <c r="D1734" s="225" t="s">
        <v>694</v>
      </c>
      <c r="E1734" s="232" t="s">
        <v>789</v>
      </c>
      <c r="F1734" s="89" t="s">
        <v>332</v>
      </c>
    </row>
    <row r="1735" spans="2:6" x14ac:dyDescent="0.55000000000000004">
      <c r="B1735" s="213" t="s">
        <v>942</v>
      </c>
      <c r="C1735" s="225" t="s">
        <v>694</v>
      </c>
      <c r="D1735" s="225" t="s">
        <v>694</v>
      </c>
      <c r="E1735" s="232" t="s">
        <v>789</v>
      </c>
      <c r="F1735" s="89" t="s">
        <v>332</v>
      </c>
    </row>
    <row r="1736" spans="2:6" x14ac:dyDescent="0.55000000000000004">
      <c r="B1736" s="213" t="s">
        <v>942</v>
      </c>
      <c r="C1736" s="225" t="s">
        <v>695</v>
      </c>
      <c r="D1736" s="225" t="s">
        <v>695</v>
      </c>
      <c r="E1736" s="232" t="s">
        <v>789</v>
      </c>
      <c r="F1736" s="89" t="s">
        <v>332</v>
      </c>
    </row>
    <row r="1737" spans="2:6" x14ac:dyDescent="0.55000000000000004">
      <c r="B1737" s="213" t="s">
        <v>942</v>
      </c>
      <c r="C1737" s="225" t="s">
        <v>695</v>
      </c>
      <c r="D1737" s="225" t="s">
        <v>695</v>
      </c>
      <c r="E1737" s="232" t="s">
        <v>789</v>
      </c>
      <c r="F1737" s="89" t="s">
        <v>332</v>
      </c>
    </row>
    <row r="1738" spans="2:6" x14ac:dyDescent="0.55000000000000004">
      <c r="B1738" s="213" t="s">
        <v>942</v>
      </c>
      <c r="C1738" s="225" t="s">
        <v>696</v>
      </c>
      <c r="D1738" s="225" t="s">
        <v>696</v>
      </c>
      <c r="E1738" s="232" t="s">
        <v>789</v>
      </c>
      <c r="F1738" s="89" t="s">
        <v>332</v>
      </c>
    </row>
    <row r="1739" spans="2:6" x14ac:dyDescent="0.55000000000000004">
      <c r="B1739" s="213" t="s">
        <v>942</v>
      </c>
      <c r="C1739" s="225" t="s">
        <v>696</v>
      </c>
      <c r="D1739" s="225" t="s">
        <v>696</v>
      </c>
      <c r="E1739" s="232" t="s">
        <v>789</v>
      </c>
      <c r="F1739" s="89" t="s">
        <v>332</v>
      </c>
    </row>
    <row r="1740" spans="2:6" x14ac:dyDescent="0.55000000000000004">
      <c r="B1740" s="213" t="s">
        <v>942</v>
      </c>
      <c r="C1740" s="225" t="s">
        <v>697</v>
      </c>
      <c r="D1740" s="225" t="s">
        <v>697</v>
      </c>
      <c r="E1740" s="232" t="s">
        <v>789</v>
      </c>
      <c r="F1740" s="89" t="s">
        <v>332</v>
      </c>
    </row>
    <row r="1741" spans="2:6" x14ac:dyDescent="0.55000000000000004">
      <c r="B1741" s="213" t="s">
        <v>942</v>
      </c>
      <c r="C1741" s="225" t="s">
        <v>697</v>
      </c>
      <c r="D1741" s="225" t="s">
        <v>697</v>
      </c>
      <c r="E1741" s="232" t="s">
        <v>789</v>
      </c>
      <c r="F1741" s="89" t="s">
        <v>332</v>
      </c>
    </row>
    <row r="1742" spans="2:6" x14ac:dyDescent="0.55000000000000004">
      <c r="B1742" s="213" t="s">
        <v>942</v>
      </c>
      <c r="C1742" s="225" t="s">
        <v>698</v>
      </c>
      <c r="D1742" s="225" t="s">
        <v>698</v>
      </c>
      <c r="E1742" s="232" t="s">
        <v>789</v>
      </c>
      <c r="F1742" s="89" t="s">
        <v>332</v>
      </c>
    </row>
    <row r="1743" spans="2:6" x14ac:dyDescent="0.55000000000000004">
      <c r="B1743" s="213" t="s">
        <v>942</v>
      </c>
      <c r="C1743" s="225" t="s">
        <v>698</v>
      </c>
      <c r="D1743" s="225" t="s">
        <v>698</v>
      </c>
      <c r="E1743" s="232" t="s">
        <v>789</v>
      </c>
      <c r="F1743" s="89" t="s">
        <v>332</v>
      </c>
    </row>
    <row r="1744" spans="2:6" x14ac:dyDescent="0.55000000000000004">
      <c r="B1744" s="213" t="s">
        <v>942</v>
      </c>
      <c r="C1744" s="225" t="s">
        <v>699</v>
      </c>
      <c r="D1744" s="225" t="s">
        <v>699</v>
      </c>
      <c r="E1744" s="232" t="s">
        <v>789</v>
      </c>
      <c r="F1744" s="89" t="s">
        <v>332</v>
      </c>
    </row>
    <row r="1745" spans="2:6" x14ac:dyDescent="0.55000000000000004">
      <c r="B1745" s="213" t="s">
        <v>942</v>
      </c>
      <c r="C1745" s="225" t="s">
        <v>699</v>
      </c>
      <c r="D1745" s="225" t="s">
        <v>699</v>
      </c>
      <c r="E1745" s="232" t="s">
        <v>789</v>
      </c>
      <c r="F1745" s="89" t="s">
        <v>332</v>
      </c>
    </row>
    <row r="1746" spans="2:6" x14ac:dyDescent="0.55000000000000004">
      <c r="B1746" s="213" t="s">
        <v>942</v>
      </c>
      <c r="C1746" s="225" t="s">
        <v>700</v>
      </c>
      <c r="D1746" s="225" t="s">
        <v>700</v>
      </c>
      <c r="E1746" s="232" t="s">
        <v>789</v>
      </c>
      <c r="F1746" s="89" t="s">
        <v>332</v>
      </c>
    </row>
    <row r="1747" spans="2:6" x14ac:dyDescent="0.55000000000000004">
      <c r="B1747" s="213" t="s">
        <v>942</v>
      </c>
      <c r="C1747" s="225" t="s">
        <v>700</v>
      </c>
      <c r="D1747" s="225" t="s">
        <v>700</v>
      </c>
      <c r="E1747" s="232" t="s">
        <v>789</v>
      </c>
      <c r="F1747" s="89" t="s">
        <v>332</v>
      </c>
    </row>
    <row r="1748" spans="2:6" x14ac:dyDescent="0.55000000000000004">
      <c r="B1748" s="215" t="s">
        <v>943</v>
      </c>
      <c r="C1748" s="227" t="s">
        <v>701</v>
      </c>
      <c r="D1748" s="227" t="s">
        <v>701</v>
      </c>
      <c r="E1748" s="232" t="e">
        <v>#N/A</v>
      </c>
      <c r="F1748" s="89" t="s">
        <v>2433</v>
      </c>
    </row>
    <row r="1749" spans="2:6" x14ac:dyDescent="0.55000000000000004">
      <c r="B1749" s="213" t="s">
        <v>943</v>
      </c>
      <c r="C1749" s="225" t="s">
        <v>702</v>
      </c>
      <c r="D1749" s="225" t="s">
        <v>702</v>
      </c>
      <c r="E1749" s="232" t="s">
        <v>789</v>
      </c>
      <c r="F1749" s="89" t="s">
        <v>332</v>
      </c>
    </row>
    <row r="1750" spans="2:6" x14ac:dyDescent="0.55000000000000004">
      <c r="B1750" s="213" t="s">
        <v>943</v>
      </c>
      <c r="C1750" s="225" t="s">
        <v>702</v>
      </c>
      <c r="D1750" s="225" t="s">
        <v>702</v>
      </c>
      <c r="E1750" s="232" t="s">
        <v>789</v>
      </c>
      <c r="F1750" s="89" t="s">
        <v>332</v>
      </c>
    </row>
    <row r="1751" spans="2:6" x14ac:dyDescent="0.55000000000000004">
      <c r="B1751" s="213" t="s">
        <v>943</v>
      </c>
      <c r="C1751" s="225" t="s">
        <v>2771</v>
      </c>
      <c r="D1751" s="225" t="s">
        <v>1705</v>
      </c>
      <c r="E1751" s="232" t="s">
        <v>789</v>
      </c>
      <c r="F1751" s="89" t="s">
        <v>332</v>
      </c>
    </row>
    <row r="1752" spans="2:6" x14ac:dyDescent="0.55000000000000004">
      <c r="B1752" s="213" t="s">
        <v>943</v>
      </c>
      <c r="C1752" s="225" t="s">
        <v>2771</v>
      </c>
      <c r="D1752" s="225" t="s">
        <v>1705</v>
      </c>
      <c r="E1752" s="232" t="s">
        <v>789</v>
      </c>
      <c r="F1752" s="89" t="s">
        <v>332</v>
      </c>
    </row>
    <row r="1753" spans="2:6" x14ac:dyDescent="0.55000000000000004">
      <c r="B1753" s="213" t="s">
        <v>943</v>
      </c>
      <c r="C1753" s="225" t="s">
        <v>1706</v>
      </c>
      <c r="D1753" s="225" t="s">
        <v>1706</v>
      </c>
      <c r="E1753" s="232" t="s">
        <v>789</v>
      </c>
      <c r="F1753" s="89" t="s">
        <v>332</v>
      </c>
    </row>
    <row r="1754" spans="2:6" x14ac:dyDescent="0.55000000000000004">
      <c r="B1754" s="213" t="s">
        <v>943</v>
      </c>
      <c r="C1754" s="225" t="s">
        <v>1706</v>
      </c>
      <c r="D1754" s="225" t="s">
        <v>1706</v>
      </c>
      <c r="E1754" s="232" t="s">
        <v>789</v>
      </c>
      <c r="F1754" s="89" t="s">
        <v>332</v>
      </c>
    </row>
    <row r="1755" spans="2:6" x14ac:dyDescent="0.55000000000000004">
      <c r="B1755" s="213" t="s">
        <v>943</v>
      </c>
      <c r="C1755" s="225" t="s">
        <v>703</v>
      </c>
      <c r="D1755" s="225" t="s">
        <v>703</v>
      </c>
      <c r="E1755" s="232" t="s">
        <v>789</v>
      </c>
      <c r="F1755" s="89" t="s">
        <v>332</v>
      </c>
    </row>
    <row r="1756" spans="2:6" x14ac:dyDescent="0.55000000000000004">
      <c r="B1756" s="213" t="s">
        <v>943</v>
      </c>
      <c r="C1756" s="225" t="s">
        <v>703</v>
      </c>
      <c r="D1756" s="225" t="s">
        <v>703</v>
      </c>
      <c r="E1756" s="232" t="s">
        <v>789</v>
      </c>
      <c r="F1756" s="89" t="s">
        <v>332</v>
      </c>
    </row>
    <row r="1757" spans="2:6" x14ac:dyDescent="0.55000000000000004">
      <c r="B1757" s="213" t="s">
        <v>943</v>
      </c>
      <c r="C1757" s="225" t="s">
        <v>704</v>
      </c>
      <c r="D1757" s="225" t="s">
        <v>704</v>
      </c>
      <c r="E1757" s="232" t="s">
        <v>789</v>
      </c>
      <c r="F1757" s="89" t="s">
        <v>332</v>
      </c>
    </row>
    <row r="1758" spans="2:6" x14ac:dyDescent="0.55000000000000004">
      <c r="B1758" s="213" t="s">
        <v>943</v>
      </c>
      <c r="C1758" s="225" t="s">
        <v>704</v>
      </c>
      <c r="D1758" s="225" t="s">
        <v>704</v>
      </c>
      <c r="E1758" s="232" t="s">
        <v>789</v>
      </c>
      <c r="F1758" s="89" t="s">
        <v>332</v>
      </c>
    </row>
    <row r="1759" spans="2:6" x14ac:dyDescent="0.55000000000000004">
      <c r="B1759" s="213" t="s">
        <v>943</v>
      </c>
      <c r="C1759" s="225" t="s">
        <v>705</v>
      </c>
      <c r="D1759" s="225" t="s">
        <v>705</v>
      </c>
      <c r="E1759" s="232" t="s">
        <v>789</v>
      </c>
      <c r="F1759" s="89" t="s">
        <v>332</v>
      </c>
    </row>
    <row r="1760" spans="2:6" x14ac:dyDescent="0.55000000000000004">
      <c r="B1760" s="213" t="s">
        <v>943</v>
      </c>
      <c r="C1760" s="225" t="s">
        <v>705</v>
      </c>
      <c r="D1760" s="225" t="s">
        <v>705</v>
      </c>
      <c r="E1760" s="232" t="s">
        <v>789</v>
      </c>
      <c r="F1760" s="89" t="s">
        <v>332</v>
      </c>
    </row>
    <row r="1761" spans="2:6" x14ac:dyDescent="0.55000000000000004">
      <c r="B1761" s="213" t="s">
        <v>943</v>
      </c>
      <c r="C1761" s="225" t="s">
        <v>1707</v>
      </c>
      <c r="D1761" s="225" t="s">
        <v>1707</v>
      </c>
      <c r="E1761" s="232" t="s">
        <v>789</v>
      </c>
      <c r="F1761" s="89" t="s">
        <v>332</v>
      </c>
    </row>
    <row r="1762" spans="2:6" x14ac:dyDescent="0.55000000000000004">
      <c r="B1762" s="213" t="s">
        <v>943</v>
      </c>
      <c r="C1762" s="225" t="s">
        <v>1707</v>
      </c>
      <c r="D1762" s="225" t="s">
        <v>1707</v>
      </c>
      <c r="E1762" s="232" t="s">
        <v>789</v>
      </c>
      <c r="F1762" s="89" t="s">
        <v>332</v>
      </c>
    </row>
    <row r="1763" spans="2:6" x14ac:dyDescent="0.55000000000000004">
      <c r="B1763" s="213" t="s">
        <v>943</v>
      </c>
      <c r="C1763" s="225" t="s">
        <v>706</v>
      </c>
      <c r="D1763" s="225" t="s">
        <v>706</v>
      </c>
      <c r="E1763" s="232" t="s">
        <v>789</v>
      </c>
      <c r="F1763" s="89" t="s">
        <v>332</v>
      </c>
    </row>
    <row r="1764" spans="2:6" x14ac:dyDescent="0.55000000000000004">
      <c r="B1764" s="213" t="s">
        <v>943</v>
      </c>
      <c r="C1764" s="225" t="s">
        <v>706</v>
      </c>
      <c r="D1764" s="225" t="s">
        <v>706</v>
      </c>
      <c r="E1764" s="232" t="s">
        <v>789</v>
      </c>
      <c r="F1764" s="89" t="s">
        <v>332</v>
      </c>
    </row>
    <row r="1765" spans="2:6" x14ac:dyDescent="0.55000000000000004">
      <c r="B1765" s="213" t="s">
        <v>943</v>
      </c>
      <c r="C1765" s="225" t="s">
        <v>707</v>
      </c>
      <c r="D1765" s="225" t="s">
        <v>707</v>
      </c>
      <c r="E1765" s="232" t="s">
        <v>789</v>
      </c>
      <c r="F1765" s="89" t="s">
        <v>332</v>
      </c>
    </row>
    <row r="1766" spans="2:6" x14ac:dyDescent="0.55000000000000004">
      <c r="B1766" s="213" t="s">
        <v>943</v>
      </c>
      <c r="C1766" s="225" t="s">
        <v>707</v>
      </c>
      <c r="D1766" s="225" t="s">
        <v>707</v>
      </c>
      <c r="E1766" s="232" t="s">
        <v>789</v>
      </c>
      <c r="F1766" s="89" t="s">
        <v>332</v>
      </c>
    </row>
    <row r="1767" spans="2:6" x14ac:dyDescent="0.55000000000000004">
      <c r="B1767" s="213" t="s">
        <v>943</v>
      </c>
      <c r="C1767" s="226" t="s">
        <v>2562</v>
      </c>
      <c r="D1767" s="226" t="s">
        <v>708</v>
      </c>
      <c r="E1767" s="232" t="s">
        <v>789</v>
      </c>
      <c r="F1767" s="89" t="s">
        <v>332</v>
      </c>
    </row>
    <row r="1768" spans="2:6" x14ac:dyDescent="0.55000000000000004">
      <c r="B1768" s="213" t="s">
        <v>943</v>
      </c>
      <c r="C1768" s="225" t="s">
        <v>709</v>
      </c>
      <c r="D1768" s="225" t="s">
        <v>709</v>
      </c>
      <c r="E1768" s="232" t="s">
        <v>789</v>
      </c>
      <c r="F1768" s="89" t="s">
        <v>332</v>
      </c>
    </row>
    <row r="1769" spans="2:6" x14ac:dyDescent="0.55000000000000004">
      <c r="B1769" s="213" t="s">
        <v>943</v>
      </c>
      <c r="C1769" s="225" t="s">
        <v>709</v>
      </c>
      <c r="D1769" s="225" t="s">
        <v>709</v>
      </c>
      <c r="E1769" s="232" t="s">
        <v>789</v>
      </c>
      <c r="F1769" s="89" t="s">
        <v>332</v>
      </c>
    </row>
    <row r="1770" spans="2:6" x14ac:dyDescent="0.55000000000000004">
      <c r="B1770" s="213" t="s">
        <v>943</v>
      </c>
      <c r="C1770" s="225" t="s">
        <v>710</v>
      </c>
      <c r="D1770" s="225" t="s">
        <v>710</v>
      </c>
      <c r="E1770" s="232" t="s">
        <v>789</v>
      </c>
      <c r="F1770" s="89" t="s">
        <v>332</v>
      </c>
    </row>
    <row r="1771" spans="2:6" x14ac:dyDescent="0.55000000000000004">
      <c r="B1771" s="213" t="s">
        <v>943</v>
      </c>
      <c r="C1771" s="225" t="s">
        <v>710</v>
      </c>
      <c r="D1771" s="225" t="s">
        <v>710</v>
      </c>
      <c r="E1771" s="232" t="s">
        <v>789</v>
      </c>
      <c r="F1771" s="89" t="s">
        <v>332</v>
      </c>
    </row>
    <row r="1772" spans="2:6" x14ac:dyDescent="0.55000000000000004">
      <c r="B1772" s="213" t="s">
        <v>943</v>
      </c>
      <c r="C1772" s="225" t="s">
        <v>2792</v>
      </c>
      <c r="D1772" s="225" t="s">
        <v>711</v>
      </c>
      <c r="E1772" s="232" t="s">
        <v>789</v>
      </c>
      <c r="F1772" s="89" t="s">
        <v>332</v>
      </c>
    </row>
    <row r="1773" spans="2:6" x14ac:dyDescent="0.55000000000000004">
      <c r="B1773" s="213" t="s">
        <v>943</v>
      </c>
      <c r="C1773" s="225" t="s">
        <v>2792</v>
      </c>
      <c r="D1773" s="225" t="s">
        <v>711</v>
      </c>
      <c r="E1773" s="232" t="s">
        <v>789</v>
      </c>
      <c r="F1773" s="89" t="s">
        <v>332</v>
      </c>
    </row>
    <row r="1774" spans="2:6" x14ac:dyDescent="0.55000000000000004">
      <c r="B1774" s="213" t="s">
        <v>943</v>
      </c>
      <c r="C1774" s="225" t="s">
        <v>2794</v>
      </c>
      <c r="D1774" s="225" t="s">
        <v>712</v>
      </c>
      <c r="E1774" s="232" t="s">
        <v>789</v>
      </c>
      <c r="F1774" s="89" t="s">
        <v>332</v>
      </c>
    </row>
    <row r="1775" spans="2:6" x14ac:dyDescent="0.55000000000000004">
      <c r="B1775" s="213" t="s">
        <v>943</v>
      </c>
      <c r="C1775" s="225" t="s">
        <v>2794</v>
      </c>
      <c r="D1775" s="225" t="s">
        <v>712</v>
      </c>
      <c r="E1775" s="232" t="s">
        <v>789</v>
      </c>
      <c r="F1775" s="89" t="s">
        <v>332</v>
      </c>
    </row>
    <row r="1776" spans="2:6" x14ac:dyDescent="0.55000000000000004">
      <c r="B1776" s="213" t="s">
        <v>943</v>
      </c>
      <c r="C1776" s="225" t="s">
        <v>713</v>
      </c>
      <c r="D1776" s="225" t="s">
        <v>713</v>
      </c>
      <c r="E1776" s="232" t="s">
        <v>789</v>
      </c>
      <c r="F1776" s="89" t="s">
        <v>332</v>
      </c>
    </row>
    <row r="1777" spans="2:6" x14ac:dyDescent="0.55000000000000004">
      <c r="B1777" s="213" t="s">
        <v>943</v>
      </c>
      <c r="C1777" s="225" t="s">
        <v>713</v>
      </c>
      <c r="D1777" s="225" t="s">
        <v>713</v>
      </c>
      <c r="E1777" s="232" t="s">
        <v>789</v>
      </c>
      <c r="F1777" s="89" t="s">
        <v>332</v>
      </c>
    </row>
    <row r="1778" spans="2:6" x14ac:dyDescent="0.55000000000000004">
      <c r="B1778" s="213" t="s">
        <v>943</v>
      </c>
      <c r="C1778" s="226" t="s">
        <v>2797</v>
      </c>
      <c r="D1778" s="226" t="s">
        <v>714</v>
      </c>
      <c r="E1778" s="232" t="s">
        <v>789</v>
      </c>
      <c r="F1778" s="89" t="s">
        <v>332</v>
      </c>
    </row>
    <row r="1779" spans="2:6" x14ac:dyDescent="0.55000000000000004">
      <c r="B1779" s="213" t="s">
        <v>943</v>
      </c>
      <c r="C1779" s="225" t="s">
        <v>1708</v>
      </c>
      <c r="D1779" s="225" t="s">
        <v>1708</v>
      </c>
      <c r="E1779" s="232" t="s">
        <v>789</v>
      </c>
      <c r="F1779" s="89" t="s">
        <v>332</v>
      </c>
    </row>
    <row r="1780" spans="2:6" x14ac:dyDescent="0.55000000000000004">
      <c r="B1780" s="213" t="s">
        <v>943</v>
      </c>
      <c r="C1780" s="225" t="s">
        <v>1708</v>
      </c>
      <c r="D1780" s="225" t="s">
        <v>1708</v>
      </c>
      <c r="E1780" s="232" t="s">
        <v>789</v>
      </c>
      <c r="F1780" s="89" t="s">
        <v>332</v>
      </c>
    </row>
    <row r="1781" spans="2:6" x14ac:dyDescent="0.55000000000000004">
      <c r="B1781" s="213" t="s">
        <v>943</v>
      </c>
      <c r="C1781" s="225" t="s">
        <v>2568</v>
      </c>
      <c r="D1781" s="225" t="s">
        <v>1709</v>
      </c>
      <c r="E1781" s="232" t="s">
        <v>789</v>
      </c>
      <c r="F1781" s="89" t="s">
        <v>332</v>
      </c>
    </row>
    <row r="1782" spans="2:6" x14ac:dyDescent="0.55000000000000004">
      <c r="B1782" s="213" t="s">
        <v>943</v>
      </c>
      <c r="C1782" s="225" t="s">
        <v>2568</v>
      </c>
      <c r="D1782" s="225" t="s">
        <v>1709</v>
      </c>
      <c r="E1782" s="232" t="s">
        <v>789</v>
      </c>
      <c r="F1782" s="89" t="s">
        <v>332</v>
      </c>
    </row>
    <row r="1783" spans="2:6" x14ac:dyDescent="0.55000000000000004">
      <c r="B1783" s="213" t="s">
        <v>943</v>
      </c>
      <c r="C1783" s="225" t="s">
        <v>715</v>
      </c>
      <c r="D1783" s="225" t="s">
        <v>715</v>
      </c>
      <c r="E1783" s="232" t="s">
        <v>789</v>
      </c>
      <c r="F1783" s="89" t="s">
        <v>332</v>
      </c>
    </row>
    <row r="1784" spans="2:6" x14ac:dyDescent="0.55000000000000004">
      <c r="B1784" s="213" t="s">
        <v>943</v>
      </c>
      <c r="C1784" s="225" t="s">
        <v>715</v>
      </c>
      <c r="D1784" s="225" t="s">
        <v>715</v>
      </c>
      <c r="E1784" s="232" t="s">
        <v>789</v>
      </c>
      <c r="F1784" s="89" t="s">
        <v>332</v>
      </c>
    </row>
    <row r="1785" spans="2:6" x14ac:dyDescent="0.55000000000000004">
      <c r="B1785" s="213" t="s">
        <v>943</v>
      </c>
      <c r="C1785" s="225" t="s">
        <v>716</v>
      </c>
      <c r="D1785" s="225" t="s">
        <v>716</v>
      </c>
      <c r="E1785" s="232" t="s">
        <v>789</v>
      </c>
      <c r="F1785" s="89" t="s">
        <v>332</v>
      </c>
    </row>
    <row r="1786" spans="2:6" x14ac:dyDescent="0.55000000000000004">
      <c r="B1786" s="213" t="s">
        <v>943</v>
      </c>
      <c r="C1786" s="225" t="s">
        <v>716</v>
      </c>
      <c r="D1786" s="225" t="s">
        <v>716</v>
      </c>
      <c r="E1786" s="232" t="s">
        <v>789</v>
      </c>
      <c r="F1786" s="89" t="s">
        <v>332</v>
      </c>
    </row>
    <row r="1787" spans="2:6" x14ac:dyDescent="0.55000000000000004">
      <c r="B1787" s="213" t="s">
        <v>943</v>
      </c>
      <c r="C1787" s="225" t="s">
        <v>717</v>
      </c>
      <c r="D1787" s="225" t="s">
        <v>717</v>
      </c>
      <c r="E1787" s="232" t="s">
        <v>789</v>
      </c>
      <c r="F1787" s="89" t="s">
        <v>332</v>
      </c>
    </row>
    <row r="1788" spans="2:6" x14ac:dyDescent="0.55000000000000004">
      <c r="B1788" s="213" t="s">
        <v>943</v>
      </c>
      <c r="C1788" s="225" t="s">
        <v>717</v>
      </c>
      <c r="D1788" s="225" t="s">
        <v>717</v>
      </c>
      <c r="E1788" s="232" t="s">
        <v>789</v>
      </c>
      <c r="F1788" s="89" t="s">
        <v>332</v>
      </c>
    </row>
    <row r="1789" spans="2:6" x14ac:dyDescent="0.55000000000000004">
      <c r="B1789" s="213" t="s">
        <v>943</v>
      </c>
      <c r="C1789" s="225" t="s">
        <v>2806</v>
      </c>
      <c r="D1789" s="225" t="s">
        <v>718</v>
      </c>
      <c r="E1789" s="232" t="s">
        <v>789</v>
      </c>
      <c r="F1789" s="89" t="s">
        <v>332</v>
      </c>
    </row>
    <row r="1790" spans="2:6" x14ac:dyDescent="0.55000000000000004">
      <c r="B1790" s="213" t="s">
        <v>943</v>
      </c>
      <c r="C1790" s="225" t="s">
        <v>2806</v>
      </c>
      <c r="D1790" s="225" t="s">
        <v>718</v>
      </c>
      <c r="E1790" s="232" t="s">
        <v>789</v>
      </c>
      <c r="F1790" s="89" t="s">
        <v>332</v>
      </c>
    </row>
    <row r="1791" spans="2:6" x14ac:dyDescent="0.55000000000000004">
      <c r="B1791" s="213" t="s">
        <v>943</v>
      </c>
      <c r="C1791" s="225" t="s">
        <v>719</v>
      </c>
      <c r="D1791" s="225" t="s">
        <v>719</v>
      </c>
      <c r="E1791" s="232" t="s">
        <v>789</v>
      </c>
      <c r="F1791" s="89" t="s">
        <v>332</v>
      </c>
    </row>
    <row r="1792" spans="2:6" x14ac:dyDescent="0.55000000000000004">
      <c r="B1792" s="213" t="s">
        <v>943</v>
      </c>
      <c r="C1792" s="225" t="s">
        <v>719</v>
      </c>
      <c r="D1792" s="225" t="s">
        <v>719</v>
      </c>
      <c r="E1792" s="232" t="s">
        <v>789</v>
      </c>
      <c r="F1792" s="89" t="s">
        <v>332</v>
      </c>
    </row>
    <row r="1793" spans="2:6" x14ac:dyDescent="0.55000000000000004">
      <c r="B1793" s="213" t="s">
        <v>943</v>
      </c>
      <c r="C1793" s="225" t="s">
        <v>2810</v>
      </c>
      <c r="D1793" s="225" t="s">
        <v>720</v>
      </c>
      <c r="E1793" s="232" t="s">
        <v>645</v>
      </c>
      <c r="F1793" s="89" t="s">
        <v>338</v>
      </c>
    </row>
    <row r="1794" spans="2:6" x14ac:dyDescent="0.55000000000000004">
      <c r="B1794" s="213" t="s">
        <v>943</v>
      </c>
      <c r="C1794" s="225" t="s">
        <v>721</v>
      </c>
      <c r="D1794" s="225" t="s">
        <v>721</v>
      </c>
      <c r="E1794" s="232" t="s">
        <v>789</v>
      </c>
      <c r="F1794" s="89" t="s">
        <v>332</v>
      </c>
    </row>
    <row r="1795" spans="2:6" x14ac:dyDescent="0.55000000000000004">
      <c r="B1795" s="213" t="s">
        <v>943</v>
      </c>
      <c r="C1795" s="225" t="s">
        <v>721</v>
      </c>
      <c r="D1795" s="225" t="s">
        <v>721</v>
      </c>
      <c r="E1795" s="232" t="s">
        <v>789</v>
      </c>
      <c r="F1795" s="89" t="s">
        <v>332</v>
      </c>
    </row>
    <row r="1796" spans="2:6" x14ac:dyDescent="0.55000000000000004">
      <c r="B1796" s="213" t="s">
        <v>943</v>
      </c>
      <c r="C1796" s="226" t="s">
        <v>722</v>
      </c>
      <c r="D1796" s="226" t="s">
        <v>722</v>
      </c>
      <c r="E1796" s="232" t="s">
        <v>789</v>
      </c>
      <c r="F1796" s="89" t="s">
        <v>332</v>
      </c>
    </row>
    <row r="1797" spans="2:6" x14ac:dyDescent="0.55000000000000004">
      <c r="B1797" s="213" t="s">
        <v>943</v>
      </c>
      <c r="C1797" s="226" t="s">
        <v>722</v>
      </c>
      <c r="D1797" s="226" t="s">
        <v>722</v>
      </c>
      <c r="E1797" s="232" t="s">
        <v>789</v>
      </c>
      <c r="F1797" s="89" t="s">
        <v>332</v>
      </c>
    </row>
    <row r="1798" spans="2:6" x14ac:dyDescent="0.55000000000000004">
      <c r="B1798" s="213" t="s">
        <v>943</v>
      </c>
      <c r="C1798" s="225" t="s">
        <v>723</v>
      </c>
      <c r="D1798" s="225" t="s">
        <v>723</v>
      </c>
      <c r="E1798" s="232" t="s">
        <v>789</v>
      </c>
      <c r="F1798" s="89" t="s">
        <v>332</v>
      </c>
    </row>
    <row r="1799" spans="2:6" x14ac:dyDescent="0.55000000000000004">
      <c r="B1799" s="213" t="s">
        <v>943</v>
      </c>
      <c r="C1799" s="225" t="s">
        <v>723</v>
      </c>
      <c r="D1799" s="225" t="s">
        <v>723</v>
      </c>
      <c r="E1799" s="232" t="s">
        <v>789</v>
      </c>
      <c r="F1799" s="89" t="s">
        <v>332</v>
      </c>
    </row>
    <row r="1800" spans="2:6" x14ac:dyDescent="0.55000000000000004">
      <c r="B1800" s="213" t="s">
        <v>943</v>
      </c>
      <c r="C1800" s="225" t="s">
        <v>724</v>
      </c>
      <c r="D1800" s="225" t="s">
        <v>724</v>
      </c>
      <c r="E1800" s="232" t="s">
        <v>789</v>
      </c>
      <c r="F1800" s="89" t="s">
        <v>332</v>
      </c>
    </row>
    <row r="1801" spans="2:6" x14ac:dyDescent="0.55000000000000004">
      <c r="B1801" s="213" t="s">
        <v>943</v>
      </c>
      <c r="C1801" s="225" t="s">
        <v>724</v>
      </c>
      <c r="D1801" s="225" t="s">
        <v>724</v>
      </c>
      <c r="E1801" s="232" t="s">
        <v>789</v>
      </c>
      <c r="F1801" s="89" t="s">
        <v>332</v>
      </c>
    </row>
    <row r="1802" spans="2:6" x14ac:dyDescent="0.55000000000000004">
      <c r="B1802" s="213" t="s">
        <v>943</v>
      </c>
      <c r="C1802" s="225" t="s">
        <v>725</v>
      </c>
      <c r="D1802" s="225" t="s">
        <v>725</v>
      </c>
      <c r="E1802" s="232" t="s">
        <v>789</v>
      </c>
      <c r="F1802" s="89" t="s">
        <v>332</v>
      </c>
    </row>
    <row r="1803" spans="2:6" x14ac:dyDescent="0.55000000000000004">
      <c r="B1803" s="213" t="s">
        <v>943</v>
      </c>
      <c r="C1803" s="225" t="s">
        <v>725</v>
      </c>
      <c r="D1803" s="225" t="s">
        <v>725</v>
      </c>
      <c r="E1803" s="232" t="s">
        <v>789</v>
      </c>
      <c r="F1803" s="89" t="s">
        <v>332</v>
      </c>
    </row>
    <row r="1804" spans="2:6" x14ac:dyDescent="0.55000000000000004">
      <c r="B1804" s="213" t="s">
        <v>943</v>
      </c>
      <c r="C1804" s="225" t="s">
        <v>726</v>
      </c>
      <c r="D1804" s="225" t="s">
        <v>726</v>
      </c>
      <c r="E1804" s="232" t="s">
        <v>789</v>
      </c>
      <c r="F1804" s="89" t="s">
        <v>332</v>
      </c>
    </row>
    <row r="1805" spans="2:6" x14ac:dyDescent="0.55000000000000004">
      <c r="B1805" s="213" t="s">
        <v>943</v>
      </c>
      <c r="C1805" s="225" t="s">
        <v>726</v>
      </c>
      <c r="D1805" s="225" t="s">
        <v>726</v>
      </c>
      <c r="E1805" s="232" t="s">
        <v>789</v>
      </c>
      <c r="F1805" s="89" t="s">
        <v>332</v>
      </c>
    </row>
    <row r="1806" spans="2:6" x14ac:dyDescent="0.55000000000000004">
      <c r="B1806" s="212">
        <v>20</v>
      </c>
      <c r="C1806" s="224" t="s">
        <v>727</v>
      </c>
      <c r="D1806" s="224" t="s">
        <v>727</v>
      </c>
      <c r="E1806" s="232" t="e">
        <v>#N/A</v>
      </c>
      <c r="F1806" s="89" t="s">
        <v>2433</v>
      </c>
    </row>
    <row r="1807" spans="2:6" x14ac:dyDescent="0.55000000000000004">
      <c r="B1807" s="213">
        <v>20</v>
      </c>
      <c r="C1807" s="225" t="s">
        <v>1710</v>
      </c>
      <c r="D1807" s="225" t="s">
        <v>1710</v>
      </c>
      <c r="E1807" s="232" t="s">
        <v>645</v>
      </c>
      <c r="F1807" s="89" t="s">
        <v>338</v>
      </c>
    </row>
    <row r="1808" spans="2:6" x14ac:dyDescent="0.55000000000000004">
      <c r="B1808" s="213">
        <v>20</v>
      </c>
      <c r="C1808" s="225" t="s">
        <v>1711</v>
      </c>
      <c r="D1808" s="225" t="s">
        <v>1711</v>
      </c>
      <c r="E1808" s="232" t="s">
        <v>645</v>
      </c>
      <c r="F1808" s="89" t="s">
        <v>338</v>
      </c>
    </row>
    <row r="1809" spans="2:6" x14ac:dyDescent="0.55000000000000004">
      <c r="B1809" s="213">
        <v>20</v>
      </c>
      <c r="C1809" s="225" t="s">
        <v>1712</v>
      </c>
      <c r="D1809" s="225" t="s">
        <v>1712</v>
      </c>
      <c r="E1809" s="232" t="s">
        <v>645</v>
      </c>
      <c r="F1809" s="89" t="s">
        <v>338</v>
      </c>
    </row>
    <row r="1810" spans="2:6" x14ac:dyDescent="0.55000000000000004">
      <c r="B1810" s="213">
        <v>20</v>
      </c>
      <c r="C1810" s="225" t="s">
        <v>2829</v>
      </c>
      <c r="D1810" s="225" t="s">
        <v>1713</v>
      </c>
      <c r="E1810" s="232" t="s">
        <v>645</v>
      </c>
      <c r="F1810" s="89" t="s">
        <v>338</v>
      </c>
    </row>
    <row r="1811" spans="2:6" ht="25.8" x14ac:dyDescent="0.55000000000000004">
      <c r="B1811" s="214">
        <v>20</v>
      </c>
      <c r="C1811" s="226" t="s">
        <v>1714</v>
      </c>
      <c r="D1811" s="226" t="s">
        <v>1714</v>
      </c>
      <c r="E1811" s="232" t="s">
        <v>265</v>
      </c>
      <c r="F1811" s="89" t="s">
        <v>265</v>
      </c>
    </row>
    <row r="1812" spans="2:6" ht="25.8" x14ac:dyDescent="0.55000000000000004">
      <c r="B1812" s="213">
        <v>20</v>
      </c>
      <c r="C1812" s="226" t="s">
        <v>1714</v>
      </c>
      <c r="D1812" s="226" t="s">
        <v>1714</v>
      </c>
      <c r="E1812" s="232" t="s">
        <v>265</v>
      </c>
      <c r="F1812" s="89" t="s">
        <v>265</v>
      </c>
    </row>
    <row r="1813" spans="2:6" ht="25.8" x14ac:dyDescent="0.55000000000000004">
      <c r="B1813" s="213">
        <v>20</v>
      </c>
      <c r="C1813" s="226" t="s">
        <v>1714</v>
      </c>
      <c r="D1813" s="226" t="s">
        <v>1714</v>
      </c>
      <c r="E1813" s="232" t="s">
        <v>265</v>
      </c>
      <c r="F1813" s="89" t="s">
        <v>265</v>
      </c>
    </row>
    <row r="1814" spans="2:6" ht="25.8" x14ac:dyDescent="0.55000000000000004">
      <c r="B1814" s="213">
        <v>20</v>
      </c>
      <c r="C1814" s="225" t="s">
        <v>1715</v>
      </c>
      <c r="D1814" s="225" t="s">
        <v>1715</v>
      </c>
      <c r="E1814" s="232" t="s">
        <v>645</v>
      </c>
      <c r="F1814" s="89" t="s">
        <v>338</v>
      </c>
    </row>
    <row r="1815" spans="2:6" x14ac:dyDescent="0.55000000000000004">
      <c r="B1815" s="213">
        <v>20</v>
      </c>
      <c r="C1815" s="225" t="s">
        <v>1716</v>
      </c>
      <c r="D1815" s="225" t="s">
        <v>1716</v>
      </c>
      <c r="E1815" s="232" t="s">
        <v>645</v>
      </c>
      <c r="F1815" s="89" t="s">
        <v>338</v>
      </c>
    </row>
    <row r="1816" spans="2:6" x14ac:dyDescent="0.55000000000000004">
      <c r="B1816" s="213">
        <v>20</v>
      </c>
      <c r="C1816" s="225" t="s">
        <v>1717</v>
      </c>
      <c r="D1816" s="225" t="s">
        <v>1717</v>
      </c>
      <c r="E1816" s="232" t="s">
        <v>645</v>
      </c>
      <c r="F1816" s="89" t="s">
        <v>338</v>
      </c>
    </row>
    <row r="1817" spans="2:6" x14ac:dyDescent="0.55000000000000004">
      <c r="B1817" s="213">
        <v>20</v>
      </c>
      <c r="C1817" s="225" t="s">
        <v>1718</v>
      </c>
      <c r="D1817" s="225" t="s">
        <v>1718</v>
      </c>
      <c r="E1817" s="232" t="s">
        <v>645</v>
      </c>
      <c r="F1817" s="89" t="s">
        <v>338</v>
      </c>
    </row>
    <row r="1818" spans="2:6" x14ac:dyDescent="0.55000000000000004">
      <c r="B1818" s="213">
        <v>20</v>
      </c>
      <c r="C1818" s="225" t="s">
        <v>1719</v>
      </c>
      <c r="D1818" s="225" t="s">
        <v>1719</v>
      </c>
      <c r="E1818" s="232" t="s">
        <v>645</v>
      </c>
      <c r="F1818" s="89" t="s">
        <v>338</v>
      </c>
    </row>
    <row r="1819" spans="2:6" x14ac:dyDescent="0.55000000000000004">
      <c r="B1819" s="213">
        <v>20</v>
      </c>
      <c r="C1819" s="225" t="s">
        <v>1720</v>
      </c>
      <c r="D1819" s="225" t="s">
        <v>1720</v>
      </c>
      <c r="E1819" s="232" t="s">
        <v>633</v>
      </c>
      <c r="F1819" s="89" t="s">
        <v>416</v>
      </c>
    </row>
    <row r="1820" spans="2:6" x14ac:dyDescent="0.55000000000000004">
      <c r="B1820" s="213">
        <v>20</v>
      </c>
      <c r="C1820" s="225" t="s">
        <v>2830</v>
      </c>
      <c r="D1820" s="225" t="s">
        <v>1721</v>
      </c>
      <c r="E1820" s="232" t="s">
        <v>633</v>
      </c>
      <c r="F1820" s="89" t="s">
        <v>416</v>
      </c>
    </row>
    <row r="1821" spans="2:6" ht="25.8" x14ac:dyDescent="0.55000000000000004">
      <c r="B1821" s="213">
        <v>20</v>
      </c>
      <c r="C1821" s="225" t="s">
        <v>2831</v>
      </c>
      <c r="D1821" s="225" t="s">
        <v>1722</v>
      </c>
      <c r="E1821" s="232" t="s">
        <v>645</v>
      </c>
      <c r="F1821" s="89" t="s">
        <v>338</v>
      </c>
    </row>
    <row r="1822" spans="2:6" ht="25.8" x14ac:dyDescent="0.55000000000000004">
      <c r="B1822" s="213">
        <v>20</v>
      </c>
      <c r="C1822" s="225" t="s">
        <v>2832</v>
      </c>
      <c r="D1822" s="225" t="s">
        <v>1723</v>
      </c>
      <c r="E1822" s="232" t="s">
        <v>645</v>
      </c>
      <c r="F1822" s="89" t="s">
        <v>338</v>
      </c>
    </row>
    <row r="1823" spans="2:6" ht="25.8" x14ac:dyDescent="0.55000000000000004">
      <c r="B1823" s="213">
        <v>20</v>
      </c>
      <c r="C1823" s="225" t="s">
        <v>2833</v>
      </c>
      <c r="D1823" s="225" t="s">
        <v>1724</v>
      </c>
      <c r="E1823" s="232" t="s">
        <v>645</v>
      </c>
      <c r="F1823" s="89" t="s">
        <v>338</v>
      </c>
    </row>
    <row r="1824" spans="2:6" x14ac:dyDescent="0.55000000000000004">
      <c r="B1824" s="213">
        <v>20</v>
      </c>
      <c r="C1824" s="225" t="s">
        <v>1725</v>
      </c>
      <c r="D1824" s="225" t="s">
        <v>1725</v>
      </c>
      <c r="E1824" s="232" t="s">
        <v>645</v>
      </c>
      <c r="F1824" s="89" t="s">
        <v>338</v>
      </c>
    </row>
    <row r="1825" spans="2:6" ht="25.8" x14ac:dyDescent="0.55000000000000004">
      <c r="B1825" s="213">
        <v>20</v>
      </c>
      <c r="C1825" s="225" t="s">
        <v>1726</v>
      </c>
      <c r="D1825" s="225" t="s">
        <v>1726</v>
      </c>
      <c r="E1825" s="232" t="s">
        <v>645</v>
      </c>
      <c r="F1825" s="89" t="s">
        <v>338</v>
      </c>
    </row>
    <row r="1826" spans="2:6" x14ac:dyDescent="0.55000000000000004">
      <c r="B1826" s="213">
        <v>20</v>
      </c>
      <c r="C1826" s="225" t="s">
        <v>1727</v>
      </c>
      <c r="D1826" s="225" t="s">
        <v>1727</v>
      </c>
      <c r="E1826" s="232" t="s">
        <v>645</v>
      </c>
      <c r="F1826" s="89" t="s">
        <v>338</v>
      </c>
    </row>
    <row r="1827" spans="2:6" ht="25.8" x14ac:dyDescent="0.55000000000000004">
      <c r="B1827" s="213">
        <v>20</v>
      </c>
      <c r="C1827" s="225" t="s">
        <v>1728</v>
      </c>
      <c r="D1827" s="225" t="s">
        <v>1728</v>
      </c>
      <c r="E1827" s="232" t="s">
        <v>645</v>
      </c>
      <c r="F1827" s="89" t="s">
        <v>338</v>
      </c>
    </row>
    <row r="1828" spans="2:6" x14ac:dyDescent="0.55000000000000004">
      <c r="B1828" s="213">
        <v>20</v>
      </c>
      <c r="C1828" s="225" t="s">
        <v>2834</v>
      </c>
      <c r="D1828" s="225" t="s">
        <v>1729</v>
      </c>
      <c r="E1828" s="232" t="s">
        <v>645</v>
      </c>
      <c r="F1828" s="89" t="s">
        <v>338</v>
      </c>
    </row>
    <row r="1829" spans="2:6" ht="25.8" x14ac:dyDescent="0.55000000000000004">
      <c r="B1829" s="213">
        <v>20</v>
      </c>
      <c r="C1829" s="225" t="s">
        <v>1730</v>
      </c>
      <c r="D1829" s="225" t="s">
        <v>1730</v>
      </c>
      <c r="E1829" s="232" t="s">
        <v>645</v>
      </c>
      <c r="F1829" s="89" t="s">
        <v>338</v>
      </c>
    </row>
    <row r="1830" spans="2:6" ht="25.8" x14ac:dyDescent="0.55000000000000004">
      <c r="B1830" s="213">
        <v>20</v>
      </c>
      <c r="C1830" s="225" t="s">
        <v>1731</v>
      </c>
      <c r="D1830" s="225" t="s">
        <v>1731</v>
      </c>
      <c r="E1830" s="232" t="s">
        <v>645</v>
      </c>
      <c r="F1830" s="89" t="s">
        <v>338</v>
      </c>
    </row>
    <row r="1831" spans="2:6" x14ac:dyDescent="0.55000000000000004">
      <c r="B1831" s="213">
        <v>20</v>
      </c>
      <c r="C1831" s="226" t="s">
        <v>1732</v>
      </c>
      <c r="D1831" s="226" t="s">
        <v>1732</v>
      </c>
      <c r="E1831" s="232" t="s">
        <v>633</v>
      </c>
      <c r="F1831" s="89" t="s">
        <v>416</v>
      </c>
    </row>
    <row r="1832" spans="2:6" x14ac:dyDescent="0.55000000000000004">
      <c r="B1832" s="213">
        <v>20</v>
      </c>
      <c r="C1832" s="225" t="s">
        <v>1732</v>
      </c>
      <c r="D1832" s="225" t="s">
        <v>1732</v>
      </c>
      <c r="E1832" s="232" t="s">
        <v>633</v>
      </c>
      <c r="F1832" s="89" t="s">
        <v>416</v>
      </c>
    </row>
    <row r="1833" spans="2:6" x14ac:dyDescent="0.55000000000000004">
      <c r="B1833" s="213">
        <v>20</v>
      </c>
      <c r="C1833" s="225" t="s">
        <v>1733</v>
      </c>
      <c r="D1833" s="225" t="s">
        <v>1733</v>
      </c>
      <c r="E1833" s="232" t="s">
        <v>645</v>
      </c>
      <c r="F1833" s="89" t="s">
        <v>338</v>
      </c>
    </row>
    <row r="1834" spans="2:6" x14ac:dyDescent="0.55000000000000004">
      <c r="B1834" s="213">
        <v>20</v>
      </c>
      <c r="C1834" s="225" t="s">
        <v>1734</v>
      </c>
      <c r="D1834" s="225" t="s">
        <v>1734</v>
      </c>
      <c r="E1834" s="232" t="s">
        <v>645</v>
      </c>
      <c r="F1834" s="89" t="s">
        <v>338</v>
      </c>
    </row>
    <row r="1835" spans="2:6" ht="25.8" x14ac:dyDescent="0.55000000000000004">
      <c r="B1835" s="213">
        <v>20</v>
      </c>
      <c r="C1835" s="225" t="s">
        <v>1735</v>
      </c>
      <c r="D1835" s="225" t="s">
        <v>1735</v>
      </c>
      <c r="E1835" s="232" t="s">
        <v>645</v>
      </c>
      <c r="F1835" s="89" t="s">
        <v>338</v>
      </c>
    </row>
    <row r="1836" spans="2:6" x14ac:dyDescent="0.55000000000000004">
      <c r="B1836" s="213">
        <v>20</v>
      </c>
      <c r="C1836" s="225" t="s">
        <v>2835</v>
      </c>
      <c r="D1836" s="225" t="s">
        <v>1736</v>
      </c>
      <c r="E1836" s="232" t="s">
        <v>645</v>
      </c>
      <c r="F1836" s="89" t="s">
        <v>338</v>
      </c>
    </row>
    <row r="1837" spans="2:6" x14ac:dyDescent="0.55000000000000004">
      <c r="B1837" s="214">
        <v>20</v>
      </c>
      <c r="C1837" s="226" t="s">
        <v>1737</v>
      </c>
      <c r="D1837" s="226" t="s">
        <v>1737</v>
      </c>
      <c r="E1837" s="232" t="s">
        <v>337</v>
      </c>
      <c r="F1837" s="89" t="s">
        <v>338</v>
      </c>
    </row>
    <row r="1838" spans="2:6" x14ac:dyDescent="0.55000000000000004">
      <c r="B1838" s="214">
        <v>20</v>
      </c>
      <c r="C1838" s="226" t="s">
        <v>1737</v>
      </c>
      <c r="D1838" s="226" t="s">
        <v>1737</v>
      </c>
      <c r="E1838" s="232" t="s">
        <v>337</v>
      </c>
      <c r="F1838" s="89" t="s">
        <v>338</v>
      </c>
    </row>
    <row r="1839" spans="2:6" x14ac:dyDescent="0.55000000000000004">
      <c r="B1839" s="214">
        <v>20</v>
      </c>
      <c r="C1839" s="226" t="s">
        <v>1737</v>
      </c>
      <c r="D1839" s="226" t="s">
        <v>1737</v>
      </c>
      <c r="E1839" s="232" t="s">
        <v>337</v>
      </c>
      <c r="F1839" s="89" t="s">
        <v>338</v>
      </c>
    </row>
    <row r="1840" spans="2:6" x14ac:dyDescent="0.55000000000000004">
      <c r="B1840" s="213">
        <v>20</v>
      </c>
      <c r="C1840" s="225" t="s">
        <v>1738</v>
      </c>
      <c r="D1840" s="225" t="s">
        <v>1738</v>
      </c>
      <c r="E1840" s="232" t="s">
        <v>645</v>
      </c>
      <c r="F1840" s="89" t="s">
        <v>338</v>
      </c>
    </row>
    <row r="1841" spans="2:6" x14ac:dyDescent="0.55000000000000004">
      <c r="B1841" s="213">
        <v>20</v>
      </c>
      <c r="C1841" s="225" t="s">
        <v>1739</v>
      </c>
      <c r="D1841" s="225" t="s">
        <v>1739</v>
      </c>
      <c r="E1841" s="232" t="s">
        <v>645</v>
      </c>
      <c r="F1841" s="89" t="s">
        <v>338</v>
      </c>
    </row>
    <row r="1842" spans="2:6" x14ac:dyDescent="0.55000000000000004">
      <c r="B1842" s="213">
        <v>20</v>
      </c>
      <c r="C1842" s="225" t="s">
        <v>1740</v>
      </c>
      <c r="D1842" s="225" t="s">
        <v>1740</v>
      </c>
      <c r="E1842" s="232" t="s">
        <v>645</v>
      </c>
      <c r="F1842" s="89" t="s">
        <v>338</v>
      </c>
    </row>
    <row r="1843" spans="2:6" x14ac:dyDescent="0.55000000000000004">
      <c r="B1843" s="213">
        <v>20</v>
      </c>
      <c r="C1843" s="225" t="s">
        <v>2836</v>
      </c>
      <c r="D1843" s="225" t="s">
        <v>1741</v>
      </c>
      <c r="E1843" s="232" t="s">
        <v>645</v>
      </c>
      <c r="F1843" s="89" t="s">
        <v>338</v>
      </c>
    </row>
    <row r="1844" spans="2:6" x14ac:dyDescent="0.55000000000000004">
      <c r="B1844" s="215" t="s">
        <v>944</v>
      </c>
      <c r="C1844" s="227" t="s">
        <v>728</v>
      </c>
      <c r="D1844" s="227" t="s">
        <v>728</v>
      </c>
      <c r="E1844" s="232" t="e">
        <v>#N/A</v>
      </c>
      <c r="F1844" s="89" t="s">
        <v>2433</v>
      </c>
    </row>
    <row r="1845" spans="2:6" x14ac:dyDescent="0.55000000000000004">
      <c r="B1845" s="213" t="s">
        <v>944</v>
      </c>
      <c r="C1845" s="225" t="s">
        <v>669</v>
      </c>
      <c r="D1845" s="225" t="s">
        <v>669</v>
      </c>
      <c r="E1845" s="232" t="s">
        <v>645</v>
      </c>
      <c r="F1845" s="89" t="s">
        <v>338</v>
      </c>
    </row>
    <row r="1846" spans="2:6" x14ac:dyDescent="0.55000000000000004">
      <c r="B1846" s="213" t="s">
        <v>944</v>
      </c>
      <c r="C1846" s="225" t="s">
        <v>729</v>
      </c>
      <c r="D1846" s="225" t="s">
        <v>729</v>
      </c>
      <c r="E1846" s="232" t="s">
        <v>645</v>
      </c>
      <c r="F1846" s="89" t="s">
        <v>338</v>
      </c>
    </row>
    <row r="1847" spans="2:6" x14ac:dyDescent="0.55000000000000004">
      <c r="B1847" s="213" t="s">
        <v>944</v>
      </c>
      <c r="C1847" s="225" t="s">
        <v>730</v>
      </c>
      <c r="D1847" s="225" t="s">
        <v>730</v>
      </c>
      <c r="E1847" s="232" t="s">
        <v>645</v>
      </c>
      <c r="F1847" s="89" t="s">
        <v>338</v>
      </c>
    </row>
    <row r="1848" spans="2:6" x14ac:dyDescent="0.55000000000000004">
      <c r="B1848" s="213" t="s">
        <v>944</v>
      </c>
      <c r="C1848" s="225" t="s">
        <v>731</v>
      </c>
      <c r="D1848" s="225" t="s">
        <v>731</v>
      </c>
      <c r="E1848" s="232" t="s">
        <v>645</v>
      </c>
      <c r="F1848" s="89" t="s">
        <v>338</v>
      </c>
    </row>
    <row r="1849" spans="2:6" x14ac:dyDescent="0.55000000000000004">
      <c r="B1849" s="213" t="s">
        <v>944</v>
      </c>
      <c r="C1849" s="225" t="s">
        <v>732</v>
      </c>
      <c r="D1849" s="225" t="s">
        <v>732</v>
      </c>
      <c r="E1849" s="232" t="s">
        <v>633</v>
      </c>
      <c r="F1849" s="89" t="s">
        <v>416</v>
      </c>
    </row>
    <row r="1850" spans="2:6" x14ac:dyDescent="0.55000000000000004">
      <c r="B1850" s="213" t="s">
        <v>944</v>
      </c>
      <c r="C1850" s="225" t="s">
        <v>733</v>
      </c>
      <c r="D1850" s="225" t="s">
        <v>733</v>
      </c>
      <c r="E1850" s="232" t="s">
        <v>633</v>
      </c>
      <c r="F1850" s="89" t="s">
        <v>416</v>
      </c>
    </row>
    <row r="1851" spans="2:6" x14ac:dyDescent="0.55000000000000004">
      <c r="B1851" s="213" t="s">
        <v>944</v>
      </c>
      <c r="C1851" s="225" t="s">
        <v>734</v>
      </c>
      <c r="D1851" s="225" t="s">
        <v>734</v>
      </c>
      <c r="E1851" s="232" t="s">
        <v>645</v>
      </c>
      <c r="F1851" s="89" t="s">
        <v>338</v>
      </c>
    </row>
    <row r="1852" spans="2:6" x14ac:dyDescent="0.55000000000000004">
      <c r="B1852" s="213" t="s">
        <v>944</v>
      </c>
      <c r="C1852" s="225" t="s">
        <v>735</v>
      </c>
      <c r="D1852" s="225" t="s">
        <v>735</v>
      </c>
      <c r="E1852" s="232" t="s">
        <v>645</v>
      </c>
      <c r="F1852" s="89" t="s">
        <v>338</v>
      </c>
    </row>
    <row r="1853" spans="2:6" x14ac:dyDescent="0.55000000000000004">
      <c r="B1853" s="213" t="s">
        <v>944</v>
      </c>
      <c r="C1853" s="225" t="s">
        <v>736</v>
      </c>
      <c r="D1853" s="225" t="s">
        <v>736</v>
      </c>
      <c r="E1853" s="232" t="s">
        <v>645</v>
      </c>
      <c r="F1853" s="89" t="s">
        <v>338</v>
      </c>
    </row>
    <row r="1854" spans="2:6" x14ac:dyDescent="0.55000000000000004">
      <c r="B1854" s="213" t="s">
        <v>944</v>
      </c>
      <c r="C1854" s="225" t="s">
        <v>737</v>
      </c>
      <c r="D1854" s="225" t="s">
        <v>737</v>
      </c>
      <c r="E1854" s="232" t="s">
        <v>645</v>
      </c>
      <c r="F1854" s="89" t="s">
        <v>338</v>
      </c>
    </row>
    <row r="1855" spans="2:6" x14ac:dyDescent="0.55000000000000004">
      <c r="B1855" s="213" t="s">
        <v>944</v>
      </c>
      <c r="C1855" s="225" t="s">
        <v>738</v>
      </c>
      <c r="D1855" s="225" t="s">
        <v>738</v>
      </c>
      <c r="E1855" s="232" t="s">
        <v>645</v>
      </c>
      <c r="F1855" s="89" t="s">
        <v>338</v>
      </c>
    </row>
    <row r="1856" spans="2:6" x14ac:dyDescent="0.55000000000000004">
      <c r="B1856" s="213" t="s">
        <v>944</v>
      </c>
      <c r="C1856" s="225" t="s">
        <v>739</v>
      </c>
      <c r="D1856" s="225" t="s">
        <v>739</v>
      </c>
      <c r="E1856" s="232" t="s">
        <v>645</v>
      </c>
      <c r="F1856" s="89" t="s">
        <v>338</v>
      </c>
    </row>
    <row r="1857" spans="2:6" x14ac:dyDescent="0.55000000000000004">
      <c r="B1857" s="213" t="s">
        <v>944</v>
      </c>
      <c r="C1857" s="225" t="s">
        <v>740</v>
      </c>
      <c r="D1857" s="225" t="s">
        <v>740</v>
      </c>
      <c r="E1857" s="232" t="s">
        <v>645</v>
      </c>
      <c r="F1857" s="89" t="s">
        <v>338</v>
      </c>
    </row>
    <row r="1858" spans="2:6" x14ac:dyDescent="0.55000000000000004">
      <c r="B1858" s="213" t="s">
        <v>944</v>
      </c>
      <c r="C1858" s="225" t="s">
        <v>741</v>
      </c>
      <c r="D1858" s="225" t="s">
        <v>741</v>
      </c>
      <c r="E1858" s="232" t="s">
        <v>645</v>
      </c>
      <c r="F1858" s="89" t="s">
        <v>338</v>
      </c>
    </row>
    <row r="1859" spans="2:6" x14ac:dyDescent="0.55000000000000004">
      <c r="B1859" s="213" t="s">
        <v>944</v>
      </c>
      <c r="C1859" s="225" t="s">
        <v>742</v>
      </c>
      <c r="D1859" s="225" t="s">
        <v>742</v>
      </c>
      <c r="E1859" s="232" t="s">
        <v>645</v>
      </c>
      <c r="F1859" s="89" t="s">
        <v>338</v>
      </c>
    </row>
    <row r="1860" spans="2:6" x14ac:dyDescent="0.55000000000000004">
      <c r="B1860" s="213" t="s">
        <v>944</v>
      </c>
      <c r="C1860" s="226" t="s">
        <v>1742</v>
      </c>
      <c r="D1860" s="226" t="s">
        <v>1742</v>
      </c>
      <c r="E1860" s="232" t="s">
        <v>633</v>
      </c>
      <c r="F1860" s="89" t="s">
        <v>416</v>
      </c>
    </row>
    <row r="1861" spans="2:6" x14ac:dyDescent="0.55000000000000004">
      <c r="B1861" s="213" t="s">
        <v>944</v>
      </c>
      <c r="C1861" s="225" t="s">
        <v>1742</v>
      </c>
      <c r="D1861" s="225" t="s">
        <v>1742</v>
      </c>
      <c r="E1861" s="232" t="s">
        <v>633</v>
      </c>
      <c r="F1861" s="89" t="s">
        <v>416</v>
      </c>
    </row>
    <row r="1862" spans="2:6" x14ac:dyDescent="0.55000000000000004">
      <c r="B1862" s="213" t="s">
        <v>944</v>
      </c>
      <c r="C1862" s="225" t="s">
        <v>743</v>
      </c>
      <c r="D1862" s="225" t="s">
        <v>743</v>
      </c>
      <c r="E1862" s="232" t="s">
        <v>645</v>
      </c>
      <c r="F1862" s="89" t="s">
        <v>338</v>
      </c>
    </row>
    <row r="1863" spans="2:6" x14ac:dyDescent="0.55000000000000004">
      <c r="B1863" s="215" t="s">
        <v>945</v>
      </c>
      <c r="C1863" s="227" t="s">
        <v>744</v>
      </c>
      <c r="D1863" s="227" t="s">
        <v>744</v>
      </c>
      <c r="E1863" s="232" t="e">
        <v>#N/A</v>
      </c>
      <c r="F1863" s="89" t="s">
        <v>2433</v>
      </c>
    </row>
    <row r="1864" spans="2:6" x14ac:dyDescent="0.55000000000000004">
      <c r="B1864" s="213" t="s">
        <v>945</v>
      </c>
      <c r="C1864" s="225" t="s">
        <v>746</v>
      </c>
      <c r="D1864" s="225" t="s">
        <v>746</v>
      </c>
      <c r="E1864" s="232" t="s">
        <v>645</v>
      </c>
      <c r="F1864" s="89" t="s">
        <v>338</v>
      </c>
    </row>
    <row r="1865" spans="2:6" x14ac:dyDescent="0.55000000000000004">
      <c r="B1865" s="213" t="s">
        <v>945</v>
      </c>
      <c r="C1865" s="225" t="s">
        <v>747</v>
      </c>
      <c r="D1865" s="225" t="s">
        <v>747</v>
      </c>
      <c r="E1865" s="232" t="s">
        <v>645</v>
      </c>
      <c r="F1865" s="89" t="s">
        <v>338</v>
      </c>
    </row>
    <row r="1866" spans="2:6" x14ac:dyDescent="0.55000000000000004">
      <c r="B1866" s="213" t="s">
        <v>945</v>
      </c>
      <c r="C1866" s="225" t="s">
        <v>748</v>
      </c>
      <c r="D1866" s="225" t="s">
        <v>748</v>
      </c>
      <c r="E1866" s="232" t="s">
        <v>645</v>
      </c>
      <c r="F1866" s="89" t="s">
        <v>338</v>
      </c>
    </row>
    <row r="1867" spans="2:6" x14ac:dyDescent="0.55000000000000004">
      <c r="B1867" s="213" t="s">
        <v>945</v>
      </c>
      <c r="C1867" s="225" t="s">
        <v>749</v>
      </c>
      <c r="D1867" s="225" t="s">
        <v>749</v>
      </c>
      <c r="E1867" s="232" t="s">
        <v>645</v>
      </c>
      <c r="F1867" s="89" t="s">
        <v>338</v>
      </c>
    </row>
    <row r="1868" spans="2:6" x14ac:dyDescent="0.55000000000000004">
      <c r="B1868" s="213" t="s">
        <v>945</v>
      </c>
      <c r="C1868" s="225" t="s">
        <v>750</v>
      </c>
      <c r="D1868" s="225" t="s">
        <v>750</v>
      </c>
      <c r="E1868" s="232" t="s">
        <v>645</v>
      </c>
      <c r="F1868" s="89" t="s">
        <v>338</v>
      </c>
    </row>
    <row r="1869" spans="2:6" x14ac:dyDescent="0.55000000000000004">
      <c r="B1869" s="213" t="s">
        <v>945</v>
      </c>
      <c r="C1869" s="225" t="s">
        <v>751</v>
      </c>
      <c r="D1869" s="225" t="s">
        <v>751</v>
      </c>
      <c r="E1869" s="232" t="s">
        <v>645</v>
      </c>
      <c r="F1869" s="89" t="s">
        <v>338</v>
      </c>
    </row>
    <row r="1870" spans="2:6" x14ac:dyDescent="0.55000000000000004">
      <c r="B1870" s="213" t="s">
        <v>945</v>
      </c>
      <c r="C1870" s="225" t="s">
        <v>752</v>
      </c>
      <c r="D1870" s="225" t="s">
        <v>752</v>
      </c>
      <c r="E1870" s="232" t="s">
        <v>645</v>
      </c>
      <c r="F1870" s="89" t="s">
        <v>338</v>
      </c>
    </row>
    <row r="1871" spans="2:6" x14ac:dyDescent="0.55000000000000004">
      <c r="B1871" s="213" t="s">
        <v>945</v>
      </c>
      <c r="C1871" s="225" t="s">
        <v>753</v>
      </c>
      <c r="D1871" s="225" t="s">
        <v>753</v>
      </c>
      <c r="E1871" s="232" t="s">
        <v>645</v>
      </c>
      <c r="F1871" s="89" t="s">
        <v>338</v>
      </c>
    </row>
    <row r="1872" spans="2:6" x14ac:dyDescent="0.55000000000000004">
      <c r="B1872" s="213" t="s">
        <v>945</v>
      </c>
      <c r="C1872" s="225" t="s">
        <v>754</v>
      </c>
      <c r="D1872" s="225" t="s">
        <v>754</v>
      </c>
      <c r="E1872" s="232" t="s">
        <v>633</v>
      </c>
      <c r="F1872" s="89" t="s">
        <v>416</v>
      </c>
    </row>
    <row r="1873" spans="2:6" x14ac:dyDescent="0.55000000000000004">
      <c r="B1873" s="213" t="s">
        <v>945</v>
      </c>
      <c r="C1873" s="225" t="s">
        <v>755</v>
      </c>
      <c r="D1873" s="225" t="s">
        <v>755</v>
      </c>
      <c r="E1873" s="232" t="s">
        <v>645</v>
      </c>
      <c r="F1873" s="89" t="s">
        <v>338</v>
      </c>
    </row>
    <row r="1874" spans="2:6" x14ac:dyDescent="0.55000000000000004">
      <c r="B1874" s="214" t="s">
        <v>945</v>
      </c>
      <c r="C1874" s="226" t="s">
        <v>745</v>
      </c>
      <c r="D1874" s="226" t="s">
        <v>745</v>
      </c>
      <c r="E1874" s="232" t="s">
        <v>337</v>
      </c>
      <c r="F1874" s="89" t="s">
        <v>338</v>
      </c>
    </row>
    <row r="1875" spans="2:6" x14ac:dyDescent="0.55000000000000004">
      <c r="B1875" s="214" t="s">
        <v>945</v>
      </c>
      <c r="C1875" s="226" t="s">
        <v>745</v>
      </c>
      <c r="D1875" s="226" t="s">
        <v>745</v>
      </c>
      <c r="E1875" s="232" t="s">
        <v>337</v>
      </c>
      <c r="F1875" s="89" t="s">
        <v>338</v>
      </c>
    </row>
    <row r="1876" spans="2:6" x14ac:dyDescent="0.55000000000000004">
      <c r="B1876" s="214" t="s">
        <v>945</v>
      </c>
      <c r="C1876" s="226" t="s">
        <v>745</v>
      </c>
      <c r="D1876" s="226" t="s">
        <v>745</v>
      </c>
      <c r="E1876" s="232" t="s">
        <v>337</v>
      </c>
      <c r="F1876" s="89" t="s">
        <v>338</v>
      </c>
    </row>
    <row r="1877" spans="2:6" x14ac:dyDescent="0.55000000000000004">
      <c r="B1877" s="213" t="s">
        <v>945</v>
      </c>
      <c r="C1877" s="225" t="s">
        <v>756</v>
      </c>
      <c r="D1877" s="225" t="s">
        <v>756</v>
      </c>
      <c r="E1877" s="232" t="s">
        <v>645</v>
      </c>
      <c r="F1877" s="89" t="s">
        <v>338</v>
      </c>
    </row>
    <row r="1878" spans="2:6" x14ac:dyDescent="0.55000000000000004">
      <c r="B1878" s="213" t="s">
        <v>945</v>
      </c>
      <c r="C1878" s="225" t="s">
        <v>757</v>
      </c>
      <c r="D1878" s="225" t="s">
        <v>757</v>
      </c>
      <c r="E1878" s="232" t="s">
        <v>645</v>
      </c>
      <c r="F1878" s="89" t="s">
        <v>338</v>
      </c>
    </row>
    <row r="1879" spans="2:6" x14ac:dyDescent="0.55000000000000004">
      <c r="B1879" s="213" t="s">
        <v>945</v>
      </c>
      <c r="C1879" s="225" t="s">
        <v>758</v>
      </c>
      <c r="D1879" s="225" t="s">
        <v>758</v>
      </c>
      <c r="E1879" s="232" t="s">
        <v>645</v>
      </c>
      <c r="F1879" s="89" t="s">
        <v>338</v>
      </c>
    </row>
    <row r="1880" spans="2:6" x14ac:dyDescent="0.55000000000000004">
      <c r="B1880" s="215" t="s">
        <v>946</v>
      </c>
      <c r="C1880" s="227" t="s">
        <v>759</v>
      </c>
      <c r="D1880" s="227" t="s">
        <v>759</v>
      </c>
      <c r="E1880" s="232" t="e">
        <v>#N/A</v>
      </c>
      <c r="F1880" s="89" t="s">
        <v>2433</v>
      </c>
    </row>
    <row r="1881" spans="2:6" x14ac:dyDescent="0.55000000000000004">
      <c r="B1881" s="214" t="s">
        <v>946</v>
      </c>
      <c r="C1881" s="226" t="s">
        <v>760</v>
      </c>
      <c r="D1881" s="226" t="s">
        <v>760</v>
      </c>
      <c r="E1881" s="232" t="s">
        <v>265</v>
      </c>
      <c r="F1881" s="89" t="s">
        <v>265</v>
      </c>
    </row>
    <row r="1882" spans="2:6" x14ac:dyDescent="0.55000000000000004">
      <c r="B1882" s="214" t="s">
        <v>946</v>
      </c>
      <c r="C1882" s="226" t="s">
        <v>760</v>
      </c>
      <c r="D1882" s="226" t="s">
        <v>760</v>
      </c>
      <c r="E1882" s="232" t="s">
        <v>265</v>
      </c>
      <c r="F1882" s="89" t="s">
        <v>265</v>
      </c>
    </row>
    <row r="1883" spans="2:6" x14ac:dyDescent="0.55000000000000004">
      <c r="B1883" s="214" t="s">
        <v>946</v>
      </c>
      <c r="C1883" s="226" t="s">
        <v>760</v>
      </c>
      <c r="D1883" s="226" t="s">
        <v>760</v>
      </c>
      <c r="E1883" s="232" t="s">
        <v>265</v>
      </c>
      <c r="F1883" s="89" t="s">
        <v>265</v>
      </c>
    </row>
    <row r="1884" spans="2:6" x14ac:dyDescent="0.55000000000000004">
      <c r="B1884" s="212">
        <v>21</v>
      </c>
      <c r="C1884" s="224" t="s">
        <v>761</v>
      </c>
      <c r="D1884" s="224" t="s">
        <v>761</v>
      </c>
      <c r="E1884" s="232" t="e">
        <v>#N/A</v>
      </c>
      <c r="F1884" s="89" t="s">
        <v>2433</v>
      </c>
    </row>
    <row r="1885" spans="2:6" x14ac:dyDescent="0.55000000000000004">
      <c r="B1885" s="213">
        <v>21</v>
      </c>
      <c r="C1885" s="225" t="s">
        <v>2837</v>
      </c>
      <c r="D1885" s="225" t="s">
        <v>1743</v>
      </c>
      <c r="E1885" s="232" t="s">
        <v>2428</v>
      </c>
      <c r="F1885" s="89" t="s">
        <v>332</v>
      </c>
    </row>
    <row r="1886" spans="2:6" x14ac:dyDescent="0.55000000000000004">
      <c r="B1886" s="213">
        <v>21</v>
      </c>
      <c r="C1886" s="225" t="s">
        <v>2838</v>
      </c>
      <c r="D1886" s="225" t="s">
        <v>1744</v>
      </c>
      <c r="E1886" s="232" t="s">
        <v>2428</v>
      </c>
      <c r="F1886" s="89" t="s">
        <v>332</v>
      </c>
    </row>
    <row r="1887" spans="2:6" ht="25.8" x14ac:dyDescent="0.55000000000000004">
      <c r="B1887" s="213">
        <v>21</v>
      </c>
      <c r="C1887" s="225" t="s">
        <v>2839</v>
      </c>
      <c r="D1887" s="225" t="s">
        <v>1745</v>
      </c>
      <c r="E1887" s="232" t="s">
        <v>2428</v>
      </c>
      <c r="F1887" s="89" t="s">
        <v>332</v>
      </c>
    </row>
    <row r="1888" spans="2:6" x14ac:dyDescent="0.55000000000000004">
      <c r="B1888" s="213">
        <v>21</v>
      </c>
      <c r="C1888" s="225" t="s">
        <v>2840</v>
      </c>
      <c r="D1888" s="225" t="s">
        <v>1746</v>
      </c>
      <c r="E1888" s="232" t="s">
        <v>2428</v>
      </c>
      <c r="F1888" s="89" t="s">
        <v>332</v>
      </c>
    </row>
    <row r="1889" spans="2:6" x14ac:dyDescent="0.55000000000000004">
      <c r="B1889" s="213">
        <v>21</v>
      </c>
      <c r="C1889" s="225" t="s">
        <v>2841</v>
      </c>
      <c r="D1889" s="225" t="s">
        <v>1747</v>
      </c>
      <c r="E1889" s="232" t="s">
        <v>2428</v>
      </c>
      <c r="F1889" s="89" t="s">
        <v>332</v>
      </c>
    </row>
    <row r="1890" spans="2:6" x14ac:dyDescent="0.55000000000000004">
      <c r="B1890" s="213">
        <v>21</v>
      </c>
      <c r="C1890" s="225" t="s">
        <v>2842</v>
      </c>
      <c r="D1890" s="225" t="s">
        <v>1748</v>
      </c>
      <c r="E1890" s="232" t="s">
        <v>2428</v>
      </c>
      <c r="F1890" s="89" t="s">
        <v>332</v>
      </c>
    </row>
    <row r="1891" spans="2:6" x14ac:dyDescent="0.55000000000000004">
      <c r="B1891" s="213">
        <v>21</v>
      </c>
      <c r="C1891" s="225" t="s">
        <v>2843</v>
      </c>
      <c r="D1891" s="225" t="s">
        <v>1749</v>
      </c>
      <c r="E1891" s="232" t="s">
        <v>2428</v>
      </c>
      <c r="F1891" s="89" t="s">
        <v>332</v>
      </c>
    </row>
    <row r="1892" spans="2:6" x14ac:dyDescent="0.55000000000000004">
      <c r="B1892" s="213">
        <v>21</v>
      </c>
      <c r="C1892" s="225" t="s">
        <v>2844</v>
      </c>
      <c r="D1892" s="225" t="s">
        <v>1750</v>
      </c>
      <c r="E1892" s="232" t="s">
        <v>2428</v>
      </c>
      <c r="F1892" s="89" t="s">
        <v>332</v>
      </c>
    </row>
    <row r="1893" spans="2:6" x14ac:dyDescent="0.55000000000000004">
      <c r="B1893" s="213">
        <v>21</v>
      </c>
      <c r="C1893" s="225" t="s">
        <v>2845</v>
      </c>
      <c r="D1893" s="225" t="s">
        <v>1751</v>
      </c>
      <c r="E1893" s="232" t="s">
        <v>2428</v>
      </c>
      <c r="F1893" s="89" t="s">
        <v>332</v>
      </c>
    </row>
    <row r="1894" spans="2:6" x14ac:dyDescent="0.55000000000000004">
      <c r="B1894" s="213">
        <v>21</v>
      </c>
      <c r="C1894" s="225" t="s">
        <v>2846</v>
      </c>
      <c r="D1894" s="225" t="s">
        <v>1752</v>
      </c>
      <c r="E1894" s="232" t="s">
        <v>2428</v>
      </c>
      <c r="F1894" s="89" t="s">
        <v>332</v>
      </c>
    </row>
    <row r="1895" spans="2:6" x14ac:dyDescent="0.55000000000000004">
      <c r="B1895" s="213">
        <v>21</v>
      </c>
      <c r="C1895" s="226" t="s">
        <v>2847</v>
      </c>
      <c r="D1895" s="226" t="s">
        <v>1753</v>
      </c>
      <c r="E1895" s="232" t="s">
        <v>2428</v>
      </c>
      <c r="F1895" s="89" t="s">
        <v>332</v>
      </c>
    </row>
    <row r="1896" spans="2:6" x14ac:dyDescent="0.55000000000000004">
      <c r="B1896" s="213">
        <v>21</v>
      </c>
      <c r="C1896" s="225" t="s">
        <v>2848</v>
      </c>
      <c r="D1896" s="225" t="s">
        <v>1754</v>
      </c>
      <c r="E1896" s="232" t="s">
        <v>2428</v>
      </c>
      <c r="F1896" s="89" t="s">
        <v>332</v>
      </c>
    </row>
    <row r="1897" spans="2:6" ht="25.8" x14ac:dyDescent="0.55000000000000004">
      <c r="B1897" s="213">
        <v>21</v>
      </c>
      <c r="C1897" s="225" t="s">
        <v>2849</v>
      </c>
      <c r="D1897" s="225" t="s">
        <v>1755</v>
      </c>
      <c r="E1897" s="232" t="s">
        <v>2428</v>
      </c>
      <c r="F1897" s="89" t="s">
        <v>332</v>
      </c>
    </row>
    <row r="1898" spans="2:6" ht="25.8" x14ac:dyDescent="0.55000000000000004">
      <c r="B1898" s="213">
        <v>21</v>
      </c>
      <c r="C1898" s="225" t="s">
        <v>2850</v>
      </c>
      <c r="D1898" s="225" t="s">
        <v>1756</v>
      </c>
      <c r="E1898" s="232" t="s">
        <v>2428</v>
      </c>
      <c r="F1898" s="89" t="s">
        <v>332</v>
      </c>
    </row>
    <row r="1899" spans="2:6" ht="25.8" x14ac:dyDescent="0.55000000000000004">
      <c r="B1899" s="213">
        <v>21</v>
      </c>
      <c r="C1899" s="226" t="s">
        <v>2851</v>
      </c>
      <c r="D1899" s="226" t="s">
        <v>1757</v>
      </c>
      <c r="E1899" s="232" t="s">
        <v>2428</v>
      </c>
      <c r="F1899" s="89" t="s">
        <v>332</v>
      </c>
    </row>
    <row r="1900" spans="2:6" x14ac:dyDescent="0.55000000000000004">
      <c r="B1900" s="213">
        <v>21</v>
      </c>
      <c r="C1900" s="225" t="s">
        <v>2852</v>
      </c>
      <c r="D1900" s="225" t="s">
        <v>1758</v>
      </c>
      <c r="E1900" s="232" t="s">
        <v>2428</v>
      </c>
      <c r="F1900" s="89" t="s">
        <v>332</v>
      </c>
    </row>
    <row r="1901" spans="2:6" x14ac:dyDescent="0.55000000000000004">
      <c r="B1901" s="213">
        <v>21</v>
      </c>
      <c r="C1901" s="225" t="s">
        <v>2853</v>
      </c>
      <c r="D1901" s="225" t="s">
        <v>1759</v>
      </c>
      <c r="E1901" s="232" t="s">
        <v>2428</v>
      </c>
      <c r="F1901" s="89" t="s">
        <v>332</v>
      </c>
    </row>
    <row r="1902" spans="2:6" x14ac:dyDescent="0.55000000000000004">
      <c r="B1902" s="213">
        <v>21</v>
      </c>
      <c r="C1902" s="225" t="s">
        <v>2854</v>
      </c>
      <c r="D1902" s="225" t="s">
        <v>1760</v>
      </c>
      <c r="E1902" s="232" t="s">
        <v>2428</v>
      </c>
      <c r="F1902" s="89" t="s">
        <v>332</v>
      </c>
    </row>
    <row r="1903" spans="2:6" ht="25.8" x14ac:dyDescent="0.55000000000000004">
      <c r="B1903" s="213">
        <v>21</v>
      </c>
      <c r="C1903" s="226" t="s">
        <v>2855</v>
      </c>
      <c r="D1903" s="226" t="s">
        <v>1761</v>
      </c>
      <c r="E1903" s="232" t="s">
        <v>2428</v>
      </c>
      <c r="F1903" s="89" t="s">
        <v>332</v>
      </c>
    </row>
    <row r="1904" spans="2:6" x14ac:dyDescent="0.55000000000000004">
      <c r="B1904" s="213">
        <v>21</v>
      </c>
      <c r="C1904" s="225" t="s">
        <v>2856</v>
      </c>
      <c r="D1904" s="225" t="s">
        <v>1762</v>
      </c>
      <c r="E1904" s="232" t="s">
        <v>2428</v>
      </c>
      <c r="F1904" s="89" t="s">
        <v>332</v>
      </c>
    </row>
    <row r="1905" spans="2:6" ht="25.8" x14ac:dyDescent="0.55000000000000004">
      <c r="B1905" s="212">
        <v>22</v>
      </c>
      <c r="C1905" s="224" t="s">
        <v>762</v>
      </c>
      <c r="D1905" s="224" t="s">
        <v>762</v>
      </c>
      <c r="E1905" s="232" t="e">
        <v>#N/A</v>
      </c>
      <c r="F1905" s="89" t="s">
        <v>2433</v>
      </c>
    </row>
    <row r="1906" spans="2:6" x14ac:dyDescent="0.55000000000000004">
      <c r="B1906" s="220" t="s">
        <v>947</v>
      </c>
      <c r="C1906" s="225" t="s">
        <v>2857</v>
      </c>
      <c r="D1906" s="225" t="s">
        <v>1763</v>
      </c>
      <c r="E1906" s="232" t="s">
        <v>2428</v>
      </c>
      <c r="F1906" s="89" t="s">
        <v>332</v>
      </c>
    </row>
    <row r="1907" spans="2:6" x14ac:dyDescent="0.55000000000000004">
      <c r="B1907" s="220" t="s">
        <v>947</v>
      </c>
      <c r="C1907" s="225" t="s">
        <v>2858</v>
      </c>
      <c r="D1907" s="225" t="s">
        <v>1764</v>
      </c>
      <c r="E1907" s="232" t="s">
        <v>2428</v>
      </c>
      <c r="F1907" s="89" t="s">
        <v>332</v>
      </c>
    </row>
    <row r="1908" spans="2:6" x14ac:dyDescent="0.55000000000000004">
      <c r="B1908" s="221" t="s">
        <v>947</v>
      </c>
      <c r="C1908" s="226" t="s">
        <v>2859</v>
      </c>
      <c r="D1908" s="226" t="s">
        <v>1765</v>
      </c>
      <c r="E1908" s="232" t="s">
        <v>2428</v>
      </c>
      <c r="F1908" s="89" t="s">
        <v>332</v>
      </c>
    </row>
    <row r="1909" spans="2:6" ht="64.5" x14ac:dyDescent="0.55000000000000004">
      <c r="B1909" s="220" t="s">
        <v>947</v>
      </c>
      <c r="C1909" s="225" t="s">
        <v>2860</v>
      </c>
      <c r="D1909" s="225" t="s">
        <v>1766</v>
      </c>
      <c r="E1909" s="232" t="s">
        <v>2428</v>
      </c>
      <c r="F1909" s="89" t="s">
        <v>332</v>
      </c>
    </row>
    <row r="1910" spans="2:6" x14ac:dyDescent="0.55000000000000004">
      <c r="B1910" s="220" t="s">
        <v>947</v>
      </c>
      <c r="C1910" s="225" t="s">
        <v>2561</v>
      </c>
      <c r="D1910" s="225" t="s">
        <v>1767</v>
      </c>
      <c r="E1910" s="232" t="s">
        <v>2428</v>
      </c>
      <c r="F1910" s="89" t="s">
        <v>332</v>
      </c>
    </row>
    <row r="1911" spans="2:6" ht="25.8" x14ac:dyDescent="0.55000000000000004">
      <c r="B1911" s="221" t="s">
        <v>947</v>
      </c>
      <c r="C1911" s="226" t="s">
        <v>2562</v>
      </c>
      <c r="D1911" s="226" t="s">
        <v>1768</v>
      </c>
      <c r="E1911" s="232" t="s">
        <v>2428</v>
      </c>
      <c r="F1911" s="89" t="s">
        <v>332</v>
      </c>
    </row>
    <row r="1912" spans="2:6" ht="25.8" x14ac:dyDescent="0.55000000000000004">
      <c r="B1912" s="221" t="s">
        <v>947</v>
      </c>
      <c r="C1912" s="225" t="s">
        <v>2563</v>
      </c>
      <c r="D1912" s="225" t="s">
        <v>1769</v>
      </c>
      <c r="E1912" s="232" t="s">
        <v>2428</v>
      </c>
      <c r="F1912" s="89" t="s">
        <v>332</v>
      </c>
    </row>
    <row r="1913" spans="2:6" ht="25.8" x14ac:dyDescent="0.55000000000000004">
      <c r="B1913" s="220" t="s">
        <v>947</v>
      </c>
      <c r="C1913" s="225" t="s">
        <v>2564</v>
      </c>
      <c r="D1913" s="225" t="s">
        <v>1770</v>
      </c>
      <c r="E1913" s="232" t="s">
        <v>2428</v>
      </c>
      <c r="F1913" s="89" t="s">
        <v>332</v>
      </c>
    </row>
    <row r="1914" spans="2:6" ht="51.6" x14ac:dyDescent="0.55000000000000004">
      <c r="B1914" s="220" t="s">
        <v>947</v>
      </c>
      <c r="C1914" s="225" t="s">
        <v>2861</v>
      </c>
      <c r="D1914" s="225" t="s">
        <v>1771</v>
      </c>
      <c r="E1914" s="232" t="s">
        <v>2428</v>
      </c>
      <c r="F1914" s="89" t="s">
        <v>332</v>
      </c>
    </row>
    <row r="1915" spans="2:6" x14ac:dyDescent="0.55000000000000004">
      <c r="B1915" s="220" t="s">
        <v>947</v>
      </c>
      <c r="C1915" s="225" t="s">
        <v>1772</v>
      </c>
      <c r="D1915" s="225" t="s">
        <v>1772</v>
      </c>
      <c r="E1915" s="232" t="s">
        <v>2428</v>
      </c>
      <c r="F1915" s="89" t="s">
        <v>332</v>
      </c>
    </row>
    <row r="1916" spans="2:6" ht="25.8" x14ac:dyDescent="0.55000000000000004">
      <c r="B1916" s="220" t="s">
        <v>947</v>
      </c>
      <c r="C1916" s="225" t="s">
        <v>2862</v>
      </c>
      <c r="D1916" s="225" t="s">
        <v>1773</v>
      </c>
      <c r="E1916" s="232" t="s">
        <v>2428</v>
      </c>
      <c r="F1916" s="89" t="s">
        <v>332</v>
      </c>
    </row>
    <row r="1917" spans="2:6" x14ac:dyDescent="0.55000000000000004">
      <c r="B1917" s="220" t="s">
        <v>947</v>
      </c>
      <c r="C1917" s="225" t="s">
        <v>2863</v>
      </c>
      <c r="D1917" s="225" t="s">
        <v>1774</v>
      </c>
      <c r="E1917" s="232" t="s">
        <v>2428</v>
      </c>
      <c r="F1917" s="89" t="s">
        <v>332</v>
      </c>
    </row>
    <row r="1918" spans="2:6" ht="25.8" x14ac:dyDescent="0.55000000000000004">
      <c r="B1918" s="220" t="s">
        <v>947</v>
      </c>
      <c r="C1918" s="225" t="s">
        <v>2581</v>
      </c>
      <c r="D1918" s="225" t="s">
        <v>1775</v>
      </c>
      <c r="E1918" s="232" t="s">
        <v>2428</v>
      </c>
      <c r="F1918" s="89" t="s">
        <v>332</v>
      </c>
    </row>
    <row r="1919" spans="2:6" x14ac:dyDescent="0.55000000000000004">
      <c r="B1919" s="220" t="s">
        <v>947</v>
      </c>
      <c r="C1919" s="225" t="s">
        <v>2864</v>
      </c>
      <c r="D1919" s="225" t="s">
        <v>1776</v>
      </c>
      <c r="E1919" s="232" t="s">
        <v>2428</v>
      </c>
      <c r="F1919" s="89" t="s">
        <v>332</v>
      </c>
    </row>
    <row r="1920" spans="2:6" ht="25.8" x14ac:dyDescent="0.55000000000000004">
      <c r="B1920" s="220" t="s">
        <v>947</v>
      </c>
      <c r="C1920" s="225" t="s">
        <v>2865</v>
      </c>
      <c r="D1920" s="225" t="s">
        <v>1777</v>
      </c>
      <c r="E1920" s="232" t="s">
        <v>2428</v>
      </c>
      <c r="F1920" s="89" t="s">
        <v>332</v>
      </c>
    </row>
    <row r="1921" spans="2:6" ht="38.700000000000003" x14ac:dyDescent="0.55000000000000004">
      <c r="B1921" s="220" t="s">
        <v>947</v>
      </c>
      <c r="C1921" s="225" t="s">
        <v>2866</v>
      </c>
      <c r="D1921" s="225" t="s">
        <v>1778</v>
      </c>
      <c r="E1921" s="232" t="s">
        <v>2428</v>
      </c>
      <c r="F1921" s="89" t="s">
        <v>332</v>
      </c>
    </row>
    <row r="1922" spans="2:6" x14ac:dyDescent="0.55000000000000004">
      <c r="B1922" s="220" t="s">
        <v>947</v>
      </c>
      <c r="C1922" s="225" t="s">
        <v>2571</v>
      </c>
      <c r="D1922" s="225" t="s">
        <v>1779</v>
      </c>
      <c r="E1922" s="232" t="s">
        <v>2428</v>
      </c>
      <c r="F1922" s="89" t="s">
        <v>332</v>
      </c>
    </row>
    <row r="1923" spans="2:6" x14ac:dyDescent="0.55000000000000004">
      <c r="B1923" s="220" t="s">
        <v>947</v>
      </c>
      <c r="C1923" s="225" t="s">
        <v>2867</v>
      </c>
      <c r="D1923" s="225" t="s">
        <v>1780</v>
      </c>
      <c r="E1923" s="232" t="s">
        <v>2428</v>
      </c>
      <c r="F1923" s="89" t="s">
        <v>332</v>
      </c>
    </row>
    <row r="1924" spans="2:6" x14ac:dyDescent="0.55000000000000004">
      <c r="B1924" s="220" t="s">
        <v>947</v>
      </c>
      <c r="C1924" s="225" t="s">
        <v>2868</v>
      </c>
      <c r="D1924" s="225" t="s">
        <v>1781</v>
      </c>
      <c r="E1924" s="232" t="s">
        <v>2428</v>
      </c>
      <c r="F1924" s="89" t="s">
        <v>332</v>
      </c>
    </row>
    <row r="1925" spans="2:6" x14ac:dyDescent="0.55000000000000004">
      <c r="B1925" s="215" t="s">
        <v>948</v>
      </c>
      <c r="C1925" s="227" t="s">
        <v>763</v>
      </c>
      <c r="D1925" s="227" t="s">
        <v>763</v>
      </c>
      <c r="E1925" s="232" t="e">
        <v>#N/A</v>
      </c>
      <c r="F1925" s="89" t="s">
        <v>2433</v>
      </c>
    </row>
    <row r="1926" spans="2:6" x14ac:dyDescent="0.55000000000000004">
      <c r="B1926" s="213" t="s">
        <v>948</v>
      </c>
      <c r="C1926" s="225" t="s">
        <v>765</v>
      </c>
      <c r="D1926" s="225" t="s">
        <v>765</v>
      </c>
      <c r="E1926" s="232" t="s">
        <v>2428</v>
      </c>
      <c r="F1926" s="89" t="s">
        <v>332</v>
      </c>
    </row>
    <row r="1927" spans="2:6" x14ac:dyDescent="0.55000000000000004">
      <c r="B1927" s="213" t="s">
        <v>948</v>
      </c>
      <c r="C1927" s="225" t="s">
        <v>766</v>
      </c>
      <c r="D1927" s="225" t="s">
        <v>766</v>
      </c>
      <c r="E1927" s="232" t="s">
        <v>2428</v>
      </c>
      <c r="F1927" s="89" t="s">
        <v>332</v>
      </c>
    </row>
    <row r="1928" spans="2:6" x14ac:dyDescent="0.55000000000000004">
      <c r="B1928" s="214" t="s">
        <v>948</v>
      </c>
      <c r="C1928" s="226" t="s">
        <v>764</v>
      </c>
      <c r="D1928" s="226" t="s">
        <v>764</v>
      </c>
      <c r="E1928" s="232" t="s">
        <v>2428</v>
      </c>
      <c r="F1928" s="89" t="s">
        <v>332</v>
      </c>
    </row>
    <row r="1929" spans="2:6" x14ac:dyDescent="0.55000000000000004">
      <c r="B1929" s="213" t="s">
        <v>948</v>
      </c>
      <c r="C1929" s="225" t="s">
        <v>767</v>
      </c>
      <c r="D1929" s="225" t="s">
        <v>767</v>
      </c>
      <c r="E1929" s="232" t="s">
        <v>2428</v>
      </c>
      <c r="F1929" s="89" t="s">
        <v>332</v>
      </c>
    </row>
    <row r="1930" spans="2:6" x14ac:dyDescent="0.55000000000000004">
      <c r="B1930" s="213" t="s">
        <v>948</v>
      </c>
      <c r="C1930" s="225" t="s">
        <v>434</v>
      </c>
      <c r="D1930" s="225" t="s">
        <v>434</v>
      </c>
      <c r="E1930" s="232" t="s">
        <v>2428</v>
      </c>
      <c r="F1930" s="89" t="s">
        <v>332</v>
      </c>
    </row>
    <row r="1931" spans="2:6" x14ac:dyDescent="0.55000000000000004">
      <c r="B1931" s="213" t="s">
        <v>948</v>
      </c>
      <c r="C1931" s="225" t="s">
        <v>1782</v>
      </c>
      <c r="D1931" s="225" t="s">
        <v>1782</v>
      </c>
      <c r="E1931" s="232" t="s">
        <v>2428</v>
      </c>
      <c r="F1931" s="89" t="s">
        <v>332</v>
      </c>
    </row>
    <row r="1932" spans="2:6" x14ac:dyDescent="0.55000000000000004">
      <c r="B1932" s="213" t="s">
        <v>948</v>
      </c>
      <c r="C1932" s="225" t="s">
        <v>1772</v>
      </c>
      <c r="D1932" s="225" t="s">
        <v>1772</v>
      </c>
      <c r="E1932" s="232" t="s">
        <v>2428</v>
      </c>
      <c r="F1932" s="89" t="s">
        <v>332</v>
      </c>
    </row>
    <row r="1933" spans="2:6" x14ac:dyDescent="0.55000000000000004">
      <c r="B1933" s="213" t="s">
        <v>948</v>
      </c>
      <c r="C1933" s="225" t="s">
        <v>768</v>
      </c>
      <c r="D1933" s="225" t="s">
        <v>768</v>
      </c>
      <c r="E1933" s="232" t="s">
        <v>2428</v>
      </c>
      <c r="F1933" s="89" t="s">
        <v>332</v>
      </c>
    </row>
    <row r="1934" spans="2:6" x14ac:dyDescent="0.55000000000000004">
      <c r="B1934" s="213" t="s">
        <v>948</v>
      </c>
      <c r="C1934" s="225" t="s">
        <v>446</v>
      </c>
      <c r="D1934" s="225" t="s">
        <v>446</v>
      </c>
      <c r="E1934" s="232" t="s">
        <v>2428</v>
      </c>
      <c r="F1934" s="89" t="s">
        <v>332</v>
      </c>
    </row>
    <row r="1935" spans="2:6" x14ac:dyDescent="0.55000000000000004">
      <c r="B1935" s="213" t="s">
        <v>948</v>
      </c>
      <c r="C1935" s="225" t="s">
        <v>769</v>
      </c>
      <c r="D1935" s="225" t="s">
        <v>769</v>
      </c>
      <c r="E1935" s="232" t="s">
        <v>2428</v>
      </c>
      <c r="F1935" s="89" t="s">
        <v>332</v>
      </c>
    </row>
    <row r="1936" spans="2:6" x14ac:dyDescent="0.55000000000000004">
      <c r="B1936" s="213" t="s">
        <v>948</v>
      </c>
      <c r="C1936" s="225" t="s">
        <v>1783</v>
      </c>
      <c r="D1936" s="225" t="s">
        <v>1783</v>
      </c>
      <c r="E1936" s="232" t="s">
        <v>2428</v>
      </c>
      <c r="F1936" s="89" t="s">
        <v>332</v>
      </c>
    </row>
    <row r="1937" spans="2:6" x14ac:dyDescent="0.55000000000000004">
      <c r="B1937" s="213" t="s">
        <v>948</v>
      </c>
      <c r="C1937" s="225" t="s">
        <v>1784</v>
      </c>
      <c r="D1937" s="225" t="s">
        <v>1784</v>
      </c>
      <c r="E1937" s="232" t="s">
        <v>2428</v>
      </c>
      <c r="F1937" s="89" t="s">
        <v>332</v>
      </c>
    </row>
    <row r="1938" spans="2:6" x14ac:dyDescent="0.55000000000000004">
      <c r="B1938" s="215" t="s">
        <v>949</v>
      </c>
      <c r="C1938" s="227" t="s">
        <v>770</v>
      </c>
      <c r="D1938" s="227" t="s">
        <v>770</v>
      </c>
      <c r="E1938" s="232" t="e">
        <v>#N/A</v>
      </c>
      <c r="F1938" s="89" t="s">
        <v>2433</v>
      </c>
    </row>
    <row r="1939" spans="2:6" x14ac:dyDescent="0.55000000000000004">
      <c r="B1939" s="213" t="s">
        <v>949</v>
      </c>
      <c r="C1939" s="225" t="s">
        <v>433</v>
      </c>
      <c r="D1939" s="225" t="s">
        <v>433</v>
      </c>
      <c r="E1939" s="232" t="s">
        <v>2428</v>
      </c>
      <c r="F1939" s="89" t="s">
        <v>332</v>
      </c>
    </row>
    <row r="1940" spans="2:6" x14ac:dyDescent="0.55000000000000004">
      <c r="B1940" s="214" t="s">
        <v>949</v>
      </c>
      <c r="C1940" s="226" t="s">
        <v>432</v>
      </c>
      <c r="D1940" s="226" t="s">
        <v>432</v>
      </c>
      <c r="E1940" s="232" t="s">
        <v>2428</v>
      </c>
      <c r="F1940" s="89" t="s">
        <v>332</v>
      </c>
    </row>
    <row r="1941" spans="2:6" x14ac:dyDescent="0.55000000000000004">
      <c r="B1941" s="214" t="s">
        <v>949</v>
      </c>
      <c r="C1941" s="225" t="s">
        <v>1176</v>
      </c>
      <c r="D1941" s="225" t="s">
        <v>1176</v>
      </c>
      <c r="E1941" s="232" t="s">
        <v>2428</v>
      </c>
      <c r="F1941" s="89" t="s">
        <v>332</v>
      </c>
    </row>
    <row r="1942" spans="2:6" x14ac:dyDescent="0.55000000000000004">
      <c r="B1942" s="213" t="s">
        <v>949</v>
      </c>
      <c r="C1942" s="225" t="s">
        <v>771</v>
      </c>
      <c r="D1942" s="225" t="s">
        <v>771</v>
      </c>
      <c r="E1942" s="232" t="s">
        <v>2428</v>
      </c>
      <c r="F1942" s="89" t="s">
        <v>332</v>
      </c>
    </row>
    <row r="1943" spans="2:6" x14ac:dyDescent="0.55000000000000004">
      <c r="B1943" s="213" t="s">
        <v>949</v>
      </c>
      <c r="C1943" s="225" t="s">
        <v>435</v>
      </c>
      <c r="D1943" s="225" t="s">
        <v>435</v>
      </c>
      <c r="E1943" s="232" t="s">
        <v>2428</v>
      </c>
      <c r="F1943" s="89" t="s">
        <v>332</v>
      </c>
    </row>
    <row r="1944" spans="2:6" x14ac:dyDescent="0.55000000000000004">
      <c r="B1944" s="213" t="s">
        <v>949</v>
      </c>
      <c r="C1944" s="225" t="s">
        <v>772</v>
      </c>
      <c r="D1944" s="225" t="s">
        <v>772</v>
      </c>
      <c r="E1944" s="232" t="s">
        <v>2428</v>
      </c>
      <c r="F1944" s="89" t="s">
        <v>332</v>
      </c>
    </row>
    <row r="1945" spans="2:6" x14ac:dyDescent="0.55000000000000004">
      <c r="B1945" s="213" t="s">
        <v>949</v>
      </c>
      <c r="C1945" s="225" t="s">
        <v>773</v>
      </c>
      <c r="D1945" s="225" t="s">
        <v>773</v>
      </c>
      <c r="E1945" s="232" t="s">
        <v>2428</v>
      </c>
      <c r="F1945" s="89" t="s">
        <v>332</v>
      </c>
    </row>
    <row r="1946" spans="2:6" x14ac:dyDescent="0.55000000000000004">
      <c r="B1946" s="212">
        <v>23</v>
      </c>
      <c r="C1946" s="224" t="s">
        <v>774</v>
      </c>
      <c r="D1946" s="224" t="s">
        <v>774</v>
      </c>
      <c r="E1946" s="232" t="e">
        <v>#N/A</v>
      </c>
      <c r="F1946" s="89" t="s">
        <v>2433</v>
      </c>
    </row>
    <row r="1947" spans="2:6" x14ac:dyDescent="0.55000000000000004">
      <c r="B1947" s="213">
        <v>23</v>
      </c>
      <c r="C1947" s="225" t="s">
        <v>2869</v>
      </c>
      <c r="D1947" s="225" t="s">
        <v>1785</v>
      </c>
      <c r="E1947" s="232" t="s">
        <v>2429</v>
      </c>
      <c r="F1947" s="89" t="s">
        <v>524</v>
      </c>
    </row>
    <row r="1948" spans="2:6" x14ac:dyDescent="0.55000000000000004">
      <c r="B1948" s="213">
        <v>23</v>
      </c>
      <c r="C1948" s="225" t="s">
        <v>2870</v>
      </c>
      <c r="D1948" s="225" t="s">
        <v>1786</v>
      </c>
      <c r="E1948" s="232" t="s">
        <v>2429</v>
      </c>
      <c r="F1948" s="89" t="s">
        <v>524</v>
      </c>
    </row>
    <row r="1949" spans="2:6" ht="25.8" x14ac:dyDescent="0.55000000000000004">
      <c r="B1949" s="213">
        <v>23</v>
      </c>
      <c r="C1949" s="225" t="s">
        <v>2871</v>
      </c>
      <c r="D1949" s="225" t="s">
        <v>1787</v>
      </c>
      <c r="E1949" s="232" t="s">
        <v>2429</v>
      </c>
      <c r="F1949" s="89" t="s">
        <v>524</v>
      </c>
    </row>
    <row r="1950" spans="2:6" x14ac:dyDescent="0.55000000000000004">
      <c r="B1950" s="213">
        <v>23</v>
      </c>
      <c r="C1950" s="225" t="s">
        <v>2872</v>
      </c>
      <c r="D1950" s="225" t="s">
        <v>1788</v>
      </c>
      <c r="E1950" s="232" t="s">
        <v>2429</v>
      </c>
      <c r="F1950" s="89" t="s">
        <v>524</v>
      </c>
    </row>
    <row r="1951" spans="2:6" x14ac:dyDescent="0.55000000000000004">
      <c r="B1951" s="213">
        <v>23</v>
      </c>
      <c r="C1951" s="225" t="s">
        <v>2873</v>
      </c>
      <c r="D1951" s="225" t="s">
        <v>1789</v>
      </c>
      <c r="E1951" s="232" t="s">
        <v>2429</v>
      </c>
      <c r="F1951" s="89" t="s">
        <v>524</v>
      </c>
    </row>
    <row r="1952" spans="2:6" x14ac:dyDescent="0.55000000000000004">
      <c r="B1952" s="213">
        <v>23</v>
      </c>
      <c r="C1952" s="225" t="s">
        <v>2874</v>
      </c>
      <c r="D1952" s="225" t="s">
        <v>1790</v>
      </c>
      <c r="E1952" s="232" t="s">
        <v>2429</v>
      </c>
      <c r="F1952" s="89" t="s">
        <v>524</v>
      </c>
    </row>
    <row r="1953" spans="2:6" x14ac:dyDescent="0.55000000000000004">
      <c r="B1953" s="213">
        <v>23</v>
      </c>
      <c r="C1953" s="225" t="s">
        <v>2875</v>
      </c>
      <c r="D1953" s="225" t="s">
        <v>1791</v>
      </c>
      <c r="E1953" s="232" t="s">
        <v>2429</v>
      </c>
      <c r="F1953" s="89" t="s">
        <v>524</v>
      </c>
    </row>
    <row r="1954" spans="2:6" x14ac:dyDescent="0.55000000000000004">
      <c r="B1954" s="213">
        <v>23</v>
      </c>
      <c r="C1954" s="225" t="s">
        <v>2876</v>
      </c>
      <c r="D1954" s="225" t="s">
        <v>1792</v>
      </c>
      <c r="E1954" s="232" t="s">
        <v>2429</v>
      </c>
      <c r="F1954" s="89" t="s">
        <v>524</v>
      </c>
    </row>
    <row r="1955" spans="2:6" x14ac:dyDescent="0.55000000000000004">
      <c r="B1955" s="213">
        <v>23</v>
      </c>
      <c r="C1955" s="225" t="s">
        <v>2877</v>
      </c>
      <c r="D1955" s="225" t="s">
        <v>1793</v>
      </c>
      <c r="E1955" s="232" t="s">
        <v>2429</v>
      </c>
      <c r="F1955" s="89" t="s">
        <v>524</v>
      </c>
    </row>
    <row r="1956" spans="2:6" x14ac:dyDescent="0.55000000000000004">
      <c r="B1956" s="213">
        <v>23</v>
      </c>
      <c r="C1956" s="225" t="s">
        <v>2878</v>
      </c>
      <c r="D1956" s="225" t="s">
        <v>1794</v>
      </c>
      <c r="E1956" s="232" t="s">
        <v>2429</v>
      </c>
      <c r="F1956" s="89" t="s">
        <v>524</v>
      </c>
    </row>
    <row r="1957" spans="2:6" x14ac:dyDescent="0.55000000000000004">
      <c r="B1957" s="213">
        <v>23</v>
      </c>
      <c r="C1957" s="225" t="s">
        <v>2879</v>
      </c>
      <c r="D1957" s="225" t="s">
        <v>1795</v>
      </c>
      <c r="E1957" s="232" t="s">
        <v>2429</v>
      </c>
      <c r="F1957" s="89" t="s">
        <v>524</v>
      </c>
    </row>
    <row r="1958" spans="2:6" ht="25.8" x14ac:dyDescent="0.55000000000000004">
      <c r="B1958" s="213">
        <v>23</v>
      </c>
      <c r="C1958" s="225" t="s">
        <v>2880</v>
      </c>
      <c r="D1958" s="225" t="s">
        <v>1796</v>
      </c>
      <c r="E1958" s="232" t="s">
        <v>2429</v>
      </c>
      <c r="F1958" s="89" t="s">
        <v>524</v>
      </c>
    </row>
    <row r="1959" spans="2:6" x14ac:dyDescent="0.55000000000000004">
      <c r="B1959" s="213">
        <v>23</v>
      </c>
      <c r="C1959" s="225" t="s">
        <v>2881</v>
      </c>
      <c r="D1959" s="225" t="s">
        <v>1797</v>
      </c>
      <c r="E1959" s="232" t="s">
        <v>2429</v>
      </c>
      <c r="F1959" s="89" t="s">
        <v>524</v>
      </c>
    </row>
    <row r="1960" spans="2:6" x14ac:dyDescent="0.55000000000000004">
      <c r="B1960" s="213">
        <v>23</v>
      </c>
      <c r="C1960" s="225" t="s">
        <v>2882</v>
      </c>
      <c r="D1960" s="225" t="s">
        <v>1798</v>
      </c>
      <c r="E1960" s="232" t="s">
        <v>2429</v>
      </c>
      <c r="F1960" s="89" t="s">
        <v>524</v>
      </c>
    </row>
    <row r="1961" spans="2:6" x14ac:dyDescent="0.55000000000000004">
      <c r="B1961" s="213">
        <v>23</v>
      </c>
      <c r="C1961" s="225" t="s">
        <v>2883</v>
      </c>
      <c r="D1961" s="225" t="s">
        <v>1799</v>
      </c>
      <c r="E1961" s="232" t="s">
        <v>2429</v>
      </c>
      <c r="F1961" s="89" t="s">
        <v>524</v>
      </c>
    </row>
    <row r="1962" spans="2:6" x14ac:dyDescent="0.55000000000000004">
      <c r="B1962" s="213">
        <v>23</v>
      </c>
      <c r="C1962" s="225" t="s">
        <v>2884</v>
      </c>
      <c r="D1962" s="225" t="s">
        <v>1800</v>
      </c>
      <c r="E1962" s="232" t="s">
        <v>2429</v>
      </c>
      <c r="F1962" s="89" t="s">
        <v>524</v>
      </c>
    </row>
    <row r="1963" spans="2:6" x14ac:dyDescent="0.55000000000000004">
      <c r="B1963" s="213">
        <v>23</v>
      </c>
      <c r="C1963" s="225" t="s">
        <v>2885</v>
      </c>
      <c r="D1963" s="225" t="s">
        <v>1801</v>
      </c>
      <c r="E1963" s="232" t="s">
        <v>2429</v>
      </c>
      <c r="F1963" s="89" t="s">
        <v>524</v>
      </c>
    </row>
    <row r="1964" spans="2:6" x14ac:dyDescent="0.55000000000000004">
      <c r="B1964" s="213">
        <v>23</v>
      </c>
      <c r="C1964" s="225" t="s">
        <v>2886</v>
      </c>
      <c r="D1964" s="225" t="s">
        <v>1802</v>
      </c>
      <c r="E1964" s="232" t="s">
        <v>2429</v>
      </c>
      <c r="F1964" s="89" t="s">
        <v>524</v>
      </c>
    </row>
    <row r="1965" spans="2:6" x14ac:dyDescent="0.55000000000000004">
      <c r="B1965" s="213">
        <v>23</v>
      </c>
      <c r="C1965" s="225" t="s">
        <v>2887</v>
      </c>
      <c r="D1965" s="225" t="s">
        <v>1803</v>
      </c>
      <c r="E1965" s="232" t="s">
        <v>2429</v>
      </c>
      <c r="F1965" s="89" t="s">
        <v>524</v>
      </c>
    </row>
    <row r="1966" spans="2:6" x14ac:dyDescent="0.55000000000000004">
      <c r="B1966" s="213">
        <v>23</v>
      </c>
      <c r="C1966" s="225" t="s">
        <v>2888</v>
      </c>
      <c r="D1966" s="225" t="s">
        <v>1804</v>
      </c>
      <c r="E1966" s="232" t="s">
        <v>2429</v>
      </c>
      <c r="F1966" s="89" t="s">
        <v>524</v>
      </c>
    </row>
    <row r="1967" spans="2:6" ht="25.8" x14ac:dyDescent="0.55000000000000004">
      <c r="B1967" s="213">
        <v>23</v>
      </c>
      <c r="C1967" s="225" t="s">
        <v>2889</v>
      </c>
      <c r="D1967" s="225" t="s">
        <v>1805</v>
      </c>
      <c r="E1967" s="232" t="s">
        <v>2429</v>
      </c>
      <c r="F1967" s="89" t="s">
        <v>524</v>
      </c>
    </row>
    <row r="1968" spans="2:6" x14ac:dyDescent="0.55000000000000004">
      <c r="B1968" s="213">
        <v>23</v>
      </c>
      <c r="C1968" s="225" t="s">
        <v>2890</v>
      </c>
      <c r="D1968" s="225" t="s">
        <v>1806</v>
      </c>
      <c r="E1968" s="232" t="s">
        <v>2429</v>
      </c>
      <c r="F1968" s="89" t="s">
        <v>524</v>
      </c>
    </row>
    <row r="1969" spans="2:6" x14ac:dyDescent="0.55000000000000004">
      <c r="B1969" s="213">
        <v>23</v>
      </c>
      <c r="C1969" s="225" t="s">
        <v>2891</v>
      </c>
      <c r="D1969" s="225" t="s">
        <v>1807</v>
      </c>
      <c r="E1969" s="232" t="s">
        <v>2429</v>
      </c>
      <c r="F1969" s="89" t="s">
        <v>524</v>
      </c>
    </row>
    <row r="1970" spans="2:6" x14ac:dyDescent="0.55000000000000004">
      <c r="B1970" s="213">
        <v>23</v>
      </c>
      <c r="C1970" s="225" t="s">
        <v>2892</v>
      </c>
      <c r="D1970" s="225" t="s">
        <v>1808</v>
      </c>
      <c r="E1970" s="232" t="s">
        <v>2429</v>
      </c>
      <c r="F1970" s="89" t="s">
        <v>524</v>
      </c>
    </row>
    <row r="1971" spans="2:6" x14ac:dyDescent="0.55000000000000004">
      <c r="B1971" s="213">
        <v>23</v>
      </c>
      <c r="C1971" s="225" t="s">
        <v>2893</v>
      </c>
      <c r="D1971" s="225" t="s">
        <v>1809</v>
      </c>
      <c r="E1971" s="232" t="s">
        <v>2429</v>
      </c>
      <c r="F1971" s="89" t="s">
        <v>524</v>
      </c>
    </row>
    <row r="1972" spans="2:6" ht="25.8" x14ac:dyDescent="0.55000000000000004">
      <c r="B1972" s="213">
        <v>23</v>
      </c>
      <c r="C1972" s="225" t="s">
        <v>2894</v>
      </c>
      <c r="D1972" s="225" t="s">
        <v>1810</v>
      </c>
      <c r="E1972" s="232" t="s">
        <v>2429</v>
      </c>
      <c r="F1972" s="89" t="s">
        <v>524</v>
      </c>
    </row>
    <row r="1973" spans="2:6" x14ac:dyDescent="0.55000000000000004">
      <c r="B1973" s="213">
        <v>23</v>
      </c>
      <c r="C1973" s="225" t="s">
        <v>2895</v>
      </c>
      <c r="D1973" s="225" t="s">
        <v>1811</v>
      </c>
      <c r="E1973" s="232" t="s">
        <v>2429</v>
      </c>
      <c r="F1973" s="89" t="s">
        <v>524</v>
      </c>
    </row>
    <row r="1974" spans="2:6" ht="25.8" x14ac:dyDescent="0.55000000000000004">
      <c r="B1974" s="213">
        <v>23</v>
      </c>
      <c r="C1974" s="225" t="s">
        <v>2896</v>
      </c>
      <c r="D1974" s="225" t="s">
        <v>1812</v>
      </c>
      <c r="E1974" s="232" t="s">
        <v>2429</v>
      </c>
      <c r="F1974" s="89" t="s">
        <v>524</v>
      </c>
    </row>
    <row r="1975" spans="2:6" ht="25.8" x14ac:dyDescent="0.55000000000000004">
      <c r="B1975" s="213">
        <v>23</v>
      </c>
      <c r="C1975" s="225" t="s">
        <v>2897</v>
      </c>
      <c r="D1975" s="225" t="s">
        <v>1813</v>
      </c>
      <c r="E1975" s="232" t="s">
        <v>2429</v>
      </c>
      <c r="F1975" s="89" t="s">
        <v>524</v>
      </c>
    </row>
    <row r="1976" spans="2:6" ht="25.8" x14ac:dyDescent="0.55000000000000004">
      <c r="B1976" s="213">
        <v>23</v>
      </c>
      <c r="C1976" s="225" t="s">
        <v>2898</v>
      </c>
      <c r="D1976" s="225" t="s">
        <v>1814</v>
      </c>
      <c r="E1976" s="232" t="s">
        <v>2429</v>
      </c>
      <c r="F1976" s="89" t="s">
        <v>524</v>
      </c>
    </row>
    <row r="1977" spans="2:6" x14ac:dyDescent="0.55000000000000004">
      <c r="B1977" s="213">
        <v>23</v>
      </c>
      <c r="C1977" s="225" t="s">
        <v>2899</v>
      </c>
      <c r="D1977" s="225" t="s">
        <v>1815</v>
      </c>
      <c r="E1977" s="232" t="s">
        <v>2429</v>
      </c>
      <c r="F1977" s="89" t="s">
        <v>524</v>
      </c>
    </row>
    <row r="1978" spans="2:6" ht="25.8" x14ac:dyDescent="0.55000000000000004">
      <c r="B1978" s="213">
        <v>23</v>
      </c>
      <c r="C1978" s="225" t="s">
        <v>2900</v>
      </c>
      <c r="D1978" s="225" t="s">
        <v>1816</v>
      </c>
      <c r="E1978" s="232" t="s">
        <v>2429</v>
      </c>
      <c r="F1978" s="89" t="s">
        <v>524</v>
      </c>
    </row>
    <row r="1979" spans="2:6" x14ac:dyDescent="0.55000000000000004">
      <c r="B1979" s="213">
        <v>23</v>
      </c>
      <c r="C1979" s="225" t="s">
        <v>2901</v>
      </c>
      <c r="D1979" s="225" t="s">
        <v>1817</v>
      </c>
      <c r="E1979" s="232" t="s">
        <v>2429</v>
      </c>
      <c r="F1979" s="89" t="s">
        <v>524</v>
      </c>
    </row>
    <row r="1980" spans="2:6" x14ac:dyDescent="0.55000000000000004">
      <c r="B1980" s="214">
        <v>23</v>
      </c>
      <c r="C1980" s="226" t="s">
        <v>2902</v>
      </c>
      <c r="D1980" s="226" t="s">
        <v>1818</v>
      </c>
      <c r="E1980" s="232" t="s">
        <v>2429</v>
      </c>
      <c r="F1980" s="89" t="s">
        <v>524</v>
      </c>
    </row>
    <row r="1981" spans="2:6" ht="25.8" x14ac:dyDescent="0.55000000000000004">
      <c r="B1981" s="213">
        <v>23</v>
      </c>
      <c r="C1981" s="225" t="s">
        <v>2903</v>
      </c>
      <c r="D1981" s="225" t="s">
        <v>1819</v>
      </c>
      <c r="E1981" s="232" t="s">
        <v>2429</v>
      </c>
      <c r="F1981" s="89" t="s">
        <v>524</v>
      </c>
    </row>
    <row r="1982" spans="2:6" x14ac:dyDescent="0.55000000000000004">
      <c r="B1982" s="213">
        <v>23</v>
      </c>
      <c r="C1982" s="225" t="s">
        <v>2904</v>
      </c>
      <c r="D1982" s="225" t="s">
        <v>1820</v>
      </c>
      <c r="E1982" s="232" t="s">
        <v>2429</v>
      </c>
      <c r="F1982" s="89" t="s">
        <v>524</v>
      </c>
    </row>
    <row r="1983" spans="2:6" ht="25.8" x14ac:dyDescent="0.55000000000000004">
      <c r="B1983" s="213">
        <v>23</v>
      </c>
      <c r="C1983" s="225" t="s">
        <v>2905</v>
      </c>
      <c r="D1983" s="225" t="s">
        <v>1821</v>
      </c>
      <c r="E1983" s="232" t="s">
        <v>2429</v>
      </c>
      <c r="F1983" s="89" t="s">
        <v>524</v>
      </c>
    </row>
    <row r="1984" spans="2:6" x14ac:dyDescent="0.55000000000000004">
      <c r="B1984" s="213">
        <v>23</v>
      </c>
      <c r="C1984" s="225" t="s">
        <v>2906</v>
      </c>
      <c r="D1984" s="225" t="s">
        <v>1822</v>
      </c>
      <c r="E1984" s="232" t="s">
        <v>2429</v>
      </c>
      <c r="F1984" s="89" t="s">
        <v>524</v>
      </c>
    </row>
    <row r="1985" spans="2:6" x14ac:dyDescent="0.55000000000000004">
      <c r="B1985" s="213">
        <v>23</v>
      </c>
      <c r="C1985" s="225" t="s">
        <v>2907</v>
      </c>
      <c r="D1985" s="225" t="s">
        <v>1823</v>
      </c>
      <c r="E1985" s="232" t="s">
        <v>2429</v>
      </c>
      <c r="F1985" s="89" t="s">
        <v>524</v>
      </c>
    </row>
    <row r="1986" spans="2:6" x14ac:dyDescent="0.55000000000000004">
      <c r="B1986" s="213">
        <v>23</v>
      </c>
      <c r="C1986" s="226" t="s">
        <v>2908</v>
      </c>
      <c r="D1986" s="226" t="s">
        <v>1824</v>
      </c>
      <c r="E1986" s="232" t="s">
        <v>2429</v>
      </c>
      <c r="F1986" s="89" t="s">
        <v>524</v>
      </c>
    </row>
    <row r="1987" spans="2:6" x14ac:dyDescent="0.55000000000000004">
      <c r="B1987" s="213">
        <v>23</v>
      </c>
      <c r="C1987" s="225" t="s">
        <v>2909</v>
      </c>
      <c r="D1987" s="225" t="s">
        <v>1825</v>
      </c>
      <c r="E1987" s="232" t="s">
        <v>2429</v>
      </c>
      <c r="F1987" s="89" t="s">
        <v>524</v>
      </c>
    </row>
    <row r="1988" spans="2:6" ht="25.8" x14ac:dyDescent="0.55000000000000004">
      <c r="B1988" s="213">
        <v>23</v>
      </c>
      <c r="C1988" s="225" t="s">
        <v>2910</v>
      </c>
      <c r="D1988" s="225" t="s">
        <v>1826</v>
      </c>
      <c r="E1988" s="232" t="s">
        <v>2428</v>
      </c>
      <c r="F1988" s="89" t="s">
        <v>332</v>
      </c>
    </row>
    <row r="1989" spans="2:6" ht="25.8" x14ac:dyDescent="0.55000000000000004">
      <c r="B1989" s="213">
        <v>23</v>
      </c>
      <c r="C1989" s="225" t="s">
        <v>2911</v>
      </c>
      <c r="D1989" s="225" t="s">
        <v>1827</v>
      </c>
      <c r="E1989" s="232" t="s">
        <v>2428</v>
      </c>
      <c r="F1989" s="89" t="s">
        <v>332</v>
      </c>
    </row>
    <row r="1990" spans="2:6" x14ac:dyDescent="0.55000000000000004">
      <c r="B1990" s="213">
        <v>23</v>
      </c>
      <c r="C1990" s="225" t="s">
        <v>2912</v>
      </c>
      <c r="D1990" s="225" t="s">
        <v>1828</v>
      </c>
      <c r="E1990" s="232" t="s">
        <v>2428</v>
      </c>
      <c r="F1990" s="89" t="s">
        <v>332</v>
      </c>
    </row>
    <row r="1991" spans="2:6" ht="25.8" x14ac:dyDescent="0.55000000000000004">
      <c r="B1991" s="213">
        <v>23</v>
      </c>
      <c r="C1991" s="225" t="s">
        <v>2913</v>
      </c>
      <c r="D1991" s="225" t="s">
        <v>1829</v>
      </c>
      <c r="E1991" s="232" t="s">
        <v>2428</v>
      </c>
      <c r="F1991" s="89" t="s">
        <v>332</v>
      </c>
    </row>
    <row r="1992" spans="2:6" ht="25.8" x14ac:dyDescent="0.55000000000000004">
      <c r="B1992" s="213">
        <v>23</v>
      </c>
      <c r="C1992" s="225" t="s">
        <v>2914</v>
      </c>
      <c r="D1992" s="225" t="s">
        <v>1830</v>
      </c>
      <c r="E1992" s="232" t="s">
        <v>2429</v>
      </c>
      <c r="F1992" s="89" t="s">
        <v>524</v>
      </c>
    </row>
    <row r="1993" spans="2:6" x14ac:dyDescent="0.55000000000000004">
      <c r="B1993" s="213">
        <v>23</v>
      </c>
      <c r="C1993" s="225" t="s">
        <v>2915</v>
      </c>
      <c r="D1993" s="225" t="s">
        <v>1831</v>
      </c>
      <c r="E1993" s="232" t="s">
        <v>2429</v>
      </c>
      <c r="F1993" s="89" t="s">
        <v>524</v>
      </c>
    </row>
    <row r="1994" spans="2:6" ht="25.8" x14ac:dyDescent="0.55000000000000004">
      <c r="B1994" s="213">
        <v>23</v>
      </c>
      <c r="C1994" s="225" t="s">
        <v>2916</v>
      </c>
      <c r="D1994" s="225" t="s">
        <v>1832</v>
      </c>
      <c r="E1994" s="232" t="s">
        <v>2429</v>
      </c>
      <c r="F1994" s="89" t="s">
        <v>524</v>
      </c>
    </row>
    <row r="1995" spans="2:6" x14ac:dyDescent="0.55000000000000004">
      <c r="B1995" s="213">
        <v>23</v>
      </c>
      <c r="C1995" s="226" t="s">
        <v>2917</v>
      </c>
      <c r="D1995" s="226" t="s">
        <v>1833</v>
      </c>
      <c r="E1995" s="232" t="s">
        <v>2429</v>
      </c>
      <c r="F1995" s="89" t="s">
        <v>524</v>
      </c>
    </row>
    <row r="1996" spans="2:6" ht="25.8" x14ac:dyDescent="0.55000000000000004">
      <c r="B1996" s="213">
        <v>23</v>
      </c>
      <c r="C1996" s="225" t="s">
        <v>2918</v>
      </c>
      <c r="D1996" s="225" t="s">
        <v>1834</v>
      </c>
      <c r="E1996" s="232" t="s">
        <v>2429</v>
      </c>
      <c r="F1996" s="89" t="s">
        <v>524</v>
      </c>
    </row>
    <row r="1997" spans="2:6" x14ac:dyDescent="0.55000000000000004">
      <c r="B1997" s="213">
        <v>23</v>
      </c>
      <c r="C1997" s="225" t="s">
        <v>2919</v>
      </c>
      <c r="D1997" s="225" t="s">
        <v>1835</v>
      </c>
      <c r="E1997" s="232" t="s">
        <v>2429</v>
      </c>
      <c r="F1997" s="89" t="s">
        <v>524</v>
      </c>
    </row>
    <row r="1998" spans="2:6" x14ac:dyDescent="0.55000000000000004">
      <c r="B1998" s="213">
        <v>23</v>
      </c>
      <c r="C1998" s="225" t="s">
        <v>2920</v>
      </c>
      <c r="D1998" s="225" t="s">
        <v>1836</v>
      </c>
      <c r="E1998" s="232" t="s">
        <v>2429</v>
      </c>
      <c r="F1998" s="89" t="s">
        <v>524</v>
      </c>
    </row>
    <row r="1999" spans="2:6" ht="25.8" x14ac:dyDescent="0.55000000000000004">
      <c r="B1999" s="213">
        <v>23</v>
      </c>
      <c r="C1999" s="225" t="s">
        <v>2921</v>
      </c>
      <c r="D1999" s="225" t="s">
        <v>1837</v>
      </c>
      <c r="E1999" s="232" t="s">
        <v>2429</v>
      </c>
      <c r="F1999" s="89" t="s">
        <v>524</v>
      </c>
    </row>
    <row r="2000" spans="2:6" x14ac:dyDescent="0.55000000000000004">
      <c r="B2000" s="213">
        <v>23</v>
      </c>
      <c r="C2000" s="225" t="s">
        <v>2922</v>
      </c>
      <c r="D2000" s="225" t="s">
        <v>1838</v>
      </c>
      <c r="E2000" s="232" t="s">
        <v>2429</v>
      </c>
      <c r="F2000" s="89" t="s">
        <v>524</v>
      </c>
    </row>
    <row r="2001" spans="2:6" ht="25.8" x14ac:dyDescent="0.55000000000000004">
      <c r="B2001" s="213">
        <v>23</v>
      </c>
      <c r="C2001" s="225" t="s">
        <v>2923</v>
      </c>
      <c r="D2001" s="225" t="s">
        <v>1839</v>
      </c>
      <c r="E2001" s="232" t="s">
        <v>2429</v>
      </c>
      <c r="F2001" s="89" t="s">
        <v>524</v>
      </c>
    </row>
    <row r="2002" spans="2:6" ht="38.700000000000003" x14ac:dyDescent="0.55000000000000004">
      <c r="B2002" s="213">
        <v>23</v>
      </c>
      <c r="C2002" s="225" t="s">
        <v>2924</v>
      </c>
      <c r="D2002" s="225" t="s">
        <v>1840</v>
      </c>
      <c r="E2002" s="232" t="s">
        <v>2429</v>
      </c>
      <c r="F2002" s="89" t="s">
        <v>524</v>
      </c>
    </row>
    <row r="2003" spans="2:6" ht="38.700000000000003" x14ac:dyDescent="0.55000000000000004">
      <c r="B2003" s="213">
        <v>23</v>
      </c>
      <c r="C2003" s="225" t="s">
        <v>2925</v>
      </c>
      <c r="D2003" s="225" t="s">
        <v>1841</v>
      </c>
      <c r="E2003" s="232" t="s">
        <v>2429</v>
      </c>
      <c r="F2003" s="89" t="s">
        <v>524</v>
      </c>
    </row>
    <row r="2004" spans="2:6" ht="25.8" x14ac:dyDescent="0.55000000000000004">
      <c r="B2004" s="213">
        <v>23</v>
      </c>
      <c r="C2004" s="225" t="s">
        <v>2926</v>
      </c>
      <c r="D2004" s="225" t="s">
        <v>1842</v>
      </c>
      <c r="E2004" s="232" t="s">
        <v>2429</v>
      </c>
      <c r="F2004" s="89" t="s">
        <v>524</v>
      </c>
    </row>
    <row r="2005" spans="2:6" ht="25.8" x14ac:dyDescent="0.55000000000000004">
      <c r="B2005" s="213">
        <v>23</v>
      </c>
      <c r="C2005" s="225" t="s">
        <v>2927</v>
      </c>
      <c r="D2005" s="225" t="s">
        <v>1843</v>
      </c>
      <c r="E2005" s="232" t="s">
        <v>2429</v>
      </c>
      <c r="F2005" s="89" t="s">
        <v>524</v>
      </c>
    </row>
    <row r="2006" spans="2:6" x14ac:dyDescent="0.55000000000000004">
      <c r="B2006" s="213">
        <v>23</v>
      </c>
      <c r="C2006" s="225" t="s">
        <v>2928</v>
      </c>
      <c r="D2006" s="225" t="s">
        <v>1844</v>
      </c>
      <c r="E2006" s="232" t="s">
        <v>2429</v>
      </c>
      <c r="F2006" s="89" t="s">
        <v>524</v>
      </c>
    </row>
    <row r="2007" spans="2:6" x14ac:dyDescent="0.55000000000000004">
      <c r="B2007" s="213">
        <v>23</v>
      </c>
      <c r="C2007" s="225" t="s">
        <v>2929</v>
      </c>
      <c r="D2007" s="225" t="s">
        <v>1845</v>
      </c>
      <c r="E2007" s="232" t="s">
        <v>2429</v>
      </c>
      <c r="F2007" s="89" t="s">
        <v>524</v>
      </c>
    </row>
    <row r="2008" spans="2:6" ht="25.8" x14ac:dyDescent="0.55000000000000004">
      <c r="B2008" s="213">
        <v>23</v>
      </c>
      <c r="C2008" s="225" t="s">
        <v>2930</v>
      </c>
      <c r="D2008" s="225" t="s">
        <v>1846</v>
      </c>
      <c r="E2008" s="232" t="s">
        <v>2429</v>
      </c>
      <c r="F2008" s="89" t="s">
        <v>524</v>
      </c>
    </row>
    <row r="2009" spans="2:6" x14ac:dyDescent="0.55000000000000004">
      <c r="B2009" s="213">
        <v>23</v>
      </c>
      <c r="C2009" s="225" t="s">
        <v>2931</v>
      </c>
      <c r="D2009" s="225" t="s">
        <v>1847</v>
      </c>
      <c r="E2009" s="232" t="s">
        <v>2429</v>
      </c>
      <c r="F2009" s="89" t="s">
        <v>524</v>
      </c>
    </row>
    <row r="2010" spans="2:6" x14ac:dyDescent="0.55000000000000004">
      <c r="B2010" s="213">
        <v>23</v>
      </c>
      <c r="C2010" s="225" t="s">
        <v>2932</v>
      </c>
      <c r="D2010" s="225" t="s">
        <v>1848</v>
      </c>
      <c r="E2010" s="232" t="s">
        <v>2429</v>
      </c>
      <c r="F2010" s="89" t="s">
        <v>524</v>
      </c>
    </row>
    <row r="2011" spans="2:6" x14ac:dyDescent="0.55000000000000004">
      <c r="B2011" s="213">
        <v>23</v>
      </c>
      <c r="C2011" s="225" t="s">
        <v>2933</v>
      </c>
      <c r="D2011" s="225" t="s">
        <v>1849</v>
      </c>
      <c r="E2011" s="232" t="s">
        <v>2429</v>
      </c>
      <c r="F2011" s="89" t="s">
        <v>524</v>
      </c>
    </row>
    <row r="2012" spans="2:6" x14ac:dyDescent="0.55000000000000004">
      <c r="B2012" s="213">
        <v>23</v>
      </c>
      <c r="C2012" s="225" t="s">
        <v>2934</v>
      </c>
      <c r="D2012" s="225" t="s">
        <v>1850</v>
      </c>
      <c r="E2012" s="232" t="s">
        <v>2429</v>
      </c>
      <c r="F2012" s="89" t="s">
        <v>524</v>
      </c>
    </row>
    <row r="2013" spans="2:6" x14ac:dyDescent="0.55000000000000004">
      <c r="B2013" s="213">
        <v>23</v>
      </c>
      <c r="C2013" s="225" t="s">
        <v>2935</v>
      </c>
      <c r="D2013" s="225" t="s">
        <v>1851</v>
      </c>
      <c r="E2013" s="232" t="s">
        <v>2429</v>
      </c>
      <c r="F2013" s="89" t="s">
        <v>524</v>
      </c>
    </row>
    <row r="2014" spans="2:6" ht="25.8" x14ac:dyDescent="0.55000000000000004">
      <c r="B2014" s="213">
        <v>23</v>
      </c>
      <c r="C2014" s="225" t="s">
        <v>2936</v>
      </c>
      <c r="D2014" s="225" t="s">
        <v>1852</v>
      </c>
      <c r="E2014" s="232" t="s">
        <v>2429</v>
      </c>
      <c r="F2014" s="89" t="s">
        <v>524</v>
      </c>
    </row>
    <row r="2015" spans="2:6" ht="25.8" x14ac:dyDescent="0.55000000000000004">
      <c r="B2015" s="213">
        <v>23</v>
      </c>
      <c r="C2015" s="225" t="s">
        <v>2937</v>
      </c>
      <c r="D2015" s="225" t="s">
        <v>1853</v>
      </c>
      <c r="E2015" s="232" t="s">
        <v>2429</v>
      </c>
      <c r="F2015" s="89" t="s">
        <v>524</v>
      </c>
    </row>
    <row r="2016" spans="2:6" ht="25.8" x14ac:dyDescent="0.55000000000000004">
      <c r="B2016" s="213">
        <v>23</v>
      </c>
      <c r="C2016" s="225" t="s">
        <v>2938</v>
      </c>
      <c r="D2016" s="225" t="s">
        <v>1854</v>
      </c>
      <c r="E2016" s="232" t="s">
        <v>2429</v>
      </c>
      <c r="F2016" s="89" t="s">
        <v>524</v>
      </c>
    </row>
    <row r="2017" spans="2:6" x14ac:dyDescent="0.55000000000000004">
      <c r="B2017" s="213">
        <v>23</v>
      </c>
      <c r="C2017" s="225" t="s">
        <v>2939</v>
      </c>
      <c r="D2017" s="225" t="s">
        <v>1855</v>
      </c>
      <c r="E2017" s="232" t="s">
        <v>2429</v>
      </c>
      <c r="F2017" s="89" t="s">
        <v>524</v>
      </c>
    </row>
    <row r="2018" spans="2:6" ht="25.8" x14ac:dyDescent="0.55000000000000004">
      <c r="B2018" s="213">
        <v>23</v>
      </c>
      <c r="C2018" s="225" t="s">
        <v>2940</v>
      </c>
      <c r="D2018" s="225" t="s">
        <v>1856</v>
      </c>
      <c r="E2018" s="232" t="s">
        <v>2429</v>
      </c>
      <c r="F2018" s="89" t="s">
        <v>524</v>
      </c>
    </row>
    <row r="2019" spans="2:6" x14ac:dyDescent="0.55000000000000004">
      <c r="B2019" s="213">
        <v>23</v>
      </c>
      <c r="C2019" s="225" t="s">
        <v>2941</v>
      </c>
      <c r="D2019" s="225" t="s">
        <v>1857</v>
      </c>
      <c r="E2019" s="232" t="s">
        <v>2429</v>
      </c>
      <c r="F2019" s="89" t="s">
        <v>524</v>
      </c>
    </row>
    <row r="2020" spans="2:6" x14ac:dyDescent="0.55000000000000004">
      <c r="B2020" s="213">
        <v>23</v>
      </c>
      <c r="C2020" s="225" t="s">
        <v>2942</v>
      </c>
      <c r="D2020" s="225" t="s">
        <v>1858</v>
      </c>
      <c r="E2020" s="232" t="s">
        <v>2429</v>
      </c>
      <c r="F2020" s="89" t="s">
        <v>524</v>
      </c>
    </row>
    <row r="2021" spans="2:6" x14ac:dyDescent="0.55000000000000004">
      <c r="B2021" s="213">
        <v>23</v>
      </c>
      <c r="C2021" s="225" t="s">
        <v>2943</v>
      </c>
      <c r="D2021" s="225" t="s">
        <v>1859</v>
      </c>
      <c r="E2021" s="232" t="s">
        <v>2429</v>
      </c>
      <c r="F2021" s="89" t="s">
        <v>524</v>
      </c>
    </row>
    <row r="2022" spans="2:6" ht="25.8" x14ac:dyDescent="0.55000000000000004">
      <c r="B2022" s="213">
        <v>23</v>
      </c>
      <c r="C2022" s="225" t="s">
        <v>2944</v>
      </c>
      <c r="D2022" s="225" t="s">
        <v>1860</v>
      </c>
      <c r="E2022" s="232" t="s">
        <v>2429</v>
      </c>
      <c r="F2022" s="89" t="s">
        <v>524</v>
      </c>
    </row>
    <row r="2023" spans="2:6" x14ac:dyDescent="0.55000000000000004">
      <c r="B2023" s="213">
        <v>23</v>
      </c>
      <c r="C2023" s="225" t="s">
        <v>2945</v>
      </c>
      <c r="D2023" s="225" t="s">
        <v>1861</v>
      </c>
      <c r="E2023" s="232" t="s">
        <v>2429</v>
      </c>
      <c r="F2023" s="89" t="s">
        <v>524</v>
      </c>
    </row>
    <row r="2024" spans="2:6" x14ac:dyDescent="0.55000000000000004">
      <c r="B2024" s="213">
        <v>23</v>
      </c>
      <c r="C2024" s="225" t="s">
        <v>2946</v>
      </c>
      <c r="D2024" s="225" t="s">
        <v>1862</v>
      </c>
      <c r="E2024" s="232" t="s">
        <v>2429</v>
      </c>
      <c r="F2024" s="89" t="s">
        <v>524</v>
      </c>
    </row>
    <row r="2025" spans="2:6" x14ac:dyDescent="0.55000000000000004">
      <c r="B2025" s="213">
        <v>23</v>
      </c>
      <c r="C2025" s="225" t="s">
        <v>2947</v>
      </c>
      <c r="D2025" s="225" t="s">
        <v>1863</v>
      </c>
      <c r="E2025" s="232" t="s">
        <v>2429</v>
      </c>
      <c r="F2025" s="89" t="s">
        <v>524</v>
      </c>
    </row>
    <row r="2026" spans="2:6" ht="25.8" x14ac:dyDescent="0.55000000000000004">
      <c r="B2026" s="213">
        <v>23</v>
      </c>
      <c r="C2026" s="225" t="s">
        <v>2948</v>
      </c>
      <c r="D2026" s="225" t="s">
        <v>1864</v>
      </c>
      <c r="E2026" s="232" t="s">
        <v>2429</v>
      </c>
      <c r="F2026" s="89" t="s">
        <v>524</v>
      </c>
    </row>
    <row r="2027" spans="2:6" x14ac:dyDescent="0.55000000000000004">
      <c r="B2027" s="213">
        <v>23</v>
      </c>
      <c r="C2027" s="225" t="s">
        <v>2949</v>
      </c>
      <c r="D2027" s="225" t="s">
        <v>1865</v>
      </c>
      <c r="E2027" s="232" t="s">
        <v>2429</v>
      </c>
      <c r="F2027" s="89" t="s">
        <v>524</v>
      </c>
    </row>
    <row r="2028" spans="2:6" x14ac:dyDescent="0.55000000000000004">
      <c r="B2028" s="213">
        <v>23</v>
      </c>
      <c r="C2028" s="225" t="s">
        <v>2950</v>
      </c>
      <c r="D2028" s="225" t="s">
        <v>1866</v>
      </c>
      <c r="E2028" s="232" t="s">
        <v>2429</v>
      </c>
      <c r="F2028" s="89" t="s">
        <v>524</v>
      </c>
    </row>
    <row r="2029" spans="2:6" x14ac:dyDescent="0.55000000000000004">
      <c r="B2029" s="213">
        <v>23</v>
      </c>
      <c r="C2029" s="225" t="s">
        <v>2951</v>
      </c>
      <c r="D2029" s="225" t="s">
        <v>1867</v>
      </c>
      <c r="E2029" s="232" t="s">
        <v>2429</v>
      </c>
      <c r="F2029" s="89" t="s">
        <v>524</v>
      </c>
    </row>
    <row r="2030" spans="2:6" x14ac:dyDescent="0.55000000000000004">
      <c r="B2030" s="213">
        <v>23</v>
      </c>
      <c r="C2030" s="225" t="s">
        <v>2952</v>
      </c>
      <c r="D2030" s="225" t="s">
        <v>1868</v>
      </c>
      <c r="E2030" s="232" t="s">
        <v>2429</v>
      </c>
      <c r="F2030" s="89" t="s">
        <v>524</v>
      </c>
    </row>
    <row r="2031" spans="2:6" x14ac:dyDescent="0.55000000000000004">
      <c r="B2031" s="214">
        <v>23</v>
      </c>
      <c r="C2031" s="226" t="s">
        <v>2953</v>
      </c>
      <c r="D2031" s="226" t="s">
        <v>1869</v>
      </c>
      <c r="E2031" s="232" t="s">
        <v>2429</v>
      </c>
      <c r="F2031" s="89" t="s">
        <v>505</v>
      </c>
    </row>
    <row r="2032" spans="2:6" ht="25.8" x14ac:dyDescent="0.55000000000000004">
      <c r="B2032" s="213">
        <v>23</v>
      </c>
      <c r="C2032" s="225" t="s">
        <v>2954</v>
      </c>
      <c r="D2032" s="225" t="s">
        <v>1870</v>
      </c>
      <c r="E2032" s="232" t="s">
        <v>2429</v>
      </c>
      <c r="F2032" s="89" t="s">
        <v>524</v>
      </c>
    </row>
    <row r="2033" spans="2:6" x14ac:dyDescent="0.55000000000000004">
      <c r="B2033" s="213">
        <v>23</v>
      </c>
      <c r="C2033" s="225" t="s">
        <v>2955</v>
      </c>
      <c r="D2033" s="225" t="s">
        <v>1871</v>
      </c>
      <c r="E2033" s="232" t="s">
        <v>2429</v>
      </c>
      <c r="F2033" s="89" t="s">
        <v>524</v>
      </c>
    </row>
    <row r="2034" spans="2:6" ht="25.8" x14ac:dyDescent="0.55000000000000004">
      <c r="B2034" s="213">
        <v>23</v>
      </c>
      <c r="C2034" s="225" t="s">
        <v>2956</v>
      </c>
      <c r="D2034" s="225" t="s">
        <v>1872</v>
      </c>
      <c r="E2034" s="232" t="s">
        <v>2429</v>
      </c>
      <c r="F2034" s="89" t="s">
        <v>524</v>
      </c>
    </row>
    <row r="2035" spans="2:6" x14ac:dyDescent="0.55000000000000004">
      <c r="B2035" s="213">
        <v>23</v>
      </c>
      <c r="C2035" s="225" t="s">
        <v>2957</v>
      </c>
      <c r="D2035" s="225" t="s">
        <v>1873</v>
      </c>
      <c r="E2035" s="232" t="s">
        <v>2429</v>
      </c>
      <c r="F2035" s="89" t="s">
        <v>524</v>
      </c>
    </row>
    <row r="2036" spans="2:6" x14ac:dyDescent="0.55000000000000004">
      <c r="B2036" s="213">
        <v>23</v>
      </c>
      <c r="C2036" s="225" t="s">
        <v>2958</v>
      </c>
      <c r="D2036" s="225" t="s">
        <v>1874</v>
      </c>
      <c r="E2036" s="232" t="s">
        <v>2429</v>
      </c>
      <c r="F2036" s="89" t="s">
        <v>524</v>
      </c>
    </row>
    <row r="2037" spans="2:6" ht="25.8" x14ac:dyDescent="0.55000000000000004">
      <c r="B2037" s="213">
        <v>23</v>
      </c>
      <c r="C2037" s="225" t="s">
        <v>2959</v>
      </c>
      <c r="D2037" s="225" t="s">
        <v>1875</v>
      </c>
      <c r="E2037" s="232" t="s">
        <v>2429</v>
      </c>
      <c r="F2037" s="89" t="s">
        <v>524</v>
      </c>
    </row>
    <row r="2038" spans="2:6" x14ac:dyDescent="0.55000000000000004">
      <c r="B2038" s="213">
        <v>23</v>
      </c>
      <c r="C2038" s="225" t="s">
        <v>2960</v>
      </c>
      <c r="D2038" s="225" t="s">
        <v>1876</v>
      </c>
      <c r="E2038" s="232" t="s">
        <v>2429</v>
      </c>
      <c r="F2038" s="89" t="s">
        <v>524</v>
      </c>
    </row>
    <row r="2039" spans="2:6" ht="25.8" x14ac:dyDescent="0.55000000000000004">
      <c r="B2039" s="213">
        <v>23</v>
      </c>
      <c r="C2039" s="225" t="s">
        <v>2961</v>
      </c>
      <c r="D2039" s="225" t="s">
        <v>1877</v>
      </c>
      <c r="E2039" s="232" t="s">
        <v>2429</v>
      </c>
      <c r="F2039" s="89" t="s">
        <v>524</v>
      </c>
    </row>
    <row r="2040" spans="2:6" ht="25.8" x14ac:dyDescent="0.55000000000000004">
      <c r="B2040" s="213">
        <v>23</v>
      </c>
      <c r="C2040" s="225" t="s">
        <v>2962</v>
      </c>
      <c r="D2040" s="225" t="s">
        <v>1878</v>
      </c>
      <c r="E2040" s="232" t="s">
        <v>2429</v>
      </c>
      <c r="F2040" s="89" t="s">
        <v>524</v>
      </c>
    </row>
    <row r="2041" spans="2:6" x14ac:dyDescent="0.55000000000000004">
      <c r="B2041" s="213">
        <v>23</v>
      </c>
      <c r="C2041" s="225" t="s">
        <v>2963</v>
      </c>
      <c r="D2041" s="225" t="s">
        <v>1879</v>
      </c>
      <c r="E2041" s="232" t="s">
        <v>2429</v>
      </c>
      <c r="F2041" s="89" t="s">
        <v>524</v>
      </c>
    </row>
    <row r="2042" spans="2:6" x14ac:dyDescent="0.55000000000000004">
      <c r="B2042" s="213">
        <v>23</v>
      </c>
      <c r="C2042" s="225" t="s">
        <v>2964</v>
      </c>
      <c r="D2042" s="225" t="s">
        <v>1880</v>
      </c>
      <c r="E2042" s="232" t="s">
        <v>2429</v>
      </c>
      <c r="F2042" s="89" t="s">
        <v>524</v>
      </c>
    </row>
    <row r="2043" spans="2:6" ht="25.8" x14ac:dyDescent="0.55000000000000004">
      <c r="B2043" s="213">
        <v>23</v>
      </c>
      <c r="C2043" s="225" t="s">
        <v>2965</v>
      </c>
      <c r="D2043" s="225" t="s">
        <v>1881</v>
      </c>
      <c r="E2043" s="232" t="s">
        <v>2429</v>
      </c>
      <c r="F2043" s="89" t="s">
        <v>524</v>
      </c>
    </row>
    <row r="2044" spans="2:6" x14ac:dyDescent="0.55000000000000004">
      <c r="B2044" s="213">
        <v>23</v>
      </c>
      <c r="C2044" s="225" t="s">
        <v>2966</v>
      </c>
      <c r="D2044" s="225" t="s">
        <v>1882</v>
      </c>
      <c r="E2044" s="232" t="s">
        <v>2429</v>
      </c>
      <c r="F2044" s="89" t="s">
        <v>524</v>
      </c>
    </row>
    <row r="2045" spans="2:6" x14ac:dyDescent="0.55000000000000004">
      <c r="B2045" s="213">
        <v>23</v>
      </c>
      <c r="C2045" s="225" t="s">
        <v>2967</v>
      </c>
      <c r="D2045" s="225" t="s">
        <v>1883</v>
      </c>
      <c r="E2045" s="232" t="s">
        <v>2429</v>
      </c>
      <c r="F2045" s="89" t="s">
        <v>524</v>
      </c>
    </row>
    <row r="2046" spans="2:6" ht="25.8" x14ac:dyDescent="0.55000000000000004">
      <c r="B2046" s="213">
        <v>23</v>
      </c>
      <c r="C2046" s="225" t="s">
        <v>2968</v>
      </c>
      <c r="D2046" s="225" t="s">
        <v>1884</v>
      </c>
      <c r="E2046" s="232" t="s">
        <v>2429</v>
      </c>
      <c r="F2046" s="89" t="s">
        <v>524</v>
      </c>
    </row>
    <row r="2047" spans="2:6" ht="25.8" x14ac:dyDescent="0.55000000000000004">
      <c r="B2047" s="213">
        <v>23</v>
      </c>
      <c r="C2047" s="225" t="s">
        <v>2969</v>
      </c>
      <c r="D2047" s="225" t="s">
        <v>1885</v>
      </c>
      <c r="E2047" s="232" t="s">
        <v>2429</v>
      </c>
      <c r="F2047" s="89" t="s">
        <v>524</v>
      </c>
    </row>
    <row r="2048" spans="2:6" x14ac:dyDescent="0.55000000000000004">
      <c r="B2048" s="213">
        <v>23</v>
      </c>
      <c r="C2048" s="225" t="s">
        <v>2970</v>
      </c>
      <c r="D2048" s="225" t="s">
        <v>1886</v>
      </c>
      <c r="E2048" s="232" t="s">
        <v>2429</v>
      </c>
      <c r="F2048" s="89" t="s">
        <v>524</v>
      </c>
    </row>
    <row r="2049" spans="2:6" x14ac:dyDescent="0.55000000000000004">
      <c r="B2049" s="213">
        <v>23</v>
      </c>
      <c r="C2049" s="225" t="s">
        <v>2971</v>
      </c>
      <c r="D2049" s="225" t="s">
        <v>1887</v>
      </c>
      <c r="E2049" s="232" t="s">
        <v>2429</v>
      </c>
      <c r="F2049" s="89" t="s">
        <v>524</v>
      </c>
    </row>
    <row r="2050" spans="2:6" x14ac:dyDescent="0.55000000000000004">
      <c r="B2050" s="213">
        <v>23</v>
      </c>
      <c r="C2050" s="225" t="s">
        <v>2972</v>
      </c>
      <c r="D2050" s="225" t="s">
        <v>1888</v>
      </c>
      <c r="E2050" s="232" t="s">
        <v>2429</v>
      </c>
      <c r="F2050" s="89" t="s">
        <v>524</v>
      </c>
    </row>
    <row r="2051" spans="2:6" x14ac:dyDescent="0.55000000000000004">
      <c r="B2051" s="213">
        <v>23</v>
      </c>
      <c r="C2051" s="225" t="s">
        <v>2973</v>
      </c>
      <c r="D2051" s="225" t="s">
        <v>1889</v>
      </c>
      <c r="E2051" s="232" t="s">
        <v>2429</v>
      </c>
      <c r="F2051" s="89" t="s">
        <v>524</v>
      </c>
    </row>
    <row r="2052" spans="2:6" ht="25.8" x14ac:dyDescent="0.55000000000000004">
      <c r="B2052" s="213">
        <v>23</v>
      </c>
      <c r="C2052" s="225" t="s">
        <v>2974</v>
      </c>
      <c r="D2052" s="225" t="s">
        <v>1890</v>
      </c>
      <c r="E2052" s="232" t="s">
        <v>2429</v>
      </c>
      <c r="F2052" s="89" t="s">
        <v>524</v>
      </c>
    </row>
    <row r="2053" spans="2:6" x14ac:dyDescent="0.55000000000000004">
      <c r="B2053" s="213">
        <v>23</v>
      </c>
      <c r="C2053" s="225" t="s">
        <v>2975</v>
      </c>
      <c r="D2053" s="225" t="s">
        <v>1891</v>
      </c>
      <c r="E2053" s="232" t="s">
        <v>2429</v>
      </c>
      <c r="F2053" s="89" t="s">
        <v>524</v>
      </c>
    </row>
    <row r="2054" spans="2:6" ht="25.8" x14ac:dyDescent="0.55000000000000004">
      <c r="B2054" s="213">
        <v>23</v>
      </c>
      <c r="C2054" s="225" t="s">
        <v>2976</v>
      </c>
      <c r="D2054" s="225" t="s">
        <v>1892</v>
      </c>
      <c r="E2054" s="232" t="s">
        <v>2429</v>
      </c>
      <c r="F2054" s="89" t="s">
        <v>524</v>
      </c>
    </row>
    <row r="2055" spans="2:6" ht="25.8" x14ac:dyDescent="0.55000000000000004">
      <c r="B2055" s="213">
        <v>23</v>
      </c>
      <c r="C2055" s="225" t="s">
        <v>2977</v>
      </c>
      <c r="D2055" s="225" t="s">
        <v>1893</v>
      </c>
      <c r="E2055" s="232" t="s">
        <v>2429</v>
      </c>
      <c r="F2055" s="89" t="s">
        <v>524</v>
      </c>
    </row>
    <row r="2056" spans="2:6" ht="25.8" x14ac:dyDescent="0.55000000000000004">
      <c r="B2056" s="215" t="s">
        <v>950</v>
      </c>
      <c r="C2056" s="227" t="s">
        <v>775</v>
      </c>
      <c r="D2056" s="227" t="s">
        <v>775</v>
      </c>
      <c r="E2056" s="232" t="e">
        <v>#N/A</v>
      </c>
      <c r="F2056" s="89" t="s">
        <v>2433</v>
      </c>
    </row>
    <row r="2057" spans="2:6" x14ac:dyDescent="0.55000000000000004">
      <c r="B2057" s="213" t="s">
        <v>950</v>
      </c>
      <c r="C2057" s="225" t="s">
        <v>2870</v>
      </c>
      <c r="D2057" s="225" t="s">
        <v>1786</v>
      </c>
      <c r="E2057" s="232" t="s">
        <v>2429</v>
      </c>
      <c r="F2057" s="89" t="s">
        <v>524</v>
      </c>
    </row>
    <row r="2058" spans="2:6" x14ac:dyDescent="0.55000000000000004">
      <c r="B2058" s="213" t="s">
        <v>950</v>
      </c>
      <c r="C2058" s="225" t="s">
        <v>2872</v>
      </c>
      <c r="D2058" s="225" t="s">
        <v>1788</v>
      </c>
      <c r="E2058" s="232" t="s">
        <v>2429</v>
      </c>
      <c r="F2058" s="89" t="s">
        <v>524</v>
      </c>
    </row>
    <row r="2059" spans="2:6" x14ac:dyDescent="0.55000000000000004">
      <c r="B2059" s="213" t="s">
        <v>950</v>
      </c>
      <c r="C2059" s="225" t="s">
        <v>2873</v>
      </c>
      <c r="D2059" s="225" t="s">
        <v>1789</v>
      </c>
      <c r="E2059" s="232" t="s">
        <v>2429</v>
      </c>
      <c r="F2059" s="89" t="s">
        <v>524</v>
      </c>
    </row>
    <row r="2060" spans="2:6" x14ac:dyDescent="0.55000000000000004">
      <c r="B2060" s="213" t="s">
        <v>950</v>
      </c>
      <c r="C2060" s="225" t="s">
        <v>2874</v>
      </c>
      <c r="D2060" s="225" t="s">
        <v>1790</v>
      </c>
      <c r="E2060" s="232" t="s">
        <v>2429</v>
      </c>
      <c r="F2060" s="89" t="s">
        <v>524</v>
      </c>
    </row>
    <row r="2061" spans="2:6" x14ac:dyDescent="0.55000000000000004">
      <c r="B2061" s="213" t="s">
        <v>950</v>
      </c>
      <c r="C2061" s="225" t="s">
        <v>2877</v>
      </c>
      <c r="D2061" s="225" t="s">
        <v>1793</v>
      </c>
      <c r="E2061" s="232" t="s">
        <v>2429</v>
      </c>
      <c r="F2061" s="89" t="s">
        <v>524</v>
      </c>
    </row>
    <row r="2062" spans="2:6" x14ac:dyDescent="0.55000000000000004">
      <c r="B2062" s="213" t="s">
        <v>950</v>
      </c>
      <c r="C2062" s="225" t="s">
        <v>2879</v>
      </c>
      <c r="D2062" s="225" t="s">
        <v>1795</v>
      </c>
      <c r="E2062" s="232" t="s">
        <v>2429</v>
      </c>
      <c r="F2062" s="89" t="s">
        <v>524</v>
      </c>
    </row>
    <row r="2063" spans="2:6" x14ac:dyDescent="0.55000000000000004">
      <c r="B2063" s="213" t="s">
        <v>950</v>
      </c>
      <c r="C2063" s="225" t="s">
        <v>2883</v>
      </c>
      <c r="D2063" s="225" t="s">
        <v>1799</v>
      </c>
      <c r="E2063" s="232" t="s">
        <v>2429</v>
      </c>
      <c r="F2063" s="89" t="s">
        <v>524</v>
      </c>
    </row>
    <row r="2064" spans="2:6" x14ac:dyDescent="0.55000000000000004">
      <c r="B2064" s="213" t="s">
        <v>950</v>
      </c>
      <c r="C2064" s="225" t="s">
        <v>2884</v>
      </c>
      <c r="D2064" s="225" t="s">
        <v>1800</v>
      </c>
      <c r="E2064" s="232" t="s">
        <v>2429</v>
      </c>
      <c r="F2064" s="89" t="s">
        <v>524</v>
      </c>
    </row>
    <row r="2065" spans="2:6" x14ac:dyDescent="0.55000000000000004">
      <c r="B2065" s="213" t="s">
        <v>950</v>
      </c>
      <c r="C2065" s="225" t="s">
        <v>2887</v>
      </c>
      <c r="D2065" s="225" t="s">
        <v>1803</v>
      </c>
      <c r="E2065" s="232" t="s">
        <v>2429</v>
      </c>
      <c r="F2065" s="89" t="s">
        <v>524</v>
      </c>
    </row>
    <row r="2066" spans="2:6" x14ac:dyDescent="0.55000000000000004">
      <c r="B2066" s="213" t="s">
        <v>950</v>
      </c>
      <c r="C2066" s="225" t="s">
        <v>2888</v>
      </c>
      <c r="D2066" s="225" t="s">
        <v>1804</v>
      </c>
      <c r="E2066" s="232" t="s">
        <v>2429</v>
      </c>
      <c r="F2066" s="89" t="s">
        <v>524</v>
      </c>
    </row>
    <row r="2067" spans="2:6" x14ac:dyDescent="0.55000000000000004">
      <c r="B2067" s="213" t="s">
        <v>950</v>
      </c>
      <c r="C2067" s="225" t="s">
        <v>2891</v>
      </c>
      <c r="D2067" s="225" t="s">
        <v>1807</v>
      </c>
      <c r="E2067" s="232" t="s">
        <v>2429</v>
      </c>
      <c r="F2067" s="89" t="s">
        <v>524</v>
      </c>
    </row>
    <row r="2068" spans="2:6" ht="25.8" x14ac:dyDescent="0.55000000000000004">
      <c r="B2068" s="213" t="s">
        <v>950</v>
      </c>
      <c r="C2068" s="225" t="s">
        <v>2894</v>
      </c>
      <c r="D2068" s="225" t="s">
        <v>1810</v>
      </c>
      <c r="E2068" s="232" t="s">
        <v>2429</v>
      </c>
      <c r="F2068" s="89" t="s">
        <v>524</v>
      </c>
    </row>
    <row r="2069" spans="2:6" x14ac:dyDescent="0.55000000000000004">
      <c r="B2069" s="213" t="s">
        <v>950</v>
      </c>
      <c r="C2069" s="225" t="s">
        <v>2895</v>
      </c>
      <c r="D2069" s="225" t="s">
        <v>1811</v>
      </c>
      <c r="E2069" s="232" t="s">
        <v>2429</v>
      </c>
      <c r="F2069" s="89" t="s">
        <v>524</v>
      </c>
    </row>
    <row r="2070" spans="2:6" ht="25.8" x14ac:dyDescent="0.55000000000000004">
      <c r="B2070" s="213" t="s">
        <v>950</v>
      </c>
      <c r="C2070" s="225" t="s">
        <v>2896</v>
      </c>
      <c r="D2070" s="225" t="s">
        <v>1812</v>
      </c>
      <c r="E2070" s="232" t="s">
        <v>2429</v>
      </c>
      <c r="F2070" s="89" t="s">
        <v>524</v>
      </c>
    </row>
    <row r="2071" spans="2:6" ht="25.8" x14ac:dyDescent="0.55000000000000004">
      <c r="B2071" s="213" t="s">
        <v>950</v>
      </c>
      <c r="C2071" s="225" t="s">
        <v>2897</v>
      </c>
      <c r="D2071" s="225" t="s">
        <v>1813</v>
      </c>
      <c r="E2071" s="232" t="s">
        <v>2429</v>
      </c>
      <c r="F2071" s="89" t="s">
        <v>524</v>
      </c>
    </row>
    <row r="2072" spans="2:6" ht="25.8" x14ac:dyDescent="0.55000000000000004">
      <c r="B2072" s="213" t="s">
        <v>950</v>
      </c>
      <c r="C2072" s="225" t="s">
        <v>2898</v>
      </c>
      <c r="D2072" s="225" t="s">
        <v>1814</v>
      </c>
      <c r="E2072" s="232" t="s">
        <v>2429</v>
      </c>
      <c r="F2072" s="89" t="s">
        <v>524</v>
      </c>
    </row>
    <row r="2073" spans="2:6" x14ac:dyDescent="0.55000000000000004">
      <c r="B2073" s="213" t="s">
        <v>950</v>
      </c>
      <c r="C2073" s="225" t="s">
        <v>2899</v>
      </c>
      <c r="D2073" s="225" t="s">
        <v>1815</v>
      </c>
      <c r="E2073" s="232" t="s">
        <v>2429</v>
      </c>
      <c r="F2073" s="89" t="s">
        <v>524</v>
      </c>
    </row>
    <row r="2074" spans="2:6" x14ac:dyDescent="0.55000000000000004">
      <c r="B2074" s="213" t="s">
        <v>950</v>
      </c>
      <c r="C2074" s="225" t="s">
        <v>2901</v>
      </c>
      <c r="D2074" s="225" t="s">
        <v>1817</v>
      </c>
      <c r="E2074" s="232" t="s">
        <v>2429</v>
      </c>
      <c r="F2074" s="89" t="s">
        <v>524</v>
      </c>
    </row>
    <row r="2075" spans="2:6" x14ac:dyDescent="0.55000000000000004">
      <c r="B2075" s="213" t="s">
        <v>950</v>
      </c>
      <c r="C2075" s="225" t="s">
        <v>2904</v>
      </c>
      <c r="D2075" s="225" t="s">
        <v>1820</v>
      </c>
      <c r="E2075" s="232" t="s">
        <v>2429</v>
      </c>
      <c r="F2075" s="89" t="s">
        <v>524</v>
      </c>
    </row>
    <row r="2076" spans="2:6" x14ac:dyDescent="0.55000000000000004">
      <c r="B2076" s="213" t="s">
        <v>950</v>
      </c>
      <c r="C2076" s="225" t="s">
        <v>2906</v>
      </c>
      <c r="D2076" s="225" t="s">
        <v>1822</v>
      </c>
      <c r="E2076" s="232" t="s">
        <v>2429</v>
      </c>
      <c r="F2076" s="89" t="s">
        <v>524</v>
      </c>
    </row>
    <row r="2077" spans="2:6" x14ac:dyDescent="0.55000000000000004">
      <c r="B2077" s="213" t="s">
        <v>950</v>
      </c>
      <c r="C2077" s="225" t="s">
        <v>2909</v>
      </c>
      <c r="D2077" s="225" t="s">
        <v>1825</v>
      </c>
      <c r="E2077" s="232" t="s">
        <v>2429</v>
      </c>
      <c r="F2077" s="89" t="s">
        <v>524</v>
      </c>
    </row>
    <row r="2078" spans="2:6" ht="25.8" x14ac:dyDescent="0.55000000000000004">
      <c r="B2078" s="213" t="s">
        <v>950</v>
      </c>
      <c r="C2078" s="225" t="s">
        <v>2910</v>
      </c>
      <c r="D2078" s="225" t="s">
        <v>1826</v>
      </c>
      <c r="E2078" s="232" t="s">
        <v>2428</v>
      </c>
      <c r="F2078" s="89" t="s">
        <v>332</v>
      </c>
    </row>
    <row r="2079" spans="2:6" ht="25.8" x14ac:dyDescent="0.55000000000000004">
      <c r="B2079" s="213" t="s">
        <v>950</v>
      </c>
      <c r="C2079" s="225" t="s">
        <v>2911</v>
      </c>
      <c r="D2079" s="225" t="s">
        <v>1827</v>
      </c>
      <c r="E2079" s="232" t="s">
        <v>2428</v>
      </c>
      <c r="F2079" s="89" t="s">
        <v>332</v>
      </c>
    </row>
    <row r="2080" spans="2:6" ht="25.8" x14ac:dyDescent="0.55000000000000004">
      <c r="B2080" s="213" t="s">
        <v>950</v>
      </c>
      <c r="C2080" s="225" t="s">
        <v>2913</v>
      </c>
      <c r="D2080" s="225" t="s">
        <v>1829</v>
      </c>
      <c r="E2080" s="232" t="s">
        <v>2428</v>
      </c>
      <c r="F2080" s="89" t="s">
        <v>332</v>
      </c>
    </row>
    <row r="2081" spans="2:6" ht="25.8" x14ac:dyDescent="0.55000000000000004">
      <c r="B2081" s="213" t="s">
        <v>950</v>
      </c>
      <c r="C2081" s="225" t="s">
        <v>2914</v>
      </c>
      <c r="D2081" s="225" t="s">
        <v>1830</v>
      </c>
      <c r="E2081" s="232" t="s">
        <v>2429</v>
      </c>
      <c r="F2081" s="89" t="s">
        <v>524</v>
      </c>
    </row>
    <row r="2082" spans="2:6" x14ac:dyDescent="0.55000000000000004">
      <c r="B2082" s="213" t="s">
        <v>950</v>
      </c>
      <c r="C2082" s="225" t="s">
        <v>2915</v>
      </c>
      <c r="D2082" s="225" t="s">
        <v>1831</v>
      </c>
      <c r="E2082" s="232" t="s">
        <v>2429</v>
      </c>
      <c r="F2082" s="89" t="s">
        <v>524</v>
      </c>
    </row>
    <row r="2083" spans="2:6" ht="25.8" x14ac:dyDescent="0.55000000000000004">
      <c r="B2083" s="213" t="s">
        <v>950</v>
      </c>
      <c r="C2083" s="225" t="s">
        <v>2916</v>
      </c>
      <c r="D2083" s="225" t="s">
        <v>1832</v>
      </c>
      <c r="E2083" s="232" t="s">
        <v>2429</v>
      </c>
      <c r="F2083" s="89" t="s">
        <v>524</v>
      </c>
    </row>
    <row r="2084" spans="2:6" ht="25.8" x14ac:dyDescent="0.55000000000000004">
      <c r="B2084" s="213" t="s">
        <v>950</v>
      </c>
      <c r="C2084" s="225" t="s">
        <v>2918</v>
      </c>
      <c r="D2084" s="225" t="s">
        <v>1834</v>
      </c>
      <c r="E2084" s="232" t="s">
        <v>2429</v>
      </c>
      <c r="F2084" s="89" t="s">
        <v>524</v>
      </c>
    </row>
    <row r="2085" spans="2:6" x14ac:dyDescent="0.55000000000000004">
      <c r="B2085" s="213" t="s">
        <v>950</v>
      </c>
      <c r="C2085" s="225" t="s">
        <v>2919</v>
      </c>
      <c r="D2085" s="225" t="s">
        <v>1835</v>
      </c>
      <c r="E2085" s="232" t="s">
        <v>2429</v>
      </c>
      <c r="F2085" s="89" t="s">
        <v>524</v>
      </c>
    </row>
    <row r="2086" spans="2:6" ht="25.8" x14ac:dyDescent="0.55000000000000004">
      <c r="B2086" s="213" t="s">
        <v>950</v>
      </c>
      <c r="C2086" s="225" t="s">
        <v>2921</v>
      </c>
      <c r="D2086" s="225" t="s">
        <v>1837</v>
      </c>
      <c r="E2086" s="232" t="s">
        <v>2429</v>
      </c>
      <c r="F2086" s="89" t="s">
        <v>524</v>
      </c>
    </row>
    <row r="2087" spans="2:6" ht="25.8" x14ac:dyDescent="0.55000000000000004">
      <c r="B2087" s="213" t="s">
        <v>950</v>
      </c>
      <c r="C2087" s="225" t="s">
        <v>2926</v>
      </c>
      <c r="D2087" s="225" t="s">
        <v>1842</v>
      </c>
      <c r="E2087" s="232" t="s">
        <v>2429</v>
      </c>
      <c r="F2087" s="89" t="s">
        <v>524</v>
      </c>
    </row>
    <row r="2088" spans="2:6" ht="25.8" x14ac:dyDescent="0.55000000000000004">
      <c r="B2088" s="213" t="s">
        <v>950</v>
      </c>
      <c r="C2088" s="225" t="s">
        <v>2927</v>
      </c>
      <c r="D2088" s="225" t="s">
        <v>1843</v>
      </c>
      <c r="E2088" s="232" t="s">
        <v>2429</v>
      </c>
      <c r="F2088" s="89" t="s">
        <v>524</v>
      </c>
    </row>
    <row r="2089" spans="2:6" ht="25.8" x14ac:dyDescent="0.55000000000000004">
      <c r="B2089" s="213" t="s">
        <v>950</v>
      </c>
      <c r="C2089" s="225" t="s">
        <v>2930</v>
      </c>
      <c r="D2089" s="225" t="s">
        <v>1846</v>
      </c>
      <c r="E2089" s="232" t="s">
        <v>2429</v>
      </c>
      <c r="F2089" s="89" t="s">
        <v>524</v>
      </c>
    </row>
    <row r="2090" spans="2:6" x14ac:dyDescent="0.55000000000000004">
      <c r="B2090" s="213" t="s">
        <v>950</v>
      </c>
      <c r="C2090" s="225" t="s">
        <v>2932</v>
      </c>
      <c r="D2090" s="225" t="s">
        <v>1848</v>
      </c>
      <c r="E2090" s="232" t="s">
        <v>2429</v>
      </c>
      <c r="F2090" s="89" t="s">
        <v>524</v>
      </c>
    </row>
    <row r="2091" spans="2:6" x14ac:dyDescent="0.55000000000000004">
      <c r="B2091" s="213" t="s">
        <v>950</v>
      </c>
      <c r="C2091" s="225" t="s">
        <v>2933</v>
      </c>
      <c r="D2091" s="225" t="s">
        <v>1849</v>
      </c>
      <c r="E2091" s="232" t="s">
        <v>2429</v>
      </c>
      <c r="F2091" s="89" t="s">
        <v>524</v>
      </c>
    </row>
    <row r="2092" spans="2:6" ht="25.8" x14ac:dyDescent="0.55000000000000004">
      <c r="B2092" s="213" t="s">
        <v>950</v>
      </c>
      <c r="C2092" s="225" t="s">
        <v>2936</v>
      </c>
      <c r="D2092" s="225" t="s">
        <v>1852</v>
      </c>
      <c r="E2092" s="232" t="s">
        <v>2429</v>
      </c>
      <c r="F2092" s="89" t="s">
        <v>524</v>
      </c>
    </row>
    <row r="2093" spans="2:6" ht="25.8" x14ac:dyDescent="0.55000000000000004">
      <c r="B2093" s="213" t="s">
        <v>950</v>
      </c>
      <c r="C2093" s="225" t="s">
        <v>2937</v>
      </c>
      <c r="D2093" s="225" t="s">
        <v>1853</v>
      </c>
      <c r="E2093" s="232" t="s">
        <v>2429</v>
      </c>
      <c r="F2093" s="89" t="s">
        <v>524</v>
      </c>
    </row>
    <row r="2094" spans="2:6" ht="25.8" x14ac:dyDescent="0.55000000000000004">
      <c r="B2094" s="213" t="s">
        <v>950</v>
      </c>
      <c r="C2094" s="225" t="s">
        <v>2938</v>
      </c>
      <c r="D2094" s="225" t="s">
        <v>1854</v>
      </c>
      <c r="E2094" s="232" t="s">
        <v>2429</v>
      </c>
      <c r="F2094" s="89" t="s">
        <v>524</v>
      </c>
    </row>
    <row r="2095" spans="2:6" x14ac:dyDescent="0.55000000000000004">
      <c r="B2095" s="213" t="s">
        <v>950</v>
      </c>
      <c r="C2095" s="225" t="s">
        <v>2939</v>
      </c>
      <c r="D2095" s="225" t="s">
        <v>1855</v>
      </c>
      <c r="E2095" s="232" t="s">
        <v>2429</v>
      </c>
      <c r="F2095" s="89" t="s">
        <v>524</v>
      </c>
    </row>
    <row r="2096" spans="2:6" x14ac:dyDescent="0.55000000000000004">
      <c r="B2096" s="213" t="s">
        <v>950</v>
      </c>
      <c r="C2096" s="225" t="s">
        <v>2941</v>
      </c>
      <c r="D2096" s="225" t="s">
        <v>1857</v>
      </c>
      <c r="E2096" s="232" t="s">
        <v>2429</v>
      </c>
      <c r="F2096" s="89" t="s">
        <v>524</v>
      </c>
    </row>
    <row r="2097" spans="2:6" x14ac:dyDescent="0.55000000000000004">
      <c r="B2097" s="213" t="s">
        <v>950</v>
      </c>
      <c r="C2097" s="225" t="s">
        <v>2946</v>
      </c>
      <c r="D2097" s="225" t="s">
        <v>1862</v>
      </c>
      <c r="E2097" s="232" t="s">
        <v>2429</v>
      </c>
      <c r="F2097" s="89" t="s">
        <v>524</v>
      </c>
    </row>
    <row r="2098" spans="2:6" ht="25.8" x14ac:dyDescent="0.55000000000000004">
      <c r="B2098" s="213" t="s">
        <v>950</v>
      </c>
      <c r="C2098" s="225" t="s">
        <v>2948</v>
      </c>
      <c r="D2098" s="225" t="s">
        <v>1864</v>
      </c>
      <c r="E2098" s="232" t="s">
        <v>2429</v>
      </c>
      <c r="F2098" s="89" t="s">
        <v>524</v>
      </c>
    </row>
    <row r="2099" spans="2:6" x14ac:dyDescent="0.55000000000000004">
      <c r="B2099" s="213" t="s">
        <v>950</v>
      </c>
      <c r="C2099" s="225" t="s">
        <v>2949</v>
      </c>
      <c r="D2099" s="225" t="s">
        <v>1865</v>
      </c>
      <c r="E2099" s="232" t="s">
        <v>2429</v>
      </c>
      <c r="F2099" s="89" t="s">
        <v>524</v>
      </c>
    </row>
    <row r="2100" spans="2:6" x14ac:dyDescent="0.55000000000000004">
      <c r="B2100" s="214" t="s">
        <v>950</v>
      </c>
      <c r="C2100" s="226" t="s">
        <v>2953</v>
      </c>
      <c r="D2100" s="226" t="s">
        <v>1869</v>
      </c>
      <c r="E2100" s="232" t="s">
        <v>2429</v>
      </c>
      <c r="F2100" s="89" t="s">
        <v>505</v>
      </c>
    </row>
    <row r="2101" spans="2:6" x14ac:dyDescent="0.55000000000000004">
      <c r="B2101" s="213" t="s">
        <v>950</v>
      </c>
      <c r="C2101" s="225" t="s">
        <v>2957</v>
      </c>
      <c r="D2101" s="225" t="s">
        <v>1873</v>
      </c>
      <c r="E2101" s="232" t="s">
        <v>2429</v>
      </c>
      <c r="F2101" s="89" t="s">
        <v>524</v>
      </c>
    </row>
    <row r="2102" spans="2:6" ht="25.8" x14ac:dyDescent="0.55000000000000004">
      <c r="B2102" s="213" t="s">
        <v>950</v>
      </c>
      <c r="C2102" s="225" t="s">
        <v>2959</v>
      </c>
      <c r="D2102" s="225" t="s">
        <v>1875</v>
      </c>
      <c r="E2102" s="232" t="s">
        <v>2429</v>
      </c>
      <c r="F2102" s="89" t="s">
        <v>524</v>
      </c>
    </row>
    <row r="2103" spans="2:6" x14ac:dyDescent="0.55000000000000004">
      <c r="B2103" s="213" t="s">
        <v>950</v>
      </c>
      <c r="C2103" s="225" t="s">
        <v>2960</v>
      </c>
      <c r="D2103" s="225" t="s">
        <v>1876</v>
      </c>
      <c r="E2103" s="232" t="s">
        <v>2429</v>
      </c>
      <c r="F2103" s="89" t="s">
        <v>524</v>
      </c>
    </row>
    <row r="2104" spans="2:6" x14ac:dyDescent="0.55000000000000004">
      <c r="B2104" s="213" t="s">
        <v>950</v>
      </c>
      <c r="C2104" s="225" t="s">
        <v>2964</v>
      </c>
      <c r="D2104" s="225" t="s">
        <v>1880</v>
      </c>
      <c r="E2104" s="232" t="s">
        <v>2429</v>
      </c>
      <c r="F2104" s="89" t="s">
        <v>524</v>
      </c>
    </row>
    <row r="2105" spans="2:6" ht="25.8" x14ac:dyDescent="0.55000000000000004">
      <c r="B2105" s="213" t="s">
        <v>950</v>
      </c>
      <c r="C2105" s="225" t="s">
        <v>2965</v>
      </c>
      <c r="D2105" s="225" t="s">
        <v>1881</v>
      </c>
      <c r="E2105" s="232" t="s">
        <v>2429</v>
      </c>
      <c r="F2105" s="89" t="s">
        <v>524</v>
      </c>
    </row>
    <row r="2106" spans="2:6" x14ac:dyDescent="0.55000000000000004">
      <c r="B2106" s="213" t="s">
        <v>950</v>
      </c>
      <c r="C2106" s="225" t="s">
        <v>2966</v>
      </c>
      <c r="D2106" s="225" t="s">
        <v>1882</v>
      </c>
      <c r="E2106" s="232" t="s">
        <v>2429</v>
      </c>
      <c r="F2106" s="89" t="s">
        <v>524</v>
      </c>
    </row>
    <row r="2107" spans="2:6" ht="25.8" x14ac:dyDescent="0.55000000000000004">
      <c r="B2107" s="213" t="s">
        <v>950</v>
      </c>
      <c r="C2107" s="225" t="s">
        <v>2968</v>
      </c>
      <c r="D2107" s="225" t="s">
        <v>1884</v>
      </c>
      <c r="E2107" s="232" t="s">
        <v>2429</v>
      </c>
      <c r="F2107" s="89" t="s">
        <v>524</v>
      </c>
    </row>
    <row r="2108" spans="2:6" ht="25.8" x14ac:dyDescent="0.55000000000000004">
      <c r="B2108" s="213" t="s">
        <v>950</v>
      </c>
      <c r="C2108" s="225" t="s">
        <v>2969</v>
      </c>
      <c r="D2108" s="225" t="s">
        <v>1885</v>
      </c>
      <c r="E2108" s="232" t="s">
        <v>2429</v>
      </c>
      <c r="F2108" s="89" t="s">
        <v>524</v>
      </c>
    </row>
    <row r="2109" spans="2:6" ht="25.8" x14ac:dyDescent="0.55000000000000004">
      <c r="B2109" s="213" t="s">
        <v>950</v>
      </c>
      <c r="C2109" s="225" t="s">
        <v>2974</v>
      </c>
      <c r="D2109" s="225" t="s">
        <v>1890</v>
      </c>
      <c r="E2109" s="232" t="s">
        <v>2429</v>
      </c>
      <c r="F2109" s="89" t="s">
        <v>524</v>
      </c>
    </row>
    <row r="2110" spans="2:6" x14ac:dyDescent="0.55000000000000004">
      <c r="B2110" s="213" t="s">
        <v>950</v>
      </c>
      <c r="C2110" s="225" t="s">
        <v>2975</v>
      </c>
      <c r="D2110" s="225" t="s">
        <v>1891</v>
      </c>
      <c r="E2110" s="232" t="s">
        <v>2429</v>
      </c>
      <c r="F2110" s="89" t="s">
        <v>524</v>
      </c>
    </row>
    <row r="2111" spans="2:6" ht="25.8" x14ac:dyDescent="0.55000000000000004">
      <c r="B2111" s="213" t="s">
        <v>950</v>
      </c>
      <c r="C2111" s="225" t="s">
        <v>2976</v>
      </c>
      <c r="D2111" s="225" t="s">
        <v>1892</v>
      </c>
      <c r="E2111" s="232" t="s">
        <v>2429</v>
      </c>
      <c r="F2111" s="89" t="s">
        <v>524</v>
      </c>
    </row>
    <row r="2112" spans="2:6" ht="25.8" x14ac:dyDescent="0.55000000000000004">
      <c r="B2112" s="213" t="s">
        <v>950</v>
      </c>
      <c r="C2112" s="225" t="s">
        <v>2977</v>
      </c>
      <c r="D2112" s="225" t="s">
        <v>1893</v>
      </c>
      <c r="E2112" s="232" t="s">
        <v>2429</v>
      </c>
      <c r="F2112" s="89" t="s">
        <v>524</v>
      </c>
    </row>
    <row r="2113" spans="2:6" ht="25.8" x14ac:dyDescent="0.55000000000000004">
      <c r="B2113" s="215" t="s">
        <v>951</v>
      </c>
      <c r="C2113" s="227" t="s">
        <v>776</v>
      </c>
      <c r="D2113" s="227" t="s">
        <v>776</v>
      </c>
      <c r="E2113" s="232" t="e">
        <v>#N/A</v>
      </c>
      <c r="F2113" s="89" t="s">
        <v>2433</v>
      </c>
    </row>
    <row r="2114" spans="2:6" ht="25.8" x14ac:dyDescent="0.55000000000000004">
      <c r="B2114" s="213" t="s">
        <v>951</v>
      </c>
      <c r="C2114" s="225" t="s">
        <v>2871</v>
      </c>
      <c r="D2114" s="225" t="s">
        <v>1787</v>
      </c>
      <c r="E2114" s="232" t="s">
        <v>2429</v>
      </c>
      <c r="F2114" s="89" t="s">
        <v>524</v>
      </c>
    </row>
    <row r="2115" spans="2:6" x14ac:dyDescent="0.55000000000000004">
      <c r="B2115" s="213" t="s">
        <v>951</v>
      </c>
      <c r="C2115" s="225" t="s">
        <v>2875</v>
      </c>
      <c r="D2115" s="225" t="s">
        <v>1791</v>
      </c>
      <c r="E2115" s="232" t="s">
        <v>2429</v>
      </c>
      <c r="F2115" s="89" t="s">
        <v>524</v>
      </c>
    </row>
    <row r="2116" spans="2:6" x14ac:dyDescent="0.55000000000000004">
      <c r="B2116" s="213" t="s">
        <v>951</v>
      </c>
      <c r="C2116" s="225" t="s">
        <v>2878</v>
      </c>
      <c r="D2116" s="225" t="s">
        <v>1794</v>
      </c>
      <c r="E2116" s="232" t="s">
        <v>2429</v>
      </c>
      <c r="F2116" s="89" t="s">
        <v>524</v>
      </c>
    </row>
    <row r="2117" spans="2:6" ht="25.8" x14ac:dyDescent="0.55000000000000004">
      <c r="B2117" s="213" t="s">
        <v>951</v>
      </c>
      <c r="C2117" s="225" t="s">
        <v>2880</v>
      </c>
      <c r="D2117" s="225" t="s">
        <v>1796</v>
      </c>
      <c r="E2117" s="232" t="s">
        <v>2429</v>
      </c>
      <c r="F2117" s="89" t="s">
        <v>524</v>
      </c>
    </row>
    <row r="2118" spans="2:6" x14ac:dyDescent="0.55000000000000004">
      <c r="B2118" s="213" t="s">
        <v>951</v>
      </c>
      <c r="C2118" s="225" t="s">
        <v>2885</v>
      </c>
      <c r="D2118" s="225" t="s">
        <v>1801</v>
      </c>
      <c r="E2118" s="232" t="s">
        <v>2429</v>
      </c>
      <c r="F2118" s="89" t="s">
        <v>524</v>
      </c>
    </row>
    <row r="2119" spans="2:6" x14ac:dyDescent="0.55000000000000004">
      <c r="B2119" s="213" t="s">
        <v>951</v>
      </c>
      <c r="C2119" s="225" t="s">
        <v>2886</v>
      </c>
      <c r="D2119" s="225" t="s">
        <v>1802</v>
      </c>
      <c r="E2119" s="232" t="s">
        <v>2429</v>
      </c>
      <c r="F2119" s="89" t="s">
        <v>524</v>
      </c>
    </row>
    <row r="2120" spans="2:6" ht="25.8" x14ac:dyDescent="0.55000000000000004">
      <c r="B2120" s="213" t="s">
        <v>951</v>
      </c>
      <c r="C2120" s="225" t="s">
        <v>2889</v>
      </c>
      <c r="D2120" s="225" t="s">
        <v>1805</v>
      </c>
      <c r="E2120" s="232" t="s">
        <v>2429</v>
      </c>
      <c r="F2120" s="89" t="s">
        <v>524</v>
      </c>
    </row>
    <row r="2121" spans="2:6" x14ac:dyDescent="0.55000000000000004">
      <c r="B2121" s="213" t="s">
        <v>951</v>
      </c>
      <c r="C2121" s="225" t="s">
        <v>2890</v>
      </c>
      <c r="D2121" s="225" t="s">
        <v>1806</v>
      </c>
      <c r="E2121" s="232" t="s">
        <v>2429</v>
      </c>
      <c r="F2121" s="89" t="s">
        <v>524</v>
      </c>
    </row>
    <row r="2122" spans="2:6" x14ac:dyDescent="0.55000000000000004">
      <c r="B2122" s="213" t="s">
        <v>951</v>
      </c>
      <c r="C2122" s="225" t="s">
        <v>2892</v>
      </c>
      <c r="D2122" s="225" t="s">
        <v>1808</v>
      </c>
      <c r="E2122" s="232" t="s">
        <v>2429</v>
      </c>
      <c r="F2122" s="89" t="s">
        <v>524</v>
      </c>
    </row>
    <row r="2123" spans="2:6" x14ac:dyDescent="0.55000000000000004">
      <c r="B2123" s="213" t="s">
        <v>951</v>
      </c>
      <c r="C2123" s="225" t="s">
        <v>2893</v>
      </c>
      <c r="D2123" s="225" t="s">
        <v>1809</v>
      </c>
      <c r="E2123" s="232" t="s">
        <v>2429</v>
      </c>
      <c r="F2123" s="89" t="s">
        <v>524</v>
      </c>
    </row>
    <row r="2124" spans="2:6" ht="25.8" x14ac:dyDescent="0.55000000000000004">
      <c r="B2124" s="213" t="s">
        <v>951</v>
      </c>
      <c r="C2124" s="225" t="s">
        <v>2900</v>
      </c>
      <c r="D2124" s="225" t="s">
        <v>1816</v>
      </c>
      <c r="E2124" s="232" t="s">
        <v>2429</v>
      </c>
      <c r="F2124" s="89" t="s">
        <v>524</v>
      </c>
    </row>
    <row r="2125" spans="2:6" ht="25.8" x14ac:dyDescent="0.55000000000000004">
      <c r="B2125" s="213" t="s">
        <v>951</v>
      </c>
      <c r="C2125" s="225" t="s">
        <v>2903</v>
      </c>
      <c r="D2125" s="225" t="s">
        <v>1819</v>
      </c>
      <c r="E2125" s="232" t="s">
        <v>2429</v>
      </c>
      <c r="F2125" s="89" t="s">
        <v>524</v>
      </c>
    </row>
    <row r="2126" spans="2:6" x14ac:dyDescent="0.55000000000000004">
      <c r="B2126" s="213" t="s">
        <v>951</v>
      </c>
      <c r="C2126" s="225" t="s">
        <v>2907</v>
      </c>
      <c r="D2126" s="225" t="s">
        <v>1823</v>
      </c>
      <c r="E2126" s="232" t="s">
        <v>2429</v>
      </c>
      <c r="F2126" s="89" t="s">
        <v>524</v>
      </c>
    </row>
    <row r="2127" spans="2:6" x14ac:dyDescent="0.55000000000000004">
      <c r="B2127" s="213" t="s">
        <v>951</v>
      </c>
      <c r="C2127" s="226" t="s">
        <v>2908</v>
      </c>
      <c r="D2127" s="226" t="s">
        <v>1824</v>
      </c>
      <c r="E2127" s="232" t="s">
        <v>2429</v>
      </c>
      <c r="F2127" s="89" t="s">
        <v>524</v>
      </c>
    </row>
    <row r="2128" spans="2:6" x14ac:dyDescent="0.55000000000000004">
      <c r="B2128" s="213" t="s">
        <v>951</v>
      </c>
      <c r="C2128" s="225" t="s">
        <v>2912</v>
      </c>
      <c r="D2128" s="225" t="s">
        <v>1828</v>
      </c>
      <c r="E2128" s="232" t="s">
        <v>2428</v>
      </c>
      <c r="F2128" s="89" t="s">
        <v>332</v>
      </c>
    </row>
    <row r="2129" spans="2:6" x14ac:dyDescent="0.55000000000000004">
      <c r="B2129" s="213" t="s">
        <v>951</v>
      </c>
      <c r="C2129" s="226" t="s">
        <v>2917</v>
      </c>
      <c r="D2129" s="226" t="s">
        <v>1833</v>
      </c>
      <c r="E2129" s="232" t="s">
        <v>2429</v>
      </c>
      <c r="F2129" s="89" t="s">
        <v>524</v>
      </c>
    </row>
    <row r="2130" spans="2:6" x14ac:dyDescent="0.55000000000000004">
      <c r="B2130" s="213" t="s">
        <v>951</v>
      </c>
      <c r="C2130" s="225" t="s">
        <v>2920</v>
      </c>
      <c r="D2130" s="225" t="s">
        <v>1836</v>
      </c>
      <c r="E2130" s="232" t="s">
        <v>2429</v>
      </c>
      <c r="F2130" s="89" t="s">
        <v>524</v>
      </c>
    </row>
    <row r="2131" spans="2:6" x14ac:dyDescent="0.55000000000000004">
      <c r="B2131" s="213" t="s">
        <v>951</v>
      </c>
      <c r="C2131" s="225" t="s">
        <v>2922</v>
      </c>
      <c r="D2131" s="225" t="s">
        <v>1838</v>
      </c>
      <c r="E2131" s="232" t="s">
        <v>2429</v>
      </c>
      <c r="F2131" s="89" t="s">
        <v>524</v>
      </c>
    </row>
    <row r="2132" spans="2:6" ht="25.8" x14ac:dyDescent="0.55000000000000004">
      <c r="B2132" s="213" t="s">
        <v>951</v>
      </c>
      <c r="C2132" s="225" t="s">
        <v>2923</v>
      </c>
      <c r="D2132" s="225" t="s">
        <v>1839</v>
      </c>
      <c r="E2132" s="232" t="s">
        <v>2429</v>
      </c>
      <c r="F2132" s="89" t="s">
        <v>524</v>
      </c>
    </row>
    <row r="2133" spans="2:6" ht="38.700000000000003" x14ac:dyDescent="0.55000000000000004">
      <c r="B2133" s="213" t="s">
        <v>951</v>
      </c>
      <c r="C2133" s="225" t="s">
        <v>2924</v>
      </c>
      <c r="D2133" s="225" t="s">
        <v>1840</v>
      </c>
      <c r="E2133" s="232" t="s">
        <v>2429</v>
      </c>
      <c r="F2133" s="89" t="s">
        <v>524</v>
      </c>
    </row>
    <row r="2134" spans="2:6" ht="38.700000000000003" x14ac:dyDescent="0.55000000000000004">
      <c r="B2134" s="213" t="s">
        <v>951</v>
      </c>
      <c r="C2134" s="225" t="s">
        <v>2925</v>
      </c>
      <c r="D2134" s="225" t="s">
        <v>1841</v>
      </c>
      <c r="E2134" s="232" t="s">
        <v>2429</v>
      </c>
      <c r="F2134" s="89" t="s">
        <v>524</v>
      </c>
    </row>
    <row r="2135" spans="2:6" x14ac:dyDescent="0.55000000000000004">
      <c r="B2135" s="213" t="s">
        <v>951</v>
      </c>
      <c r="C2135" s="225" t="s">
        <v>2928</v>
      </c>
      <c r="D2135" s="225" t="s">
        <v>1844</v>
      </c>
      <c r="E2135" s="232" t="s">
        <v>2429</v>
      </c>
      <c r="F2135" s="89" t="s">
        <v>524</v>
      </c>
    </row>
    <row r="2136" spans="2:6" x14ac:dyDescent="0.55000000000000004">
      <c r="B2136" s="213" t="s">
        <v>951</v>
      </c>
      <c r="C2136" s="225" t="s">
        <v>2929</v>
      </c>
      <c r="D2136" s="225" t="s">
        <v>1845</v>
      </c>
      <c r="E2136" s="232" t="s">
        <v>2429</v>
      </c>
      <c r="F2136" s="89" t="s">
        <v>524</v>
      </c>
    </row>
    <row r="2137" spans="2:6" x14ac:dyDescent="0.55000000000000004">
      <c r="B2137" s="213" t="s">
        <v>951</v>
      </c>
      <c r="C2137" s="225" t="s">
        <v>2931</v>
      </c>
      <c r="D2137" s="225" t="s">
        <v>1847</v>
      </c>
      <c r="E2137" s="232" t="s">
        <v>2429</v>
      </c>
      <c r="F2137" s="89" t="s">
        <v>524</v>
      </c>
    </row>
    <row r="2138" spans="2:6" x14ac:dyDescent="0.55000000000000004">
      <c r="B2138" s="213" t="s">
        <v>951</v>
      </c>
      <c r="C2138" s="225" t="s">
        <v>2935</v>
      </c>
      <c r="D2138" s="225" t="s">
        <v>1851</v>
      </c>
      <c r="E2138" s="232" t="s">
        <v>2429</v>
      </c>
      <c r="F2138" s="89" t="s">
        <v>524</v>
      </c>
    </row>
    <row r="2139" spans="2:6" ht="25.8" x14ac:dyDescent="0.55000000000000004">
      <c r="B2139" s="213" t="s">
        <v>951</v>
      </c>
      <c r="C2139" s="225" t="s">
        <v>2940</v>
      </c>
      <c r="D2139" s="225" t="s">
        <v>1856</v>
      </c>
      <c r="E2139" s="232" t="s">
        <v>2429</v>
      </c>
      <c r="F2139" s="89" t="s">
        <v>524</v>
      </c>
    </row>
    <row r="2140" spans="2:6" x14ac:dyDescent="0.55000000000000004">
      <c r="B2140" s="213" t="s">
        <v>951</v>
      </c>
      <c r="C2140" s="225" t="s">
        <v>2942</v>
      </c>
      <c r="D2140" s="225" t="s">
        <v>1858</v>
      </c>
      <c r="E2140" s="232" t="s">
        <v>2429</v>
      </c>
      <c r="F2140" s="89" t="s">
        <v>524</v>
      </c>
    </row>
    <row r="2141" spans="2:6" x14ac:dyDescent="0.55000000000000004">
      <c r="B2141" s="213" t="s">
        <v>951</v>
      </c>
      <c r="C2141" s="225" t="s">
        <v>2943</v>
      </c>
      <c r="D2141" s="225" t="s">
        <v>1859</v>
      </c>
      <c r="E2141" s="232" t="s">
        <v>2429</v>
      </c>
      <c r="F2141" s="89" t="s">
        <v>524</v>
      </c>
    </row>
    <row r="2142" spans="2:6" ht="25.8" x14ac:dyDescent="0.55000000000000004">
      <c r="B2142" s="213" t="s">
        <v>951</v>
      </c>
      <c r="C2142" s="225" t="s">
        <v>2944</v>
      </c>
      <c r="D2142" s="225" t="s">
        <v>1860</v>
      </c>
      <c r="E2142" s="232" t="s">
        <v>2429</v>
      </c>
      <c r="F2142" s="89" t="s">
        <v>524</v>
      </c>
    </row>
    <row r="2143" spans="2:6" x14ac:dyDescent="0.55000000000000004">
      <c r="B2143" s="213" t="s">
        <v>951</v>
      </c>
      <c r="C2143" s="225" t="s">
        <v>2945</v>
      </c>
      <c r="D2143" s="225" t="s">
        <v>1861</v>
      </c>
      <c r="E2143" s="232" t="s">
        <v>2429</v>
      </c>
      <c r="F2143" s="89" t="s">
        <v>524</v>
      </c>
    </row>
    <row r="2144" spans="2:6" x14ac:dyDescent="0.55000000000000004">
      <c r="B2144" s="213" t="s">
        <v>951</v>
      </c>
      <c r="C2144" s="225" t="s">
        <v>2947</v>
      </c>
      <c r="D2144" s="225" t="s">
        <v>1863</v>
      </c>
      <c r="E2144" s="232" t="s">
        <v>2429</v>
      </c>
      <c r="F2144" s="89" t="s">
        <v>524</v>
      </c>
    </row>
    <row r="2145" spans="2:6" x14ac:dyDescent="0.55000000000000004">
      <c r="B2145" s="213" t="s">
        <v>951</v>
      </c>
      <c r="C2145" s="225" t="s">
        <v>2950</v>
      </c>
      <c r="D2145" s="225" t="s">
        <v>1866</v>
      </c>
      <c r="E2145" s="232" t="s">
        <v>2429</v>
      </c>
      <c r="F2145" s="89" t="s">
        <v>524</v>
      </c>
    </row>
    <row r="2146" spans="2:6" x14ac:dyDescent="0.55000000000000004">
      <c r="B2146" s="213" t="s">
        <v>951</v>
      </c>
      <c r="C2146" s="225" t="s">
        <v>2951</v>
      </c>
      <c r="D2146" s="225" t="s">
        <v>1867</v>
      </c>
      <c r="E2146" s="232" t="s">
        <v>2429</v>
      </c>
      <c r="F2146" s="89" t="s">
        <v>524</v>
      </c>
    </row>
    <row r="2147" spans="2:6" x14ac:dyDescent="0.55000000000000004">
      <c r="B2147" s="213" t="s">
        <v>951</v>
      </c>
      <c r="C2147" s="225" t="s">
        <v>2952</v>
      </c>
      <c r="D2147" s="225" t="s">
        <v>1868</v>
      </c>
      <c r="E2147" s="232" t="s">
        <v>2429</v>
      </c>
      <c r="F2147" s="89" t="s">
        <v>524</v>
      </c>
    </row>
    <row r="2148" spans="2:6" ht="25.8" x14ac:dyDescent="0.55000000000000004">
      <c r="B2148" s="213" t="s">
        <v>951</v>
      </c>
      <c r="C2148" s="225" t="s">
        <v>2954</v>
      </c>
      <c r="D2148" s="225" t="s">
        <v>1870</v>
      </c>
      <c r="E2148" s="232" t="s">
        <v>2429</v>
      </c>
      <c r="F2148" s="89" t="s">
        <v>524</v>
      </c>
    </row>
    <row r="2149" spans="2:6" x14ac:dyDescent="0.55000000000000004">
      <c r="B2149" s="213" t="s">
        <v>951</v>
      </c>
      <c r="C2149" s="225" t="s">
        <v>2958</v>
      </c>
      <c r="D2149" s="225" t="s">
        <v>1874</v>
      </c>
      <c r="E2149" s="232" t="s">
        <v>2429</v>
      </c>
      <c r="F2149" s="89" t="s">
        <v>524</v>
      </c>
    </row>
    <row r="2150" spans="2:6" ht="25.8" x14ac:dyDescent="0.55000000000000004">
      <c r="B2150" s="213" t="s">
        <v>951</v>
      </c>
      <c r="C2150" s="225" t="s">
        <v>2961</v>
      </c>
      <c r="D2150" s="225" t="s">
        <v>1877</v>
      </c>
      <c r="E2150" s="232" t="s">
        <v>2429</v>
      </c>
      <c r="F2150" s="89" t="s">
        <v>524</v>
      </c>
    </row>
    <row r="2151" spans="2:6" ht="25.8" x14ac:dyDescent="0.55000000000000004">
      <c r="B2151" s="213" t="s">
        <v>951</v>
      </c>
      <c r="C2151" s="225" t="s">
        <v>2962</v>
      </c>
      <c r="D2151" s="225" t="s">
        <v>1878</v>
      </c>
      <c r="E2151" s="232" t="s">
        <v>2429</v>
      </c>
      <c r="F2151" s="89" t="s">
        <v>524</v>
      </c>
    </row>
    <row r="2152" spans="2:6" x14ac:dyDescent="0.55000000000000004">
      <c r="B2152" s="213" t="s">
        <v>951</v>
      </c>
      <c r="C2152" s="225" t="s">
        <v>2963</v>
      </c>
      <c r="D2152" s="225" t="s">
        <v>1879</v>
      </c>
      <c r="E2152" s="232" t="s">
        <v>2429</v>
      </c>
      <c r="F2152" s="89" t="s">
        <v>524</v>
      </c>
    </row>
    <row r="2153" spans="2:6" x14ac:dyDescent="0.55000000000000004">
      <c r="B2153" s="213" t="s">
        <v>951</v>
      </c>
      <c r="C2153" s="225" t="s">
        <v>2967</v>
      </c>
      <c r="D2153" s="225" t="s">
        <v>1883</v>
      </c>
      <c r="E2153" s="232" t="s">
        <v>2429</v>
      </c>
      <c r="F2153" s="89" t="s">
        <v>524</v>
      </c>
    </row>
    <row r="2154" spans="2:6" x14ac:dyDescent="0.55000000000000004">
      <c r="B2154" s="213" t="s">
        <v>951</v>
      </c>
      <c r="C2154" s="225" t="s">
        <v>2970</v>
      </c>
      <c r="D2154" s="225" t="s">
        <v>1886</v>
      </c>
      <c r="E2154" s="232" t="s">
        <v>2429</v>
      </c>
      <c r="F2154" s="89" t="s">
        <v>524</v>
      </c>
    </row>
    <row r="2155" spans="2:6" x14ac:dyDescent="0.55000000000000004">
      <c r="B2155" s="213" t="s">
        <v>951</v>
      </c>
      <c r="C2155" s="225" t="s">
        <v>2971</v>
      </c>
      <c r="D2155" s="225" t="s">
        <v>1887</v>
      </c>
      <c r="E2155" s="232" t="s">
        <v>2429</v>
      </c>
      <c r="F2155" s="89" t="s">
        <v>524</v>
      </c>
    </row>
    <row r="2156" spans="2:6" x14ac:dyDescent="0.55000000000000004">
      <c r="B2156" s="213" t="s">
        <v>951</v>
      </c>
      <c r="C2156" s="225" t="s">
        <v>2972</v>
      </c>
      <c r="D2156" s="225" t="s">
        <v>1888</v>
      </c>
      <c r="E2156" s="232" t="s">
        <v>2429</v>
      </c>
      <c r="F2156" s="89" t="s">
        <v>524</v>
      </c>
    </row>
    <row r="2157" spans="2:6" x14ac:dyDescent="0.55000000000000004">
      <c r="B2157" s="213" t="s">
        <v>951</v>
      </c>
      <c r="C2157" s="225" t="s">
        <v>2973</v>
      </c>
      <c r="D2157" s="225" t="s">
        <v>1889</v>
      </c>
      <c r="E2157" s="232" t="s">
        <v>2429</v>
      </c>
      <c r="F2157" s="89" t="s">
        <v>524</v>
      </c>
    </row>
    <row r="2158" spans="2:6" ht="25.8" x14ac:dyDescent="0.55000000000000004">
      <c r="B2158" s="215" t="s">
        <v>952</v>
      </c>
      <c r="C2158" s="227" t="s">
        <v>777</v>
      </c>
      <c r="D2158" s="227" t="s">
        <v>777</v>
      </c>
      <c r="E2158" s="232" t="e">
        <v>#N/A</v>
      </c>
      <c r="F2158" s="89" t="s">
        <v>2433</v>
      </c>
    </row>
    <row r="2159" spans="2:6" x14ac:dyDescent="0.55000000000000004">
      <c r="B2159" s="213" t="s">
        <v>952</v>
      </c>
      <c r="C2159" s="225" t="s">
        <v>2869</v>
      </c>
      <c r="D2159" s="225" t="s">
        <v>1785</v>
      </c>
      <c r="E2159" s="232" t="s">
        <v>2429</v>
      </c>
      <c r="F2159" s="89" t="s">
        <v>524</v>
      </c>
    </row>
    <row r="2160" spans="2:6" x14ac:dyDescent="0.55000000000000004">
      <c r="B2160" s="213" t="s">
        <v>952</v>
      </c>
      <c r="C2160" s="225" t="s">
        <v>2876</v>
      </c>
      <c r="D2160" s="225" t="s">
        <v>1792</v>
      </c>
      <c r="E2160" s="232" t="s">
        <v>2429</v>
      </c>
      <c r="F2160" s="89" t="s">
        <v>524</v>
      </c>
    </row>
    <row r="2161" spans="2:6" x14ac:dyDescent="0.55000000000000004">
      <c r="B2161" s="213" t="s">
        <v>952</v>
      </c>
      <c r="C2161" s="225" t="s">
        <v>2881</v>
      </c>
      <c r="D2161" s="225" t="s">
        <v>1797</v>
      </c>
      <c r="E2161" s="232" t="s">
        <v>2429</v>
      </c>
      <c r="F2161" s="89" t="s">
        <v>524</v>
      </c>
    </row>
    <row r="2162" spans="2:6" x14ac:dyDescent="0.55000000000000004">
      <c r="B2162" s="213" t="s">
        <v>952</v>
      </c>
      <c r="C2162" s="225" t="s">
        <v>2882</v>
      </c>
      <c r="D2162" s="225" t="s">
        <v>1798</v>
      </c>
      <c r="E2162" s="232" t="s">
        <v>2429</v>
      </c>
      <c r="F2162" s="89" t="s">
        <v>524</v>
      </c>
    </row>
    <row r="2163" spans="2:6" x14ac:dyDescent="0.55000000000000004">
      <c r="B2163" s="214" t="s">
        <v>952</v>
      </c>
      <c r="C2163" s="226" t="s">
        <v>2902</v>
      </c>
      <c r="D2163" s="226" t="s">
        <v>1818</v>
      </c>
      <c r="E2163" s="232" t="s">
        <v>2429</v>
      </c>
      <c r="F2163" s="89" t="s">
        <v>524</v>
      </c>
    </row>
    <row r="2164" spans="2:6" ht="25.8" x14ac:dyDescent="0.55000000000000004">
      <c r="B2164" s="213" t="s">
        <v>952</v>
      </c>
      <c r="C2164" s="225" t="s">
        <v>2905</v>
      </c>
      <c r="D2164" s="225" t="s">
        <v>1821</v>
      </c>
      <c r="E2164" s="232" t="s">
        <v>2429</v>
      </c>
      <c r="F2164" s="89" t="s">
        <v>524</v>
      </c>
    </row>
    <row r="2165" spans="2:6" x14ac:dyDescent="0.55000000000000004">
      <c r="B2165" s="213" t="s">
        <v>952</v>
      </c>
      <c r="C2165" s="225" t="s">
        <v>2934</v>
      </c>
      <c r="D2165" s="225" t="s">
        <v>1850</v>
      </c>
      <c r="E2165" s="232" t="s">
        <v>2429</v>
      </c>
      <c r="F2165" s="89" t="s">
        <v>524</v>
      </c>
    </row>
    <row r="2166" spans="2:6" x14ac:dyDescent="0.55000000000000004">
      <c r="B2166" s="213" t="s">
        <v>952</v>
      </c>
      <c r="C2166" s="225" t="s">
        <v>2955</v>
      </c>
      <c r="D2166" s="225" t="s">
        <v>1871</v>
      </c>
      <c r="E2166" s="232" t="s">
        <v>2429</v>
      </c>
      <c r="F2166" s="89" t="s">
        <v>524</v>
      </c>
    </row>
    <row r="2167" spans="2:6" ht="25.8" x14ac:dyDescent="0.55000000000000004">
      <c r="B2167" s="213" t="s">
        <v>952</v>
      </c>
      <c r="C2167" s="225" t="s">
        <v>2956</v>
      </c>
      <c r="D2167" s="225" t="s">
        <v>1872</v>
      </c>
      <c r="E2167" s="232" t="s">
        <v>2429</v>
      </c>
      <c r="F2167" s="89" t="s">
        <v>524</v>
      </c>
    </row>
    <row r="2168" spans="2:6" ht="25.8" x14ac:dyDescent="0.55000000000000004">
      <c r="B2168" s="212">
        <v>24</v>
      </c>
      <c r="C2168" s="230" t="s">
        <v>778</v>
      </c>
      <c r="D2168" s="230" t="s">
        <v>778</v>
      </c>
      <c r="E2168" s="232" t="e">
        <v>#N/A</v>
      </c>
      <c r="F2168" s="89" t="s">
        <v>2433</v>
      </c>
    </row>
    <row r="2169" spans="2:6" x14ac:dyDescent="0.55000000000000004">
      <c r="B2169" s="213">
        <v>24</v>
      </c>
      <c r="C2169" s="225" t="s">
        <v>2978</v>
      </c>
      <c r="D2169" s="225" t="s">
        <v>1894</v>
      </c>
      <c r="E2169" s="232" t="s">
        <v>2429</v>
      </c>
      <c r="F2169" s="89" t="s">
        <v>524</v>
      </c>
    </row>
    <row r="2170" spans="2:6" x14ac:dyDescent="0.55000000000000004">
      <c r="B2170" s="213">
        <v>24</v>
      </c>
      <c r="C2170" s="225" t="s">
        <v>2979</v>
      </c>
      <c r="D2170" s="225" t="s">
        <v>1895</v>
      </c>
      <c r="E2170" s="232" t="s">
        <v>2429</v>
      </c>
      <c r="F2170" s="89" t="s">
        <v>524</v>
      </c>
    </row>
    <row r="2171" spans="2:6" x14ac:dyDescent="0.55000000000000004">
      <c r="B2171" s="213">
        <v>24</v>
      </c>
      <c r="C2171" s="225" t="s">
        <v>2980</v>
      </c>
      <c r="D2171" s="225" t="s">
        <v>1896</v>
      </c>
      <c r="E2171" s="232" t="s">
        <v>2429</v>
      </c>
      <c r="F2171" s="89" t="s">
        <v>524</v>
      </c>
    </row>
    <row r="2172" spans="2:6" ht="25.8" x14ac:dyDescent="0.55000000000000004">
      <c r="B2172" s="213">
        <v>24</v>
      </c>
      <c r="C2172" s="226" t="s">
        <v>2981</v>
      </c>
      <c r="D2172" s="226" t="s">
        <v>1897</v>
      </c>
      <c r="E2172" s="232" t="s">
        <v>2429</v>
      </c>
      <c r="F2172" s="89" t="s">
        <v>524</v>
      </c>
    </row>
    <row r="2173" spans="2:6" x14ac:dyDescent="0.55000000000000004">
      <c r="B2173" s="214">
        <v>24</v>
      </c>
      <c r="C2173" s="226" t="s">
        <v>2982</v>
      </c>
      <c r="D2173" s="226" t="s">
        <v>1898</v>
      </c>
      <c r="E2173" s="232" t="s">
        <v>2429</v>
      </c>
      <c r="F2173" s="89" t="s">
        <v>505</v>
      </c>
    </row>
    <row r="2174" spans="2:6" ht="25.8" x14ac:dyDescent="0.55000000000000004">
      <c r="B2174" s="214">
        <v>24</v>
      </c>
      <c r="C2174" s="225" t="s">
        <v>2983</v>
      </c>
      <c r="D2174" s="225" t="s">
        <v>1899</v>
      </c>
      <c r="E2174" s="232" t="s">
        <v>2429</v>
      </c>
      <c r="F2174" s="89" t="s">
        <v>505</v>
      </c>
    </row>
    <row r="2175" spans="2:6" ht="25.8" x14ac:dyDescent="0.55000000000000004">
      <c r="B2175" s="214">
        <v>24</v>
      </c>
      <c r="C2175" s="225" t="s">
        <v>2984</v>
      </c>
      <c r="D2175" s="225" t="s">
        <v>1900</v>
      </c>
      <c r="E2175" s="232" t="s">
        <v>2429</v>
      </c>
      <c r="F2175" s="89" t="s">
        <v>505</v>
      </c>
    </row>
    <row r="2176" spans="2:6" ht="25.8" x14ac:dyDescent="0.55000000000000004">
      <c r="B2176" s="214">
        <v>24</v>
      </c>
      <c r="C2176" s="225" t="s">
        <v>2985</v>
      </c>
      <c r="D2176" s="225" t="s">
        <v>1901</v>
      </c>
      <c r="E2176" s="232" t="s">
        <v>2429</v>
      </c>
      <c r="F2176" s="89" t="s">
        <v>505</v>
      </c>
    </row>
    <row r="2177" spans="2:6" x14ac:dyDescent="0.55000000000000004">
      <c r="B2177" s="213">
        <v>24</v>
      </c>
      <c r="C2177" s="225" t="s">
        <v>2986</v>
      </c>
      <c r="D2177" s="225" t="s">
        <v>1902</v>
      </c>
      <c r="E2177" s="232" t="s">
        <v>2429</v>
      </c>
      <c r="F2177" s="89" t="s">
        <v>524</v>
      </c>
    </row>
    <row r="2178" spans="2:6" x14ac:dyDescent="0.55000000000000004">
      <c r="B2178" s="213">
        <v>24</v>
      </c>
      <c r="C2178" s="225" t="s">
        <v>2987</v>
      </c>
      <c r="D2178" s="225" t="s">
        <v>1903</v>
      </c>
      <c r="E2178" s="232" t="s">
        <v>2429</v>
      </c>
      <c r="F2178" s="89" t="s">
        <v>524</v>
      </c>
    </row>
    <row r="2179" spans="2:6" x14ac:dyDescent="0.55000000000000004">
      <c r="B2179" s="213">
        <v>24</v>
      </c>
      <c r="C2179" s="226" t="s">
        <v>2988</v>
      </c>
      <c r="D2179" s="226" t="s">
        <v>1904</v>
      </c>
      <c r="E2179" s="232" t="s">
        <v>2429</v>
      </c>
      <c r="F2179" s="89" t="s">
        <v>524</v>
      </c>
    </row>
    <row r="2180" spans="2:6" ht="25.8" x14ac:dyDescent="0.55000000000000004">
      <c r="B2180" s="213">
        <v>24</v>
      </c>
      <c r="C2180" s="225" t="s">
        <v>2989</v>
      </c>
      <c r="D2180" s="225" t="s">
        <v>1905</v>
      </c>
      <c r="E2180" s="232" t="s">
        <v>2429</v>
      </c>
      <c r="F2180" s="89" t="s">
        <v>524</v>
      </c>
    </row>
    <row r="2181" spans="2:6" x14ac:dyDescent="0.55000000000000004">
      <c r="B2181" s="213">
        <v>24</v>
      </c>
      <c r="C2181" s="225" t="s">
        <v>2990</v>
      </c>
      <c r="D2181" s="225" t="s">
        <v>1906</v>
      </c>
      <c r="E2181" s="232" t="s">
        <v>2429</v>
      </c>
      <c r="F2181" s="89" t="s">
        <v>524</v>
      </c>
    </row>
    <row r="2182" spans="2:6" x14ac:dyDescent="0.55000000000000004">
      <c r="B2182" s="213">
        <v>24</v>
      </c>
      <c r="C2182" s="225" t="s">
        <v>2991</v>
      </c>
      <c r="D2182" s="225" t="s">
        <v>1907</v>
      </c>
      <c r="E2182" s="232" t="s">
        <v>2429</v>
      </c>
      <c r="F2182" s="89" t="s">
        <v>524</v>
      </c>
    </row>
    <row r="2183" spans="2:6" ht="25.8" x14ac:dyDescent="0.55000000000000004">
      <c r="B2183" s="213">
        <v>24</v>
      </c>
      <c r="C2183" s="225" t="s">
        <v>2992</v>
      </c>
      <c r="D2183" s="225" t="s">
        <v>1908</v>
      </c>
      <c r="E2183" s="232" t="s">
        <v>2429</v>
      </c>
      <c r="F2183" s="89" t="s">
        <v>524</v>
      </c>
    </row>
    <row r="2184" spans="2:6" x14ac:dyDescent="0.55000000000000004">
      <c r="B2184" s="213">
        <v>24</v>
      </c>
      <c r="C2184" s="225" t="s">
        <v>2993</v>
      </c>
      <c r="D2184" s="225" t="s">
        <v>1909</v>
      </c>
      <c r="E2184" s="232" t="s">
        <v>2429</v>
      </c>
      <c r="F2184" s="89" t="s">
        <v>524</v>
      </c>
    </row>
    <row r="2185" spans="2:6" ht="25.8" x14ac:dyDescent="0.55000000000000004">
      <c r="B2185" s="213">
        <v>24</v>
      </c>
      <c r="C2185" s="225" t="s">
        <v>2994</v>
      </c>
      <c r="D2185" s="225" t="s">
        <v>1910</v>
      </c>
      <c r="E2185" s="232" t="s">
        <v>2429</v>
      </c>
      <c r="F2185" s="89" t="s">
        <v>524</v>
      </c>
    </row>
    <row r="2186" spans="2:6" ht="25.8" x14ac:dyDescent="0.55000000000000004">
      <c r="B2186" s="213">
        <v>24</v>
      </c>
      <c r="C2186" s="225" t="s">
        <v>2995</v>
      </c>
      <c r="D2186" s="225" t="s">
        <v>1911</v>
      </c>
      <c r="E2186" s="232" t="s">
        <v>2429</v>
      </c>
      <c r="F2186" s="89" t="s">
        <v>524</v>
      </c>
    </row>
    <row r="2187" spans="2:6" ht="25.8" x14ac:dyDescent="0.55000000000000004">
      <c r="B2187" s="213">
        <v>24</v>
      </c>
      <c r="C2187" s="225" t="s">
        <v>2996</v>
      </c>
      <c r="D2187" s="225" t="s">
        <v>1912</v>
      </c>
      <c r="E2187" s="232" t="s">
        <v>2429</v>
      </c>
      <c r="F2187" s="89" t="s">
        <v>524</v>
      </c>
    </row>
    <row r="2188" spans="2:6" x14ac:dyDescent="0.55000000000000004">
      <c r="B2188" s="213">
        <v>24</v>
      </c>
      <c r="C2188" s="225" t="s">
        <v>2997</v>
      </c>
      <c r="D2188" s="225" t="s">
        <v>1913</v>
      </c>
      <c r="E2188" s="232" t="s">
        <v>2429</v>
      </c>
      <c r="F2188" s="89" t="s">
        <v>524</v>
      </c>
    </row>
    <row r="2189" spans="2:6" ht="25.8" x14ac:dyDescent="0.55000000000000004">
      <c r="B2189" s="213">
        <v>24</v>
      </c>
      <c r="C2189" s="225" t="s">
        <v>2998</v>
      </c>
      <c r="D2189" s="225" t="s">
        <v>1914</v>
      </c>
      <c r="E2189" s="232" t="s">
        <v>2429</v>
      </c>
      <c r="F2189" s="89" t="s">
        <v>524</v>
      </c>
    </row>
    <row r="2190" spans="2:6" x14ac:dyDescent="0.55000000000000004">
      <c r="B2190" s="213">
        <v>24</v>
      </c>
      <c r="C2190" s="225" t="s">
        <v>2999</v>
      </c>
      <c r="D2190" s="225" t="s">
        <v>1915</v>
      </c>
      <c r="E2190" s="232" t="s">
        <v>2429</v>
      </c>
      <c r="F2190" s="89" t="s">
        <v>524</v>
      </c>
    </row>
    <row r="2191" spans="2:6" ht="25.8" x14ac:dyDescent="0.55000000000000004">
      <c r="B2191" s="213">
        <v>24</v>
      </c>
      <c r="C2191" s="226" t="s">
        <v>3000</v>
      </c>
      <c r="D2191" s="226" t="s">
        <v>1916</v>
      </c>
      <c r="E2191" s="232" t="s">
        <v>2429</v>
      </c>
      <c r="F2191" s="89" t="s">
        <v>524</v>
      </c>
    </row>
    <row r="2192" spans="2:6" x14ac:dyDescent="0.55000000000000004">
      <c r="B2192" s="213">
        <v>24</v>
      </c>
      <c r="C2192" s="225" t="s">
        <v>3001</v>
      </c>
      <c r="D2192" s="225" t="s">
        <v>1917</v>
      </c>
      <c r="E2192" s="232" t="s">
        <v>2429</v>
      </c>
      <c r="F2192" s="89" t="s">
        <v>524</v>
      </c>
    </row>
    <row r="2193" spans="2:6" x14ac:dyDescent="0.55000000000000004">
      <c r="B2193" s="213">
        <v>24</v>
      </c>
      <c r="C2193" s="225" t="s">
        <v>3002</v>
      </c>
      <c r="D2193" s="225" t="s">
        <v>1918</v>
      </c>
      <c r="E2193" s="232" t="s">
        <v>2429</v>
      </c>
      <c r="F2193" s="89" t="s">
        <v>524</v>
      </c>
    </row>
    <row r="2194" spans="2:6" x14ac:dyDescent="0.55000000000000004">
      <c r="B2194" s="213">
        <v>24</v>
      </c>
      <c r="C2194" s="225" t="s">
        <v>3003</v>
      </c>
      <c r="D2194" s="225" t="s">
        <v>1919</v>
      </c>
      <c r="E2194" s="232" t="s">
        <v>2429</v>
      </c>
      <c r="F2194" s="89" t="s">
        <v>524</v>
      </c>
    </row>
    <row r="2195" spans="2:6" x14ac:dyDescent="0.55000000000000004">
      <c r="B2195" s="213">
        <v>24</v>
      </c>
      <c r="C2195" s="225" t="s">
        <v>3004</v>
      </c>
      <c r="D2195" s="225" t="s">
        <v>1920</v>
      </c>
      <c r="E2195" s="232" t="s">
        <v>2429</v>
      </c>
      <c r="F2195" s="89" t="s">
        <v>524</v>
      </c>
    </row>
    <row r="2196" spans="2:6" x14ac:dyDescent="0.55000000000000004">
      <c r="B2196" s="213">
        <v>24</v>
      </c>
      <c r="C2196" s="225" t="s">
        <v>3005</v>
      </c>
      <c r="D2196" s="225" t="s">
        <v>1921</v>
      </c>
      <c r="E2196" s="232" t="s">
        <v>2429</v>
      </c>
      <c r="F2196" s="89" t="s">
        <v>524</v>
      </c>
    </row>
    <row r="2197" spans="2:6" x14ac:dyDescent="0.55000000000000004">
      <c r="B2197" s="213">
        <v>24</v>
      </c>
      <c r="C2197" s="225" t="s">
        <v>3006</v>
      </c>
      <c r="D2197" s="225" t="s">
        <v>1922</v>
      </c>
      <c r="E2197" s="232" t="s">
        <v>2429</v>
      </c>
      <c r="F2197" s="89" t="s">
        <v>524</v>
      </c>
    </row>
    <row r="2198" spans="2:6" ht="25.8" x14ac:dyDescent="0.55000000000000004">
      <c r="B2198" s="213">
        <v>24</v>
      </c>
      <c r="C2198" s="225" t="s">
        <v>3007</v>
      </c>
      <c r="D2198" s="225" t="s">
        <v>1923</v>
      </c>
      <c r="E2198" s="232" t="s">
        <v>2429</v>
      </c>
      <c r="F2198" s="89" t="s">
        <v>524</v>
      </c>
    </row>
    <row r="2199" spans="2:6" x14ac:dyDescent="0.55000000000000004">
      <c r="B2199" s="213">
        <v>24</v>
      </c>
      <c r="C2199" s="225" t="s">
        <v>3008</v>
      </c>
      <c r="D2199" s="225" t="s">
        <v>1924</v>
      </c>
      <c r="E2199" s="232" t="s">
        <v>2429</v>
      </c>
      <c r="F2199" s="89" t="s">
        <v>524</v>
      </c>
    </row>
    <row r="2200" spans="2:6" x14ac:dyDescent="0.55000000000000004">
      <c r="B2200" s="213">
        <v>24</v>
      </c>
      <c r="C2200" s="225" t="s">
        <v>3009</v>
      </c>
      <c r="D2200" s="225" t="s">
        <v>1925</v>
      </c>
      <c r="E2200" s="232" t="s">
        <v>2429</v>
      </c>
      <c r="F2200" s="89" t="s">
        <v>524</v>
      </c>
    </row>
    <row r="2201" spans="2:6" x14ac:dyDescent="0.55000000000000004">
      <c r="B2201" s="213">
        <v>24</v>
      </c>
      <c r="C2201" s="225" t="s">
        <v>3010</v>
      </c>
      <c r="D2201" s="225" t="s">
        <v>1926</v>
      </c>
      <c r="E2201" s="232" t="s">
        <v>2429</v>
      </c>
      <c r="F2201" s="89" t="s">
        <v>524</v>
      </c>
    </row>
    <row r="2202" spans="2:6" ht="25.8" x14ac:dyDescent="0.55000000000000004">
      <c r="B2202" s="213">
        <v>24</v>
      </c>
      <c r="C2202" s="225" t="s">
        <v>3011</v>
      </c>
      <c r="D2202" s="225" t="s">
        <v>1927</v>
      </c>
      <c r="E2202" s="232" t="s">
        <v>2429</v>
      </c>
      <c r="F2202" s="89" t="s">
        <v>524</v>
      </c>
    </row>
    <row r="2203" spans="2:6" x14ac:dyDescent="0.55000000000000004">
      <c r="B2203" s="213">
        <v>24</v>
      </c>
      <c r="C2203" s="225" t="s">
        <v>3012</v>
      </c>
      <c r="D2203" s="225" t="s">
        <v>1928</v>
      </c>
      <c r="E2203" s="232" t="s">
        <v>2429</v>
      </c>
      <c r="F2203" s="89" t="s">
        <v>524</v>
      </c>
    </row>
    <row r="2204" spans="2:6" x14ac:dyDescent="0.55000000000000004">
      <c r="B2204" s="213">
        <v>24</v>
      </c>
      <c r="C2204" s="225" t="s">
        <v>3013</v>
      </c>
      <c r="D2204" s="225" t="s">
        <v>1929</v>
      </c>
      <c r="E2204" s="232" t="s">
        <v>2429</v>
      </c>
      <c r="F2204" s="89" t="s">
        <v>524</v>
      </c>
    </row>
    <row r="2205" spans="2:6" x14ac:dyDescent="0.55000000000000004">
      <c r="B2205" s="213">
        <v>24</v>
      </c>
      <c r="C2205" s="225" t="s">
        <v>3014</v>
      </c>
      <c r="D2205" s="225" t="s">
        <v>1930</v>
      </c>
      <c r="E2205" s="232" t="s">
        <v>2429</v>
      </c>
      <c r="F2205" s="89" t="s">
        <v>524</v>
      </c>
    </row>
    <row r="2206" spans="2:6" x14ac:dyDescent="0.55000000000000004">
      <c r="B2206" s="213">
        <v>24</v>
      </c>
      <c r="C2206" s="225" t="s">
        <v>3015</v>
      </c>
      <c r="D2206" s="225" t="s">
        <v>1931</v>
      </c>
      <c r="E2206" s="232" t="s">
        <v>2429</v>
      </c>
      <c r="F2206" s="89" t="s">
        <v>524</v>
      </c>
    </row>
    <row r="2207" spans="2:6" x14ac:dyDescent="0.55000000000000004">
      <c r="B2207" s="213">
        <v>24</v>
      </c>
      <c r="C2207" s="226" t="s">
        <v>3016</v>
      </c>
      <c r="D2207" s="226" t="s">
        <v>1932</v>
      </c>
      <c r="E2207" s="232" t="s">
        <v>2429</v>
      </c>
      <c r="F2207" s="89" t="s">
        <v>524</v>
      </c>
    </row>
    <row r="2208" spans="2:6" x14ac:dyDescent="0.55000000000000004">
      <c r="B2208" s="213">
        <v>24</v>
      </c>
      <c r="C2208" s="225" t="s">
        <v>3017</v>
      </c>
      <c r="D2208" s="225" t="s">
        <v>1933</v>
      </c>
      <c r="E2208" s="232" t="s">
        <v>2429</v>
      </c>
      <c r="F2208" s="89" t="s">
        <v>524</v>
      </c>
    </row>
    <row r="2209" spans="2:6" ht="25.8" x14ac:dyDescent="0.55000000000000004">
      <c r="B2209" s="213">
        <v>24</v>
      </c>
      <c r="C2209" s="225" t="s">
        <v>3018</v>
      </c>
      <c r="D2209" s="225" t="s">
        <v>1934</v>
      </c>
      <c r="E2209" s="232" t="s">
        <v>2429</v>
      </c>
      <c r="F2209" s="89" t="s">
        <v>524</v>
      </c>
    </row>
    <row r="2210" spans="2:6" x14ac:dyDescent="0.55000000000000004">
      <c r="B2210" s="213">
        <v>24</v>
      </c>
      <c r="C2210" s="225" t="s">
        <v>3019</v>
      </c>
      <c r="D2210" s="225" t="s">
        <v>1935</v>
      </c>
      <c r="E2210" s="232" t="s">
        <v>2429</v>
      </c>
      <c r="F2210" s="89" t="s">
        <v>524</v>
      </c>
    </row>
    <row r="2211" spans="2:6" x14ac:dyDescent="0.55000000000000004">
      <c r="B2211" s="213">
        <v>24</v>
      </c>
      <c r="C2211" s="225" t="s">
        <v>3020</v>
      </c>
      <c r="D2211" s="225" t="s">
        <v>1936</v>
      </c>
      <c r="E2211" s="232" t="s">
        <v>2429</v>
      </c>
      <c r="F2211" s="89" t="s">
        <v>524</v>
      </c>
    </row>
    <row r="2212" spans="2:6" x14ac:dyDescent="0.55000000000000004">
      <c r="B2212" s="213">
        <v>24</v>
      </c>
      <c r="C2212" s="225" t="s">
        <v>3021</v>
      </c>
      <c r="D2212" s="225" t="s">
        <v>1937</v>
      </c>
      <c r="E2212" s="232" t="s">
        <v>2429</v>
      </c>
      <c r="F2212" s="89" t="s">
        <v>524</v>
      </c>
    </row>
    <row r="2213" spans="2:6" x14ac:dyDescent="0.55000000000000004">
      <c r="B2213" s="213">
        <v>24</v>
      </c>
      <c r="C2213" s="225" t="s">
        <v>3022</v>
      </c>
      <c r="D2213" s="225" t="s">
        <v>1938</v>
      </c>
      <c r="E2213" s="232" t="s">
        <v>2429</v>
      </c>
      <c r="F2213" s="89" t="s">
        <v>524</v>
      </c>
    </row>
    <row r="2214" spans="2:6" x14ac:dyDescent="0.55000000000000004">
      <c r="B2214" s="213">
        <v>24</v>
      </c>
      <c r="C2214" s="225" t="s">
        <v>3023</v>
      </c>
      <c r="D2214" s="225" t="s">
        <v>1939</v>
      </c>
      <c r="E2214" s="232" t="s">
        <v>2429</v>
      </c>
      <c r="F2214" s="89" t="s">
        <v>524</v>
      </c>
    </row>
    <row r="2215" spans="2:6" x14ac:dyDescent="0.55000000000000004">
      <c r="B2215" s="213">
        <v>24</v>
      </c>
      <c r="C2215" s="225" t="s">
        <v>3024</v>
      </c>
      <c r="D2215" s="225" t="s">
        <v>1940</v>
      </c>
      <c r="E2215" s="232" t="s">
        <v>2429</v>
      </c>
      <c r="F2215" s="89" t="s">
        <v>524</v>
      </c>
    </row>
    <row r="2216" spans="2:6" x14ac:dyDescent="0.55000000000000004">
      <c r="B2216" s="213">
        <v>24</v>
      </c>
      <c r="C2216" s="225" t="s">
        <v>3025</v>
      </c>
      <c r="D2216" s="225" t="s">
        <v>1941</v>
      </c>
      <c r="E2216" s="232" t="s">
        <v>2429</v>
      </c>
      <c r="F2216" s="89" t="s">
        <v>524</v>
      </c>
    </row>
    <row r="2217" spans="2:6" x14ac:dyDescent="0.55000000000000004">
      <c r="B2217" s="213">
        <v>24</v>
      </c>
      <c r="C2217" s="225" t="s">
        <v>3026</v>
      </c>
      <c r="D2217" s="225" t="s">
        <v>1942</v>
      </c>
      <c r="E2217" s="232" t="s">
        <v>2429</v>
      </c>
      <c r="F2217" s="89" t="s">
        <v>524</v>
      </c>
    </row>
    <row r="2218" spans="2:6" x14ac:dyDescent="0.55000000000000004">
      <c r="B2218" s="213">
        <v>24</v>
      </c>
      <c r="C2218" s="225" t="s">
        <v>3027</v>
      </c>
      <c r="D2218" s="225" t="s">
        <v>1943</v>
      </c>
      <c r="E2218" s="232" t="s">
        <v>2429</v>
      </c>
      <c r="F2218" s="89" t="s">
        <v>524</v>
      </c>
    </row>
    <row r="2219" spans="2:6" x14ac:dyDescent="0.55000000000000004">
      <c r="B2219" s="213">
        <v>24</v>
      </c>
      <c r="C2219" s="225" t="s">
        <v>3028</v>
      </c>
      <c r="D2219" s="225" t="s">
        <v>1944</v>
      </c>
      <c r="E2219" s="232" t="s">
        <v>2429</v>
      </c>
      <c r="F2219" s="89" t="s">
        <v>524</v>
      </c>
    </row>
    <row r="2220" spans="2:6" ht="25.8" x14ac:dyDescent="0.55000000000000004">
      <c r="B2220" s="213">
        <v>24</v>
      </c>
      <c r="C2220" s="225" t="s">
        <v>3029</v>
      </c>
      <c r="D2220" s="225" t="s">
        <v>1945</v>
      </c>
      <c r="E2220" s="232" t="s">
        <v>2429</v>
      </c>
      <c r="F2220" s="89" t="s">
        <v>524</v>
      </c>
    </row>
    <row r="2221" spans="2:6" x14ac:dyDescent="0.55000000000000004">
      <c r="B2221" s="213">
        <v>24</v>
      </c>
      <c r="C2221" s="225" t="s">
        <v>3030</v>
      </c>
      <c r="D2221" s="225" t="s">
        <v>1946</v>
      </c>
      <c r="E2221" s="232" t="s">
        <v>2429</v>
      </c>
      <c r="F2221" s="89" t="s">
        <v>524</v>
      </c>
    </row>
    <row r="2222" spans="2:6" x14ac:dyDescent="0.55000000000000004">
      <c r="B2222" s="213">
        <v>24</v>
      </c>
      <c r="C2222" s="225" t="s">
        <v>3031</v>
      </c>
      <c r="D2222" s="225" t="s">
        <v>1947</v>
      </c>
      <c r="E2222" s="232" t="s">
        <v>2429</v>
      </c>
      <c r="F2222" s="89" t="s">
        <v>524</v>
      </c>
    </row>
    <row r="2223" spans="2:6" ht="25.8" x14ac:dyDescent="0.55000000000000004">
      <c r="B2223" s="213">
        <v>24</v>
      </c>
      <c r="C2223" s="225" t="s">
        <v>3032</v>
      </c>
      <c r="D2223" s="225" t="s">
        <v>1948</v>
      </c>
      <c r="E2223" s="232" t="s">
        <v>2429</v>
      </c>
      <c r="F2223" s="89" t="s">
        <v>524</v>
      </c>
    </row>
    <row r="2224" spans="2:6" x14ac:dyDescent="0.55000000000000004">
      <c r="B2224" s="213">
        <v>24</v>
      </c>
      <c r="C2224" s="225" t="s">
        <v>3033</v>
      </c>
      <c r="D2224" s="225" t="s">
        <v>1949</v>
      </c>
      <c r="E2224" s="232" t="s">
        <v>2429</v>
      </c>
      <c r="F2224" s="89" t="s">
        <v>524</v>
      </c>
    </row>
    <row r="2225" spans="2:6" x14ac:dyDescent="0.55000000000000004">
      <c r="B2225" s="213">
        <v>24</v>
      </c>
      <c r="C2225" s="225" t="s">
        <v>3034</v>
      </c>
      <c r="D2225" s="225" t="s">
        <v>1950</v>
      </c>
      <c r="E2225" s="232" t="s">
        <v>2429</v>
      </c>
      <c r="F2225" s="89" t="s">
        <v>524</v>
      </c>
    </row>
    <row r="2226" spans="2:6" x14ac:dyDescent="0.55000000000000004">
      <c r="B2226" s="213">
        <v>24</v>
      </c>
      <c r="C2226" s="225" t="s">
        <v>3035</v>
      </c>
      <c r="D2226" s="225" t="s">
        <v>1951</v>
      </c>
      <c r="E2226" s="232" t="s">
        <v>2429</v>
      </c>
      <c r="F2226" s="89" t="s">
        <v>524</v>
      </c>
    </row>
    <row r="2227" spans="2:6" ht="25.8" x14ac:dyDescent="0.55000000000000004">
      <c r="B2227" s="213">
        <v>24</v>
      </c>
      <c r="C2227" s="225" t="s">
        <v>3036</v>
      </c>
      <c r="D2227" s="225" t="s">
        <v>1952</v>
      </c>
      <c r="E2227" s="232" t="s">
        <v>2429</v>
      </c>
      <c r="F2227" s="89" t="s">
        <v>524</v>
      </c>
    </row>
    <row r="2228" spans="2:6" x14ac:dyDescent="0.55000000000000004">
      <c r="B2228" s="213">
        <v>24</v>
      </c>
      <c r="C2228" s="226" t="s">
        <v>3037</v>
      </c>
      <c r="D2228" s="226" t="s">
        <v>1953</v>
      </c>
      <c r="E2228" s="232" t="s">
        <v>2429</v>
      </c>
      <c r="F2228" s="89" t="s">
        <v>524</v>
      </c>
    </row>
    <row r="2229" spans="2:6" ht="38.700000000000003" x14ac:dyDescent="0.55000000000000004">
      <c r="B2229" s="213">
        <v>24</v>
      </c>
      <c r="C2229" s="225" t="s">
        <v>3038</v>
      </c>
      <c r="D2229" s="225" t="s">
        <v>1954</v>
      </c>
      <c r="E2229" s="232" t="s">
        <v>2429</v>
      </c>
      <c r="F2229" s="89" t="s">
        <v>524</v>
      </c>
    </row>
    <row r="2230" spans="2:6" ht="25.8" x14ac:dyDescent="0.55000000000000004">
      <c r="B2230" s="213">
        <v>24</v>
      </c>
      <c r="C2230" s="225" t="s">
        <v>3039</v>
      </c>
      <c r="D2230" s="225" t="s">
        <v>1955</v>
      </c>
      <c r="E2230" s="232" t="s">
        <v>2429</v>
      </c>
      <c r="F2230" s="89" t="s">
        <v>524</v>
      </c>
    </row>
    <row r="2231" spans="2:6" ht="25.8" x14ac:dyDescent="0.55000000000000004">
      <c r="B2231" s="213">
        <v>24</v>
      </c>
      <c r="C2231" s="225" t="s">
        <v>3040</v>
      </c>
      <c r="D2231" s="225" t="s">
        <v>1956</v>
      </c>
      <c r="E2231" s="232" t="s">
        <v>2429</v>
      </c>
      <c r="F2231" s="89" t="s">
        <v>524</v>
      </c>
    </row>
    <row r="2232" spans="2:6" x14ac:dyDescent="0.55000000000000004">
      <c r="B2232" s="213">
        <v>24</v>
      </c>
      <c r="C2232" s="225" t="s">
        <v>3041</v>
      </c>
      <c r="D2232" s="225" t="s">
        <v>1957</v>
      </c>
      <c r="E2232" s="232" t="s">
        <v>2429</v>
      </c>
      <c r="F2232" s="89" t="s">
        <v>524</v>
      </c>
    </row>
    <row r="2233" spans="2:6" ht="25.8" x14ac:dyDescent="0.55000000000000004">
      <c r="B2233" s="213">
        <v>24</v>
      </c>
      <c r="C2233" s="225" t="s">
        <v>3042</v>
      </c>
      <c r="D2233" s="225" t="s">
        <v>1958</v>
      </c>
      <c r="E2233" s="232" t="s">
        <v>2429</v>
      </c>
      <c r="F2233" s="89" t="s">
        <v>524</v>
      </c>
    </row>
    <row r="2234" spans="2:6" x14ac:dyDescent="0.55000000000000004">
      <c r="B2234" s="213">
        <v>24</v>
      </c>
      <c r="C2234" s="225" t="s">
        <v>3043</v>
      </c>
      <c r="D2234" s="225" t="s">
        <v>1959</v>
      </c>
      <c r="E2234" s="232" t="s">
        <v>2429</v>
      </c>
      <c r="F2234" s="89" t="s">
        <v>524</v>
      </c>
    </row>
    <row r="2235" spans="2:6" x14ac:dyDescent="0.55000000000000004">
      <c r="B2235" s="213">
        <v>24</v>
      </c>
      <c r="C2235" s="225" t="s">
        <v>3044</v>
      </c>
      <c r="D2235" s="225" t="s">
        <v>1960</v>
      </c>
      <c r="E2235" s="232" t="s">
        <v>2429</v>
      </c>
      <c r="F2235" s="89" t="s">
        <v>524</v>
      </c>
    </row>
    <row r="2236" spans="2:6" x14ac:dyDescent="0.55000000000000004">
      <c r="B2236" s="213">
        <v>24</v>
      </c>
      <c r="C2236" s="225" t="s">
        <v>3045</v>
      </c>
      <c r="D2236" s="225" t="s">
        <v>1961</v>
      </c>
      <c r="E2236" s="232" t="s">
        <v>2429</v>
      </c>
      <c r="F2236" s="89" t="s">
        <v>524</v>
      </c>
    </row>
    <row r="2237" spans="2:6" x14ac:dyDescent="0.55000000000000004">
      <c r="B2237" s="213">
        <v>24</v>
      </c>
      <c r="C2237" s="225" t="s">
        <v>3046</v>
      </c>
      <c r="D2237" s="225" t="s">
        <v>1962</v>
      </c>
      <c r="E2237" s="232" t="s">
        <v>2429</v>
      </c>
      <c r="F2237" s="89" t="s">
        <v>524</v>
      </c>
    </row>
    <row r="2238" spans="2:6" x14ac:dyDescent="0.55000000000000004">
      <c r="B2238" s="213">
        <v>24</v>
      </c>
      <c r="C2238" s="226" t="s">
        <v>3047</v>
      </c>
      <c r="D2238" s="226" t="s">
        <v>1963</v>
      </c>
      <c r="E2238" s="232" t="s">
        <v>2428</v>
      </c>
      <c r="F2238" s="89" t="s">
        <v>524</v>
      </c>
    </row>
    <row r="2239" spans="2:6" ht="25.8" x14ac:dyDescent="0.55000000000000004">
      <c r="B2239" s="213">
        <v>24</v>
      </c>
      <c r="C2239" s="225" t="s">
        <v>3048</v>
      </c>
      <c r="D2239" s="225" t="s">
        <v>1964</v>
      </c>
      <c r="E2239" s="232" t="s">
        <v>2429</v>
      </c>
      <c r="F2239" s="89" t="s">
        <v>524</v>
      </c>
    </row>
    <row r="2240" spans="2:6" ht="38.700000000000003" x14ac:dyDescent="0.55000000000000004">
      <c r="B2240" s="213">
        <v>24</v>
      </c>
      <c r="C2240" s="225" t="s">
        <v>3049</v>
      </c>
      <c r="D2240" s="225" t="s">
        <v>1965</v>
      </c>
      <c r="E2240" s="232" t="s">
        <v>2429</v>
      </c>
      <c r="F2240" s="89" t="s">
        <v>524</v>
      </c>
    </row>
    <row r="2241" spans="2:6" ht="25.8" x14ac:dyDescent="0.55000000000000004">
      <c r="B2241" s="213">
        <v>24</v>
      </c>
      <c r="C2241" s="225" t="s">
        <v>3050</v>
      </c>
      <c r="D2241" s="225" t="s">
        <v>1966</v>
      </c>
      <c r="E2241" s="232" t="s">
        <v>2429</v>
      </c>
      <c r="F2241" s="89" t="s">
        <v>524</v>
      </c>
    </row>
    <row r="2242" spans="2:6" ht="25.8" x14ac:dyDescent="0.55000000000000004">
      <c r="B2242" s="213">
        <v>24</v>
      </c>
      <c r="C2242" s="225" t="s">
        <v>3051</v>
      </c>
      <c r="D2242" s="225" t="s">
        <v>1967</v>
      </c>
      <c r="E2242" s="232" t="s">
        <v>2429</v>
      </c>
      <c r="F2242" s="89" t="s">
        <v>524</v>
      </c>
    </row>
    <row r="2243" spans="2:6" ht="25.8" x14ac:dyDescent="0.55000000000000004">
      <c r="B2243" s="213">
        <v>24</v>
      </c>
      <c r="C2243" s="225" t="s">
        <v>3052</v>
      </c>
      <c r="D2243" s="225" t="s">
        <v>1968</v>
      </c>
      <c r="E2243" s="232" t="s">
        <v>2429</v>
      </c>
      <c r="F2243" s="89" t="s">
        <v>524</v>
      </c>
    </row>
    <row r="2244" spans="2:6" x14ac:dyDescent="0.55000000000000004">
      <c r="B2244" s="213">
        <v>24</v>
      </c>
      <c r="C2244" s="225" t="s">
        <v>3053</v>
      </c>
      <c r="D2244" s="225" t="s">
        <v>1969</v>
      </c>
      <c r="E2244" s="232" t="s">
        <v>2429</v>
      </c>
      <c r="F2244" s="89" t="s">
        <v>524</v>
      </c>
    </row>
    <row r="2245" spans="2:6" x14ac:dyDescent="0.55000000000000004">
      <c r="B2245" s="213">
        <v>24</v>
      </c>
      <c r="C2245" s="226" t="s">
        <v>3054</v>
      </c>
      <c r="D2245" s="226" t="s">
        <v>1970</v>
      </c>
      <c r="E2245" s="232" t="s">
        <v>2429</v>
      </c>
      <c r="F2245" s="89" t="s">
        <v>524</v>
      </c>
    </row>
    <row r="2246" spans="2:6" x14ac:dyDescent="0.55000000000000004">
      <c r="B2246" s="213">
        <v>24</v>
      </c>
      <c r="C2246" s="225" t="s">
        <v>3055</v>
      </c>
      <c r="D2246" s="225" t="s">
        <v>1971</v>
      </c>
      <c r="E2246" s="232" t="s">
        <v>2429</v>
      </c>
      <c r="F2246" s="89" t="s">
        <v>524</v>
      </c>
    </row>
    <row r="2247" spans="2:6" ht="25.8" x14ac:dyDescent="0.55000000000000004">
      <c r="B2247" s="213">
        <v>24</v>
      </c>
      <c r="C2247" s="226" t="s">
        <v>3056</v>
      </c>
      <c r="D2247" s="226" t="s">
        <v>1972</v>
      </c>
      <c r="E2247" s="232" t="s">
        <v>2429</v>
      </c>
      <c r="F2247" s="89" t="s">
        <v>524</v>
      </c>
    </row>
    <row r="2248" spans="2:6" ht="38.700000000000003" x14ac:dyDescent="0.55000000000000004">
      <c r="B2248" s="213">
        <v>24</v>
      </c>
      <c r="C2248" s="225" t="s">
        <v>3057</v>
      </c>
      <c r="D2248" s="225" t="s">
        <v>1973</v>
      </c>
      <c r="E2248" s="232" t="s">
        <v>2429</v>
      </c>
      <c r="F2248" s="89" t="s">
        <v>524</v>
      </c>
    </row>
    <row r="2249" spans="2:6" ht="25.8" x14ac:dyDescent="0.55000000000000004">
      <c r="B2249" s="213">
        <v>24</v>
      </c>
      <c r="C2249" s="225" t="s">
        <v>3058</v>
      </c>
      <c r="D2249" s="225" t="s">
        <v>1974</v>
      </c>
      <c r="E2249" s="232" t="s">
        <v>2429</v>
      </c>
      <c r="F2249" s="89" t="s">
        <v>524</v>
      </c>
    </row>
    <row r="2250" spans="2:6" x14ac:dyDescent="0.55000000000000004">
      <c r="B2250" s="213">
        <v>24</v>
      </c>
      <c r="C2250" s="225" t="s">
        <v>3059</v>
      </c>
      <c r="D2250" s="225" t="s">
        <v>1975</v>
      </c>
      <c r="E2250" s="232" t="s">
        <v>2429</v>
      </c>
      <c r="F2250" s="89" t="s">
        <v>524</v>
      </c>
    </row>
    <row r="2251" spans="2:6" x14ac:dyDescent="0.55000000000000004">
      <c r="B2251" s="213">
        <v>24</v>
      </c>
      <c r="C2251" s="225" t="s">
        <v>3060</v>
      </c>
      <c r="D2251" s="225" t="s">
        <v>1976</v>
      </c>
      <c r="E2251" s="232" t="s">
        <v>2429</v>
      </c>
      <c r="F2251" s="89" t="s">
        <v>524</v>
      </c>
    </row>
    <row r="2252" spans="2:6" ht="25.8" x14ac:dyDescent="0.55000000000000004">
      <c r="B2252" s="213">
        <v>24</v>
      </c>
      <c r="C2252" s="225" t="s">
        <v>3061</v>
      </c>
      <c r="D2252" s="225" t="s">
        <v>1977</v>
      </c>
      <c r="E2252" s="232" t="s">
        <v>2429</v>
      </c>
      <c r="F2252" s="89" t="s">
        <v>524</v>
      </c>
    </row>
    <row r="2253" spans="2:6" x14ac:dyDescent="0.55000000000000004">
      <c r="B2253" s="213">
        <v>24</v>
      </c>
      <c r="C2253" s="225" t="s">
        <v>3062</v>
      </c>
      <c r="D2253" s="225" t="s">
        <v>1978</v>
      </c>
      <c r="E2253" s="232" t="s">
        <v>2429</v>
      </c>
      <c r="F2253" s="89" t="s">
        <v>524</v>
      </c>
    </row>
    <row r="2254" spans="2:6" x14ac:dyDescent="0.55000000000000004">
      <c r="B2254" s="213">
        <v>24</v>
      </c>
      <c r="C2254" s="225" t="s">
        <v>3063</v>
      </c>
      <c r="D2254" s="225" t="s">
        <v>1979</v>
      </c>
      <c r="E2254" s="232" t="s">
        <v>2429</v>
      </c>
      <c r="F2254" s="89" t="s">
        <v>524</v>
      </c>
    </row>
    <row r="2255" spans="2:6" ht="25.8" x14ac:dyDescent="0.55000000000000004">
      <c r="B2255" s="213">
        <v>24</v>
      </c>
      <c r="C2255" s="225" t="s">
        <v>3064</v>
      </c>
      <c r="D2255" s="225" t="s">
        <v>1980</v>
      </c>
      <c r="E2255" s="232" t="s">
        <v>2429</v>
      </c>
      <c r="F2255" s="89" t="s">
        <v>524</v>
      </c>
    </row>
    <row r="2256" spans="2:6" ht="25.8" x14ac:dyDescent="0.55000000000000004">
      <c r="B2256" s="213">
        <v>24</v>
      </c>
      <c r="C2256" s="225" t="s">
        <v>3065</v>
      </c>
      <c r="D2256" s="225" t="s">
        <v>1981</v>
      </c>
      <c r="E2256" s="232" t="s">
        <v>2429</v>
      </c>
      <c r="F2256" s="89" t="s">
        <v>524</v>
      </c>
    </row>
    <row r="2257" spans="2:6" x14ac:dyDescent="0.55000000000000004">
      <c r="B2257" s="213">
        <v>24</v>
      </c>
      <c r="C2257" s="225" t="s">
        <v>3066</v>
      </c>
      <c r="D2257" s="225" t="s">
        <v>1982</v>
      </c>
      <c r="E2257" s="232" t="s">
        <v>2429</v>
      </c>
      <c r="F2257" s="89" t="s">
        <v>524</v>
      </c>
    </row>
    <row r="2258" spans="2:6" x14ac:dyDescent="0.55000000000000004">
      <c r="B2258" s="213">
        <v>24</v>
      </c>
      <c r="C2258" s="225" t="s">
        <v>3067</v>
      </c>
      <c r="D2258" s="225" t="s">
        <v>1983</v>
      </c>
      <c r="E2258" s="232" t="s">
        <v>2429</v>
      </c>
      <c r="F2258" s="89" t="s">
        <v>524</v>
      </c>
    </row>
    <row r="2259" spans="2:6" x14ac:dyDescent="0.55000000000000004">
      <c r="B2259" s="213">
        <v>24</v>
      </c>
      <c r="C2259" s="225" t="s">
        <v>3068</v>
      </c>
      <c r="D2259" s="225" t="s">
        <v>1984</v>
      </c>
      <c r="E2259" s="232" t="s">
        <v>2429</v>
      </c>
      <c r="F2259" s="89" t="s">
        <v>524</v>
      </c>
    </row>
    <row r="2260" spans="2:6" x14ac:dyDescent="0.55000000000000004">
      <c r="B2260" s="213">
        <v>24</v>
      </c>
      <c r="C2260" s="225" t="s">
        <v>3069</v>
      </c>
      <c r="D2260" s="225" t="s">
        <v>1985</v>
      </c>
      <c r="E2260" s="232" t="s">
        <v>2429</v>
      </c>
      <c r="F2260" s="89" t="s">
        <v>524</v>
      </c>
    </row>
    <row r="2261" spans="2:6" ht="25.8" x14ac:dyDescent="0.55000000000000004">
      <c r="B2261" s="213">
        <v>24</v>
      </c>
      <c r="C2261" s="225" t="s">
        <v>3070</v>
      </c>
      <c r="D2261" s="225" t="s">
        <v>1986</v>
      </c>
      <c r="E2261" s="232" t="s">
        <v>2429</v>
      </c>
      <c r="F2261" s="89" t="s">
        <v>524</v>
      </c>
    </row>
    <row r="2262" spans="2:6" ht="25.8" x14ac:dyDescent="0.55000000000000004">
      <c r="B2262" s="213">
        <v>24</v>
      </c>
      <c r="C2262" s="225" t="s">
        <v>3071</v>
      </c>
      <c r="D2262" s="225" t="s">
        <v>1987</v>
      </c>
      <c r="E2262" s="232" t="s">
        <v>2429</v>
      </c>
      <c r="F2262" s="89" t="s">
        <v>524</v>
      </c>
    </row>
    <row r="2263" spans="2:6" x14ac:dyDescent="0.55000000000000004">
      <c r="B2263" s="213">
        <v>24</v>
      </c>
      <c r="C2263" s="225" t="s">
        <v>3072</v>
      </c>
      <c r="D2263" s="225" t="s">
        <v>1988</v>
      </c>
      <c r="E2263" s="232" t="s">
        <v>2429</v>
      </c>
      <c r="F2263" s="89" t="s">
        <v>524</v>
      </c>
    </row>
    <row r="2264" spans="2:6" x14ac:dyDescent="0.55000000000000004">
      <c r="B2264" s="213">
        <v>24</v>
      </c>
      <c r="C2264" s="225" t="s">
        <v>3073</v>
      </c>
      <c r="D2264" s="225" t="s">
        <v>1989</v>
      </c>
      <c r="E2264" s="232" t="s">
        <v>2429</v>
      </c>
      <c r="F2264" s="89" t="s">
        <v>524</v>
      </c>
    </row>
    <row r="2265" spans="2:6" x14ac:dyDescent="0.55000000000000004">
      <c r="B2265" s="213">
        <v>24</v>
      </c>
      <c r="C2265" s="225" t="s">
        <v>3074</v>
      </c>
      <c r="D2265" s="225" t="s">
        <v>1990</v>
      </c>
      <c r="E2265" s="232" t="s">
        <v>2429</v>
      </c>
      <c r="F2265" s="89" t="s">
        <v>524</v>
      </c>
    </row>
    <row r="2266" spans="2:6" x14ac:dyDescent="0.55000000000000004">
      <c r="B2266" s="213">
        <v>24</v>
      </c>
      <c r="C2266" s="226" t="s">
        <v>3075</v>
      </c>
      <c r="D2266" s="226" t="s">
        <v>1991</v>
      </c>
      <c r="E2266" s="232" t="s">
        <v>2429</v>
      </c>
      <c r="F2266" s="89" t="s">
        <v>524</v>
      </c>
    </row>
    <row r="2267" spans="2:6" x14ac:dyDescent="0.55000000000000004">
      <c r="B2267" s="213">
        <v>24</v>
      </c>
      <c r="C2267" s="225" t="s">
        <v>3076</v>
      </c>
      <c r="D2267" s="225" t="s">
        <v>1992</v>
      </c>
      <c r="E2267" s="232" t="s">
        <v>2429</v>
      </c>
      <c r="F2267" s="89" t="s">
        <v>524</v>
      </c>
    </row>
    <row r="2268" spans="2:6" ht="25.8" x14ac:dyDescent="0.55000000000000004">
      <c r="B2268" s="213">
        <v>24</v>
      </c>
      <c r="C2268" s="225" t="s">
        <v>3077</v>
      </c>
      <c r="D2268" s="225" t="s">
        <v>1993</v>
      </c>
      <c r="E2268" s="232" t="s">
        <v>2429</v>
      </c>
      <c r="F2268" s="89" t="s">
        <v>524</v>
      </c>
    </row>
    <row r="2269" spans="2:6" x14ac:dyDescent="0.55000000000000004">
      <c r="B2269" s="213">
        <v>24</v>
      </c>
      <c r="C2269" s="225" t="s">
        <v>3078</v>
      </c>
      <c r="D2269" s="225" t="s">
        <v>1994</v>
      </c>
      <c r="E2269" s="232" t="s">
        <v>2429</v>
      </c>
      <c r="F2269" s="89" t="s">
        <v>524</v>
      </c>
    </row>
    <row r="2270" spans="2:6" x14ac:dyDescent="0.55000000000000004">
      <c r="B2270" s="213">
        <v>24</v>
      </c>
      <c r="C2270" s="225" t="s">
        <v>3079</v>
      </c>
      <c r="D2270" s="225" t="s">
        <v>1995</v>
      </c>
      <c r="E2270" s="232" t="s">
        <v>2429</v>
      </c>
      <c r="F2270" s="89" t="s">
        <v>524</v>
      </c>
    </row>
    <row r="2271" spans="2:6" ht="25.8" x14ac:dyDescent="0.55000000000000004">
      <c r="B2271" s="213">
        <v>24</v>
      </c>
      <c r="C2271" s="225" t="s">
        <v>3080</v>
      </c>
      <c r="D2271" s="225" t="s">
        <v>1996</v>
      </c>
      <c r="E2271" s="232" t="s">
        <v>2429</v>
      </c>
      <c r="F2271" s="89" t="s">
        <v>524</v>
      </c>
    </row>
    <row r="2272" spans="2:6" x14ac:dyDescent="0.55000000000000004">
      <c r="B2272" s="213">
        <v>24</v>
      </c>
      <c r="C2272" s="225" t="s">
        <v>3081</v>
      </c>
      <c r="D2272" s="225" t="s">
        <v>1997</v>
      </c>
      <c r="E2272" s="232" t="s">
        <v>2429</v>
      </c>
      <c r="F2272" s="89" t="s">
        <v>524</v>
      </c>
    </row>
    <row r="2273" spans="2:6" ht="25.8" x14ac:dyDescent="0.55000000000000004">
      <c r="B2273" s="215" t="s">
        <v>953</v>
      </c>
      <c r="C2273" s="227" t="s">
        <v>779</v>
      </c>
      <c r="D2273" s="227" t="s">
        <v>779</v>
      </c>
      <c r="E2273" s="232" t="e">
        <v>#N/A</v>
      </c>
      <c r="F2273" s="89" t="s">
        <v>2433</v>
      </c>
    </row>
    <row r="2274" spans="2:6" x14ac:dyDescent="0.55000000000000004">
      <c r="B2274" s="213" t="s">
        <v>953</v>
      </c>
      <c r="C2274" s="225" t="s">
        <v>2979</v>
      </c>
      <c r="D2274" s="225" t="s">
        <v>1895</v>
      </c>
      <c r="E2274" s="232" t="s">
        <v>2429</v>
      </c>
      <c r="F2274" s="89" t="s">
        <v>524</v>
      </c>
    </row>
    <row r="2275" spans="2:6" x14ac:dyDescent="0.55000000000000004">
      <c r="B2275" s="213" t="s">
        <v>953</v>
      </c>
      <c r="C2275" s="225" t="s">
        <v>2987</v>
      </c>
      <c r="D2275" s="225" t="s">
        <v>1903</v>
      </c>
      <c r="E2275" s="232" t="s">
        <v>2429</v>
      </c>
      <c r="F2275" s="89" t="s">
        <v>524</v>
      </c>
    </row>
    <row r="2276" spans="2:6" x14ac:dyDescent="0.55000000000000004">
      <c r="B2276" s="213" t="s">
        <v>953</v>
      </c>
      <c r="C2276" s="225" t="s">
        <v>2993</v>
      </c>
      <c r="D2276" s="225" t="s">
        <v>1909</v>
      </c>
      <c r="E2276" s="232" t="s">
        <v>2429</v>
      </c>
      <c r="F2276" s="89" t="s">
        <v>524</v>
      </c>
    </row>
    <row r="2277" spans="2:6" ht="25.8" x14ac:dyDescent="0.55000000000000004">
      <c r="B2277" s="213" t="s">
        <v>953</v>
      </c>
      <c r="C2277" s="225" t="s">
        <v>2995</v>
      </c>
      <c r="D2277" s="225" t="s">
        <v>1911</v>
      </c>
      <c r="E2277" s="232" t="s">
        <v>2429</v>
      </c>
      <c r="F2277" s="89" t="s">
        <v>524</v>
      </c>
    </row>
    <row r="2278" spans="2:6" ht="25.8" x14ac:dyDescent="0.55000000000000004">
      <c r="B2278" s="213" t="s">
        <v>953</v>
      </c>
      <c r="C2278" s="225" t="s">
        <v>3007</v>
      </c>
      <c r="D2278" s="225" t="s">
        <v>1923</v>
      </c>
      <c r="E2278" s="232" t="s">
        <v>2429</v>
      </c>
      <c r="F2278" s="89" t="s">
        <v>524</v>
      </c>
    </row>
    <row r="2279" spans="2:6" x14ac:dyDescent="0.55000000000000004">
      <c r="B2279" s="213" t="s">
        <v>953</v>
      </c>
      <c r="C2279" s="225" t="s">
        <v>3014</v>
      </c>
      <c r="D2279" s="225" t="s">
        <v>1930</v>
      </c>
      <c r="E2279" s="232" t="s">
        <v>2429</v>
      </c>
      <c r="F2279" s="89" t="s">
        <v>524</v>
      </c>
    </row>
    <row r="2280" spans="2:6" x14ac:dyDescent="0.55000000000000004">
      <c r="B2280" s="213" t="s">
        <v>953</v>
      </c>
      <c r="C2280" s="226" t="s">
        <v>3016</v>
      </c>
      <c r="D2280" s="226" t="s">
        <v>1932</v>
      </c>
      <c r="E2280" s="232" t="s">
        <v>2429</v>
      </c>
      <c r="F2280" s="89" t="s">
        <v>524</v>
      </c>
    </row>
    <row r="2281" spans="2:6" ht="25.8" x14ac:dyDescent="0.55000000000000004">
      <c r="B2281" s="213" t="s">
        <v>953</v>
      </c>
      <c r="C2281" s="225" t="s">
        <v>3018</v>
      </c>
      <c r="D2281" s="225" t="s">
        <v>1934</v>
      </c>
      <c r="E2281" s="232" t="s">
        <v>2429</v>
      </c>
      <c r="F2281" s="89" t="s">
        <v>524</v>
      </c>
    </row>
    <row r="2282" spans="2:6" x14ac:dyDescent="0.55000000000000004">
      <c r="B2282" s="213" t="s">
        <v>953</v>
      </c>
      <c r="C2282" s="225" t="s">
        <v>3020</v>
      </c>
      <c r="D2282" s="225" t="s">
        <v>1936</v>
      </c>
      <c r="E2282" s="232" t="s">
        <v>2429</v>
      </c>
      <c r="F2282" s="89" t="s">
        <v>524</v>
      </c>
    </row>
    <row r="2283" spans="2:6" x14ac:dyDescent="0.55000000000000004">
      <c r="B2283" s="213" t="s">
        <v>953</v>
      </c>
      <c r="C2283" s="225" t="s">
        <v>3027</v>
      </c>
      <c r="D2283" s="225" t="s">
        <v>1943</v>
      </c>
      <c r="E2283" s="232" t="s">
        <v>2429</v>
      </c>
      <c r="F2283" s="89" t="s">
        <v>524</v>
      </c>
    </row>
    <row r="2284" spans="2:6" x14ac:dyDescent="0.55000000000000004">
      <c r="B2284" s="213" t="s">
        <v>953</v>
      </c>
      <c r="C2284" s="225" t="s">
        <v>3028</v>
      </c>
      <c r="D2284" s="225" t="s">
        <v>1944</v>
      </c>
      <c r="E2284" s="232" t="s">
        <v>2429</v>
      </c>
      <c r="F2284" s="89" t="s">
        <v>524</v>
      </c>
    </row>
    <row r="2285" spans="2:6" ht="25.8" x14ac:dyDescent="0.55000000000000004">
      <c r="B2285" s="213" t="s">
        <v>953</v>
      </c>
      <c r="C2285" s="225" t="s">
        <v>3029</v>
      </c>
      <c r="D2285" s="225" t="s">
        <v>1945</v>
      </c>
      <c r="E2285" s="232" t="s">
        <v>2429</v>
      </c>
      <c r="F2285" s="89" t="s">
        <v>524</v>
      </c>
    </row>
    <row r="2286" spans="2:6" ht="25.8" x14ac:dyDescent="0.55000000000000004">
      <c r="B2286" s="213" t="s">
        <v>953</v>
      </c>
      <c r="C2286" s="225" t="s">
        <v>3042</v>
      </c>
      <c r="D2286" s="225" t="s">
        <v>1958</v>
      </c>
      <c r="E2286" s="232" t="s">
        <v>2429</v>
      </c>
      <c r="F2286" s="89" t="s">
        <v>524</v>
      </c>
    </row>
    <row r="2287" spans="2:6" x14ac:dyDescent="0.55000000000000004">
      <c r="B2287" s="213" t="s">
        <v>953</v>
      </c>
      <c r="C2287" s="225" t="s">
        <v>3068</v>
      </c>
      <c r="D2287" s="225" t="s">
        <v>1984</v>
      </c>
      <c r="E2287" s="232" t="s">
        <v>2429</v>
      </c>
      <c r="F2287" s="89" t="s">
        <v>524</v>
      </c>
    </row>
    <row r="2288" spans="2:6" ht="25.8" x14ac:dyDescent="0.55000000000000004">
      <c r="B2288" s="213" t="s">
        <v>953</v>
      </c>
      <c r="C2288" s="225" t="s">
        <v>3070</v>
      </c>
      <c r="D2288" s="225" t="s">
        <v>1986</v>
      </c>
      <c r="E2288" s="232" t="s">
        <v>2429</v>
      </c>
      <c r="F2288" s="89" t="s">
        <v>524</v>
      </c>
    </row>
    <row r="2289" spans="2:6" x14ac:dyDescent="0.55000000000000004">
      <c r="B2289" s="213" t="s">
        <v>953</v>
      </c>
      <c r="C2289" s="225" t="s">
        <v>3073</v>
      </c>
      <c r="D2289" s="225" t="s">
        <v>1989</v>
      </c>
      <c r="E2289" s="232" t="s">
        <v>2429</v>
      </c>
      <c r="F2289" s="89" t="s">
        <v>524</v>
      </c>
    </row>
    <row r="2290" spans="2:6" x14ac:dyDescent="0.55000000000000004">
      <c r="B2290" s="213" t="s">
        <v>953</v>
      </c>
      <c r="C2290" s="225" t="s">
        <v>3078</v>
      </c>
      <c r="D2290" s="225" t="s">
        <v>1994</v>
      </c>
      <c r="E2290" s="232" t="s">
        <v>2429</v>
      </c>
      <c r="F2290" s="89" t="s">
        <v>524</v>
      </c>
    </row>
    <row r="2291" spans="2:6" x14ac:dyDescent="0.55000000000000004">
      <c r="B2291" s="213" t="s">
        <v>953</v>
      </c>
      <c r="C2291" s="225" t="s">
        <v>3079</v>
      </c>
      <c r="D2291" s="225" t="s">
        <v>1995</v>
      </c>
      <c r="E2291" s="232" t="s">
        <v>2429</v>
      </c>
      <c r="F2291" s="89" t="s">
        <v>524</v>
      </c>
    </row>
    <row r="2292" spans="2:6" ht="25.8" x14ac:dyDescent="0.55000000000000004">
      <c r="B2292" s="213" t="s">
        <v>953</v>
      </c>
      <c r="C2292" s="225" t="s">
        <v>3080</v>
      </c>
      <c r="D2292" s="225" t="s">
        <v>1996</v>
      </c>
      <c r="E2292" s="232" t="s">
        <v>2429</v>
      </c>
      <c r="F2292" s="89" t="s">
        <v>524</v>
      </c>
    </row>
    <row r="2293" spans="2:6" ht="25.8" x14ac:dyDescent="0.55000000000000004">
      <c r="B2293" s="215" t="s">
        <v>954</v>
      </c>
      <c r="C2293" s="227" t="s">
        <v>780</v>
      </c>
      <c r="D2293" s="227" t="s">
        <v>780</v>
      </c>
      <c r="E2293" s="232" t="e">
        <v>#N/A</v>
      </c>
      <c r="F2293" s="89" t="s">
        <v>2433</v>
      </c>
    </row>
    <row r="2294" spans="2:6" x14ac:dyDescent="0.55000000000000004">
      <c r="B2294" s="213" t="s">
        <v>954</v>
      </c>
      <c r="C2294" s="225" t="s">
        <v>2978</v>
      </c>
      <c r="D2294" s="225" t="s">
        <v>1894</v>
      </c>
      <c r="E2294" s="232" t="s">
        <v>2429</v>
      </c>
      <c r="F2294" s="89" t="s">
        <v>524</v>
      </c>
    </row>
    <row r="2295" spans="2:6" x14ac:dyDescent="0.55000000000000004">
      <c r="B2295" s="213" t="s">
        <v>954</v>
      </c>
      <c r="C2295" s="225" t="s">
        <v>2980</v>
      </c>
      <c r="D2295" s="225" t="s">
        <v>1896</v>
      </c>
      <c r="E2295" s="232" t="s">
        <v>2429</v>
      </c>
      <c r="F2295" s="89" t="s">
        <v>524</v>
      </c>
    </row>
    <row r="2296" spans="2:6" x14ac:dyDescent="0.55000000000000004">
      <c r="B2296" s="214" t="s">
        <v>954</v>
      </c>
      <c r="C2296" s="226" t="s">
        <v>2982</v>
      </c>
      <c r="D2296" s="226" t="s">
        <v>1898</v>
      </c>
      <c r="E2296" s="232" t="s">
        <v>2429</v>
      </c>
      <c r="F2296" s="89" t="s">
        <v>505</v>
      </c>
    </row>
    <row r="2297" spans="2:6" ht="25.8" x14ac:dyDescent="0.55000000000000004">
      <c r="B2297" s="214" t="s">
        <v>954</v>
      </c>
      <c r="C2297" s="225" t="s">
        <v>2983</v>
      </c>
      <c r="D2297" s="225" t="s">
        <v>1899</v>
      </c>
      <c r="E2297" s="232" t="s">
        <v>2429</v>
      </c>
      <c r="F2297" s="89" t="s">
        <v>505</v>
      </c>
    </row>
    <row r="2298" spans="2:6" ht="25.8" x14ac:dyDescent="0.55000000000000004">
      <c r="B2298" s="214" t="s">
        <v>954</v>
      </c>
      <c r="C2298" s="225" t="s">
        <v>2984</v>
      </c>
      <c r="D2298" s="225" t="s">
        <v>1900</v>
      </c>
      <c r="E2298" s="232" t="s">
        <v>2429</v>
      </c>
      <c r="F2298" s="89" t="s">
        <v>505</v>
      </c>
    </row>
    <row r="2299" spans="2:6" ht="25.8" x14ac:dyDescent="0.55000000000000004">
      <c r="B2299" s="214" t="s">
        <v>954</v>
      </c>
      <c r="C2299" s="225" t="s">
        <v>2985</v>
      </c>
      <c r="D2299" s="225" t="s">
        <v>1901</v>
      </c>
      <c r="E2299" s="232" t="s">
        <v>2429</v>
      </c>
      <c r="F2299" s="89" t="s">
        <v>505</v>
      </c>
    </row>
    <row r="2300" spans="2:6" x14ac:dyDescent="0.55000000000000004">
      <c r="B2300" s="213" t="s">
        <v>954</v>
      </c>
      <c r="C2300" s="225" t="s">
        <v>2986</v>
      </c>
      <c r="D2300" s="225" t="s">
        <v>1902</v>
      </c>
      <c r="E2300" s="232" t="s">
        <v>2429</v>
      </c>
      <c r="F2300" s="89" t="s">
        <v>524</v>
      </c>
    </row>
    <row r="2301" spans="2:6" x14ac:dyDescent="0.55000000000000004">
      <c r="B2301" s="213" t="s">
        <v>954</v>
      </c>
      <c r="C2301" s="226" t="s">
        <v>2988</v>
      </c>
      <c r="D2301" s="226" t="s">
        <v>1904</v>
      </c>
      <c r="E2301" s="232" t="s">
        <v>2429</v>
      </c>
      <c r="F2301" s="89" t="s">
        <v>524</v>
      </c>
    </row>
    <row r="2302" spans="2:6" ht="25.8" x14ac:dyDescent="0.55000000000000004">
      <c r="B2302" s="213" t="s">
        <v>954</v>
      </c>
      <c r="C2302" s="225" t="s">
        <v>2989</v>
      </c>
      <c r="D2302" s="225" t="s">
        <v>1905</v>
      </c>
      <c r="E2302" s="232" t="s">
        <v>2429</v>
      </c>
      <c r="F2302" s="89" t="s">
        <v>524</v>
      </c>
    </row>
    <row r="2303" spans="2:6" x14ac:dyDescent="0.55000000000000004">
      <c r="B2303" s="213" t="s">
        <v>954</v>
      </c>
      <c r="C2303" s="225" t="s">
        <v>2990</v>
      </c>
      <c r="D2303" s="225" t="s">
        <v>1906</v>
      </c>
      <c r="E2303" s="232" t="s">
        <v>2429</v>
      </c>
      <c r="F2303" s="89" t="s">
        <v>524</v>
      </c>
    </row>
    <row r="2304" spans="2:6" ht="25.8" x14ac:dyDescent="0.55000000000000004">
      <c r="B2304" s="213" t="s">
        <v>954</v>
      </c>
      <c r="C2304" s="225" t="s">
        <v>2994</v>
      </c>
      <c r="D2304" s="225" t="s">
        <v>1910</v>
      </c>
      <c r="E2304" s="232" t="s">
        <v>2429</v>
      </c>
      <c r="F2304" s="89" t="s">
        <v>524</v>
      </c>
    </row>
    <row r="2305" spans="2:6" ht="25.8" x14ac:dyDescent="0.55000000000000004">
      <c r="B2305" s="213" t="s">
        <v>954</v>
      </c>
      <c r="C2305" s="225" t="s">
        <v>2998</v>
      </c>
      <c r="D2305" s="225" t="s">
        <v>1914</v>
      </c>
      <c r="E2305" s="232" t="s">
        <v>2429</v>
      </c>
      <c r="F2305" s="89" t="s">
        <v>524</v>
      </c>
    </row>
    <row r="2306" spans="2:6" x14ac:dyDescent="0.55000000000000004">
      <c r="B2306" s="213" t="s">
        <v>954</v>
      </c>
      <c r="C2306" s="225" t="s">
        <v>3003</v>
      </c>
      <c r="D2306" s="225" t="s">
        <v>1919</v>
      </c>
      <c r="E2306" s="232" t="s">
        <v>2429</v>
      </c>
      <c r="F2306" s="89" t="s">
        <v>524</v>
      </c>
    </row>
    <row r="2307" spans="2:6" x14ac:dyDescent="0.55000000000000004">
      <c r="B2307" s="213" t="s">
        <v>954</v>
      </c>
      <c r="C2307" s="225" t="s">
        <v>3009</v>
      </c>
      <c r="D2307" s="225" t="s">
        <v>1925</v>
      </c>
      <c r="E2307" s="232" t="s">
        <v>2429</v>
      </c>
      <c r="F2307" s="89" t="s">
        <v>524</v>
      </c>
    </row>
    <row r="2308" spans="2:6" ht="25.8" x14ac:dyDescent="0.55000000000000004">
      <c r="B2308" s="213" t="s">
        <v>954</v>
      </c>
      <c r="C2308" s="225" t="s">
        <v>3011</v>
      </c>
      <c r="D2308" s="225" t="s">
        <v>1927</v>
      </c>
      <c r="E2308" s="232" t="s">
        <v>2429</v>
      </c>
      <c r="F2308" s="89" t="s">
        <v>524</v>
      </c>
    </row>
    <row r="2309" spans="2:6" x14ac:dyDescent="0.55000000000000004">
      <c r="B2309" s="213" t="s">
        <v>954</v>
      </c>
      <c r="C2309" s="225" t="s">
        <v>3012</v>
      </c>
      <c r="D2309" s="225" t="s">
        <v>1928</v>
      </c>
      <c r="E2309" s="232" t="s">
        <v>2429</v>
      </c>
      <c r="F2309" s="89" t="s">
        <v>524</v>
      </c>
    </row>
    <row r="2310" spans="2:6" x14ac:dyDescent="0.55000000000000004">
      <c r="B2310" s="213" t="s">
        <v>954</v>
      </c>
      <c r="C2310" s="225" t="s">
        <v>3013</v>
      </c>
      <c r="D2310" s="225" t="s">
        <v>1929</v>
      </c>
      <c r="E2310" s="232" t="s">
        <v>2429</v>
      </c>
      <c r="F2310" s="89" t="s">
        <v>524</v>
      </c>
    </row>
    <row r="2311" spans="2:6" x14ac:dyDescent="0.55000000000000004">
      <c r="B2311" s="213" t="s">
        <v>954</v>
      </c>
      <c r="C2311" s="225" t="s">
        <v>3015</v>
      </c>
      <c r="D2311" s="225" t="s">
        <v>1931</v>
      </c>
      <c r="E2311" s="232" t="s">
        <v>2429</v>
      </c>
      <c r="F2311" s="89" t="s">
        <v>524</v>
      </c>
    </row>
    <row r="2312" spans="2:6" x14ac:dyDescent="0.55000000000000004">
      <c r="B2312" s="213" t="s">
        <v>954</v>
      </c>
      <c r="C2312" s="225" t="s">
        <v>3017</v>
      </c>
      <c r="D2312" s="225" t="s">
        <v>1933</v>
      </c>
      <c r="E2312" s="232" t="s">
        <v>2429</v>
      </c>
      <c r="F2312" s="89" t="s">
        <v>524</v>
      </c>
    </row>
    <row r="2313" spans="2:6" x14ac:dyDescent="0.55000000000000004">
      <c r="B2313" s="213" t="s">
        <v>954</v>
      </c>
      <c r="C2313" s="225" t="s">
        <v>3021</v>
      </c>
      <c r="D2313" s="225" t="s">
        <v>1937</v>
      </c>
      <c r="E2313" s="232" t="s">
        <v>2429</v>
      </c>
      <c r="F2313" s="89" t="s">
        <v>524</v>
      </c>
    </row>
    <row r="2314" spans="2:6" x14ac:dyDescent="0.55000000000000004">
      <c r="B2314" s="213" t="s">
        <v>954</v>
      </c>
      <c r="C2314" s="225" t="s">
        <v>3022</v>
      </c>
      <c r="D2314" s="225" t="s">
        <v>1938</v>
      </c>
      <c r="E2314" s="232" t="s">
        <v>2429</v>
      </c>
      <c r="F2314" s="89" t="s">
        <v>524</v>
      </c>
    </row>
    <row r="2315" spans="2:6" x14ac:dyDescent="0.55000000000000004">
      <c r="B2315" s="213" t="s">
        <v>954</v>
      </c>
      <c r="C2315" s="225" t="s">
        <v>3023</v>
      </c>
      <c r="D2315" s="225" t="s">
        <v>1939</v>
      </c>
      <c r="E2315" s="232" t="s">
        <v>2429</v>
      </c>
      <c r="F2315" s="89" t="s">
        <v>524</v>
      </c>
    </row>
    <row r="2316" spans="2:6" x14ac:dyDescent="0.55000000000000004">
      <c r="B2316" s="213" t="s">
        <v>954</v>
      </c>
      <c r="C2316" s="225" t="s">
        <v>3024</v>
      </c>
      <c r="D2316" s="225" t="s">
        <v>1940</v>
      </c>
      <c r="E2316" s="232" t="s">
        <v>2429</v>
      </c>
      <c r="F2316" s="89" t="s">
        <v>524</v>
      </c>
    </row>
    <row r="2317" spans="2:6" x14ac:dyDescent="0.55000000000000004">
      <c r="B2317" s="213" t="s">
        <v>954</v>
      </c>
      <c r="C2317" s="225" t="s">
        <v>3033</v>
      </c>
      <c r="D2317" s="225" t="s">
        <v>1949</v>
      </c>
      <c r="E2317" s="232" t="s">
        <v>2429</v>
      </c>
      <c r="F2317" s="89" t="s">
        <v>524</v>
      </c>
    </row>
    <row r="2318" spans="2:6" x14ac:dyDescent="0.55000000000000004">
      <c r="B2318" s="213" t="s">
        <v>954</v>
      </c>
      <c r="C2318" s="225" t="s">
        <v>3035</v>
      </c>
      <c r="D2318" s="225" t="s">
        <v>1951</v>
      </c>
      <c r="E2318" s="232" t="s">
        <v>2429</v>
      </c>
      <c r="F2318" s="89" t="s">
        <v>524</v>
      </c>
    </row>
    <row r="2319" spans="2:6" x14ac:dyDescent="0.55000000000000004">
      <c r="B2319" s="213" t="s">
        <v>954</v>
      </c>
      <c r="C2319" s="225" t="s">
        <v>3041</v>
      </c>
      <c r="D2319" s="225" t="s">
        <v>1957</v>
      </c>
      <c r="E2319" s="232" t="s">
        <v>2429</v>
      </c>
      <c r="F2319" s="89" t="s">
        <v>524</v>
      </c>
    </row>
    <row r="2320" spans="2:6" x14ac:dyDescent="0.55000000000000004">
      <c r="B2320" s="213" t="s">
        <v>954</v>
      </c>
      <c r="C2320" s="225" t="s">
        <v>3043</v>
      </c>
      <c r="D2320" s="225" t="s">
        <v>1959</v>
      </c>
      <c r="E2320" s="232" t="s">
        <v>2429</v>
      </c>
      <c r="F2320" s="89" t="s">
        <v>524</v>
      </c>
    </row>
    <row r="2321" spans="2:6" x14ac:dyDescent="0.55000000000000004">
      <c r="B2321" s="213" t="s">
        <v>954</v>
      </c>
      <c r="C2321" s="225" t="s">
        <v>3044</v>
      </c>
      <c r="D2321" s="225" t="s">
        <v>1960</v>
      </c>
      <c r="E2321" s="232" t="s">
        <v>2429</v>
      </c>
      <c r="F2321" s="89" t="s">
        <v>524</v>
      </c>
    </row>
    <row r="2322" spans="2:6" x14ac:dyDescent="0.55000000000000004">
      <c r="B2322" s="213" t="s">
        <v>954</v>
      </c>
      <c r="C2322" s="225" t="s">
        <v>3045</v>
      </c>
      <c r="D2322" s="225" t="s">
        <v>1961</v>
      </c>
      <c r="E2322" s="232" t="s">
        <v>2429</v>
      </c>
      <c r="F2322" s="89" t="s">
        <v>524</v>
      </c>
    </row>
    <row r="2323" spans="2:6" x14ac:dyDescent="0.55000000000000004">
      <c r="B2323" s="213" t="s">
        <v>954</v>
      </c>
      <c r="C2323" s="225" t="s">
        <v>3046</v>
      </c>
      <c r="D2323" s="225" t="s">
        <v>1962</v>
      </c>
      <c r="E2323" s="232" t="s">
        <v>2429</v>
      </c>
      <c r="F2323" s="89" t="s">
        <v>524</v>
      </c>
    </row>
    <row r="2324" spans="2:6" x14ac:dyDescent="0.55000000000000004">
      <c r="B2324" s="213" t="s">
        <v>954</v>
      </c>
      <c r="C2324" s="225" t="s">
        <v>3053</v>
      </c>
      <c r="D2324" s="225" t="s">
        <v>1969</v>
      </c>
      <c r="E2324" s="232" t="s">
        <v>2429</v>
      </c>
      <c r="F2324" s="89" t="s">
        <v>524</v>
      </c>
    </row>
    <row r="2325" spans="2:6" x14ac:dyDescent="0.55000000000000004">
      <c r="B2325" s="213" t="s">
        <v>954</v>
      </c>
      <c r="C2325" s="226" t="s">
        <v>3054</v>
      </c>
      <c r="D2325" s="226" t="s">
        <v>1970</v>
      </c>
      <c r="E2325" s="232" t="s">
        <v>2429</v>
      </c>
      <c r="F2325" s="89" t="s">
        <v>524</v>
      </c>
    </row>
    <row r="2326" spans="2:6" x14ac:dyDescent="0.55000000000000004">
      <c r="B2326" s="213" t="s">
        <v>954</v>
      </c>
      <c r="C2326" s="225" t="s">
        <v>3055</v>
      </c>
      <c r="D2326" s="225" t="s">
        <v>1971</v>
      </c>
      <c r="E2326" s="232" t="s">
        <v>2429</v>
      </c>
      <c r="F2326" s="89" t="s">
        <v>524</v>
      </c>
    </row>
    <row r="2327" spans="2:6" x14ac:dyDescent="0.55000000000000004">
      <c r="B2327" s="213" t="s">
        <v>954</v>
      </c>
      <c r="C2327" s="225" t="s">
        <v>3059</v>
      </c>
      <c r="D2327" s="225" t="s">
        <v>1975</v>
      </c>
      <c r="E2327" s="232" t="s">
        <v>2429</v>
      </c>
      <c r="F2327" s="89" t="s">
        <v>524</v>
      </c>
    </row>
    <row r="2328" spans="2:6" x14ac:dyDescent="0.55000000000000004">
      <c r="B2328" s="213" t="s">
        <v>954</v>
      </c>
      <c r="C2328" s="225" t="s">
        <v>3063</v>
      </c>
      <c r="D2328" s="225" t="s">
        <v>1979</v>
      </c>
      <c r="E2328" s="232" t="s">
        <v>2429</v>
      </c>
      <c r="F2328" s="89" t="s">
        <v>524</v>
      </c>
    </row>
    <row r="2329" spans="2:6" ht="25.8" x14ac:dyDescent="0.55000000000000004">
      <c r="B2329" s="213" t="s">
        <v>954</v>
      </c>
      <c r="C2329" s="225" t="s">
        <v>3064</v>
      </c>
      <c r="D2329" s="225" t="s">
        <v>1980</v>
      </c>
      <c r="E2329" s="232" t="s">
        <v>2429</v>
      </c>
      <c r="F2329" s="89" t="s">
        <v>524</v>
      </c>
    </row>
    <row r="2330" spans="2:6" x14ac:dyDescent="0.55000000000000004">
      <c r="B2330" s="213" t="s">
        <v>954</v>
      </c>
      <c r="C2330" s="225" t="s">
        <v>3066</v>
      </c>
      <c r="D2330" s="225" t="s">
        <v>1982</v>
      </c>
      <c r="E2330" s="232" t="s">
        <v>2429</v>
      </c>
      <c r="F2330" s="89" t="s">
        <v>524</v>
      </c>
    </row>
    <row r="2331" spans="2:6" x14ac:dyDescent="0.55000000000000004">
      <c r="B2331" s="213" t="s">
        <v>954</v>
      </c>
      <c r="C2331" s="225" t="s">
        <v>3067</v>
      </c>
      <c r="D2331" s="225" t="s">
        <v>1983</v>
      </c>
      <c r="E2331" s="232" t="s">
        <v>2429</v>
      </c>
      <c r="F2331" s="89" t="s">
        <v>524</v>
      </c>
    </row>
    <row r="2332" spans="2:6" x14ac:dyDescent="0.55000000000000004">
      <c r="B2332" s="213" t="s">
        <v>954</v>
      </c>
      <c r="C2332" s="225" t="s">
        <v>3069</v>
      </c>
      <c r="D2332" s="225" t="s">
        <v>1985</v>
      </c>
      <c r="E2332" s="232" t="s">
        <v>2429</v>
      </c>
      <c r="F2332" s="89" t="s">
        <v>524</v>
      </c>
    </row>
    <row r="2333" spans="2:6" x14ac:dyDescent="0.55000000000000004">
      <c r="B2333" s="213" t="s">
        <v>954</v>
      </c>
      <c r="C2333" s="225" t="s">
        <v>3074</v>
      </c>
      <c r="D2333" s="225" t="s">
        <v>1990</v>
      </c>
      <c r="E2333" s="232" t="s">
        <v>2429</v>
      </c>
      <c r="F2333" s="89" t="s">
        <v>524</v>
      </c>
    </row>
    <row r="2334" spans="2:6" ht="25.8" x14ac:dyDescent="0.55000000000000004">
      <c r="B2334" s="213" t="s">
        <v>954</v>
      </c>
      <c r="C2334" s="225" t="s">
        <v>3077</v>
      </c>
      <c r="D2334" s="225" t="s">
        <v>1993</v>
      </c>
      <c r="E2334" s="232" t="s">
        <v>2429</v>
      </c>
      <c r="F2334" s="89" t="s">
        <v>524</v>
      </c>
    </row>
    <row r="2335" spans="2:6" x14ac:dyDescent="0.55000000000000004">
      <c r="B2335" s="213" t="s">
        <v>954</v>
      </c>
      <c r="C2335" s="225" t="s">
        <v>3081</v>
      </c>
      <c r="D2335" s="225" t="s">
        <v>1997</v>
      </c>
      <c r="E2335" s="232" t="s">
        <v>2429</v>
      </c>
      <c r="F2335" s="89" t="s">
        <v>524</v>
      </c>
    </row>
    <row r="2336" spans="2:6" ht="25.8" x14ac:dyDescent="0.55000000000000004">
      <c r="B2336" s="215" t="s">
        <v>955</v>
      </c>
      <c r="C2336" s="227" t="s">
        <v>781</v>
      </c>
      <c r="D2336" s="227" t="s">
        <v>781</v>
      </c>
      <c r="E2336" s="232" t="e">
        <v>#N/A</v>
      </c>
      <c r="F2336" s="89" t="s">
        <v>2433</v>
      </c>
    </row>
    <row r="2337" spans="2:6" ht="25.8" x14ac:dyDescent="0.55000000000000004">
      <c r="B2337" s="213" t="s">
        <v>955</v>
      </c>
      <c r="C2337" s="226" t="s">
        <v>2981</v>
      </c>
      <c r="D2337" s="226" t="s">
        <v>1897</v>
      </c>
      <c r="E2337" s="232" t="s">
        <v>2429</v>
      </c>
      <c r="F2337" s="89" t="s">
        <v>524</v>
      </c>
    </row>
    <row r="2338" spans="2:6" x14ac:dyDescent="0.55000000000000004">
      <c r="B2338" s="213" t="s">
        <v>955</v>
      </c>
      <c r="C2338" s="225" t="s">
        <v>2991</v>
      </c>
      <c r="D2338" s="225" t="s">
        <v>1907</v>
      </c>
      <c r="E2338" s="232" t="s">
        <v>2429</v>
      </c>
      <c r="F2338" s="89" t="s">
        <v>524</v>
      </c>
    </row>
    <row r="2339" spans="2:6" ht="25.8" x14ac:dyDescent="0.55000000000000004">
      <c r="B2339" s="213" t="s">
        <v>955</v>
      </c>
      <c r="C2339" s="225" t="s">
        <v>2992</v>
      </c>
      <c r="D2339" s="225" t="s">
        <v>1908</v>
      </c>
      <c r="E2339" s="232" t="s">
        <v>2429</v>
      </c>
      <c r="F2339" s="89" t="s">
        <v>524</v>
      </c>
    </row>
    <row r="2340" spans="2:6" ht="25.8" x14ac:dyDescent="0.55000000000000004">
      <c r="B2340" s="213" t="s">
        <v>955</v>
      </c>
      <c r="C2340" s="225" t="s">
        <v>2996</v>
      </c>
      <c r="D2340" s="225" t="s">
        <v>1912</v>
      </c>
      <c r="E2340" s="232" t="s">
        <v>2429</v>
      </c>
      <c r="F2340" s="89" t="s">
        <v>524</v>
      </c>
    </row>
    <row r="2341" spans="2:6" x14ac:dyDescent="0.55000000000000004">
      <c r="B2341" s="213" t="s">
        <v>955</v>
      </c>
      <c r="C2341" s="225" t="s">
        <v>2997</v>
      </c>
      <c r="D2341" s="225" t="s">
        <v>1913</v>
      </c>
      <c r="E2341" s="232" t="s">
        <v>2429</v>
      </c>
      <c r="F2341" s="89" t="s">
        <v>524</v>
      </c>
    </row>
    <row r="2342" spans="2:6" x14ac:dyDescent="0.55000000000000004">
      <c r="B2342" s="213" t="s">
        <v>955</v>
      </c>
      <c r="C2342" s="225" t="s">
        <v>2999</v>
      </c>
      <c r="D2342" s="225" t="s">
        <v>1915</v>
      </c>
      <c r="E2342" s="232" t="s">
        <v>2429</v>
      </c>
      <c r="F2342" s="89" t="s">
        <v>524</v>
      </c>
    </row>
    <row r="2343" spans="2:6" x14ac:dyDescent="0.55000000000000004">
      <c r="B2343" s="213" t="s">
        <v>955</v>
      </c>
      <c r="C2343" s="225" t="s">
        <v>3001</v>
      </c>
      <c r="D2343" s="225" t="s">
        <v>1917</v>
      </c>
      <c r="E2343" s="232" t="s">
        <v>2429</v>
      </c>
      <c r="F2343" s="89" t="s">
        <v>524</v>
      </c>
    </row>
    <row r="2344" spans="2:6" x14ac:dyDescent="0.55000000000000004">
      <c r="B2344" s="213" t="s">
        <v>955</v>
      </c>
      <c r="C2344" s="225" t="s">
        <v>3002</v>
      </c>
      <c r="D2344" s="225" t="s">
        <v>1918</v>
      </c>
      <c r="E2344" s="232" t="s">
        <v>2429</v>
      </c>
      <c r="F2344" s="89" t="s">
        <v>524</v>
      </c>
    </row>
    <row r="2345" spans="2:6" x14ac:dyDescent="0.55000000000000004">
      <c r="B2345" s="213" t="s">
        <v>955</v>
      </c>
      <c r="C2345" s="225" t="s">
        <v>3006</v>
      </c>
      <c r="D2345" s="225" t="s">
        <v>1922</v>
      </c>
      <c r="E2345" s="232" t="s">
        <v>2429</v>
      </c>
      <c r="F2345" s="89" t="s">
        <v>524</v>
      </c>
    </row>
    <row r="2346" spans="2:6" x14ac:dyDescent="0.55000000000000004">
      <c r="B2346" s="213" t="s">
        <v>955</v>
      </c>
      <c r="C2346" s="225" t="s">
        <v>3008</v>
      </c>
      <c r="D2346" s="225" t="s">
        <v>1924</v>
      </c>
      <c r="E2346" s="232" t="s">
        <v>2429</v>
      </c>
      <c r="F2346" s="89" t="s">
        <v>524</v>
      </c>
    </row>
    <row r="2347" spans="2:6" x14ac:dyDescent="0.55000000000000004">
      <c r="B2347" s="213" t="s">
        <v>955</v>
      </c>
      <c r="C2347" s="225" t="s">
        <v>3010</v>
      </c>
      <c r="D2347" s="225" t="s">
        <v>1926</v>
      </c>
      <c r="E2347" s="232" t="s">
        <v>2429</v>
      </c>
      <c r="F2347" s="89" t="s">
        <v>524</v>
      </c>
    </row>
    <row r="2348" spans="2:6" x14ac:dyDescent="0.55000000000000004">
      <c r="B2348" s="213" t="s">
        <v>955</v>
      </c>
      <c r="C2348" s="225" t="s">
        <v>3019</v>
      </c>
      <c r="D2348" s="225" t="s">
        <v>1935</v>
      </c>
      <c r="E2348" s="232" t="s">
        <v>2429</v>
      </c>
      <c r="F2348" s="89" t="s">
        <v>524</v>
      </c>
    </row>
    <row r="2349" spans="2:6" x14ac:dyDescent="0.55000000000000004">
      <c r="B2349" s="213" t="s">
        <v>955</v>
      </c>
      <c r="C2349" s="225" t="s">
        <v>3025</v>
      </c>
      <c r="D2349" s="225" t="s">
        <v>1941</v>
      </c>
      <c r="E2349" s="232" t="s">
        <v>2429</v>
      </c>
      <c r="F2349" s="89" t="s">
        <v>524</v>
      </c>
    </row>
    <row r="2350" spans="2:6" x14ac:dyDescent="0.55000000000000004">
      <c r="B2350" s="213" t="s">
        <v>955</v>
      </c>
      <c r="C2350" s="225" t="s">
        <v>3026</v>
      </c>
      <c r="D2350" s="225" t="s">
        <v>1942</v>
      </c>
      <c r="E2350" s="232" t="s">
        <v>2429</v>
      </c>
      <c r="F2350" s="89" t="s">
        <v>524</v>
      </c>
    </row>
    <row r="2351" spans="2:6" x14ac:dyDescent="0.55000000000000004">
      <c r="B2351" s="213" t="s">
        <v>955</v>
      </c>
      <c r="C2351" s="225" t="s">
        <v>3030</v>
      </c>
      <c r="D2351" s="225" t="s">
        <v>1946</v>
      </c>
      <c r="E2351" s="232" t="s">
        <v>2429</v>
      </c>
      <c r="F2351" s="89" t="s">
        <v>524</v>
      </c>
    </row>
    <row r="2352" spans="2:6" ht="25.8" x14ac:dyDescent="0.55000000000000004">
      <c r="B2352" s="213" t="s">
        <v>955</v>
      </c>
      <c r="C2352" s="225" t="s">
        <v>3032</v>
      </c>
      <c r="D2352" s="225" t="s">
        <v>1948</v>
      </c>
      <c r="E2352" s="232" t="s">
        <v>2429</v>
      </c>
      <c r="F2352" s="89" t="s">
        <v>524</v>
      </c>
    </row>
    <row r="2353" spans="2:6" x14ac:dyDescent="0.55000000000000004">
      <c r="B2353" s="213" t="s">
        <v>955</v>
      </c>
      <c r="C2353" s="225" t="s">
        <v>3034</v>
      </c>
      <c r="D2353" s="225" t="s">
        <v>1950</v>
      </c>
      <c r="E2353" s="232" t="s">
        <v>2429</v>
      </c>
      <c r="F2353" s="89" t="s">
        <v>524</v>
      </c>
    </row>
    <row r="2354" spans="2:6" x14ac:dyDescent="0.55000000000000004">
      <c r="B2354" s="213" t="s">
        <v>955</v>
      </c>
      <c r="C2354" s="226" t="s">
        <v>3047</v>
      </c>
      <c r="D2354" s="226" t="s">
        <v>1963</v>
      </c>
      <c r="E2354" s="232" t="s">
        <v>2428</v>
      </c>
      <c r="F2354" s="89" t="s">
        <v>524</v>
      </c>
    </row>
    <row r="2355" spans="2:6" ht="25.8" x14ac:dyDescent="0.55000000000000004">
      <c r="B2355" s="213" t="s">
        <v>955</v>
      </c>
      <c r="C2355" s="225" t="s">
        <v>3058</v>
      </c>
      <c r="D2355" s="225" t="s">
        <v>1974</v>
      </c>
      <c r="E2355" s="232" t="s">
        <v>2429</v>
      </c>
      <c r="F2355" s="89" t="s">
        <v>524</v>
      </c>
    </row>
    <row r="2356" spans="2:6" x14ac:dyDescent="0.55000000000000004">
      <c r="B2356" s="213" t="s">
        <v>955</v>
      </c>
      <c r="C2356" s="225" t="s">
        <v>3060</v>
      </c>
      <c r="D2356" s="225" t="s">
        <v>1976</v>
      </c>
      <c r="E2356" s="232" t="s">
        <v>2429</v>
      </c>
      <c r="F2356" s="89" t="s">
        <v>524</v>
      </c>
    </row>
    <row r="2357" spans="2:6" x14ac:dyDescent="0.55000000000000004">
      <c r="B2357" s="213" t="s">
        <v>955</v>
      </c>
      <c r="C2357" s="225" t="s">
        <v>3062</v>
      </c>
      <c r="D2357" s="225" t="s">
        <v>1978</v>
      </c>
      <c r="E2357" s="232" t="s">
        <v>2429</v>
      </c>
      <c r="F2357" s="89" t="s">
        <v>524</v>
      </c>
    </row>
    <row r="2358" spans="2:6" ht="25.8" x14ac:dyDescent="0.55000000000000004">
      <c r="B2358" s="213" t="s">
        <v>955</v>
      </c>
      <c r="C2358" s="225" t="s">
        <v>3065</v>
      </c>
      <c r="D2358" s="225" t="s">
        <v>1981</v>
      </c>
      <c r="E2358" s="232" t="s">
        <v>2429</v>
      </c>
      <c r="F2358" s="89" t="s">
        <v>524</v>
      </c>
    </row>
    <row r="2359" spans="2:6" ht="25.8" x14ac:dyDescent="0.55000000000000004">
      <c r="B2359" s="213" t="s">
        <v>955</v>
      </c>
      <c r="C2359" s="225" t="s">
        <v>3071</v>
      </c>
      <c r="D2359" s="225" t="s">
        <v>1987</v>
      </c>
      <c r="E2359" s="232" t="s">
        <v>2429</v>
      </c>
      <c r="F2359" s="89" t="s">
        <v>524</v>
      </c>
    </row>
    <row r="2360" spans="2:6" x14ac:dyDescent="0.55000000000000004">
      <c r="B2360" s="213" t="s">
        <v>955</v>
      </c>
      <c r="C2360" s="225" t="s">
        <v>3072</v>
      </c>
      <c r="D2360" s="225" t="s">
        <v>1988</v>
      </c>
      <c r="E2360" s="232" t="s">
        <v>2429</v>
      </c>
      <c r="F2360" s="89" t="s">
        <v>524</v>
      </c>
    </row>
    <row r="2361" spans="2:6" x14ac:dyDescent="0.55000000000000004">
      <c r="B2361" s="213" t="s">
        <v>955</v>
      </c>
      <c r="C2361" s="226" t="s">
        <v>3075</v>
      </c>
      <c r="D2361" s="226" t="s">
        <v>1991</v>
      </c>
      <c r="E2361" s="232" t="s">
        <v>2429</v>
      </c>
      <c r="F2361" s="89" t="s">
        <v>524</v>
      </c>
    </row>
    <row r="2362" spans="2:6" x14ac:dyDescent="0.55000000000000004">
      <c r="B2362" s="213" t="s">
        <v>955</v>
      </c>
      <c r="C2362" s="225" t="s">
        <v>3076</v>
      </c>
      <c r="D2362" s="225" t="s">
        <v>1992</v>
      </c>
      <c r="E2362" s="232" t="s">
        <v>2429</v>
      </c>
      <c r="F2362" s="89" t="s">
        <v>524</v>
      </c>
    </row>
    <row r="2363" spans="2:6" ht="25.8" x14ac:dyDescent="0.55000000000000004">
      <c r="B2363" s="215" t="s">
        <v>956</v>
      </c>
      <c r="C2363" s="227" t="s">
        <v>782</v>
      </c>
      <c r="D2363" s="227" t="s">
        <v>782</v>
      </c>
      <c r="E2363" s="232" t="e">
        <v>#N/A</v>
      </c>
      <c r="F2363" s="89" t="s">
        <v>2433</v>
      </c>
    </row>
    <row r="2364" spans="2:6" ht="25.8" x14ac:dyDescent="0.55000000000000004">
      <c r="B2364" s="213" t="s">
        <v>956</v>
      </c>
      <c r="C2364" s="226" t="s">
        <v>3000</v>
      </c>
      <c r="D2364" s="226" t="s">
        <v>1916</v>
      </c>
      <c r="E2364" s="232" t="s">
        <v>2429</v>
      </c>
      <c r="F2364" s="89" t="s">
        <v>524</v>
      </c>
    </row>
    <row r="2365" spans="2:6" ht="25.8" x14ac:dyDescent="0.55000000000000004">
      <c r="B2365" s="213" t="s">
        <v>956</v>
      </c>
      <c r="C2365" s="225" t="s">
        <v>3048</v>
      </c>
      <c r="D2365" s="225" t="s">
        <v>1964</v>
      </c>
      <c r="E2365" s="232" t="s">
        <v>2429</v>
      </c>
      <c r="F2365" s="89" t="s">
        <v>524</v>
      </c>
    </row>
    <row r="2366" spans="2:6" ht="38.700000000000003" x14ac:dyDescent="0.55000000000000004">
      <c r="B2366" s="213" t="s">
        <v>956</v>
      </c>
      <c r="C2366" s="225" t="s">
        <v>3049</v>
      </c>
      <c r="D2366" s="225" t="s">
        <v>1965</v>
      </c>
      <c r="E2366" s="232" t="s">
        <v>2429</v>
      </c>
      <c r="F2366" s="89" t="s">
        <v>524</v>
      </c>
    </row>
    <row r="2367" spans="2:6" ht="25.8" x14ac:dyDescent="0.55000000000000004">
      <c r="B2367" s="213" t="s">
        <v>956</v>
      </c>
      <c r="C2367" s="225" t="s">
        <v>3050</v>
      </c>
      <c r="D2367" s="225" t="s">
        <v>1966</v>
      </c>
      <c r="E2367" s="232" t="s">
        <v>2429</v>
      </c>
      <c r="F2367" s="89" t="s">
        <v>524</v>
      </c>
    </row>
    <row r="2368" spans="2:6" ht="25.8" x14ac:dyDescent="0.55000000000000004">
      <c r="B2368" s="213" t="s">
        <v>956</v>
      </c>
      <c r="C2368" s="225" t="s">
        <v>3051</v>
      </c>
      <c r="D2368" s="225" t="s">
        <v>1967</v>
      </c>
      <c r="E2368" s="232" t="s">
        <v>2429</v>
      </c>
      <c r="F2368" s="89" t="s">
        <v>524</v>
      </c>
    </row>
    <row r="2369" spans="2:6" ht="25.8" x14ac:dyDescent="0.55000000000000004">
      <c r="B2369" s="213" t="s">
        <v>956</v>
      </c>
      <c r="C2369" s="225" t="s">
        <v>3052</v>
      </c>
      <c r="D2369" s="225" t="s">
        <v>1968</v>
      </c>
      <c r="E2369" s="232" t="s">
        <v>2429</v>
      </c>
      <c r="F2369" s="89" t="s">
        <v>524</v>
      </c>
    </row>
    <row r="2370" spans="2:6" ht="25.8" x14ac:dyDescent="0.55000000000000004">
      <c r="B2370" s="213" t="s">
        <v>956</v>
      </c>
      <c r="C2370" s="226" t="s">
        <v>3056</v>
      </c>
      <c r="D2370" s="226" t="s">
        <v>1972</v>
      </c>
      <c r="E2370" s="232" t="s">
        <v>2429</v>
      </c>
      <c r="F2370" s="89" t="s">
        <v>524</v>
      </c>
    </row>
    <row r="2371" spans="2:6" ht="38.700000000000003" x14ac:dyDescent="0.55000000000000004">
      <c r="B2371" s="213" t="s">
        <v>956</v>
      </c>
      <c r="C2371" s="225" t="s">
        <v>3057</v>
      </c>
      <c r="D2371" s="225" t="s">
        <v>1973</v>
      </c>
      <c r="E2371" s="232" t="s">
        <v>2429</v>
      </c>
      <c r="F2371" s="89" t="s">
        <v>524</v>
      </c>
    </row>
    <row r="2372" spans="2:6" ht="25.8" x14ac:dyDescent="0.55000000000000004">
      <c r="B2372" s="213" t="s">
        <v>956</v>
      </c>
      <c r="C2372" s="225" t="s">
        <v>3061</v>
      </c>
      <c r="D2372" s="225" t="s">
        <v>1977</v>
      </c>
      <c r="E2372" s="232" t="s">
        <v>2429</v>
      </c>
      <c r="F2372" s="89" t="s">
        <v>524</v>
      </c>
    </row>
    <row r="2373" spans="2:6" ht="25.8" x14ac:dyDescent="0.55000000000000004">
      <c r="B2373" s="215" t="s">
        <v>957</v>
      </c>
      <c r="C2373" s="227" t="s">
        <v>783</v>
      </c>
      <c r="D2373" s="227" t="s">
        <v>783</v>
      </c>
      <c r="E2373" s="232" t="e">
        <v>#N/A</v>
      </c>
      <c r="F2373" s="89" t="s">
        <v>2433</v>
      </c>
    </row>
    <row r="2374" spans="2:6" x14ac:dyDescent="0.55000000000000004">
      <c r="B2374" s="213" t="s">
        <v>957</v>
      </c>
      <c r="C2374" s="225" t="s">
        <v>3004</v>
      </c>
      <c r="D2374" s="225" t="s">
        <v>1920</v>
      </c>
      <c r="E2374" s="232" t="s">
        <v>2429</v>
      </c>
      <c r="F2374" s="89" t="s">
        <v>524</v>
      </c>
    </row>
    <row r="2375" spans="2:6" x14ac:dyDescent="0.55000000000000004">
      <c r="B2375" s="213" t="s">
        <v>957</v>
      </c>
      <c r="C2375" s="225" t="s">
        <v>3005</v>
      </c>
      <c r="D2375" s="225" t="s">
        <v>1921</v>
      </c>
      <c r="E2375" s="232" t="s">
        <v>2429</v>
      </c>
      <c r="F2375" s="89" t="s">
        <v>524</v>
      </c>
    </row>
    <row r="2376" spans="2:6" x14ac:dyDescent="0.55000000000000004">
      <c r="B2376" s="213" t="s">
        <v>957</v>
      </c>
      <c r="C2376" s="225" t="s">
        <v>3031</v>
      </c>
      <c r="D2376" s="225" t="s">
        <v>1947</v>
      </c>
      <c r="E2376" s="232" t="s">
        <v>2429</v>
      </c>
      <c r="F2376" s="89" t="s">
        <v>524</v>
      </c>
    </row>
    <row r="2377" spans="2:6" ht="25.8" x14ac:dyDescent="0.55000000000000004">
      <c r="B2377" s="213" t="s">
        <v>957</v>
      </c>
      <c r="C2377" s="225" t="s">
        <v>3036</v>
      </c>
      <c r="D2377" s="225" t="s">
        <v>1952</v>
      </c>
      <c r="E2377" s="232" t="s">
        <v>2429</v>
      </c>
      <c r="F2377" s="89" t="s">
        <v>524</v>
      </c>
    </row>
    <row r="2378" spans="2:6" x14ac:dyDescent="0.55000000000000004">
      <c r="B2378" s="213" t="s">
        <v>957</v>
      </c>
      <c r="C2378" s="226" t="s">
        <v>3037</v>
      </c>
      <c r="D2378" s="226" t="s">
        <v>1953</v>
      </c>
      <c r="E2378" s="232" t="s">
        <v>2429</v>
      </c>
      <c r="F2378" s="89" t="s">
        <v>524</v>
      </c>
    </row>
    <row r="2379" spans="2:6" ht="38.700000000000003" x14ac:dyDescent="0.55000000000000004">
      <c r="B2379" s="213" t="s">
        <v>957</v>
      </c>
      <c r="C2379" s="225" t="s">
        <v>3038</v>
      </c>
      <c r="D2379" s="225" t="s">
        <v>1954</v>
      </c>
      <c r="E2379" s="232" t="s">
        <v>2429</v>
      </c>
      <c r="F2379" s="89" t="s">
        <v>524</v>
      </c>
    </row>
    <row r="2380" spans="2:6" ht="25.8" x14ac:dyDescent="0.55000000000000004">
      <c r="B2380" s="213" t="s">
        <v>957</v>
      </c>
      <c r="C2380" s="225" t="s">
        <v>3039</v>
      </c>
      <c r="D2380" s="225" t="s">
        <v>1955</v>
      </c>
      <c r="E2380" s="232" t="s">
        <v>2429</v>
      </c>
      <c r="F2380" s="89" t="s">
        <v>524</v>
      </c>
    </row>
    <row r="2381" spans="2:6" ht="25.8" x14ac:dyDescent="0.55000000000000004">
      <c r="B2381" s="213" t="s">
        <v>957</v>
      </c>
      <c r="C2381" s="225" t="s">
        <v>3040</v>
      </c>
      <c r="D2381" s="225" t="s">
        <v>1956</v>
      </c>
      <c r="E2381" s="232" t="s">
        <v>2429</v>
      </c>
      <c r="F2381" s="89" t="s">
        <v>524</v>
      </c>
    </row>
    <row r="2382" spans="2:6" x14ac:dyDescent="0.55000000000000004">
      <c r="B2382" s="219" t="s">
        <v>958</v>
      </c>
      <c r="C2382" s="224" t="s">
        <v>1998</v>
      </c>
      <c r="D2382" s="224" t="s">
        <v>1998</v>
      </c>
      <c r="E2382" s="232" t="e">
        <v>#N/A</v>
      </c>
      <c r="F2382" s="89" t="s">
        <v>2433</v>
      </c>
    </row>
    <row r="2383" spans="2:6" x14ac:dyDescent="0.55000000000000004">
      <c r="B2383" s="220">
        <v>25</v>
      </c>
      <c r="C2383" s="225" t="s">
        <v>1999</v>
      </c>
      <c r="D2383" s="225" t="s">
        <v>1999</v>
      </c>
      <c r="E2383" s="232" t="s">
        <v>789</v>
      </c>
      <c r="F2383" s="89" t="s">
        <v>332</v>
      </c>
    </row>
    <row r="2384" spans="2:6" x14ac:dyDescent="0.55000000000000004">
      <c r="B2384" s="220">
        <v>25</v>
      </c>
      <c r="C2384" s="225" t="s">
        <v>2000</v>
      </c>
      <c r="D2384" s="225" t="s">
        <v>2000</v>
      </c>
      <c r="E2384" s="232" t="s">
        <v>789</v>
      </c>
      <c r="F2384" s="89" t="s">
        <v>332</v>
      </c>
    </row>
    <row r="2385" spans="2:6" ht="25.8" x14ac:dyDescent="0.55000000000000004">
      <c r="B2385" s="220">
        <v>25</v>
      </c>
      <c r="C2385" s="225" t="s">
        <v>2001</v>
      </c>
      <c r="D2385" s="225" t="s">
        <v>2001</v>
      </c>
      <c r="E2385" s="232" t="s">
        <v>789</v>
      </c>
      <c r="F2385" s="89" t="s">
        <v>332</v>
      </c>
    </row>
    <row r="2386" spans="2:6" ht="25.8" x14ac:dyDescent="0.55000000000000004">
      <c r="B2386" s="220">
        <v>25</v>
      </c>
      <c r="C2386" s="225" t="s">
        <v>2002</v>
      </c>
      <c r="D2386" s="225" t="s">
        <v>2002</v>
      </c>
      <c r="E2386" s="232" t="s">
        <v>789</v>
      </c>
      <c r="F2386" s="89" t="s">
        <v>332</v>
      </c>
    </row>
    <row r="2387" spans="2:6" ht="38.700000000000003" x14ac:dyDescent="0.55000000000000004">
      <c r="B2387" s="220">
        <v>25</v>
      </c>
      <c r="C2387" s="225" t="s">
        <v>3082</v>
      </c>
      <c r="D2387" s="225" t="s">
        <v>2003</v>
      </c>
      <c r="E2387" s="232" t="s">
        <v>789</v>
      </c>
      <c r="F2387" s="89" t="s">
        <v>332</v>
      </c>
    </row>
    <row r="2388" spans="2:6" ht="38.700000000000003" x14ac:dyDescent="0.55000000000000004">
      <c r="B2388" s="220">
        <v>25</v>
      </c>
      <c r="C2388" s="225" t="s">
        <v>3083</v>
      </c>
      <c r="D2388" s="225" t="s">
        <v>2004</v>
      </c>
      <c r="E2388" s="232" t="s">
        <v>789</v>
      </c>
      <c r="F2388" s="89" t="s">
        <v>332</v>
      </c>
    </row>
    <row r="2389" spans="2:6" x14ac:dyDescent="0.55000000000000004">
      <c r="B2389" s="220">
        <v>25</v>
      </c>
      <c r="C2389" s="225" t="s">
        <v>2005</v>
      </c>
      <c r="D2389" s="225" t="s">
        <v>2005</v>
      </c>
      <c r="E2389" s="232" t="s">
        <v>789</v>
      </c>
      <c r="F2389" s="89" t="s">
        <v>332</v>
      </c>
    </row>
    <row r="2390" spans="2:6" x14ac:dyDescent="0.55000000000000004">
      <c r="B2390" s="220">
        <v>25</v>
      </c>
      <c r="C2390" s="225" t="s">
        <v>2006</v>
      </c>
      <c r="D2390" s="225" t="s">
        <v>2006</v>
      </c>
      <c r="E2390" s="232" t="s">
        <v>789</v>
      </c>
      <c r="F2390" s="89" t="s">
        <v>332</v>
      </c>
    </row>
    <row r="2391" spans="2:6" ht="25.8" x14ac:dyDescent="0.55000000000000004">
      <c r="B2391" s="220">
        <v>25</v>
      </c>
      <c r="C2391" s="226" t="s">
        <v>2007</v>
      </c>
      <c r="D2391" s="226" t="s">
        <v>2007</v>
      </c>
      <c r="E2391" s="232" t="s">
        <v>789</v>
      </c>
      <c r="F2391" s="89" t="s">
        <v>332</v>
      </c>
    </row>
    <row r="2392" spans="2:6" ht="25.8" x14ac:dyDescent="0.55000000000000004">
      <c r="B2392" s="220">
        <v>25</v>
      </c>
      <c r="C2392" s="226" t="s">
        <v>2008</v>
      </c>
      <c r="D2392" s="226" t="s">
        <v>2008</v>
      </c>
      <c r="E2392" s="232" t="s">
        <v>789</v>
      </c>
      <c r="F2392" s="89" t="s">
        <v>332</v>
      </c>
    </row>
    <row r="2393" spans="2:6" ht="25.8" x14ac:dyDescent="0.55000000000000004">
      <c r="B2393" s="220">
        <v>25</v>
      </c>
      <c r="C2393" s="226" t="s">
        <v>2007</v>
      </c>
      <c r="D2393" s="226" t="s">
        <v>2007</v>
      </c>
      <c r="E2393" s="232" t="s">
        <v>2428</v>
      </c>
      <c r="F2393" s="89" t="s">
        <v>648</v>
      </c>
    </row>
    <row r="2394" spans="2:6" ht="25.8" x14ac:dyDescent="0.55000000000000004">
      <c r="B2394" s="220">
        <v>25</v>
      </c>
      <c r="C2394" s="226" t="s">
        <v>2008</v>
      </c>
      <c r="D2394" s="226" t="s">
        <v>2008</v>
      </c>
      <c r="E2394" s="232" t="s">
        <v>2428</v>
      </c>
      <c r="F2394" s="89" t="s">
        <v>648</v>
      </c>
    </row>
    <row r="2395" spans="2:6" ht="25.8" x14ac:dyDescent="0.55000000000000004">
      <c r="B2395" s="220">
        <v>25</v>
      </c>
      <c r="C2395" s="225" t="s">
        <v>3084</v>
      </c>
      <c r="D2395" s="225" t="s">
        <v>2009</v>
      </c>
      <c r="E2395" s="232" t="s">
        <v>789</v>
      </c>
      <c r="F2395" s="89" t="s">
        <v>332</v>
      </c>
    </row>
    <row r="2396" spans="2:6" ht="25.8" x14ac:dyDescent="0.55000000000000004">
      <c r="B2396" s="220">
        <v>25</v>
      </c>
      <c r="C2396" s="225" t="s">
        <v>3085</v>
      </c>
      <c r="D2396" s="225" t="s">
        <v>2010</v>
      </c>
      <c r="E2396" s="232" t="s">
        <v>789</v>
      </c>
      <c r="F2396" s="89" t="s">
        <v>332</v>
      </c>
    </row>
    <row r="2397" spans="2:6" ht="25.8" x14ac:dyDescent="0.55000000000000004">
      <c r="B2397" s="220">
        <v>25</v>
      </c>
      <c r="C2397" s="225" t="s">
        <v>3086</v>
      </c>
      <c r="D2397" s="225" t="s">
        <v>2011</v>
      </c>
      <c r="E2397" s="232" t="s">
        <v>789</v>
      </c>
      <c r="F2397" s="89" t="s">
        <v>332</v>
      </c>
    </row>
    <row r="2398" spans="2:6" ht="25.8" x14ac:dyDescent="0.55000000000000004">
      <c r="B2398" s="220">
        <v>25</v>
      </c>
      <c r="C2398" s="225" t="s">
        <v>3087</v>
      </c>
      <c r="D2398" s="225" t="s">
        <v>2012</v>
      </c>
      <c r="E2398" s="232" t="s">
        <v>789</v>
      </c>
      <c r="F2398" s="89" t="s">
        <v>332</v>
      </c>
    </row>
    <row r="2399" spans="2:6" x14ac:dyDescent="0.55000000000000004">
      <c r="B2399" s="220">
        <v>25</v>
      </c>
      <c r="C2399" s="225" t="s">
        <v>2013</v>
      </c>
      <c r="D2399" s="225" t="s">
        <v>2013</v>
      </c>
      <c r="E2399" s="232" t="s">
        <v>789</v>
      </c>
      <c r="F2399" s="89" t="s">
        <v>332</v>
      </c>
    </row>
    <row r="2400" spans="2:6" x14ac:dyDescent="0.55000000000000004">
      <c r="B2400" s="220">
        <v>25</v>
      </c>
      <c r="C2400" s="225" t="s">
        <v>2014</v>
      </c>
      <c r="D2400" s="225" t="s">
        <v>2014</v>
      </c>
      <c r="E2400" s="232" t="s">
        <v>789</v>
      </c>
      <c r="F2400" s="89" t="s">
        <v>332</v>
      </c>
    </row>
    <row r="2401" spans="2:6" ht="25.8" x14ac:dyDescent="0.55000000000000004">
      <c r="B2401" s="220">
        <v>25</v>
      </c>
      <c r="C2401" s="225" t="s">
        <v>2015</v>
      </c>
      <c r="D2401" s="225" t="s">
        <v>2015</v>
      </c>
      <c r="E2401" s="232" t="s">
        <v>789</v>
      </c>
      <c r="F2401" s="89" t="s">
        <v>332</v>
      </c>
    </row>
    <row r="2402" spans="2:6" ht="25.8" x14ac:dyDescent="0.55000000000000004">
      <c r="B2402" s="220">
        <v>25</v>
      </c>
      <c r="C2402" s="225" t="s">
        <v>2016</v>
      </c>
      <c r="D2402" s="225" t="s">
        <v>2016</v>
      </c>
      <c r="E2402" s="232" t="s">
        <v>789</v>
      </c>
      <c r="F2402" s="89" t="s">
        <v>332</v>
      </c>
    </row>
    <row r="2403" spans="2:6" ht="25.8" x14ac:dyDescent="0.55000000000000004">
      <c r="B2403" s="220">
        <v>25</v>
      </c>
      <c r="C2403" s="226" t="s">
        <v>2017</v>
      </c>
      <c r="D2403" s="226" t="s">
        <v>2017</v>
      </c>
      <c r="E2403" s="232" t="s">
        <v>789</v>
      </c>
      <c r="F2403" s="89" t="s">
        <v>332</v>
      </c>
    </row>
    <row r="2404" spans="2:6" ht="25.8" x14ac:dyDescent="0.55000000000000004">
      <c r="B2404" s="220">
        <v>25</v>
      </c>
      <c r="C2404" s="226" t="s">
        <v>2018</v>
      </c>
      <c r="D2404" s="226" t="s">
        <v>2018</v>
      </c>
      <c r="E2404" s="232" t="s">
        <v>789</v>
      </c>
      <c r="F2404" s="89" t="s">
        <v>332</v>
      </c>
    </row>
    <row r="2405" spans="2:6" x14ac:dyDescent="0.55000000000000004">
      <c r="B2405" s="220">
        <v>25</v>
      </c>
      <c r="C2405" s="226" t="s">
        <v>2019</v>
      </c>
      <c r="D2405" s="226" t="s">
        <v>2019</v>
      </c>
      <c r="E2405" s="232" t="s">
        <v>789</v>
      </c>
      <c r="F2405" s="89" t="s">
        <v>332</v>
      </c>
    </row>
    <row r="2406" spans="2:6" x14ac:dyDescent="0.55000000000000004">
      <c r="B2406" s="220">
        <v>25</v>
      </c>
      <c r="C2406" s="226" t="s">
        <v>2020</v>
      </c>
      <c r="D2406" s="226" t="s">
        <v>2020</v>
      </c>
      <c r="E2406" s="232" t="s">
        <v>789</v>
      </c>
      <c r="F2406" s="89" t="s">
        <v>332</v>
      </c>
    </row>
    <row r="2407" spans="2:6" ht="25.8" x14ac:dyDescent="0.55000000000000004">
      <c r="B2407" s="220">
        <v>25</v>
      </c>
      <c r="C2407" s="226" t="s">
        <v>2021</v>
      </c>
      <c r="D2407" s="226" t="s">
        <v>2021</v>
      </c>
      <c r="E2407" s="232" t="s">
        <v>789</v>
      </c>
      <c r="F2407" s="89" t="s">
        <v>332</v>
      </c>
    </row>
    <row r="2408" spans="2:6" ht="25.8" x14ac:dyDescent="0.55000000000000004">
      <c r="B2408" s="220">
        <v>25</v>
      </c>
      <c r="C2408" s="226" t="s">
        <v>2022</v>
      </c>
      <c r="D2408" s="226" t="s">
        <v>2022</v>
      </c>
      <c r="E2408" s="232" t="s">
        <v>789</v>
      </c>
      <c r="F2408" s="89" t="s">
        <v>332</v>
      </c>
    </row>
    <row r="2409" spans="2:6" ht="25.8" x14ac:dyDescent="0.55000000000000004">
      <c r="B2409" s="220">
        <v>25</v>
      </c>
      <c r="C2409" s="226" t="s">
        <v>2023</v>
      </c>
      <c r="D2409" s="226" t="s">
        <v>2023</v>
      </c>
      <c r="E2409" s="232" t="s">
        <v>789</v>
      </c>
      <c r="F2409" s="89" t="s">
        <v>332</v>
      </c>
    </row>
    <row r="2410" spans="2:6" ht="25.8" x14ac:dyDescent="0.55000000000000004">
      <c r="B2410" s="220">
        <v>25</v>
      </c>
      <c r="C2410" s="226" t="s">
        <v>2024</v>
      </c>
      <c r="D2410" s="226" t="s">
        <v>2024</v>
      </c>
      <c r="E2410" s="232" t="s">
        <v>789</v>
      </c>
      <c r="F2410" s="89" t="s">
        <v>332</v>
      </c>
    </row>
    <row r="2411" spans="2:6" ht="25.8" x14ac:dyDescent="0.55000000000000004">
      <c r="B2411" s="220">
        <v>25</v>
      </c>
      <c r="C2411" s="226" t="s">
        <v>2025</v>
      </c>
      <c r="D2411" s="226" t="s">
        <v>2025</v>
      </c>
      <c r="E2411" s="232" t="s">
        <v>789</v>
      </c>
      <c r="F2411" s="89" t="s">
        <v>332</v>
      </c>
    </row>
    <row r="2412" spans="2:6" ht="25.8" x14ac:dyDescent="0.55000000000000004">
      <c r="B2412" s="220">
        <v>25</v>
      </c>
      <c r="C2412" s="226" t="s">
        <v>2026</v>
      </c>
      <c r="D2412" s="226" t="s">
        <v>2026</v>
      </c>
      <c r="E2412" s="232" t="s">
        <v>789</v>
      </c>
      <c r="F2412" s="89" t="s">
        <v>332</v>
      </c>
    </row>
    <row r="2413" spans="2:6" ht="25.8" x14ac:dyDescent="0.55000000000000004">
      <c r="B2413" s="220">
        <v>25</v>
      </c>
      <c r="C2413" s="226" t="s">
        <v>2027</v>
      </c>
      <c r="D2413" s="226" t="s">
        <v>2027</v>
      </c>
      <c r="E2413" s="232" t="s">
        <v>789</v>
      </c>
      <c r="F2413" s="89" t="s">
        <v>332</v>
      </c>
    </row>
    <row r="2414" spans="2:6" ht="25.8" x14ac:dyDescent="0.55000000000000004">
      <c r="B2414" s="220">
        <v>25</v>
      </c>
      <c r="C2414" s="226" t="s">
        <v>2028</v>
      </c>
      <c r="D2414" s="226" t="s">
        <v>2028</v>
      </c>
      <c r="E2414" s="232" t="s">
        <v>789</v>
      </c>
      <c r="F2414" s="89" t="s">
        <v>332</v>
      </c>
    </row>
    <row r="2415" spans="2:6" x14ac:dyDescent="0.55000000000000004">
      <c r="B2415" s="220">
        <v>25</v>
      </c>
      <c r="C2415" s="225" t="s">
        <v>2029</v>
      </c>
      <c r="D2415" s="225" t="s">
        <v>2029</v>
      </c>
      <c r="E2415" s="232" t="s">
        <v>789</v>
      </c>
      <c r="F2415" s="89" t="s">
        <v>332</v>
      </c>
    </row>
    <row r="2416" spans="2:6" x14ac:dyDescent="0.55000000000000004">
      <c r="B2416" s="220">
        <v>25</v>
      </c>
      <c r="C2416" s="225" t="s">
        <v>2030</v>
      </c>
      <c r="D2416" s="225" t="s">
        <v>2030</v>
      </c>
      <c r="E2416" s="232" t="s">
        <v>789</v>
      </c>
      <c r="F2416" s="89" t="s">
        <v>332</v>
      </c>
    </row>
    <row r="2417" spans="2:6" ht="25.8" x14ac:dyDescent="0.55000000000000004">
      <c r="B2417" s="220">
        <v>25</v>
      </c>
      <c r="C2417" s="225" t="s">
        <v>3088</v>
      </c>
      <c r="D2417" s="225" t="s">
        <v>2031</v>
      </c>
      <c r="E2417" s="232" t="s">
        <v>789</v>
      </c>
      <c r="F2417" s="89" t="s">
        <v>332</v>
      </c>
    </row>
    <row r="2418" spans="2:6" ht="25.8" x14ac:dyDescent="0.55000000000000004">
      <c r="B2418" s="220">
        <v>25</v>
      </c>
      <c r="C2418" s="225" t="s">
        <v>3089</v>
      </c>
      <c r="D2418" s="225" t="s">
        <v>2032</v>
      </c>
      <c r="E2418" s="232" t="s">
        <v>789</v>
      </c>
      <c r="F2418" s="89" t="s">
        <v>332</v>
      </c>
    </row>
    <row r="2419" spans="2:6" ht="25.8" x14ac:dyDescent="0.55000000000000004">
      <c r="B2419" s="220">
        <v>25</v>
      </c>
      <c r="C2419" s="225" t="s">
        <v>3090</v>
      </c>
      <c r="D2419" s="225" t="s">
        <v>2033</v>
      </c>
      <c r="E2419" s="232" t="s">
        <v>789</v>
      </c>
      <c r="F2419" s="89" t="s">
        <v>332</v>
      </c>
    </row>
    <row r="2420" spans="2:6" ht="25.8" x14ac:dyDescent="0.55000000000000004">
      <c r="B2420" s="220">
        <v>25</v>
      </c>
      <c r="C2420" s="225" t="s">
        <v>3091</v>
      </c>
      <c r="D2420" s="225" t="s">
        <v>2034</v>
      </c>
      <c r="E2420" s="232" t="s">
        <v>789</v>
      </c>
      <c r="F2420" s="89" t="s">
        <v>332</v>
      </c>
    </row>
    <row r="2421" spans="2:6" x14ac:dyDescent="0.55000000000000004">
      <c r="B2421" s="220">
        <v>25</v>
      </c>
      <c r="C2421" s="225" t="s">
        <v>2035</v>
      </c>
      <c r="D2421" s="225" t="s">
        <v>2035</v>
      </c>
      <c r="E2421" s="232" t="s">
        <v>789</v>
      </c>
      <c r="F2421" s="89" t="s">
        <v>332</v>
      </c>
    </row>
    <row r="2422" spans="2:6" x14ac:dyDescent="0.55000000000000004">
      <c r="B2422" s="220">
        <v>25</v>
      </c>
      <c r="C2422" s="225" t="s">
        <v>2036</v>
      </c>
      <c r="D2422" s="225" t="s">
        <v>2036</v>
      </c>
      <c r="E2422" s="232" t="s">
        <v>789</v>
      </c>
      <c r="F2422" s="89" t="s">
        <v>332</v>
      </c>
    </row>
    <row r="2423" spans="2:6" ht="25.8" x14ac:dyDescent="0.55000000000000004">
      <c r="B2423" s="220">
        <v>25</v>
      </c>
      <c r="C2423" s="225" t="s">
        <v>2037</v>
      </c>
      <c r="D2423" s="225" t="s">
        <v>2037</v>
      </c>
      <c r="E2423" s="232" t="s">
        <v>789</v>
      </c>
      <c r="F2423" s="89" t="s">
        <v>332</v>
      </c>
    </row>
    <row r="2424" spans="2:6" ht="25.8" x14ac:dyDescent="0.55000000000000004">
      <c r="B2424" s="220">
        <v>25</v>
      </c>
      <c r="C2424" s="225" t="s">
        <v>2038</v>
      </c>
      <c r="D2424" s="225" t="s">
        <v>2038</v>
      </c>
      <c r="E2424" s="232" t="s">
        <v>789</v>
      </c>
      <c r="F2424" s="89" t="s">
        <v>332</v>
      </c>
    </row>
    <row r="2425" spans="2:6" x14ac:dyDescent="0.55000000000000004">
      <c r="B2425" s="220">
        <v>25</v>
      </c>
      <c r="C2425" s="225" t="s">
        <v>2039</v>
      </c>
      <c r="D2425" s="225" t="s">
        <v>2039</v>
      </c>
      <c r="E2425" s="232" t="s">
        <v>789</v>
      </c>
      <c r="F2425" s="89" t="s">
        <v>332</v>
      </c>
    </row>
    <row r="2426" spans="2:6" x14ac:dyDescent="0.55000000000000004">
      <c r="B2426" s="220">
        <v>25</v>
      </c>
      <c r="C2426" s="225" t="s">
        <v>2040</v>
      </c>
      <c r="D2426" s="225" t="s">
        <v>2040</v>
      </c>
      <c r="E2426" s="232" t="s">
        <v>789</v>
      </c>
      <c r="F2426" s="89" t="s">
        <v>332</v>
      </c>
    </row>
    <row r="2427" spans="2:6" ht="25.8" x14ac:dyDescent="0.55000000000000004">
      <c r="B2427" s="220">
        <v>25</v>
      </c>
      <c r="C2427" s="225" t="s">
        <v>3092</v>
      </c>
      <c r="D2427" s="225" t="s">
        <v>2041</v>
      </c>
      <c r="E2427" s="232" t="s">
        <v>789</v>
      </c>
      <c r="F2427" s="89" t="s">
        <v>332</v>
      </c>
    </row>
    <row r="2428" spans="2:6" ht="25.8" x14ac:dyDescent="0.55000000000000004">
      <c r="B2428" s="220">
        <v>25</v>
      </c>
      <c r="C2428" s="225" t="s">
        <v>3093</v>
      </c>
      <c r="D2428" s="225" t="s">
        <v>2042</v>
      </c>
      <c r="E2428" s="232" t="s">
        <v>789</v>
      </c>
      <c r="F2428" s="89" t="s">
        <v>332</v>
      </c>
    </row>
    <row r="2429" spans="2:6" x14ac:dyDescent="0.55000000000000004">
      <c r="B2429" s="220">
        <v>25</v>
      </c>
      <c r="C2429" s="225" t="s">
        <v>2043</v>
      </c>
      <c r="D2429" s="225" t="s">
        <v>2043</v>
      </c>
      <c r="E2429" s="232" t="s">
        <v>789</v>
      </c>
      <c r="F2429" s="89" t="s">
        <v>332</v>
      </c>
    </row>
    <row r="2430" spans="2:6" x14ac:dyDescent="0.55000000000000004">
      <c r="B2430" s="220">
        <v>25</v>
      </c>
      <c r="C2430" s="225" t="s">
        <v>2044</v>
      </c>
      <c r="D2430" s="225" t="s">
        <v>2044</v>
      </c>
      <c r="E2430" s="232" t="s">
        <v>789</v>
      </c>
      <c r="F2430" s="89" t="s">
        <v>332</v>
      </c>
    </row>
    <row r="2431" spans="2:6" ht="25.8" x14ac:dyDescent="0.55000000000000004">
      <c r="B2431" s="220">
        <v>25</v>
      </c>
      <c r="C2431" s="225" t="s">
        <v>2045</v>
      </c>
      <c r="D2431" s="225" t="s">
        <v>2045</v>
      </c>
      <c r="E2431" s="232" t="s">
        <v>789</v>
      </c>
      <c r="F2431" s="89" t="s">
        <v>332</v>
      </c>
    </row>
    <row r="2432" spans="2:6" ht="25.8" x14ac:dyDescent="0.55000000000000004">
      <c r="B2432" s="220">
        <v>25</v>
      </c>
      <c r="C2432" s="225" t="s">
        <v>2046</v>
      </c>
      <c r="D2432" s="225" t="s">
        <v>2046</v>
      </c>
      <c r="E2432" s="232" t="s">
        <v>789</v>
      </c>
      <c r="F2432" s="89" t="s">
        <v>332</v>
      </c>
    </row>
    <row r="2433" spans="2:6" ht="25.8" x14ac:dyDescent="0.55000000000000004">
      <c r="B2433" s="220">
        <v>25</v>
      </c>
      <c r="C2433" s="225" t="s">
        <v>2047</v>
      </c>
      <c r="D2433" s="225" t="s">
        <v>2047</v>
      </c>
      <c r="E2433" s="232" t="s">
        <v>789</v>
      </c>
      <c r="F2433" s="89" t="s">
        <v>332</v>
      </c>
    </row>
    <row r="2434" spans="2:6" ht="25.8" x14ac:dyDescent="0.55000000000000004">
      <c r="B2434" s="220">
        <v>25</v>
      </c>
      <c r="C2434" s="225" t="s">
        <v>2048</v>
      </c>
      <c r="D2434" s="225" t="s">
        <v>2048</v>
      </c>
      <c r="E2434" s="232" t="s">
        <v>789</v>
      </c>
      <c r="F2434" s="89" t="s">
        <v>332</v>
      </c>
    </row>
    <row r="2435" spans="2:6" ht="25.8" x14ac:dyDescent="0.55000000000000004">
      <c r="B2435" s="220">
        <v>25</v>
      </c>
      <c r="C2435" s="225" t="s">
        <v>3094</v>
      </c>
      <c r="D2435" s="225" t="s">
        <v>2049</v>
      </c>
      <c r="E2435" s="232" t="s">
        <v>789</v>
      </c>
      <c r="F2435" s="89" t="s">
        <v>332</v>
      </c>
    </row>
    <row r="2436" spans="2:6" ht="25.8" x14ac:dyDescent="0.55000000000000004">
      <c r="B2436" s="220">
        <v>25</v>
      </c>
      <c r="C2436" s="225" t="s">
        <v>3095</v>
      </c>
      <c r="D2436" s="225" t="s">
        <v>2050</v>
      </c>
      <c r="E2436" s="232" t="s">
        <v>789</v>
      </c>
      <c r="F2436" s="89" t="s">
        <v>332</v>
      </c>
    </row>
    <row r="2437" spans="2:6" x14ac:dyDescent="0.55000000000000004">
      <c r="B2437" s="220">
        <v>25</v>
      </c>
      <c r="C2437" s="226" t="s">
        <v>2051</v>
      </c>
      <c r="D2437" s="226" t="s">
        <v>2051</v>
      </c>
      <c r="E2437" s="232" t="s">
        <v>789</v>
      </c>
      <c r="F2437" s="89" t="s">
        <v>332</v>
      </c>
    </row>
    <row r="2438" spans="2:6" x14ac:dyDescent="0.55000000000000004">
      <c r="B2438" s="220">
        <v>25</v>
      </c>
      <c r="C2438" s="226" t="s">
        <v>2052</v>
      </c>
      <c r="D2438" s="226" t="s">
        <v>2052</v>
      </c>
      <c r="E2438" s="232" t="s">
        <v>789</v>
      </c>
      <c r="F2438" s="89" t="s">
        <v>332</v>
      </c>
    </row>
    <row r="2439" spans="2:6" x14ac:dyDescent="0.55000000000000004">
      <c r="B2439" s="220">
        <v>25</v>
      </c>
      <c r="C2439" s="226" t="s">
        <v>2051</v>
      </c>
      <c r="D2439" s="226" t="s">
        <v>2051</v>
      </c>
      <c r="E2439" s="232" t="s">
        <v>2428</v>
      </c>
      <c r="F2439" s="89" t="s">
        <v>648</v>
      </c>
    </row>
    <row r="2440" spans="2:6" x14ac:dyDescent="0.55000000000000004">
      <c r="B2440" s="220">
        <v>25</v>
      </c>
      <c r="C2440" s="226" t="s">
        <v>2052</v>
      </c>
      <c r="D2440" s="226" t="s">
        <v>2052</v>
      </c>
      <c r="E2440" s="232" t="s">
        <v>2428</v>
      </c>
      <c r="F2440" s="89" t="s">
        <v>648</v>
      </c>
    </row>
    <row r="2441" spans="2:6" ht="25.8" x14ac:dyDescent="0.55000000000000004">
      <c r="B2441" s="220">
        <v>25</v>
      </c>
      <c r="C2441" s="226" t="s">
        <v>3096</v>
      </c>
      <c r="D2441" s="226" t="s">
        <v>2053</v>
      </c>
      <c r="E2441" s="232" t="s">
        <v>789</v>
      </c>
      <c r="F2441" s="89" t="s">
        <v>332</v>
      </c>
    </row>
    <row r="2442" spans="2:6" ht="25.8" x14ac:dyDescent="0.55000000000000004">
      <c r="B2442" s="220">
        <v>25</v>
      </c>
      <c r="C2442" s="226" t="s">
        <v>3097</v>
      </c>
      <c r="D2442" s="226" t="s">
        <v>2054</v>
      </c>
      <c r="E2442" s="232" t="s">
        <v>789</v>
      </c>
      <c r="F2442" s="89" t="s">
        <v>332</v>
      </c>
    </row>
    <row r="2443" spans="2:6" ht="25.8" x14ac:dyDescent="0.55000000000000004">
      <c r="B2443" s="220">
        <v>25</v>
      </c>
      <c r="C2443" s="226" t="s">
        <v>3096</v>
      </c>
      <c r="D2443" s="226" t="s">
        <v>2053</v>
      </c>
      <c r="E2443" s="232" t="s">
        <v>2428</v>
      </c>
      <c r="F2443" s="89" t="s">
        <v>648</v>
      </c>
    </row>
    <row r="2444" spans="2:6" ht="25.8" x14ac:dyDescent="0.55000000000000004">
      <c r="B2444" s="220">
        <v>25</v>
      </c>
      <c r="C2444" s="226" t="s">
        <v>3097</v>
      </c>
      <c r="D2444" s="226" t="s">
        <v>2054</v>
      </c>
      <c r="E2444" s="232" t="s">
        <v>2428</v>
      </c>
      <c r="F2444" s="89" t="s">
        <v>648</v>
      </c>
    </row>
    <row r="2445" spans="2:6" ht="25.8" x14ac:dyDescent="0.55000000000000004">
      <c r="B2445" s="220">
        <v>25</v>
      </c>
      <c r="C2445" s="226" t="s">
        <v>3098</v>
      </c>
      <c r="D2445" s="226" t="s">
        <v>2055</v>
      </c>
      <c r="E2445" s="232" t="s">
        <v>789</v>
      </c>
      <c r="F2445" s="89" t="s">
        <v>332</v>
      </c>
    </row>
    <row r="2446" spans="2:6" ht="25.8" x14ac:dyDescent="0.55000000000000004">
      <c r="B2446" s="220">
        <v>25</v>
      </c>
      <c r="C2446" s="226" t="s">
        <v>3099</v>
      </c>
      <c r="D2446" s="226" t="s">
        <v>2056</v>
      </c>
      <c r="E2446" s="232" t="s">
        <v>789</v>
      </c>
      <c r="F2446" s="89" t="s">
        <v>332</v>
      </c>
    </row>
    <row r="2447" spans="2:6" ht="25.8" x14ac:dyDescent="0.55000000000000004">
      <c r="B2447" s="220">
        <v>25</v>
      </c>
      <c r="C2447" s="226" t="s">
        <v>3098</v>
      </c>
      <c r="D2447" s="226" t="s">
        <v>2055</v>
      </c>
      <c r="E2447" s="232" t="s">
        <v>2428</v>
      </c>
      <c r="F2447" s="89" t="s">
        <v>648</v>
      </c>
    </row>
    <row r="2448" spans="2:6" ht="25.8" x14ac:dyDescent="0.55000000000000004">
      <c r="B2448" s="220">
        <v>25</v>
      </c>
      <c r="C2448" s="226" t="s">
        <v>3099</v>
      </c>
      <c r="D2448" s="226" t="s">
        <v>2056</v>
      </c>
      <c r="E2448" s="232" t="s">
        <v>2428</v>
      </c>
      <c r="F2448" s="89" t="s">
        <v>648</v>
      </c>
    </row>
    <row r="2449" spans="2:6" x14ac:dyDescent="0.55000000000000004">
      <c r="B2449" s="220">
        <v>25</v>
      </c>
      <c r="C2449" s="225" t="s">
        <v>2057</v>
      </c>
      <c r="D2449" s="225" t="s">
        <v>2057</v>
      </c>
      <c r="E2449" s="232" t="s">
        <v>789</v>
      </c>
      <c r="F2449" s="89" t="s">
        <v>332</v>
      </c>
    </row>
    <row r="2450" spans="2:6" x14ac:dyDescent="0.55000000000000004">
      <c r="B2450" s="220">
        <v>25</v>
      </c>
      <c r="C2450" s="225" t="s">
        <v>2058</v>
      </c>
      <c r="D2450" s="225" t="s">
        <v>2058</v>
      </c>
      <c r="E2450" s="232" t="s">
        <v>789</v>
      </c>
      <c r="F2450" s="89" t="s">
        <v>332</v>
      </c>
    </row>
    <row r="2451" spans="2:6" x14ac:dyDescent="0.55000000000000004">
      <c r="B2451" s="220">
        <v>25</v>
      </c>
      <c r="C2451" s="225" t="s">
        <v>2059</v>
      </c>
      <c r="D2451" s="225" t="s">
        <v>2059</v>
      </c>
      <c r="E2451" s="232" t="s">
        <v>789</v>
      </c>
      <c r="F2451" s="89" t="s">
        <v>332</v>
      </c>
    </row>
    <row r="2452" spans="2:6" x14ac:dyDescent="0.55000000000000004">
      <c r="B2452" s="220">
        <v>25</v>
      </c>
      <c r="C2452" s="225" t="s">
        <v>2060</v>
      </c>
      <c r="D2452" s="225" t="s">
        <v>2060</v>
      </c>
      <c r="E2452" s="232" t="s">
        <v>789</v>
      </c>
      <c r="F2452" s="89" t="s">
        <v>332</v>
      </c>
    </row>
    <row r="2453" spans="2:6" ht="25.8" x14ac:dyDescent="0.55000000000000004">
      <c r="B2453" s="220">
        <v>25</v>
      </c>
      <c r="C2453" s="225" t="s">
        <v>2778</v>
      </c>
      <c r="D2453" s="225" t="s">
        <v>2061</v>
      </c>
      <c r="E2453" s="232" t="s">
        <v>789</v>
      </c>
      <c r="F2453" s="89" t="s">
        <v>332</v>
      </c>
    </row>
    <row r="2454" spans="2:6" ht="25.8" x14ac:dyDescent="0.55000000000000004">
      <c r="B2454" s="220">
        <v>25</v>
      </c>
      <c r="C2454" s="225" t="s">
        <v>2778</v>
      </c>
      <c r="D2454" s="225" t="s">
        <v>2062</v>
      </c>
      <c r="E2454" s="232" t="s">
        <v>789</v>
      </c>
      <c r="F2454" s="89" t="s">
        <v>332</v>
      </c>
    </row>
    <row r="2455" spans="2:6" ht="25.8" x14ac:dyDescent="0.55000000000000004">
      <c r="B2455" s="220">
        <v>25</v>
      </c>
      <c r="C2455" s="225" t="s">
        <v>2778</v>
      </c>
      <c r="D2455" s="225" t="s">
        <v>2063</v>
      </c>
      <c r="E2455" s="232" t="s">
        <v>789</v>
      </c>
      <c r="F2455" s="89" t="s">
        <v>332</v>
      </c>
    </row>
    <row r="2456" spans="2:6" ht="25.8" x14ac:dyDescent="0.55000000000000004">
      <c r="B2456" s="220">
        <v>25</v>
      </c>
      <c r="C2456" s="225" t="s">
        <v>2778</v>
      </c>
      <c r="D2456" s="225" t="s">
        <v>2064</v>
      </c>
      <c r="E2456" s="232" t="s">
        <v>789</v>
      </c>
      <c r="F2456" s="89" t="s">
        <v>332</v>
      </c>
    </row>
    <row r="2457" spans="2:6" ht="25.8" x14ac:dyDescent="0.55000000000000004">
      <c r="B2457" s="220">
        <v>25</v>
      </c>
      <c r="C2457" s="225" t="s">
        <v>2778</v>
      </c>
      <c r="D2457" s="225" t="s">
        <v>2065</v>
      </c>
      <c r="E2457" s="232" t="s">
        <v>789</v>
      </c>
      <c r="F2457" s="89" t="s">
        <v>332</v>
      </c>
    </row>
    <row r="2458" spans="2:6" ht="25.8" x14ac:dyDescent="0.55000000000000004">
      <c r="B2458" s="220">
        <v>25</v>
      </c>
      <c r="C2458" s="225" t="s">
        <v>2778</v>
      </c>
      <c r="D2458" s="225" t="s">
        <v>2066</v>
      </c>
      <c r="E2458" s="232" t="s">
        <v>789</v>
      </c>
      <c r="F2458" s="89" t="s">
        <v>332</v>
      </c>
    </row>
    <row r="2459" spans="2:6" x14ac:dyDescent="0.55000000000000004">
      <c r="B2459" s="220">
        <v>25</v>
      </c>
      <c r="C2459" s="225" t="s">
        <v>2067</v>
      </c>
      <c r="D2459" s="225" t="s">
        <v>2067</v>
      </c>
      <c r="E2459" s="232" t="s">
        <v>789</v>
      </c>
      <c r="F2459" s="89" t="s">
        <v>332</v>
      </c>
    </row>
    <row r="2460" spans="2:6" x14ac:dyDescent="0.55000000000000004">
      <c r="B2460" s="220">
        <v>25</v>
      </c>
      <c r="C2460" s="225" t="s">
        <v>2068</v>
      </c>
      <c r="D2460" s="225" t="s">
        <v>2068</v>
      </c>
      <c r="E2460" s="232" t="s">
        <v>789</v>
      </c>
      <c r="F2460" s="89" t="s">
        <v>332</v>
      </c>
    </row>
    <row r="2461" spans="2:6" x14ac:dyDescent="0.55000000000000004">
      <c r="B2461" s="220">
        <v>25</v>
      </c>
      <c r="C2461" s="225" t="s">
        <v>2069</v>
      </c>
      <c r="D2461" s="225" t="s">
        <v>2069</v>
      </c>
      <c r="E2461" s="232" t="s">
        <v>789</v>
      </c>
      <c r="F2461" s="89" t="s">
        <v>332</v>
      </c>
    </row>
    <row r="2462" spans="2:6" x14ac:dyDescent="0.55000000000000004">
      <c r="B2462" s="220">
        <v>25</v>
      </c>
      <c r="C2462" s="225" t="s">
        <v>2070</v>
      </c>
      <c r="D2462" s="225" t="s">
        <v>2070</v>
      </c>
      <c r="E2462" s="232" t="s">
        <v>789</v>
      </c>
      <c r="F2462" s="89" t="s">
        <v>332</v>
      </c>
    </row>
    <row r="2463" spans="2:6" ht="25.8" x14ac:dyDescent="0.55000000000000004">
      <c r="B2463" s="220">
        <v>25</v>
      </c>
      <c r="C2463" s="225" t="s">
        <v>3100</v>
      </c>
      <c r="D2463" s="225" t="s">
        <v>2071</v>
      </c>
      <c r="E2463" s="232" t="s">
        <v>789</v>
      </c>
      <c r="F2463" s="89" t="s">
        <v>332</v>
      </c>
    </row>
    <row r="2464" spans="2:6" ht="25.8" x14ac:dyDescent="0.55000000000000004">
      <c r="B2464" s="220">
        <v>25</v>
      </c>
      <c r="C2464" s="225" t="s">
        <v>3101</v>
      </c>
      <c r="D2464" s="225" t="s">
        <v>2072</v>
      </c>
      <c r="E2464" s="232" t="s">
        <v>789</v>
      </c>
      <c r="F2464" s="89" t="s">
        <v>332</v>
      </c>
    </row>
    <row r="2465" spans="2:6" ht="38.700000000000003" x14ac:dyDescent="0.55000000000000004">
      <c r="B2465" s="220">
        <v>25</v>
      </c>
      <c r="C2465" s="225" t="s">
        <v>3102</v>
      </c>
      <c r="D2465" s="225" t="s">
        <v>2073</v>
      </c>
      <c r="E2465" s="232" t="s">
        <v>789</v>
      </c>
      <c r="F2465" s="89" t="s">
        <v>332</v>
      </c>
    </row>
    <row r="2466" spans="2:6" ht="38.700000000000003" x14ac:dyDescent="0.55000000000000004">
      <c r="B2466" s="220">
        <v>25</v>
      </c>
      <c r="C2466" s="225" t="s">
        <v>3103</v>
      </c>
      <c r="D2466" s="225" t="s">
        <v>2074</v>
      </c>
      <c r="E2466" s="232" t="s">
        <v>789</v>
      </c>
      <c r="F2466" s="89" t="s">
        <v>332</v>
      </c>
    </row>
    <row r="2467" spans="2:6" ht="25.8" x14ac:dyDescent="0.55000000000000004">
      <c r="B2467" s="220">
        <v>25</v>
      </c>
      <c r="C2467" s="225" t="s">
        <v>2075</v>
      </c>
      <c r="D2467" s="225" t="s">
        <v>2075</v>
      </c>
      <c r="E2467" s="232" t="s">
        <v>789</v>
      </c>
      <c r="F2467" s="89" t="s">
        <v>332</v>
      </c>
    </row>
    <row r="2468" spans="2:6" ht="25.8" x14ac:dyDescent="0.55000000000000004">
      <c r="B2468" s="220">
        <v>25</v>
      </c>
      <c r="C2468" s="225" t="s">
        <v>2076</v>
      </c>
      <c r="D2468" s="225" t="s">
        <v>2076</v>
      </c>
      <c r="E2468" s="232" t="s">
        <v>789</v>
      </c>
      <c r="F2468" s="89" t="s">
        <v>332</v>
      </c>
    </row>
    <row r="2469" spans="2:6" ht="25.8" x14ac:dyDescent="0.55000000000000004">
      <c r="B2469" s="220">
        <v>25</v>
      </c>
      <c r="C2469" s="225" t="s">
        <v>2077</v>
      </c>
      <c r="D2469" s="225" t="s">
        <v>2077</v>
      </c>
      <c r="E2469" s="232" t="s">
        <v>789</v>
      </c>
      <c r="F2469" s="89" t="s">
        <v>332</v>
      </c>
    </row>
    <row r="2470" spans="2:6" ht="25.8" x14ac:dyDescent="0.55000000000000004">
      <c r="B2470" s="220">
        <v>25</v>
      </c>
      <c r="C2470" s="225" t="s">
        <v>2078</v>
      </c>
      <c r="D2470" s="225" t="s">
        <v>2078</v>
      </c>
      <c r="E2470" s="232" t="s">
        <v>789</v>
      </c>
      <c r="F2470" s="89" t="s">
        <v>332</v>
      </c>
    </row>
    <row r="2471" spans="2:6" ht="25.8" x14ac:dyDescent="0.55000000000000004">
      <c r="B2471" s="220">
        <v>25</v>
      </c>
      <c r="C2471" s="225" t="s">
        <v>3104</v>
      </c>
      <c r="D2471" s="225" t="s">
        <v>2079</v>
      </c>
      <c r="E2471" s="232" t="s">
        <v>789</v>
      </c>
      <c r="F2471" s="89" t="s">
        <v>332</v>
      </c>
    </row>
    <row r="2472" spans="2:6" ht="25.8" x14ac:dyDescent="0.55000000000000004">
      <c r="B2472" s="220">
        <v>25</v>
      </c>
      <c r="C2472" s="225" t="s">
        <v>2080</v>
      </c>
      <c r="D2472" s="225" t="s">
        <v>2080</v>
      </c>
      <c r="E2472" s="232" t="s">
        <v>789</v>
      </c>
      <c r="F2472" s="89" t="s">
        <v>332</v>
      </c>
    </row>
    <row r="2473" spans="2:6" ht="25.8" x14ac:dyDescent="0.55000000000000004">
      <c r="B2473" s="220">
        <v>25</v>
      </c>
      <c r="C2473" s="225" t="s">
        <v>2081</v>
      </c>
      <c r="D2473" s="225" t="s">
        <v>2081</v>
      </c>
      <c r="E2473" s="232" t="s">
        <v>789</v>
      </c>
      <c r="F2473" s="89" t="s">
        <v>332</v>
      </c>
    </row>
    <row r="2474" spans="2:6" ht="25.8" x14ac:dyDescent="0.55000000000000004">
      <c r="B2474" s="220">
        <v>25</v>
      </c>
      <c r="C2474" s="225" t="s">
        <v>2082</v>
      </c>
      <c r="D2474" s="225" t="s">
        <v>2082</v>
      </c>
      <c r="E2474" s="232" t="s">
        <v>789</v>
      </c>
      <c r="F2474" s="89" t="s">
        <v>332</v>
      </c>
    </row>
    <row r="2475" spans="2:6" ht="25.8" x14ac:dyDescent="0.55000000000000004">
      <c r="B2475" s="220">
        <v>25</v>
      </c>
      <c r="C2475" s="225" t="s">
        <v>2083</v>
      </c>
      <c r="D2475" s="225" t="s">
        <v>2083</v>
      </c>
      <c r="E2475" s="232" t="s">
        <v>789</v>
      </c>
      <c r="F2475" s="89" t="s">
        <v>332</v>
      </c>
    </row>
    <row r="2476" spans="2:6" x14ac:dyDescent="0.55000000000000004">
      <c r="B2476" s="220">
        <v>25</v>
      </c>
      <c r="C2476" s="225" t="s">
        <v>2084</v>
      </c>
      <c r="D2476" s="225" t="s">
        <v>2084</v>
      </c>
      <c r="E2476" s="232" t="s">
        <v>789</v>
      </c>
      <c r="F2476" s="89" t="s">
        <v>332</v>
      </c>
    </row>
    <row r="2477" spans="2:6" x14ac:dyDescent="0.55000000000000004">
      <c r="B2477" s="220">
        <v>25</v>
      </c>
      <c r="C2477" s="225" t="s">
        <v>2085</v>
      </c>
      <c r="D2477" s="225" t="s">
        <v>2085</v>
      </c>
      <c r="E2477" s="232" t="s">
        <v>789</v>
      </c>
      <c r="F2477" s="89" t="s">
        <v>332</v>
      </c>
    </row>
    <row r="2478" spans="2:6" ht="25.8" x14ac:dyDescent="0.55000000000000004">
      <c r="B2478" s="220">
        <v>25</v>
      </c>
      <c r="C2478" s="225" t="s">
        <v>3105</v>
      </c>
      <c r="D2478" s="225" t="s">
        <v>2086</v>
      </c>
      <c r="E2478" s="232" t="s">
        <v>789</v>
      </c>
      <c r="F2478" s="89" t="s">
        <v>332</v>
      </c>
    </row>
    <row r="2479" spans="2:6" ht="25.8" x14ac:dyDescent="0.55000000000000004">
      <c r="B2479" s="220">
        <v>25</v>
      </c>
      <c r="C2479" s="225" t="s">
        <v>2087</v>
      </c>
      <c r="D2479" s="225" t="s">
        <v>2087</v>
      </c>
      <c r="E2479" s="232" t="s">
        <v>789</v>
      </c>
      <c r="F2479" s="89" t="s">
        <v>332</v>
      </c>
    </row>
    <row r="2480" spans="2:6" ht="25.8" x14ac:dyDescent="0.55000000000000004">
      <c r="B2480" s="220">
        <v>25</v>
      </c>
      <c r="C2480" s="225" t="s">
        <v>2088</v>
      </c>
      <c r="D2480" s="225" t="s">
        <v>2088</v>
      </c>
      <c r="E2480" s="232" t="s">
        <v>789</v>
      </c>
      <c r="F2480" s="89" t="s">
        <v>332</v>
      </c>
    </row>
    <row r="2481" spans="2:6" ht="25.8" x14ac:dyDescent="0.55000000000000004">
      <c r="B2481" s="220">
        <v>25</v>
      </c>
      <c r="C2481" s="225" t="s">
        <v>3106</v>
      </c>
      <c r="D2481" s="225" t="s">
        <v>2089</v>
      </c>
      <c r="E2481" s="232" t="s">
        <v>789</v>
      </c>
      <c r="F2481" s="89" t="s">
        <v>332</v>
      </c>
    </row>
    <row r="2482" spans="2:6" ht="25.8" x14ac:dyDescent="0.55000000000000004">
      <c r="B2482" s="220">
        <v>25</v>
      </c>
      <c r="C2482" s="225" t="s">
        <v>3107</v>
      </c>
      <c r="D2482" s="225" t="s">
        <v>2090</v>
      </c>
      <c r="E2482" s="232" t="s">
        <v>789</v>
      </c>
      <c r="F2482" s="89" t="s">
        <v>332</v>
      </c>
    </row>
    <row r="2483" spans="2:6" ht="25.8" x14ac:dyDescent="0.55000000000000004">
      <c r="B2483" s="220">
        <v>25</v>
      </c>
      <c r="C2483" s="225" t="s">
        <v>2091</v>
      </c>
      <c r="D2483" s="225" t="s">
        <v>2091</v>
      </c>
      <c r="E2483" s="232" t="s">
        <v>789</v>
      </c>
      <c r="F2483" s="89" t="s">
        <v>332</v>
      </c>
    </row>
    <row r="2484" spans="2:6" x14ac:dyDescent="0.55000000000000004">
      <c r="B2484" s="220">
        <v>25</v>
      </c>
      <c r="C2484" s="225" t="s">
        <v>2092</v>
      </c>
      <c r="D2484" s="225" t="s">
        <v>2092</v>
      </c>
      <c r="E2484" s="232" t="s">
        <v>789</v>
      </c>
      <c r="F2484" s="89" t="s">
        <v>332</v>
      </c>
    </row>
    <row r="2485" spans="2:6" ht="25.8" x14ac:dyDescent="0.55000000000000004">
      <c r="B2485" s="220">
        <v>25</v>
      </c>
      <c r="C2485" s="225" t="s">
        <v>3108</v>
      </c>
      <c r="D2485" s="225" t="s">
        <v>2093</v>
      </c>
      <c r="E2485" s="232" t="s">
        <v>789</v>
      </c>
      <c r="F2485" s="89" t="s">
        <v>332</v>
      </c>
    </row>
    <row r="2486" spans="2:6" ht="25.8" x14ac:dyDescent="0.55000000000000004">
      <c r="B2486" s="220">
        <v>25</v>
      </c>
      <c r="C2486" s="225" t="s">
        <v>3109</v>
      </c>
      <c r="D2486" s="225" t="s">
        <v>2094</v>
      </c>
      <c r="E2486" s="232" t="s">
        <v>789</v>
      </c>
      <c r="F2486" s="89" t="s">
        <v>332</v>
      </c>
    </row>
    <row r="2487" spans="2:6" x14ac:dyDescent="0.55000000000000004">
      <c r="B2487" s="220">
        <v>25</v>
      </c>
      <c r="C2487" s="225" t="s">
        <v>2095</v>
      </c>
      <c r="D2487" s="225" t="s">
        <v>2095</v>
      </c>
      <c r="E2487" s="232" t="s">
        <v>789</v>
      </c>
      <c r="F2487" s="89" t="s">
        <v>332</v>
      </c>
    </row>
    <row r="2488" spans="2:6" x14ac:dyDescent="0.55000000000000004">
      <c r="B2488" s="220">
        <v>25</v>
      </c>
      <c r="C2488" s="225" t="s">
        <v>2096</v>
      </c>
      <c r="D2488" s="225" t="s">
        <v>2096</v>
      </c>
      <c r="E2488" s="232" t="s">
        <v>789</v>
      </c>
      <c r="F2488" s="89" t="s">
        <v>332</v>
      </c>
    </row>
    <row r="2489" spans="2:6" x14ac:dyDescent="0.55000000000000004">
      <c r="B2489" s="220">
        <v>25</v>
      </c>
      <c r="C2489" s="225" t="s">
        <v>2097</v>
      </c>
      <c r="D2489" s="225" t="s">
        <v>2097</v>
      </c>
      <c r="E2489" s="232" t="s">
        <v>789</v>
      </c>
      <c r="F2489" s="89" t="s">
        <v>332</v>
      </c>
    </row>
    <row r="2490" spans="2:6" ht="25.8" x14ac:dyDescent="0.55000000000000004">
      <c r="B2490" s="220">
        <v>25</v>
      </c>
      <c r="C2490" s="225" t="s">
        <v>3110</v>
      </c>
      <c r="D2490" s="225" t="s">
        <v>2098</v>
      </c>
      <c r="E2490" s="232" t="s">
        <v>789</v>
      </c>
      <c r="F2490" s="89" t="s">
        <v>332</v>
      </c>
    </row>
    <row r="2491" spans="2:6" ht="25.8" x14ac:dyDescent="0.55000000000000004">
      <c r="B2491" s="220">
        <v>25</v>
      </c>
      <c r="C2491" s="225" t="s">
        <v>3111</v>
      </c>
      <c r="D2491" s="225" t="s">
        <v>2099</v>
      </c>
      <c r="E2491" s="232" t="s">
        <v>789</v>
      </c>
      <c r="F2491" s="89" t="s">
        <v>332</v>
      </c>
    </row>
    <row r="2492" spans="2:6" ht="25.8" x14ac:dyDescent="0.55000000000000004">
      <c r="B2492" s="220">
        <v>25</v>
      </c>
      <c r="C2492" s="225" t="s">
        <v>3112</v>
      </c>
      <c r="D2492" s="225" t="s">
        <v>2100</v>
      </c>
      <c r="E2492" s="232" t="s">
        <v>789</v>
      </c>
      <c r="F2492" s="89" t="s">
        <v>332</v>
      </c>
    </row>
    <row r="2493" spans="2:6" ht="25.8" x14ac:dyDescent="0.55000000000000004">
      <c r="B2493" s="220">
        <v>25</v>
      </c>
      <c r="C2493" s="225" t="s">
        <v>3113</v>
      </c>
      <c r="D2493" s="225" t="s">
        <v>2101</v>
      </c>
      <c r="E2493" s="232" t="s">
        <v>789</v>
      </c>
      <c r="F2493" s="89" t="s">
        <v>332</v>
      </c>
    </row>
    <row r="2494" spans="2:6" ht="25.8" x14ac:dyDescent="0.55000000000000004">
      <c r="B2494" s="220">
        <v>25</v>
      </c>
      <c r="C2494" s="225" t="s">
        <v>2102</v>
      </c>
      <c r="D2494" s="225" t="s">
        <v>2102</v>
      </c>
      <c r="E2494" s="232" t="s">
        <v>789</v>
      </c>
      <c r="F2494" s="89" t="s">
        <v>332</v>
      </c>
    </row>
    <row r="2495" spans="2:6" ht="25.8" x14ac:dyDescent="0.55000000000000004">
      <c r="B2495" s="220">
        <v>25</v>
      </c>
      <c r="C2495" s="225" t="s">
        <v>2103</v>
      </c>
      <c r="D2495" s="225" t="s">
        <v>2103</v>
      </c>
      <c r="E2495" s="232" t="s">
        <v>789</v>
      </c>
      <c r="F2495" s="89" t="s">
        <v>332</v>
      </c>
    </row>
    <row r="2496" spans="2:6" ht="25.8" x14ac:dyDescent="0.55000000000000004">
      <c r="B2496" s="220">
        <v>25</v>
      </c>
      <c r="C2496" s="225" t="s">
        <v>3114</v>
      </c>
      <c r="D2496" s="225" t="s">
        <v>2104</v>
      </c>
      <c r="E2496" s="232" t="s">
        <v>789</v>
      </c>
      <c r="F2496" s="89" t="s">
        <v>332</v>
      </c>
    </row>
    <row r="2497" spans="2:6" ht="25.8" x14ac:dyDescent="0.55000000000000004">
      <c r="B2497" s="220">
        <v>25</v>
      </c>
      <c r="C2497" s="225" t="s">
        <v>3115</v>
      </c>
      <c r="D2497" s="225" t="s">
        <v>2105</v>
      </c>
      <c r="E2497" s="232" t="s">
        <v>789</v>
      </c>
      <c r="F2497" s="89" t="s">
        <v>332</v>
      </c>
    </row>
    <row r="2498" spans="2:6" x14ac:dyDescent="0.55000000000000004">
      <c r="B2498" s="220">
        <v>25</v>
      </c>
      <c r="C2498" s="225" t="s">
        <v>2106</v>
      </c>
      <c r="D2498" s="225" t="s">
        <v>2106</v>
      </c>
      <c r="E2498" s="232" t="s">
        <v>789</v>
      </c>
      <c r="F2498" s="89" t="s">
        <v>332</v>
      </c>
    </row>
    <row r="2499" spans="2:6" x14ac:dyDescent="0.55000000000000004">
      <c r="B2499" s="220">
        <v>25</v>
      </c>
      <c r="C2499" s="225" t="s">
        <v>2107</v>
      </c>
      <c r="D2499" s="225" t="s">
        <v>2107</v>
      </c>
      <c r="E2499" s="232" t="s">
        <v>789</v>
      </c>
      <c r="F2499" s="89" t="s">
        <v>332</v>
      </c>
    </row>
    <row r="2500" spans="2:6" x14ac:dyDescent="0.55000000000000004">
      <c r="B2500" s="220">
        <v>25</v>
      </c>
      <c r="C2500" s="225" t="s">
        <v>2108</v>
      </c>
      <c r="D2500" s="225" t="s">
        <v>2108</v>
      </c>
      <c r="E2500" s="232" t="s">
        <v>789</v>
      </c>
      <c r="F2500" s="89" t="s">
        <v>332</v>
      </c>
    </row>
    <row r="2501" spans="2:6" x14ac:dyDescent="0.55000000000000004">
      <c r="B2501" s="220">
        <v>25</v>
      </c>
      <c r="C2501" s="225" t="s">
        <v>2109</v>
      </c>
      <c r="D2501" s="225" t="s">
        <v>2109</v>
      </c>
      <c r="E2501" s="232" t="s">
        <v>789</v>
      </c>
      <c r="F2501" s="89" t="s">
        <v>332</v>
      </c>
    </row>
    <row r="2502" spans="2:6" ht="25.8" x14ac:dyDescent="0.55000000000000004">
      <c r="B2502" s="220">
        <v>25</v>
      </c>
      <c r="C2502" s="225" t="s">
        <v>3116</v>
      </c>
      <c r="D2502" s="225" t="s">
        <v>2110</v>
      </c>
      <c r="E2502" s="232" t="s">
        <v>789</v>
      </c>
      <c r="F2502" s="89" t="s">
        <v>332</v>
      </c>
    </row>
    <row r="2503" spans="2:6" ht="25.8" x14ac:dyDescent="0.55000000000000004">
      <c r="B2503" s="220">
        <v>25</v>
      </c>
      <c r="C2503" s="225" t="s">
        <v>3117</v>
      </c>
      <c r="D2503" s="225" t="s">
        <v>2111</v>
      </c>
      <c r="E2503" s="232" t="s">
        <v>789</v>
      </c>
      <c r="F2503" s="89" t="s">
        <v>332</v>
      </c>
    </row>
    <row r="2504" spans="2:6" x14ac:dyDescent="0.55000000000000004">
      <c r="B2504" s="220">
        <v>25</v>
      </c>
      <c r="C2504" s="225" t="s">
        <v>2112</v>
      </c>
      <c r="D2504" s="225" t="s">
        <v>2112</v>
      </c>
      <c r="E2504" s="232" t="s">
        <v>789</v>
      </c>
      <c r="F2504" s="89" t="s">
        <v>332</v>
      </c>
    </row>
    <row r="2505" spans="2:6" x14ac:dyDescent="0.55000000000000004">
      <c r="B2505" s="220">
        <v>25</v>
      </c>
      <c r="C2505" s="225" t="s">
        <v>2113</v>
      </c>
      <c r="D2505" s="225" t="s">
        <v>2113</v>
      </c>
      <c r="E2505" s="232" t="s">
        <v>789</v>
      </c>
      <c r="F2505" s="89" t="s">
        <v>332</v>
      </c>
    </row>
    <row r="2506" spans="2:6" x14ac:dyDescent="0.55000000000000004">
      <c r="B2506" s="220">
        <v>25</v>
      </c>
      <c r="C2506" s="225" t="s">
        <v>2114</v>
      </c>
      <c r="D2506" s="225" t="s">
        <v>2114</v>
      </c>
      <c r="E2506" s="232" t="s">
        <v>789</v>
      </c>
      <c r="F2506" s="89" t="s">
        <v>332</v>
      </c>
    </row>
    <row r="2507" spans="2:6" x14ac:dyDescent="0.55000000000000004">
      <c r="B2507" s="220">
        <v>25</v>
      </c>
      <c r="C2507" s="225" t="s">
        <v>2115</v>
      </c>
      <c r="D2507" s="225" t="s">
        <v>2115</v>
      </c>
      <c r="E2507" s="232" t="s">
        <v>789</v>
      </c>
      <c r="F2507" s="89" t="s">
        <v>332</v>
      </c>
    </row>
    <row r="2508" spans="2:6" x14ac:dyDescent="0.55000000000000004">
      <c r="B2508" s="220">
        <v>25</v>
      </c>
      <c r="C2508" s="225" t="s">
        <v>2116</v>
      </c>
      <c r="D2508" s="225" t="s">
        <v>2116</v>
      </c>
      <c r="E2508" s="232" t="s">
        <v>789</v>
      </c>
      <c r="F2508" s="89" t="s">
        <v>332</v>
      </c>
    </row>
    <row r="2509" spans="2:6" ht="25.8" x14ac:dyDescent="0.55000000000000004">
      <c r="B2509" s="220">
        <v>25</v>
      </c>
      <c r="C2509" s="225" t="s">
        <v>2117</v>
      </c>
      <c r="D2509" s="225" t="s">
        <v>2117</v>
      </c>
      <c r="E2509" s="232" t="s">
        <v>789</v>
      </c>
      <c r="F2509" s="89" t="s">
        <v>332</v>
      </c>
    </row>
    <row r="2510" spans="2:6" ht="25.8" x14ac:dyDescent="0.55000000000000004">
      <c r="B2510" s="220">
        <v>25</v>
      </c>
      <c r="C2510" s="225" t="s">
        <v>2118</v>
      </c>
      <c r="D2510" s="225" t="s">
        <v>2118</v>
      </c>
      <c r="E2510" s="232" t="s">
        <v>789</v>
      </c>
      <c r="F2510" s="89" t="s">
        <v>332</v>
      </c>
    </row>
    <row r="2511" spans="2:6" ht="25.8" x14ac:dyDescent="0.55000000000000004">
      <c r="B2511" s="220">
        <v>25</v>
      </c>
      <c r="C2511" s="225" t="s">
        <v>2119</v>
      </c>
      <c r="D2511" s="225" t="s">
        <v>2119</v>
      </c>
      <c r="E2511" s="232" t="s">
        <v>789</v>
      </c>
      <c r="F2511" s="89" t="s">
        <v>332</v>
      </c>
    </row>
    <row r="2512" spans="2:6" ht="25.8" x14ac:dyDescent="0.55000000000000004">
      <c r="B2512" s="220">
        <v>25</v>
      </c>
      <c r="C2512" s="225" t="s">
        <v>2120</v>
      </c>
      <c r="D2512" s="225" t="s">
        <v>2120</v>
      </c>
      <c r="E2512" s="232" t="s">
        <v>789</v>
      </c>
      <c r="F2512" s="89" t="s">
        <v>332</v>
      </c>
    </row>
    <row r="2513" spans="2:6" ht="25.8" x14ac:dyDescent="0.55000000000000004">
      <c r="B2513" s="220">
        <v>25</v>
      </c>
      <c r="C2513" s="225" t="s">
        <v>3118</v>
      </c>
      <c r="D2513" s="225" t="s">
        <v>2121</v>
      </c>
      <c r="E2513" s="232" t="s">
        <v>789</v>
      </c>
      <c r="F2513" s="89" t="s">
        <v>332</v>
      </c>
    </row>
    <row r="2514" spans="2:6" ht="25.8" x14ac:dyDescent="0.55000000000000004">
      <c r="B2514" s="220">
        <v>25</v>
      </c>
      <c r="C2514" s="225" t="s">
        <v>3119</v>
      </c>
      <c r="D2514" s="225" t="s">
        <v>2122</v>
      </c>
      <c r="E2514" s="232" t="s">
        <v>789</v>
      </c>
      <c r="F2514" s="89" t="s">
        <v>332</v>
      </c>
    </row>
    <row r="2515" spans="2:6" ht="25.8" x14ac:dyDescent="0.55000000000000004">
      <c r="B2515" s="220">
        <v>25</v>
      </c>
      <c r="C2515" s="225" t="s">
        <v>2123</v>
      </c>
      <c r="D2515" s="225" t="s">
        <v>2123</v>
      </c>
      <c r="E2515" s="232" t="s">
        <v>789</v>
      </c>
      <c r="F2515" s="89" t="s">
        <v>332</v>
      </c>
    </row>
    <row r="2516" spans="2:6" ht="25.8" x14ac:dyDescent="0.55000000000000004">
      <c r="B2516" s="220">
        <v>25</v>
      </c>
      <c r="C2516" s="225" t="s">
        <v>2124</v>
      </c>
      <c r="D2516" s="225" t="s">
        <v>2124</v>
      </c>
      <c r="E2516" s="232" t="s">
        <v>789</v>
      </c>
      <c r="F2516" s="89" t="s">
        <v>332</v>
      </c>
    </row>
    <row r="2517" spans="2:6" ht="25.8" x14ac:dyDescent="0.55000000000000004">
      <c r="B2517" s="220">
        <v>25</v>
      </c>
      <c r="C2517" s="225" t="s">
        <v>2125</v>
      </c>
      <c r="D2517" s="225" t="s">
        <v>2125</v>
      </c>
      <c r="E2517" s="232" t="s">
        <v>789</v>
      </c>
      <c r="F2517" s="89" t="s">
        <v>332</v>
      </c>
    </row>
    <row r="2518" spans="2:6" ht="25.8" x14ac:dyDescent="0.55000000000000004">
      <c r="B2518" s="220">
        <v>25</v>
      </c>
      <c r="C2518" s="225" t="s">
        <v>2126</v>
      </c>
      <c r="D2518" s="225" t="s">
        <v>2126</v>
      </c>
      <c r="E2518" s="232" t="s">
        <v>789</v>
      </c>
      <c r="F2518" s="89" t="s">
        <v>332</v>
      </c>
    </row>
    <row r="2519" spans="2:6" x14ac:dyDescent="0.55000000000000004">
      <c r="B2519" s="220">
        <v>25</v>
      </c>
      <c r="C2519" s="225" t="s">
        <v>2127</v>
      </c>
      <c r="D2519" s="225" t="s">
        <v>2127</v>
      </c>
      <c r="E2519" s="232" t="s">
        <v>789</v>
      </c>
      <c r="F2519" s="89" t="s">
        <v>332</v>
      </c>
    </row>
    <row r="2520" spans="2:6" x14ac:dyDescent="0.55000000000000004">
      <c r="B2520" s="220">
        <v>25</v>
      </c>
      <c r="C2520" s="225" t="s">
        <v>2128</v>
      </c>
      <c r="D2520" s="225" t="s">
        <v>2128</v>
      </c>
      <c r="E2520" s="232" t="s">
        <v>789</v>
      </c>
      <c r="F2520" s="89" t="s">
        <v>332</v>
      </c>
    </row>
    <row r="2521" spans="2:6" ht="25.8" x14ac:dyDescent="0.55000000000000004">
      <c r="B2521" s="220">
        <v>25</v>
      </c>
      <c r="C2521" s="225" t="s">
        <v>2129</v>
      </c>
      <c r="D2521" s="225" t="s">
        <v>2129</v>
      </c>
      <c r="E2521" s="232" t="s">
        <v>789</v>
      </c>
      <c r="F2521" s="89" t="s">
        <v>332</v>
      </c>
    </row>
    <row r="2522" spans="2:6" ht="25.8" x14ac:dyDescent="0.55000000000000004">
      <c r="B2522" s="220">
        <v>25</v>
      </c>
      <c r="C2522" s="225" t="s">
        <v>2130</v>
      </c>
      <c r="D2522" s="225" t="s">
        <v>2130</v>
      </c>
      <c r="E2522" s="232" t="s">
        <v>789</v>
      </c>
      <c r="F2522" s="89" t="s">
        <v>332</v>
      </c>
    </row>
    <row r="2523" spans="2:6" ht="38.700000000000003" x14ac:dyDescent="0.55000000000000004">
      <c r="B2523" s="220">
        <v>25</v>
      </c>
      <c r="C2523" s="225" t="s">
        <v>3120</v>
      </c>
      <c r="D2523" s="225" t="s">
        <v>2131</v>
      </c>
      <c r="E2523" s="232" t="s">
        <v>789</v>
      </c>
      <c r="F2523" s="89" t="s">
        <v>332</v>
      </c>
    </row>
    <row r="2524" spans="2:6" x14ac:dyDescent="0.55000000000000004">
      <c r="B2524" s="220">
        <v>25</v>
      </c>
      <c r="C2524" s="225" t="s">
        <v>2132</v>
      </c>
      <c r="D2524" s="225" t="s">
        <v>2132</v>
      </c>
      <c r="E2524" s="232" t="s">
        <v>789</v>
      </c>
      <c r="F2524" s="89" t="s">
        <v>332</v>
      </c>
    </row>
    <row r="2525" spans="2:6" x14ac:dyDescent="0.55000000000000004">
      <c r="B2525" s="220">
        <v>25</v>
      </c>
      <c r="C2525" s="225" t="s">
        <v>2133</v>
      </c>
      <c r="D2525" s="225" t="s">
        <v>2133</v>
      </c>
      <c r="E2525" s="232" t="s">
        <v>789</v>
      </c>
      <c r="F2525" s="89" t="s">
        <v>332</v>
      </c>
    </row>
    <row r="2526" spans="2:6" ht="25.8" x14ac:dyDescent="0.55000000000000004">
      <c r="B2526" s="220">
        <v>25</v>
      </c>
      <c r="C2526" s="225" t="s">
        <v>2134</v>
      </c>
      <c r="D2526" s="225" t="s">
        <v>2134</v>
      </c>
      <c r="E2526" s="232" t="s">
        <v>789</v>
      </c>
      <c r="F2526" s="89" t="s">
        <v>332</v>
      </c>
    </row>
    <row r="2527" spans="2:6" ht="25.8" x14ac:dyDescent="0.55000000000000004">
      <c r="B2527" s="220">
        <v>25</v>
      </c>
      <c r="C2527" s="225" t="s">
        <v>2135</v>
      </c>
      <c r="D2527" s="225" t="s">
        <v>2135</v>
      </c>
      <c r="E2527" s="232" t="s">
        <v>789</v>
      </c>
      <c r="F2527" s="89" t="s">
        <v>332</v>
      </c>
    </row>
    <row r="2528" spans="2:6" ht="25.8" x14ac:dyDescent="0.55000000000000004">
      <c r="B2528" s="220">
        <v>25</v>
      </c>
      <c r="C2528" s="225" t="s">
        <v>3121</v>
      </c>
      <c r="D2528" s="225" t="s">
        <v>2136</v>
      </c>
      <c r="E2528" s="232" t="s">
        <v>789</v>
      </c>
      <c r="F2528" s="89" t="s">
        <v>332</v>
      </c>
    </row>
    <row r="2529" spans="2:6" ht="25.8" x14ac:dyDescent="0.55000000000000004">
      <c r="B2529" s="220">
        <v>25</v>
      </c>
      <c r="C2529" s="225" t="s">
        <v>3122</v>
      </c>
      <c r="D2529" s="225" t="s">
        <v>2137</v>
      </c>
      <c r="E2529" s="232" t="s">
        <v>789</v>
      </c>
      <c r="F2529" s="89" t="s">
        <v>332</v>
      </c>
    </row>
    <row r="2530" spans="2:6" ht="25.8" x14ac:dyDescent="0.55000000000000004">
      <c r="B2530" s="220">
        <v>25</v>
      </c>
      <c r="C2530" s="225" t="s">
        <v>2138</v>
      </c>
      <c r="D2530" s="225" t="s">
        <v>2138</v>
      </c>
      <c r="E2530" s="232" t="s">
        <v>789</v>
      </c>
      <c r="F2530" s="89" t="s">
        <v>332</v>
      </c>
    </row>
    <row r="2531" spans="2:6" ht="25.8" x14ac:dyDescent="0.55000000000000004">
      <c r="B2531" s="220">
        <v>25</v>
      </c>
      <c r="C2531" s="225" t="s">
        <v>2139</v>
      </c>
      <c r="D2531" s="225" t="s">
        <v>2139</v>
      </c>
      <c r="E2531" s="232" t="s">
        <v>789</v>
      </c>
      <c r="F2531" s="89" t="s">
        <v>332</v>
      </c>
    </row>
    <row r="2532" spans="2:6" x14ac:dyDescent="0.55000000000000004">
      <c r="B2532" s="220">
        <v>25</v>
      </c>
      <c r="C2532" s="225" t="s">
        <v>2140</v>
      </c>
      <c r="D2532" s="225" t="s">
        <v>2140</v>
      </c>
      <c r="E2532" s="232" t="s">
        <v>789</v>
      </c>
      <c r="F2532" s="89" t="s">
        <v>332</v>
      </c>
    </row>
    <row r="2533" spans="2:6" x14ac:dyDescent="0.55000000000000004">
      <c r="B2533" s="220">
        <v>25</v>
      </c>
      <c r="C2533" s="225" t="s">
        <v>2141</v>
      </c>
      <c r="D2533" s="225" t="s">
        <v>2141</v>
      </c>
      <c r="E2533" s="232" t="s">
        <v>789</v>
      </c>
      <c r="F2533" s="89" t="s">
        <v>332</v>
      </c>
    </row>
    <row r="2534" spans="2:6" x14ac:dyDescent="0.55000000000000004">
      <c r="B2534" s="220">
        <v>25</v>
      </c>
      <c r="C2534" s="225" t="s">
        <v>2142</v>
      </c>
      <c r="D2534" s="225" t="s">
        <v>2142</v>
      </c>
      <c r="E2534" s="232" t="s">
        <v>789</v>
      </c>
      <c r="F2534" s="89" t="s">
        <v>332</v>
      </c>
    </row>
    <row r="2535" spans="2:6" x14ac:dyDescent="0.55000000000000004">
      <c r="B2535" s="220">
        <v>25</v>
      </c>
      <c r="C2535" s="225" t="s">
        <v>2143</v>
      </c>
      <c r="D2535" s="225" t="s">
        <v>2143</v>
      </c>
      <c r="E2535" s="232" t="s">
        <v>789</v>
      </c>
      <c r="F2535" s="89" t="s">
        <v>332</v>
      </c>
    </row>
    <row r="2536" spans="2:6" ht="25.8" x14ac:dyDescent="0.55000000000000004">
      <c r="B2536" s="220">
        <v>25</v>
      </c>
      <c r="C2536" s="225" t="s">
        <v>2144</v>
      </c>
      <c r="D2536" s="225" t="s">
        <v>2144</v>
      </c>
      <c r="E2536" s="232" t="s">
        <v>789</v>
      </c>
      <c r="F2536" s="89" t="s">
        <v>332</v>
      </c>
    </row>
    <row r="2537" spans="2:6" ht="25.8" x14ac:dyDescent="0.55000000000000004">
      <c r="B2537" s="220">
        <v>25</v>
      </c>
      <c r="C2537" s="225" t="s">
        <v>2145</v>
      </c>
      <c r="D2537" s="225" t="s">
        <v>2145</v>
      </c>
      <c r="E2537" s="232" t="s">
        <v>789</v>
      </c>
      <c r="F2537" s="89" t="s">
        <v>332</v>
      </c>
    </row>
    <row r="2538" spans="2:6" x14ac:dyDescent="0.55000000000000004">
      <c r="B2538" s="220">
        <v>25</v>
      </c>
      <c r="C2538" s="225" t="s">
        <v>2146</v>
      </c>
      <c r="D2538" s="225" t="s">
        <v>2146</v>
      </c>
      <c r="E2538" s="232" t="s">
        <v>789</v>
      </c>
      <c r="F2538" s="89" t="s">
        <v>332</v>
      </c>
    </row>
    <row r="2539" spans="2:6" x14ac:dyDescent="0.55000000000000004">
      <c r="B2539" s="220">
        <v>25</v>
      </c>
      <c r="C2539" s="225" t="s">
        <v>2147</v>
      </c>
      <c r="D2539" s="225" t="s">
        <v>2147</v>
      </c>
      <c r="E2539" s="232" t="s">
        <v>789</v>
      </c>
      <c r="F2539" s="89" t="s">
        <v>332</v>
      </c>
    </row>
    <row r="2540" spans="2:6" ht="25.8" x14ac:dyDescent="0.55000000000000004">
      <c r="B2540" s="220">
        <v>25</v>
      </c>
      <c r="C2540" s="225" t="s">
        <v>3123</v>
      </c>
      <c r="D2540" s="225" t="s">
        <v>2148</v>
      </c>
      <c r="E2540" s="232" t="s">
        <v>789</v>
      </c>
      <c r="F2540" s="89" t="s">
        <v>332</v>
      </c>
    </row>
    <row r="2541" spans="2:6" ht="25.8" x14ac:dyDescent="0.55000000000000004">
      <c r="B2541" s="220">
        <v>25</v>
      </c>
      <c r="C2541" s="225" t="s">
        <v>3124</v>
      </c>
      <c r="D2541" s="225" t="s">
        <v>2149</v>
      </c>
      <c r="E2541" s="232" t="s">
        <v>789</v>
      </c>
      <c r="F2541" s="89" t="s">
        <v>332</v>
      </c>
    </row>
    <row r="2542" spans="2:6" x14ac:dyDescent="0.55000000000000004">
      <c r="B2542" s="220">
        <v>25</v>
      </c>
      <c r="C2542" s="225" t="s">
        <v>2150</v>
      </c>
      <c r="D2542" s="225" t="s">
        <v>2150</v>
      </c>
      <c r="E2542" s="232" t="s">
        <v>789</v>
      </c>
      <c r="F2542" s="89" t="s">
        <v>332</v>
      </c>
    </row>
    <row r="2543" spans="2:6" x14ac:dyDescent="0.55000000000000004">
      <c r="B2543" s="220">
        <v>25</v>
      </c>
      <c r="C2543" s="225" t="s">
        <v>2151</v>
      </c>
      <c r="D2543" s="225" t="s">
        <v>2151</v>
      </c>
      <c r="E2543" s="232" t="s">
        <v>789</v>
      </c>
      <c r="F2543" s="89" t="s">
        <v>332</v>
      </c>
    </row>
    <row r="2544" spans="2:6" ht="25.8" x14ac:dyDescent="0.55000000000000004">
      <c r="B2544" s="220">
        <v>25</v>
      </c>
      <c r="C2544" s="225" t="s">
        <v>3125</v>
      </c>
      <c r="D2544" s="225" t="s">
        <v>2152</v>
      </c>
      <c r="E2544" s="232" t="s">
        <v>789</v>
      </c>
      <c r="F2544" s="89" t="s">
        <v>332</v>
      </c>
    </row>
    <row r="2545" spans="2:6" ht="25.8" x14ac:dyDescent="0.55000000000000004">
      <c r="B2545" s="220">
        <v>25</v>
      </c>
      <c r="C2545" s="225" t="s">
        <v>3126</v>
      </c>
      <c r="D2545" s="225" t="s">
        <v>2153</v>
      </c>
      <c r="E2545" s="232" t="s">
        <v>789</v>
      </c>
      <c r="F2545" s="89" t="s">
        <v>332</v>
      </c>
    </row>
    <row r="2546" spans="2:6" ht="25.8" x14ac:dyDescent="0.55000000000000004">
      <c r="B2546" s="220">
        <v>25</v>
      </c>
      <c r="C2546" s="225" t="s">
        <v>2154</v>
      </c>
      <c r="D2546" s="225" t="s">
        <v>2154</v>
      </c>
      <c r="E2546" s="232" t="s">
        <v>789</v>
      </c>
      <c r="F2546" s="89" t="s">
        <v>332</v>
      </c>
    </row>
    <row r="2547" spans="2:6" ht="25.8" x14ac:dyDescent="0.55000000000000004">
      <c r="B2547" s="220">
        <v>25</v>
      </c>
      <c r="C2547" s="225" t="s">
        <v>2155</v>
      </c>
      <c r="D2547" s="225" t="s">
        <v>2155</v>
      </c>
      <c r="E2547" s="232" t="s">
        <v>789</v>
      </c>
      <c r="F2547" s="89" t="s">
        <v>332</v>
      </c>
    </row>
    <row r="2548" spans="2:6" ht="25.8" x14ac:dyDescent="0.55000000000000004">
      <c r="B2548" s="220">
        <v>25</v>
      </c>
      <c r="C2548" s="225" t="s">
        <v>2156</v>
      </c>
      <c r="D2548" s="225" t="s">
        <v>2156</v>
      </c>
      <c r="E2548" s="232" t="s">
        <v>789</v>
      </c>
      <c r="F2548" s="89" t="s">
        <v>332</v>
      </c>
    </row>
    <row r="2549" spans="2:6" ht="25.8" x14ac:dyDescent="0.55000000000000004">
      <c r="B2549" s="220">
        <v>25</v>
      </c>
      <c r="C2549" s="225" t="s">
        <v>2157</v>
      </c>
      <c r="D2549" s="225" t="s">
        <v>2157</v>
      </c>
      <c r="E2549" s="232" t="s">
        <v>789</v>
      </c>
      <c r="F2549" s="89" t="s">
        <v>332</v>
      </c>
    </row>
    <row r="2550" spans="2:6" ht="25.8" x14ac:dyDescent="0.55000000000000004">
      <c r="B2550" s="220">
        <v>25</v>
      </c>
      <c r="C2550" s="225" t="s">
        <v>2158</v>
      </c>
      <c r="D2550" s="225" t="s">
        <v>2158</v>
      </c>
      <c r="E2550" s="232" t="s">
        <v>789</v>
      </c>
      <c r="F2550" s="89" t="s">
        <v>332</v>
      </c>
    </row>
    <row r="2551" spans="2:6" ht="25.8" x14ac:dyDescent="0.55000000000000004">
      <c r="B2551" s="220">
        <v>25</v>
      </c>
      <c r="C2551" s="225" t="s">
        <v>2159</v>
      </c>
      <c r="D2551" s="225" t="s">
        <v>2159</v>
      </c>
      <c r="E2551" s="232" t="s">
        <v>789</v>
      </c>
      <c r="F2551" s="89" t="s">
        <v>332</v>
      </c>
    </row>
    <row r="2552" spans="2:6" ht="25.8" x14ac:dyDescent="0.55000000000000004">
      <c r="B2552" s="220">
        <v>25</v>
      </c>
      <c r="C2552" s="225" t="s">
        <v>2160</v>
      </c>
      <c r="D2552" s="225" t="s">
        <v>2160</v>
      </c>
      <c r="E2552" s="232" t="s">
        <v>789</v>
      </c>
      <c r="F2552" s="89" t="s">
        <v>332</v>
      </c>
    </row>
    <row r="2553" spans="2:6" ht="25.8" x14ac:dyDescent="0.55000000000000004">
      <c r="B2553" s="220">
        <v>25</v>
      </c>
      <c r="C2553" s="225" t="s">
        <v>2161</v>
      </c>
      <c r="D2553" s="225" t="s">
        <v>2161</v>
      </c>
      <c r="E2553" s="232" t="s">
        <v>789</v>
      </c>
      <c r="F2553" s="89" t="s">
        <v>332</v>
      </c>
    </row>
    <row r="2554" spans="2:6" ht="25.8" x14ac:dyDescent="0.55000000000000004">
      <c r="B2554" s="220">
        <v>25</v>
      </c>
      <c r="C2554" s="225" t="s">
        <v>3127</v>
      </c>
      <c r="D2554" s="225" t="s">
        <v>2162</v>
      </c>
      <c r="E2554" s="232" t="s">
        <v>789</v>
      </c>
      <c r="F2554" s="89" t="s">
        <v>332</v>
      </c>
    </row>
    <row r="2555" spans="2:6" ht="25.8" x14ac:dyDescent="0.55000000000000004">
      <c r="B2555" s="220">
        <v>25</v>
      </c>
      <c r="C2555" s="225" t="s">
        <v>3128</v>
      </c>
      <c r="D2555" s="225" t="s">
        <v>2163</v>
      </c>
      <c r="E2555" s="232" t="s">
        <v>789</v>
      </c>
      <c r="F2555" s="89" t="s">
        <v>332</v>
      </c>
    </row>
    <row r="2556" spans="2:6" x14ac:dyDescent="0.55000000000000004">
      <c r="B2556" s="220">
        <v>25</v>
      </c>
      <c r="C2556" s="225" t="s">
        <v>2164</v>
      </c>
      <c r="D2556" s="225" t="s">
        <v>2164</v>
      </c>
      <c r="E2556" s="232" t="s">
        <v>789</v>
      </c>
      <c r="F2556" s="89" t="s">
        <v>332</v>
      </c>
    </row>
    <row r="2557" spans="2:6" x14ac:dyDescent="0.55000000000000004">
      <c r="B2557" s="220">
        <v>25</v>
      </c>
      <c r="C2557" s="225" t="s">
        <v>2165</v>
      </c>
      <c r="D2557" s="225" t="s">
        <v>2165</v>
      </c>
      <c r="E2557" s="232" t="s">
        <v>789</v>
      </c>
      <c r="F2557" s="89" t="s">
        <v>332</v>
      </c>
    </row>
    <row r="2558" spans="2:6" x14ac:dyDescent="0.55000000000000004">
      <c r="B2558" s="220">
        <v>25</v>
      </c>
      <c r="C2558" s="225" t="s">
        <v>2166</v>
      </c>
      <c r="D2558" s="225" t="s">
        <v>2166</v>
      </c>
      <c r="E2558" s="232" t="s">
        <v>789</v>
      </c>
      <c r="F2558" s="89" t="s">
        <v>332</v>
      </c>
    </row>
    <row r="2559" spans="2:6" x14ac:dyDescent="0.55000000000000004">
      <c r="B2559" s="220">
        <v>25</v>
      </c>
      <c r="C2559" s="225" t="s">
        <v>2167</v>
      </c>
      <c r="D2559" s="225" t="s">
        <v>2167</v>
      </c>
      <c r="E2559" s="232" t="s">
        <v>789</v>
      </c>
      <c r="F2559" s="89" t="s">
        <v>332</v>
      </c>
    </row>
    <row r="2560" spans="2:6" ht="25.8" x14ac:dyDescent="0.55000000000000004">
      <c r="B2560" s="220">
        <v>25</v>
      </c>
      <c r="C2560" s="225" t="s">
        <v>2168</v>
      </c>
      <c r="D2560" s="225" t="s">
        <v>2168</v>
      </c>
      <c r="E2560" s="232" t="s">
        <v>789</v>
      </c>
      <c r="F2560" s="89" t="s">
        <v>332</v>
      </c>
    </row>
    <row r="2561" spans="2:6" ht="25.8" x14ac:dyDescent="0.55000000000000004">
      <c r="B2561" s="220">
        <v>25</v>
      </c>
      <c r="C2561" s="225" t="s">
        <v>2169</v>
      </c>
      <c r="D2561" s="225" t="s">
        <v>2169</v>
      </c>
      <c r="E2561" s="232" t="s">
        <v>789</v>
      </c>
      <c r="F2561" s="89" t="s">
        <v>332</v>
      </c>
    </row>
    <row r="2562" spans="2:6" ht="25.8" x14ac:dyDescent="0.55000000000000004">
      <c r="B2562" s="220">
        <v>25</v>
      </c>
      <c r="C2562" s="225" t="s">
        <v>3129</v>
      </c>
      <c r="D2562" s="225" t="s">
        <v>2170</v>
      </c>
      <c r="E2562" s="232" t="s">
        <v>789</v>
      </c>
      <c r="F2562" s="89" t="s">
        <v>332</v>
      </c>
    </row>
    <row r="2563" spans="2:6" ht="25.8" x14ac:dyDescent="0.55000000000000004">
      <c r="B2563" s="220">
        <v>25</v>
      </c>
      <c r="C2563" s="225" t="s">
        <v>3130</v>
      </c>
      <c r="D2563" s="225" t="s">
        <v>2171</v>
      </c>
      <c r="E2563" s="232" t="s">
        <v>789</v>
      </c>
      <c r="F2563" s="89" t="s">
        <v>332</v>
      </c>
    </row>
    <row r="2564" spans="2:6" x14ac:dyDescent="0.55000000000000004">
      <c r="B2564" s="220">
        <v>25</v>
      </c>
      <c r="C2564" s="225" t="s">
        <v>2172</v>
      </c>
      <c r="D2564" s="225" t="s">
        <v>2172</v>
      </c>
      <c r="E2564" s="232" t="s">
        <v>789</v>
      </c>
      <c r="F2564" s="89" t="s">
        <v>332</v>
      </c>
    </row>
    <row r="2565" spans="2:6" x14ac:dyDescent="0.55000000000000004">
      <c r="B2565" s="220">
        <v>25</v>
      </c>
      <c r="C2565" s="225" t="s">
        <v>2173</v>
      </c>
      <c r="D2565" s="225" t="s">
        <v>2173</v>
      </c>
      <c r="E2565" s="232" t="s">
        <v>789</v>
      </c>
      <c r="F2565" s="89" t="s">
        <v>332</v>
      </c>
    </row>
    <row r="2566" spans="2:6" ht="25.8" x14ac:dyDescent="0.55000000000000004">
      <c r="B2566" s="220">
        <v>25</v>
      </c>
      <c r="C2566" s="225" t="s">
        <v>2174</v>
      </c>
      <c r="D2566" s="225" t="s">
        <v>2174</v>
      </c>
      <c r="E2566" s="232" t="s">
        <v>789</v>
      </c>
      <c r="F2566" s="89" t="s">
        <v>332</v>
      </c>
    </row>
    <row r="2567" spans="2:6" ht="25.8" x14ac:dyDescent="0.55000000000000004">
      <c r="B2567" s="220">
        <v>25</v>
      </c>
      <c r="C2567" s="225" t="s">
        <v>2175</v>
      </c>
      <c r="D2567" s="225" t="s">
        <v>2175</v>
      </c>
      <c r="E2567" s="232" t="s">
        <v>789</v>
      </c>
      <c r="F2567" s="89" t="s">
        <v>332</v>
      </c>
    </row>
    <row r="2568" spans="2:6" x14ac:dyDescent="0.55000000000000004">
      <c r="B2568" s="220">
        <v>25</v>
      </c>
      <c r="C2568" s="225" t="s">
        <v>2176</v>
      </c>
      <c r="D2568" s="225" t="s">
        <v>2176</v>
      </c>
      <c r="E2568" s="232" t="s">
        <v>789</v>
      </c>
      <c r="F2568" s="89" t="s">
        <v>332</v>
      </c>
    </row>
    <row r="2569" spans="2:6" x14ac:dyDescent="0.55000000000000004">
      <c r="B2569" s="220">
        <v>25</v>
      </c>
      <c r="C2569" s="225" t="s">
        <v>2177</v>
      </c>
      <c r="D2569" s="225" t="s">
        <v>2177</v>
      </c>
      <c r="E2569" s="232" t="s">
        <v>789</v>
      </c>
      <c r="F2569" s="89" t="s">
        <v>332</v>
      </c>
    </row>
    <row r="2570" spans="2:6" ht="25.8" x14ac:dyDescent="0.55000000000000004">
      <c r="B2570" s="220">
        <v>25</v>
      </c>
      <c r="C2570" s="225" t="s">
        <v>2178</v>
      </c>
      <c r="D2570" s="225" t="s">
        <v>2178</v>
      </c>
      <c r="E2570" s="232" t="s">
        <v>789</v>
      </c>
      <c r="F2570" s="89" t="s">
        <v>332</v>
      </c>
    </row>
    <row r="2571" spans="2:6" ht="25.8" x14ac:dyDescent="0.55000000000000004">
      <c r="B2571" s="220">
        <v>25</v>
      </c>
      <c r="C2571" s="225" t="s">
        <v>2179</v>
      </c>
      <c r="D2571" s="225" t="s">
        <v>2179</v>
      </c>
      <c r="E2571" s="232" t="s">
        <v>789</v>
      </c>
      <c r="F2571" s="89" t="s">
        <v>332</v>
      </c>
    </row>
    <row r="2572" spans="2:6" ht="25.8" x14ac:dyDescent="0.55000000000000004">
      <c r="B2572" s="220">
        <v>25</v>
      </c>
      <c r="C2572" s="225" t="s">
        <v>3131</v>
      </c>
      <c r="D2572" s="225" t="s">
        <v>2180</v>
      </c>
      <c r="E2572" s="232" t="s">
        <v>789</v>
      </c>
      <c r="F2572" s="89" t="s">
        <v>332</v>
      </c>
    </row>
    <row r="2573" spans="2:6" ht="25.8" x14ac:dyDescent="0.55000000000000004">
      <c r="B2573" s="220">
        <v>25</v>
      </c>
      <c r="C2573" s="225" t="s">
        <v>3132</v>
      </c>
      <c r="D2573" s="225" t="s">
        <v>2181</v>
      </c>
      <c r="E2573" s="232" t="s">
        <v>789</v>
      </c>
      <c r="F2573" s="89" t="s">
        <v>332</v>
      </c>
    </row>
    <row r="2574" spans="2:6" ht="25.8" x14ac:dyDescent="0.55000000000000004">
      <c r="B2574" s="220">
        <v>25</v>
      </c>
      <c r="C2574" s="225" t="s">
        <v>3133</v>
      </c>
      <c r="D2574" s="225" t="s">
        <v>2182</v>
      </c>
      <c r="E2574" s="232" t="s">
        <v>789</v>
      </c>
      <c r="F2574" s="89" t="s">
        <v>332</v>
      </c>
    </row>
    <row r="2575" spans="2:6" ht="25.8" x14ac:dyDescent="0.55000000000000004">
      <c r="B2575" s="220">
        <v>25</v>
      </c>
      <c r="C2575" s="225" t="s">
        <v>3134</v>
      </c>
      <c r="D2575" s="225" t="s">
        <v>2183</v>
      </c>
      <c r="E2575" s="232" t="s">
        <v>789</v>
      </c>
      <c r="F2575" s="89" t="s">
        <v>332</v>
      </c>
    </row>
    <row r="2576" spans="2:6" x14ac:dyDescent="0.55000000000000004">
      <c r="B2576" s="220">
        <v>25</v>
      </c>
      <c r="C2576" s="225" t="s">
        <v>2184</v>
      </c>
      <c r="D2576" s="225" t="s">
        <v>2184</v>
      </c>
      <c r="E2576" s="232" t="s">
        <v>789</v>
      </c>
      <c r="F2576" s="89" t="s">
        <v>332</v>
      </c>
    </row>
    <row r="2577" spans="2:6" x14ac:dyDescent="0.55000000000000004">
      <c r="B2577" s="220">
        <v>25</v>
      </c>
      <c r="C2577" s="225" t="s">
        <v>2185</v>
      </c>
      <c r="D2577" s="225" t="s">
        <v>2185</v>
      </c>
      <c r="E2577" s="232" t="s">
        <v>789</v>
      </c>
      <c r="F2577" s="89" t="s">
        <v>332</v>
      </c>
    </row>
    <row r="2578" spans="2:6" ht="25.8" x14ac:dyDescent="0.55000000000000004">
      <c r="B2578" s="220">
        <v>25</v>
      </c>
      <c r="C2578" s="226" t="s">
        <v>3135</v>
      </c>
      <c r="D2578" s="226" t="s">
        <v>2186</v>
      </c>
      <c r="E2578" s="232" t="s">
        <v>789</v>
      </c>
      <c r="F2578" s="89" t="s">
        <v>332</v>
      </c>
    </row>
    <row r="2579" spans="2:6" ht="25.8" x14ac:dyDescent="0.55000000000000004">
      <c r="B2579" s="220">
        <v>25</v>
      </c>
      <c r="C2579" s="226" t="s">
        <v>3136</v>
      </c>
      <c r="D2579" s="226" t="s">
        <v>2187</v>
      </c>
      <c r="E2579" s="232" t="s">
        <v>789</v>
      </c>
      <c r="F2579" s="89" t="s">
        <v>332</v>
      </c>
    </row>
    <row r="2580" spans="2:6" ht="25.8" x14ac:dyDescent="0.55000000000000004">
      <c r="B2580" s="220">
        <v>25</v>
      </c>
      <c r="C2580" s="226" t="s">
        <v>3135</v>
      </c>
      <c r="D2580" s="226" t="s">
        <v>2186</v>
      </c>
      <c r="E2580" s="232" t="s">
        <v>2428</v>
      </c>
      <c r="F2580" s="89" t="s">
        <v>648</v>
      </c>
    </row>
    <row r="2581" spans="2:6" ht="25.8" x14ac:dyDescent="0.55000000000000004">
      <c r="B2581" s="220">
        <v>25</v>
      </c>
      <c r="C2581" s="226" t="s">
        <v>3136</v>
      </c>
      <c r="D2581" s="226" t="s">
        <v>2187</v>
      </c>
      <c r="E2581" s="232" t="s">
        <v>2428</v>
      </c>
      <c r="F2581" s="89" t="s">
        <v>648</v>
      </c>
    </row>
    <row r="2582" spans="2:6" ht="25.8" x14ac:dyDescent="0.55000000000000004">
      <c r="B2582" s="220">
        <v>25</v>
      </c>
      <c r="C2582" s="225" t="s">
        <v>2188</v>
      </c>
      <c r="D2582" s="225" t="s">
        <v>2188</v>
      </c>
      <c r="E2582" s="232" t="s">
        <v>789</v>
      </c>
      <c r="F2582" s="89" t="s">
        <v>332</v>
      </c>
    </row>
    <row r="2583" spans="2:6" ht="25.8" x14ac:dyDescent="0.55000000000000004">
      <c r="B2583" s="220">
        <v>25</v>
      </c>
      <c r="C2583" s="225" t="s">
        <v>2189</v>
      </c>
      <c r="D2583" s="225" t="s">
        <v>2189</v>
      </c>
      <c r="E2583" s="232" t="s">
        <v>789</v>
      </c>
      <c r="F2583" s="89" t="s">
        <v>332</v>
      </c>
    </row>
    <row r="2584" spans="2:6" ht="25.8" x14ac:dyDescent="0.55000000000000004">
      <c r="B2584" s="220">
        <v>25</v>
      </c>
      <c r="C2584" s="225" t="s">
        <v>3137</v>
      </c>
      <c r="D2584" s="225" t="s">
        <v>2190</v>
      </c>
      <c r="E2584" s="232" t="s">
        <v>789</v>
      </c>
      <c r="F2584" s="89" t="s">
        <v>332</v>
      </c>
    </row>
    <row r="2585" spans="2:6" ht="25.8" x14ac:dyDescent="0.55000000000000004">
      <c r="B2585" s="220">
        <v>25</v>
      </c>
      <c r="C2585" s="225" t="s">
        <v>3138</v>
      </c>
      <c r="D2585" s="225" t="s">
        <v>2191</v>
      </c>
      <c r="E2585" s="232" t="s">
        <v>789</v>
      </c>
      <c r="F2585" s="89" t="s">
        <v>332</v>
      </c>
    </row>
    <row r="2586" spans="2:6" x14ac:dyDescent="0.55000000000000004">
      <c r="B2586" s="220">
        <v>25</v>
      </c>
      <c r="C2586" s="225" t="s">
        <v>2192</v>
      </c>
      <c r="D2586" s="225" t="s">
        <v>2192</v>
      </c>
      <c r="E2586" s="232" t="s">
        <v>789</v>
      </c>
      <c r="F2586" s="89" t="s">
        <v>332</v>
      </c>
    </row>
    <row r="2587" spans="2:6" x14ac:dyDescent="0.55000000000000004">
      <c r="B2587" s="220">
        <v>25</v>
      </c>
      <c r="C2587" s="225" t="s">
        <v>2193</v>
      </c>
      <c r="D2587" s="225" t="s">
        <v>2193</v>
      </c>
      <c r="E2587" s="232" t="s">
        <v>789</v>
      </c>
      <c r="F2587" s="89" t="s">
        <v>332</v>
      </c>
    </row>
    <row r="2588" spans="2:6" x14ac:dyDescent="0.55000000000000004">
      <c r="B2588" s="220">
        <v>25</v>
      </c>
      <c r="C2588" s="225" t="s">
        <v>2194</v>
      </c>
      <c r="D2588" s="225" t="s">
        <v>2194</v>
      </c>
      <c r="E2588" s="232" t="s">
        <v>337</v>
      </c>
      <c r="F2588" s="89" t="s">
        <v>338</v>
      </c>
    </row>
    <row r="2589" spans="2:6" x14ac:dyDescent="0.55000000000000004">
      <c r="B2589" s="220">
        <v>25</v>
      </c>
      <c r="C2589" s="225" t="s">
        <v>2195</v>
      </c>
      <c r="D2589" s="225" t="s">
        <v>2195</v>
      </c>
      <c r="E2589" s="232" t="s">
        <v>337</v>
      </c>
      <c r="F2589" s="89" t="s">
        <v>338</v>
      </c>
    </row>
    <row r="2590" spans="2:6" ht="25.8" x14ac:dyDescent="0.55000000000000004">
      <c r="B2590" s="220">
        <v>25</v>
      </c>
      <c r="C2590" s="225" t="s">
        <v>2196</v>
      </c>
      <c r="D2590" s="225" t="s">
        <v>2196</v>
      </c>
      <c r="E2590" s="232" t="s">
        <v>789</v>
      </c>
      <c r="F2590" s="89" t="s">
        <v>332</v>
      </c>
    </row>
    <row r="2591" spans="2:6" ht="25.8" x14ac:dyDescent="0.55000000000000004">
      <c r="B2591" s="220">
        <v>25</v>
      </c>
      <c r="C2591" s="225" t="s">
        <v>2197</v>
      </c>
      <c r="D2591" s="225" t="s">
        <v>2197</v>
      </c>
      <c r="E2591" s="232" t="s">
        <v>789</v>
      </c>
      <c r="F2591" s="89" t="s">
        <v>332</v>
      </c>
    </row>
    <row r="2592" spans="2:6" x14ac:dyDescent="0.55000000000000004">
      <c r="B2592" s="220">
        <v>25</v>
      </c>
      <c r="C2592" s="225" t="s">
        <v>2198</v>
      </c>
      <c r="D2592" s="225" t="s">
        <v>2198</v>
      </c>
      <c r="E2592" s="232" t="s">
        <v>789</v>
      </c>
      <c r="F2592" s="89" t="s">
        <v>332</v>
      </c>
    </row>
    <row r="2593" spans="2:6" x14ac:dyDescent="0.55000000000000004">
      <c r="B2593" s="220">
        <v>25</v>
      </c>
      <c r="C2593" s="225" t="s">
        <v>2199</v>
      </c>
      <c r="D2593" s="225" t="s">
        <v>2199</v>
      </c>
      <c r="E2593" s="232" t="s">
        <v>789</v>
      </c>
      <c r="F2593" s="89" t="s">
        <v>332</v>
      </c>
    </row>
    <row r="2594" spans="2:6" ht="25.8" x14ac:dyDescent="0.55000000000000004">
      <c r="B2594" s="220">
        <v>25</v>
      </c>
      <c r="C2594" s="225" t="s">
        <v>3139</v>
      </c>
      <c r="D2594" s="225" t="s">
        <v>2200</v>
      </c>
      <c r="E2594" s="232" t="s">
        <v>789</v>
      </c>
      <c r="F2594" s="89" t="s">
        <v>332</v>
      </c>
    </row>
    <row r="2595" spans="2:6" ht="25.8" x14ac:dyDescent="0.55000000000000004">
      <c r="B2595" s="220">
        <v>25</v>
      </c>
      <c r="C2595" s="225" t="s">
        <v>3140</v>
      </c>
      <c r="D2595" s="225" t="s">
        <v>2201</v>
      </c>
      <c r="E2595" s="232" t="s">
        <v>789</v>
      </c>
      <c r="F2595" s="89" t="s">
        <v>332</v>
      </c>
    </row>
    <row r="2596" spans="2:6" ht="25.8" x14ac:dyDescent="0.55000000000000004">
      <c r="B2596" s="220">
        <v>25</v>
      </c>
      <c r="C2596" s="225" t="s">
        <v>2202</v>
      </c>
      <c r="D2596" s="225" t="s">
        <v>2202</v>
      </c>
      <c r="E2596" s="232" t="s">
        <v>789</v>
      </c>
      <c r="F2596" s="89" t="s">
        <v>332</v>
      </c>
    </row>
    <row r="2597" spans="2:6" ht="25.8" x14ac:dyDescent="0.55000000000000004">
      <c r="B2597" s="220">
        <v>25</v>
      </c>
      <c r="C2597" s="225" t="s">
        <v>2203</v>
      </c>
      <c r="D2597" s="225" t="s">
        <v>2203</v>
      </c>
      <c r="E2597" s="232" t="s">
        <v>789</v>
      </c>
      <c r="F2597" s="89" t="s">
        <v>332</v>
      </c>
    </row>
    <row r="2598" spans="2:6" ht="38.700000000000003" x14ac:dyDescent="0.55000000000000004">
      <c r="B2598" s="220">
        <v>25</v>
      </c>
      <c r="C2598" s="225" t="s">
        <v>3141</v>
      </c>
      <c r="D2598" s="225" t="s">
        <v>2204</v>
      </c>
      <c r="E2598" s="232" t="s">
        <v>789</v>
      </c>
      <c r="F2598" s="89" t="s">
        <v>332</v>
      </c>
    </row>
    <row r="2599" spans="2:6" ht="38.700000000000003" x14ac:dyDescent="0.55000000000000004">
      <c r="B2599" s="220">
        <v>25</v>
      </c>
      <c r="C2599" s="225" t="s">
        <v>3142</v>
      </c>
      <c r="D2599" s="225" t="s">
        <v>2205</v>
      </c>
      <c r="E2599" s="232" t="s">
        <v>789</v>
      </c>
      <c r="F2599" s="89" t="s">
        <v>332</v>
      </c>
    </row>
    <row r="2600" spans="2:6" ht="25.8" x14ac:dyDescent="0.55000000000000004">
      <c r="B2600" s="220">
        <v>25</v>
      </c>
      <c r="C2600" s="225" t="s">
        <v>2206</v>
      </c>
      <c r="D2600" s="225" t="s">
        <v>2206</v>
      </c>
      <c r="E2600" s="232" t="s">
        <v>789</v>
      </c>
      <c r="F2600" s="89" t="s">
        <v>332</v>
      </c>
    </row>
    <row r="2601" spans="2:6" ht="25.8" x14ac:dyDescent="0.55000000000000004">
      <c r="B2601" s="220">
        <v>25</v>
      </c>
      <c r="C2601" s="225" t="s">
        <v>2207</v>
      </c>
      <c r="D2601" s="225" t="s">
        <v>2207</v>
      </c>
      <c r="E2601" s="232" t="s">
        <v>789</v>
      </c>
      <c r="F2601" s="89" t="s">
        <v>332</v>
      </c>
    </row>
    <row r="2602" spans="2:6" ht="25.8" x14ac:dyDescent="0.55000000000000004">
      <c r="B2602" s="220">
        <v>25</v>
      </c>
      <c r="C2602" s="225" t="s">
        <v>2208</v>
      </c>
      <c r="D2602" s="225" t="s">
        <v>2208</v>
      </c>
      <c r="E2602" s="232" t="s">
        <v>789</v>
      </c>
      <c r="F2602" s="89" t="s">
        <v>332</v>
      </c>
    </row>
    <row r="2603" spans="2:6" ht="25.8" x14ac:dyDescent="0.55000000000000004">
      <c r="B2603" s="220">
        <v>25</v>
      </c>
      <c r="C2603" s="225" t="s">
        <v>2209</v>
      </c>
      <c r="D2603" s="225" t="s">
        <v>2209</v>
      </c>
      <c r="E2603" s="232" t="s">
        <v>789</v>
      </c>
      <c r="F2603" s="89" t="s">
        <v>332</v>
      </c>
    </row>
    <row r="2604" spans="2:6" ht="25.8" x14ac:dyDescent="0.55000000000000004">
      <c r="B2604" s="220">
        <v>25</v>
      </c>
      <c r="C2604" s="225" t="s">
        <v>3143</v>
      </c>
      <c r="D2604" s="225" t="s">
        <v>2210</v>
      </c>
      <c r="E2604" s="232" t="s">
        <v>789</v>
      </c>
      <c r="F2604" s="89" t="s">
        <v>332</v>
      </c>
    </row>
    <row r="2605" spans="2:6" ht="25.8" x14ac:dyDescent="0.55000000000000004">
      <c r="B2605" s="220">
        <v>25</v>
      </c>
      <c r="C2605" s="225" t="s">
        <v>3144</v>
      </c>
      <c r="D2605" s="225" t="s">
        <v>2211</v>
      </c>
      <c r="E2605" s="232" t="s">
        <v>789</v>
      </c>
      <c r="F2605" s="89" t="s">
        <v>332</v>
      </c>
    </row>
    <row r="2606" spans="2:6" ht="25.8" x14ac:dyDescent="0.55000000000000004">
      <c r="B2606" s="220">
        <v>25</v>
      </c>
      <c r="C2606" s="225" t="s">
        <v>2212</v>
      </c>
      <c r="D2606" s="225" t="s">
        <v>2212</v>
      </c>
      <c r="E2606" s="232" t="s">
        <v>789</v>
      </c>
      <c r="F2606" s="89" t="s">
        <v>332</v>
      </c>
    </row>
    <row r="2607" spans="2:6" ht="25.8" x14ac:dyDescent="0.55000000000000004">
      <c r="B2607" s="220">
        <v>25</v>
      </c>
      <c r="C2607" s="225" t="s">
        <v>2213</v>
      </c>
      <c r="D2607" s="225" t="s">
        <v>2213</v>
      </c>
      <c r="E2607" s="232" t="s">
        <v>789</v>
      </c>
      <c r="F2607" s="89" t="s">
        <v>332</v>
      </c>
    </row>
    <row r="2608" spans="2:6" ht="25.8" x14ac:dyDescent="0.55000000000000004">
      <c r="B2608" s="220">
        <v>25</v>
      </c>
      <c r="C2608" s="225" t="s">
        <v>2214</v>
      </c>
      <c r="D2608" s="225" t="s">
        <v>2214</v>
      </c>
      <c r="E2608" s="232" t="s">
        <v>789</v>
      </c>
      <c r="F2608" s="89" t="s">
        <v>332</v>
      </c>
    </row>
    <row r="2609" spans="2:6" ht="25.8" x14ac:dyDescent="0.55000000000000004">
      <c r="B2609" s="220">
        <v>25</v>
      </c>
      <c r="C2609" s="225" t="s">
        <v>2215</v>
      </c>
      <c r="D2609" s="225" t="s">
        <v>2215</v>
      </c>
      <c r="E2609" s="232" t="s">
        <v>789</v>
      </c>
      <c r="F2609" s="89" t="s">
        <v>332</v>
      </c>
    </row>
    <row r="2610" spans="2:6" ht="25.8" x14ac:dyDescent="0.55000000000000004">
      <c r="B2610" s="220">
        <v>25</v>
      </c>
      <c r="C2610" s="225" t="s">
        <v>3145</v>
      </c>
      <c r="D2610" s="225" t="s">
        <v>2216</v>
      </c>
      <c r="E2610" s="232" t="s">
        <v>789</v>
      </c>
      <c r="F2610" s="89" t="s">
        <v>332</v>
      </c>
    </row>
    <row r="2611" spans="2:6" ht="25.8" x14ac:dyDescent="0.55000000000000004">
      <c r="B2611" s="220">
        <v>25</v>
      </c>
      <c r="C2611" s="225" t="s">
        <v>3146</v>
      </c>
      <c r="D2611" s="225" t="s">
        <v>2217</v>
      </c>
      <c r="E2611" s="232" t="s">
        <v>789</v>
      </c>
      <c r="F2611" s="89" t="s">
        <v>332</v>
      </c>
    </row>
    <row r="2612" spans="2:6" ht="25.8" x14ac:dyDescent="0.55000000000000004">
      <c r="B2612" s="220">
        <v>25</v>
      </c>
      <c r="C2612" s="225" t="s">
        <v>2218</v>
      </c>
      <c r="D2612" s="225" t="s">
        <v>2218</v>
      </c>
      <c r="E2612" s="232" t="s">
        <v>789</v>
      </c>
      <c r="F2612" s="89" t="s">
        <v>332</v>
      </c>
    </row>
    <row r="2613" spans="2:6" ht="25.8" x14ac:dyDescent="0.55000000000000004">
      <c r="B2613" s="220">
        <v>25</v>
      </c>
      <c r="C2613" s="225" t="s">
        <v>2219</v>
      </c>
      <c r="D2613" s="225" t="s">
        <v>2219</v>
      </c>
      <c r="E2613" s="232" t="s">
        <v>789</v>
      </c>
      <c r="F2613" s="89" t="s">
        <v>332</v>
      </c>
    </row>
    <row r="2614" spans="2:6" x14ac:dyDescent="0.55000000000000004">
      <c r="B2614" s="220">
        <v>25</v>
      </c>
      <c r="C2614" s="225" t="s">
        <v>2220</v>
      </c>
      <c r="D2614" s="225" t="s">
        <v>2220</v>
      </c>
      <c r="E2614" s="232" t="s">
        <v>789</v>
      </c>
      <c r="F2614" s="89" t="s">
        <v>332</v>
      </c>
    </row>
    <row r="2615" spans="2:6" x14ac:dyDescent="0.55000000000000004">
      <c r="B2615" s="220">
        <v>25</v>
      </c>
      <c r="C2615" s="225" t="s">
        <v>2221</v>
      </c>
      <c r="D2615" s="225" t="s">
        <v>2221</v>
      </c>
      <c r="E2615" s="232" t="s">
        <v>789</v>
      </c>
      <c r="F2615" s="89" t="s">
        <v>332</v>
      </c>
    </row>
    <row r="2616" spans="2:6" x14ac:dyDescent="0.55000000000000004">
      <c r="B2616" s="220">
        <v>25</v>
      </c>
      <c r="C2616" s="225" t="s">
        <v>2222</v>
      </c>
      <c r="D2616" s="225" t="s">
        <v>2222</v>
      </c>
      <c r="E2616" s="232" t="s">
        <v>789</v>
      </c>
      <c r="F2616" s="89" t="s">
        <v>332</v>
      </c>
    </row>
    <row r="2617" spans="2:6" ht="25.8" x14ac:dyDescent="0.55000000000000004">
      <c r="B2617" s="220">
        <v>25</v>
      </c>
      <c r="C2617" s="225" t="s">
        <v>2223</v>
      </c>
      <c r="D2617" s="225" t="s">
        <v>2223</v>
      </c>
      <c r="E2617" s="232" t="s">
        <v>789</v>
      </c>
      <c r="F2617" s="89" t="s">
        <v>332</v>
      </c>
    </row>
    <row r="2618" spans="2:6" ht="25.8" x14ac:dyDescent="0.55000000000000004">
      <c r="B2618" s="220">
        <v>25</v>
      </c>
      <c r="C2618" s="225" t="s">
        <v>2224</v>
      </c>
      <c r="D2618" s="225" t="s">
        <v>2224</v>
      </c>
      <c r="E2618" s="232" t="s">
        <v>789</v>
      </c>
      <c r="F2618" s="89" t="s">
        <v>332</v>
      </c>
    </row>
    <row r="2619" spans="2:6" x14ac:dyDescent="0.55000000000000004">
      <c r="B2619" s="220">
        <v>25</v>
      </c>
      <c r="C2619" s="225" t="s">
        <v>2225</v>
      </c>
      <c r="D2619" s="225" t="s">
        <v>2225</v>
      </c>
      <c r="E2619" s="232" t="s">
        <v>789</v>
      </c>
      <c r="F2619" s="89" t="s">
        <v>332</v>
      </c>
    </row>
    <row r="2620" spans="2:6" ht="25.8" x14ac:dyDescent="0.55000000000000004">
      <c r="B2620" s="220">
        <v>25</v>
      </c>
      <c r="C2620" s="225" t="s">
        <v>2226</v>
      </c>
      <c r="D2620" s="225" t="s">
        <v>2226</v>
      </c>
      <c r="E2620" s="232" t="s">
        <v>789</v>
      </c>
      <c r="F2620" s="89" t="s">
        <v>332</v>
      </c>
    </row>
    <row r="2621" spans="2:6" ht="25.8" x14ac:dyDescent="0.55000000000000004">
      <c r="B2621" s="220">
        <v>25</v>
      </c>
      <c r="C2621" s="225" t="s">
        <v>2227</v>
      </c>
      <c r="D2621" s="225" t="s">
        <v>2227</v>
      </c>
      <c r="E2621" s="232" t="s">
        <v>789</v>
      </c>
      <c r="F2621" s="89" t="s">
        <v>332</v>
      </c>
    </row>
    <row r="2622" spans="2:6" ht="25.8" x14ac:dyDescent="0.55000000000000004">
      <c r="B2622" s="220">
        <v>25</v>
      </c>
      <c r="C2622" s="225" t="s">
        <v>2228</v>
      </c>
      <c r="D2622" s="225" t="s">
        <v>2228</v>
      </c>
      <c r="E2622" s="232" t="s">
        <v>789</v>
      </c>
      <c r="F2622" s="89" t="s">
        <v>332</v>
      </c>
    </row>
    <row r="2623" spans="2:6" ht="25.8" x14ac:dyDescent="0.55000000000000004">
      <c r="B2623" s="220">
        <v>25</v>
      </c>
      <c r="C2623" s="225" t="s">
        <v>2229</v>
      </c>
      <c r="D2623" s="225" t="s">
        <v>2229</v>
      </c>
      <c r="E2623" s="232" t="s">
        <v>789</v>
      </c>
      <c r="F2623" s="89" t="s">
        <v>332</v>
      </c>
    </row>
    <row r="2624" spans="2:6" ht="25.8" x14ac:dyDescent="0.55000000000000004">
      <c r="B2624" s="220">
        <v>25</v>
      </c>
      <c r="C2624" s="226" t="s">
        <v>2230</v>
      </c>
      <c r="D2624" s="226" t="s">
        <v>2230</v>
      </c>
      <c r="E2624" s="232" t="s">
        <v>789</v>
      </c>
      <c r="F2624" s="89" t="s">
        <v>332</v>
      </c>
    </row>
    <row r="2625" spans="2:6" ht="25.8" x14ac:dyDescent="0.55000000000000004">
      <c r="B2625" s="220">
        <v>25</v>
      </c>
      <c r="C2625" s="226" t="s">
        <v>2231</v>
      </c>
      <c r="D2625" s="226" t="s">
        <v>2231</v>
      </c>
      <c r="E2625" s="232" t="s">
        <v>789</v>
      </c>
      <c r="F2625" s="89" t="s">
        <v>332</v>
      </c>
    </row>
    <row r="2626" spans="2:6" ht="25.8" x14ac:dyDescent="0.55000000000000004">
      <c r="B2626" s="220">
        <v>25</v>
      </c>
      <c r="C2626" s="226" t="s">
        <v>2230</v>
      </c>
      <c r="D2626" s="226" t="s">
        <v>2230</v>
      </c>
      <c r="E2626" s="232" t="s">
        <v>2428</v>
      </c>
      <c r="F2626" s="89" t="s">
        <v>648</v>
      </c>
    </row>
    <row r="2627" spans="2:6" ht="25.8" x14ac:dyDescent="0.55000000000000004">
      <c r="B2627" s="220">
        <v>25</v>
      </c>
      <c r="C2627" s="226" t="s">
        <v>2231</v>
      </c>
      <c r="D2627" s="226" t="s">
        <v>2231</v>
      </c>
      <c r="E2627" s="232" t="s">
        <v>2428</v>
      </c>
      <c r="F2627" s="89" t="s">
        <v>648</v>
      </c>
    </row>
    <row r="2628" spans="2:6" ht="25.8" x14ac:dyDescent="0.55000000000000004">
      <c r="B2628" s="220">
        <v>25</v>
      </c>
      <c r="C2628" s="225" t="s">
        <v>2232</v>
      </c>
      <c r="D2628" s="225" t="s">
        <v>2232</v>
      </c>
      <c r="E2628" s="232" t="s">
        <v>789</v>
      </c>
      <c r="F2628" s="89" t="s">
        <v>332</v>
      </c>
    </row>
    <row r="2629" spans="2:6" ht="25.8" x14ac:dyDescent="0.55000000000000004">
      <c r="B2629" s="220">
        <v>25</v>
      </c>
      <c r="C2629" s="225" t="s">
        <v>2233</v>
      </c>
      <c r="D2629" s="225" t="s">
        <v>2233</v>
      </c>
      <c r="E2629" s="232" t="s">
        <v>789</v>
      </c>
      <c r="F2629" s="89" t="s">
        <v>332</v>
      </c>
    </row>
    <row r="2630" spans="2:6" x14ac:dyDescent="0.55000000000000004">
      <c r="B2630" s="220">
        <v>25</v>
      </c>
      <c r="C2630" s="225" t="s">
        <v>2234</v>
      </c>
      <c r="D2630" s="225" t="s">
        <v>2234</v>
      </c>
      <c r="E2630" s="232" t="s">
        <v>789</v>
      </c>
      <c r="F2630" s="89" t="s">
        <v>332</v>
      </c>
    </row>
    <row r="2631" spans="2:6" x14ac:dyDescent="0.55000000000000004">
      <c r="B2631" s="220">
        <v>25</v>
      </c>
      <c r="C2631" s="225" t="s">
        <v>2235</v>
      </c>
      <c r="D2631" s="225" t="s">
        <v>2235</v>
      </c>
      <c r="E2631" s="232" t="s">
        <v>789</v>
      </c>
      <c r="F2631" s="89" t="s">
        <v>332</v>
      </c>
    </row>
    <row r="2632" spans="2:6" x14ac:dyDescent="0.55000000000000004">
      <c r="B2632" s="220">
        <v>25</v>
      </c>
      <c r="C2632" s="225" t="s">
        <v>2236</v>
      </c>
      <c r="D2632" s="225" t="s">
        <v>2236</v>
      </c>
      <c r="E2632" s="232" t="s">
        <v>789</v>
      </c>
      <c r="F2632" s="89" t="s">
        <v>332</v>
      </c>
    </row>
    <row r="2633" spans="2:6" x14ac:dyDescent="0.55000000000000004">
      <c r="B2633" s="220">
        <v>25</v>
      </c>
      <c r="C2633" s="225" t="s">
        <v>2237</v>
      </c>
      <c r="D2633" s="225" t="s">
        <v>2237</v>
      </c>
      <c r="E2633" s="232" t="s">
        <v>789</v>
      </c>
      <c r="F2633" s="89" t="s">
        <v>332</v>
      </c>
    </row>
    <row r="2634" spans="2:6" ht="25.8" x14ac:dyDescent="0.55000000000000004">
      <c r="B2634" s="220">
        <v>25</v>
      </c>
      <c r="C2634" s="225" t="s">
        <v>2238</v>
      </c>
      <c r="D2634" s="225" t="s">
        <v>2238</v>
      </c>
      <c r="E2634" s="232" t="s">
        <v>789</v>
      </c>
      <c r="F2634" s="89" t="s">
        <v>332</v>
      </c>
    </row>
    <row r="2635" spans="2:6" ht="25.8" x14ac:dyDescent="0.55000000000000004">
      <c r="B2635" s="220">
        <v>25</v>
      </c>
      <c r="C2635" s="225" t="s">
        <v>2239</v>
      </c>
      <c r="D2635" s="225" t="s">
        <v>2239</v>
      </c>
      <c r="E2635" s="232" t="s">
        <v>789</v>
      </c>
      <c r="F2635" s="89" t="s">
        <v>332</v>
      </c>
    </row>
    <row r="2636" spans="2:6" ht="25.8" x14ac:dyDescent="0.55000000000000004">
      <c r="B2636" s="220">
        <v>25</v>
      </c>
      <c r="C2636" s="225" t="s">
        <v>2240</v>
      </c>
      <c r="D2636" s="225" t="s">
        <v>2240</v>
      </c>
      <c r="E2636" s="232" t="s">
        <v>789</v>
      </c>
      <c r="F2636" s="89" t="s">
        <v>332</v>
      </c>
    </row>
    <row r="2637" spans="2:6" ht="25.8" x14ac:dyDescent="0.55000000000000004">
      <c r="B2637" s="220">
        <v>25</v>
      </c>
      <c r="C2637" s="225" t="s">
        <v>2241</v>
      </c>
      <c r="D2637" s="225" t="s">
        <v>2241</v>
      </c>
      <c r="E2637" s="232" t="s">
        <v>789</v>
      </c>
      <c r="F2637" s="89" t="s">
        <v>332</v>
      </c>
    </row>
    <row r="2638" spans="2:6" ht="25.8" x14ac:dyDescent="0.55000000000000004">
      <c r="B2638" s="220">
        <v>25</v>
      </c>
      <c r="C2638" s="225" t="s">
        <v>3147</v>
      </c>
      <c r="D2638" s="225" t="s">
        <v>2242</v>
      </c>
      <c r="E2638" s="232" t="s">
        <v>789</v>
      </c>
      <c r="F2638" s="89" t="s">
        <v>332</v>
      </c>
    </row>
    <row r="2639" spans="2:6" ht="25.8" x14ac:dyDescent="0.55000000000000004">
      <c r="B2639" s="220">
        <v>25</v>
      </c>
      <c r="C2639" s="225" t="s">
        <v>3148</v>
      </c>
      <c r="D2639" s="225" t="s">
        <v>2243</v>
      </c>
      <c r="E2639" s="232" t="s">
        <v>789</v>
      </c>
      <c r="F2639" s="89" t="s">
        <v>332</v>
      </c>
    </row>
    <row r="2640" spans="2:6" x14ac:dyDescent="0.55000000000000004">
      <c r="B2640" s="220">
        <v>25</v>
      </c>
      <c r="C2640" s="226" t="s">
        <v>2244</v>
      </c>
      <c r="D2640" s="226" t="s">
        <v>2244</v>
      </c>
      <c r="E2640" s="232" t="s">
        <v>789</v>
      </c>
      <c r="F2640" s="89" t="s">
        <v>332</v>
      </c>
    </row>
    <row r="2641" spans="2:6" x14ac:dyDescent="0.55000000000000004">
      <c r="B2641" s="220">
        <v>25</v>
      </c>
      <c r="C2641" s="226" t="s">
        <v>2245</v>
      </c>
      <c r="D2641" s="226" t="s">
        <v>2245</v>
      </c>
      <c r="E2641" s="232" t="s">
        <v>789</v>
      </c>
      <c r="F2641" s="89" t="s">
        <v>332</v>
      </c>
    </row>
    <row r="2642" spans="2:6" x14ac:dyDescent="0.55000000000000004">
      <c r="B2642" s="220">
        <v>25</v>
      </c>
      <c r="C2642" s="226" t="s">
        <v>2244</v>
      </c>
      <c r="D2642" s="226" t="s">
        <v>2244</v>
      </c>
      <c r="E2642" s="232" t="s">
        <v>2428</v>
      </c>
      <c r="F2642" s="89" t="s">
        <v>648</v>
      </c>
    </row>
    <row r="2643" spans="2:6" x14ac:dyDescent="0.55000000000000004">
      <c r="B2643" s="220">
        <v>25</v>
      </c>
      <c r="C2643" s="226" t="s">
        <v>2245</v>
      </c>
      <c r="D2643" s="226" t="s">
        <v>2245</v>
      </c>
      <c r="E2643" s="232" t="s">
        <v>2428</v>
      </c>
      <c r="F2643" s="89" t="s">
        <v>648</v>
      </c>
    </row>
    <row r="2644" spans="2:6" x14ac:dyDescent="0.55000000000000004">
      <c r="B2644" s="220">
        <v>25</v>
      </c>
      <c r="C2644" s="226" t="s">
        <v>2246</v>
      </c>
      <c r="D2644" s="226" t="s">
        <v>2246</v>
      </c>
      <c r="E2644" s="232" t="s">
        <v>789</v>
      </c>
      <c r="F2644" s="89" t="s">
        <v>332</v>
      </c>
    </row>
    <row r="2645" spans="2:6" x14ac:dyDescent="0.55000000000000004">
      <c r="B2645" s="220">
        <v>25</v>
      </c>
      <c r="C2645" s="226" t="s">
        <v>2247</v>
      </c>
      <c r="D2645" s="226" t="s">
        <v>2247</v>
      </c>
      <c r="E2645" s="232" t="s">
        <v>789</v>
      </c>
      <c r="F2645" s="89" t="s">
        <v>332</v>
      </c>
    </row>
    <row r="2646" spans="2:6" x14ac:dyDescent="0.55000000000000004">
      <c r="B2646" s="220">
        <v>25</v>
      </c>
      <c r="C2646" s="226" t="s">
        <v>2246</v>
      </c>
      <c r="D2646" s="226" t="s">
        <v>2246</v>
      </c>
      <c r="E2646" s="232" t="s">
        <v>2428</v>
      </c>
      <c r="F2646" s="89" t="s">
        <v>648</v>
      </c>
    </row>
    <row r="2647" spans="2:6" x14ac:dyDescent="0.55000000000000004">
      <c r="B2647" s="220">
        <v>25</v>
      </c>
      <c r="C2647" s="226" t="s">
        <v>2247</v>
      </c>
      <c r="D2647" s="226" t="s">
        <v>2247</v>
      </c>
      <c r="E2647" s="232" t="s">
        <v>2428</v>
      </c>
      <c r="F2647" s="89" t="s">
        <v>648</v>
      </c>
    </row>
    <row r="2648" spans="2:6" ht="25.8" x14ac:dyDescent="0.55000000000000004">
      <c r="B2648" s="220">
        <v>25</v>
      </c>
      <c r="C2648" s="226" t="s">
        <v>3149</v>
      </c>
      <c r="D2648" s="226" t="s">
        <v>2248</v>
      </c>
      <c r="E2648" s="232" t="s">
        <v>789</v>
      </c>
      <c r="F2648" s="89" t="s">
        <v>332</v>
      </c>
    </row>
    <row r="2649" spans="2:6" ht="25.8" x14ac:dyDescent="0.55000000000000004">
      <c r="B2649" s="220">
        <v>25</v>
      </c>
      <c r="C2649" s="226" t="s">
        <v>3150</v>
      </c>
      <c r="D2649" s="226" t="s">
        <v>2249</v>
      </c>
      <c r="E2649" s="232" t="s">
        <v>789</v>
      </c>
      <c r="F2649" s="89" t="s">
        <v>332</v>
      </c>
    </row>
    <row r="2650" spans="2:6" ht="25.8" x14ac:dyDescent="0.55000000000000004">
      <c r="B2650" s="220">
        <v>25</v>
      </c>
      <c r="C2650" s="226" t="s">
        <v>3149</v>
      </c>
      <c r="D2650" s="226" t="s">
        <v>2248</v>
      </c>
      <c r="E2650" s="232" t="s">
        <v>2428</v>
      </c>
      <c r="F2650" s="89" t="s">
        <v>648</v>
      </c>
    </row>
    <row r="2651" spans="2:6" ht="25.8" x14ac:dyDescent="0.55000000000000004">
      <c r="B2651" s="220">
        <v>25</v>
      </c>
      <c r="C2651" s="226" t="s">
        <v>3150</v>
      </c>
      <c r="D2651" s="226" t="s">
        <v>2249</v>
      </c>
      <c r="E2651" s="232" t="s">
        <v>2428</v>
      </c>
      <c r="F2651" s="89" t="s">
        <v>648</v>
      </c>
    </row>
    <row r="2652" spans="2:6" x14ac:dyDescent="0.55000000000000004">
      <c r="B2652" s="220">
        <v>25</v>
      </c>
      <c r="C2652" s="225" t="s">
        <v>2250</v>
      </c>
      <c r="D2652" s="225" t="s">
        <v>2250</v>
      </c>
      <c r="E2652" s="232" t="s">
        <v>789</v>
      </c>
      <c r="F2652" s="89" t="s">
        <v>332</v>
      </c>
    </row>
    <row r="2653" spans="2:6" x14ac:dyDescent="0.55000000000000004">
      <c r="B2653" s="220">
        <v>25</v>
      </c>
      <c r="C2653" s="225" t="s">
        <v>2251</v>
      </c>
      <c r="D2653" s="225" t="s">
        <v>2251</v>
      </c>
      <c r="E2653" s="232" t="s">
        <v>789</v>
      </c>
      <c r="F2653" s="89" t="s">
        <v>332</v>
      </c>
    </row>
    <row r="2654" spans="2:6" x14ac:dyDescent="0.55000000000000004">
      <c r="B2654" s="220">
        <v>25</v>
      </c>
      <c r="C2654" s="225" t="s">
        <v>2252</v>
      </c>
      <c r="D2654" s="225" t="s">
        <v>2252</v>
      </c>
      <c r="E2654" s="232" t="s">
        <v>789</v>
      </c>
      <c r="F2654" s="89" t="s">
        <v>332</v>
      </c>
    </row>
    <row r="2655" spans="2:6" x14ac:dyDescent="0.55000000000000004">
      <c r="B2655" s="220">
        <v>25</v>
      </c>
      <c r="C2655" s="225" t="s">
        <v>2253</v>
      </c>
      <c r="D2655" s="225" t="s">
        <v>2253</v>
      </c>
      <c r="E2655" s="232" t="s">
        <v>789</v>
      </c>
      <c r="F2655" s="89" t="s">
        <v>332</v>
      </c>
    </row>
    <row r="2656" spans="2:6" x14ac:dyDescent="0.55000000000000004">
      <c r="B2656" s="220">
        <v>25</v>
      </c>
      <c r="C2656" s="225" t="s">
        <v>2254</v>
      </c>
      <c r="D2656" s="225" t="s">
        <v>2254</v>
      </c>
      <c r="E2656" s="232" t="s">
        <v>789</v>
      </c>
      <c r="F2656" s="89" t="s">
        <v>332</v>
      </c>
    </row>
    <row r="2657" spans="2:6" x14ac:dyDescent="0.55000000000000004">
      <c r="B2657" s="220">
        <v>25</v>
      </c>
      <c r="C2657" s="225" t="s">
        <v>2255</v>
      </c>
      <c r="D2657" s="225" t="s">
        <v>2255</v>
      </c>
      <c r="E2657" s="232" t="s">
        <v>789</v>
      </c>
      <c r="F2657" s="89" t="s">
        <v>332</v>
      </c>
    </row>
    <row r="2658" spans="2:6" ht="38.700000000000003" x14ac:dyDescent="0.55000000000000004">
      <c r="B2658" s="220">
        <v>25</v>
      </c>
      <c r="C2658" s="226" t="s">
        <v>3151</v>
      </c>
      <c r="D2658" s="226" t="s">
        <v>2256</v>
      </c>
      <c r="E2658" s="232" t="s">
        <v>789</v>
      </c>
      <c r="F2658" s="89" t="s">
        <v>332</v>
      </c>
    </row>
    <row r="2659" spans="2:6" ht="38.700000000000003" x14ac:dyDescent="0.55000000000000004">
      <c r="B2659" s="220">
        <v>25</v>
      </c>
      <c r="C2659" s="226" t="s">
        <v>3152</v>
      </c>
      <c r="D2659" s="226" t="s">
        <v>2257</v>
      </c>
      <c r="E2659" s="232" t="s">
        <v>789</v>
      </c>
      <c r="F2659" s="89" t="s">
        <v>332</v>
      </c>
    </row>
    <row r="2660" spans="2:6" ht="38.700000000000003" x14ac:dyDescent="0.55000000000000004">
      <c r="B2660" s="220">
        <v>25</v>
      </c>
      <c r="C2660" s="226" t="s">
        <v>3151</v>
      </c>
      <c r="D2660" s="226" t="s">
        <v>2256</v>
      </c>
      <c r="E2660" s="232" t="s">
        <v>2428</v>
      </c>
      <c r="F2660" s="89" t="s">
        <v>648</v>
      </c>
    </row>
    <row r="2661" spans="2:6" ht="38.700000000000003" x14ac:dyDescent="0.55000000000000004">
      <c r="B2661" s="220">
        <v>25</v>
      </c>
      <c r="C2661" s="226" t="s">
        <v>3152</v>
      </c>
      <c r="D2661" s="226" t="s">
        <v>2257</v>
      </c>
      <c r="E2661" s="232" t="s">
        <v>2428</v>
      </c>
      <c r="F2661" s="89" t="s">
        <v>648</v>
      </c>
    </row>
    <row r="2662" spans="2:6" ht="25.8" x14ac:dyDescent="0.55000000000000004">
      <c r="B2662" s="220">
        <v>25</v>
      </c>
      <c r="C2662" s="226" t="s">
        <v>2258</v>
      </c>
      <c r="D2662" s="226" t="s">
        <v>2258</v>
      </c>
      <c r="E2662" s="232" t="s">
        <v>789</v>
      </c>
      <c r="F2662" s="89" t="s">
        <v>332</v>
      </c>
    </row>
    <row r="2663" spans="2:6" ht="25.8" x14ac:dyDescent="0.55000000000000004">
      <c r="B2663" s="220">
        <v>25</v>
      </c>
      <c r="C2663" s="226" t="s">
        <v>2259</v>
      </c>
      <c r="D2663" s="226" t="s">
        <v>2259</v>
      </c>
      <c r="E2663" s="232" t="s">
        <v>789</v>
      </c>
      <c r="F2663" s="89" t="s">
        <v>332</v>
      </c>
    </row>
    <row r="2664" spans="2:6" ht="25.8" x14ac:dyDescent="0.55000000000000004">
      <c r="B2664" s="220">
        <v>25</v>
      </c>
      <c r="C2664" s="226" t="s">
        <v>2258</v>
      </c>
      <c r="D2664" s="226" t="s">
        <v>2258</v>
      </c>
      <c r="E2664" s="232" t="s">
        <v>2428</v>
      </c>
      <c r="F2664" s="89" t="s">
        <v>648</v>
      </c>
    </row>
    <row r="2665" spans="2:6" ht="25.8" x14ac:dyDescent="0.55000000000000004">
      <c r="B2665" s="220">
        <v>25</v>
      </c>
      <c r="C2665" s="226" t="s">
        <v>2259</v>
      </c>
      <c r="D2665" s="226" t="s">
        <v>2259</v>
      </c>
      <c r="E2665" s="232" t="s">
        <v>2428</v>
      </c>
      <c r="F2665" s="89" t="s">
        <v>648</v>
      </c>
    </row>
    <row r="2666" spans="2:6" ht="25.8" x14ac:dyDescent="0.55000000000000004">
      <c r="B2666" s="220">
        <v>25</v>
      </c>
      <c r="C2666" s="226" t="s">
        <v>2260</v>
      </c>
      <c r="D2666" s="226" t="s">
        <v>2260</v>
      </c>
      <c r="E2666" s="232" t="s">
        <v>789</v>
      </c>
      <c r="F2666" s="89" t="s">
        <v>332</v>
      </c>
    </row>
    <row r="2667" spans="2:6" ht="25.8" x14ac:dyDescent="0.55000000000000004">
      <c r="B2667" s="220">
        <v>25</v>
      </c>
      <c r="C2667" s="226" t="s">
        <v>2261</v>
      </c>
      <c r="D2667" s="226" t="s">
        <v>2261</v>
      </c>
      <c r="E2667" s="232" t="s">
        <v>789</v>
      </c>
      <c r="F2667" s="89" t="s">
        <v>332</v>
      </c>
    </row>
    <row r="2668" spans="2:6" ht="25.8" x14ac:dyDescent="0.55000000000000004">
      <c r="B2668" s="220">
        <v>25</v>
      </c>
      <c r="C2668" s="226" t="s">
        <v>2260</v>
      </c>
      <c r="D2668" s="226" t="s">
        <v>2260</v>
      </c>
      <c r="E2668" s="232" t="s">
        <v>2428</v>
      </c>
      <c r="F2668" s="89" t="s">
        <v>648</v>
      </c>
    </row>
    <row r="2669" spans="2:6" ht="25.8" x14ac:dyDescent="0.55000000000000004">
      <c r="B2669" s="220">
        <v>25</v>
      </c>
      <c r="C2669" s="226" t="s">
        <v>2261</v>
      </c>
      <c r="D2669" s="226" t="s">
        <v>2261</v>
      </c>
      <c r="E2669" s="232" t="s">
        <v>2428</v>
      </c>
      <c r="F2669" s="89" t="s">
        <v>648</v>
      </c>
    </row>
    <row r="2670" spans="2:6" ht="38.700000000000003" x14ac:dyDescent="0.55000000000000004">
      <c r="B2670" s="220">
        <v>25</v>
      </c>
      <c r="C2670" s="226" t="s">
        <v>3153</v>
      </c>
      <c r="D2670" s="226" t="s">
        <v>2262</v>
      </c>
      <c r="E2670" s="232" t="s">
        <v>789</v>
      </c>
      <c r="F2670" s="89" t="s">
        <v>332</v>
      </c>
    </row>
    <row r="2671" spans="2:6" ht="38.700000000000003" x14ac:dyDescent="0.55000000000000004">
      <c r="B2671" s="220">
        <v>25</v>
      </c>
      <c r="C2671" s="226" t="s">
        <v>3154</v>
      </c>
      <c r="D2671" s="226" t="s">
        <v>2263</v>
      </c>
      <c r="E2671" s="232" t="s">
        <v>789</v>
      </c>
      <c r="F2671" s="89" t="s">
        <v>332</v>
      </c>
    </row>
    <row r="2672" spans="2:6" ht="38.700000000000003" x14ac:dyDescent="0.55000000000000004">
      <c r="B2672" s="220">
        <v>25</v>
      </c>
      <c r="C2672" s="226" t="s">
        <v>3153</v>
      </c>
      <c r="D2672" s="226" t="s">
        <v>2262</v>
      </c>
      <c r="E2672" s="232" t="s">
        <v>2428</v>
      </c>
      <c r="F2672" s="89" t="s">
        <v>648</v>
      </c>
    </row>
    <row r="2673" spans="2:6" ht="38.700000000000003" x14ac:dyDescent="0.55000000000000004">
      <c r="B2673" s="220">
        <v>25</v>
      </c>
      <c r="C2673" s="226" t="s">
        <v>3154</v>
      </c>
      <c r="D2673" s="226" t="s">
        <v>2263</v>
      </c>
      <c r="E2673" s="232" t="s">
        <v>2428</v>
      </c>
      <c r="F2673" s="89" t="s">
        <v>648</v>
      </c>
    </row>
    <row r="2674" spans="2:6" ht="38.700000000000003" x14ac:dyDescent="0.55000000000000004">
      <c r="B2674" s="220">
        <v>25</v>
      </c>
      <c r="C2674" s="226" t="s">
        <v>3155</v>
      </c>
      <c r="D2674" s="226" t="s">
        <v>2264</v>
      </c>
      <c r="E2674" s="232" t="s">
        <v>789</v>
      </c>
      <c r="F2674" s="89" t="s">
        <v>332</v>
      </c>
    </row>
    <row r="2675" spans="2:6" ht="38.700000000000003" x14ac:dyDescent="0.55000000000000004">
      <c r="B2675" s="220">
        <v>25</v>
      </c>
      <c r="C2675" s="226" t="s">
        <v>3156</v>
      </c>
      <c r="D2675" s="226" t="s">
        <v>2265</v>
      </c>
      <c r="E2675" s="232" t="s">
        <v>789</v>
      </c>
      <c r="F2675" s="89" t="s">
        <v>332</v>
      </c>
    </row>
    <row r="2676" spans="2:6" ht="38.700000000000003" x14ac:dyDescent="0.55000000000000004">
      <c r="B2676" s="220">
        <v>25</v>
      </c>
      <c r="C2676" s="226" t="s">
        <v>3155</v>
      </c>
      <c r="D2676" s="226" t="s">
        <v>2264</v>
      </c>
      <c r="E2676" s="232" t="s">
        <v>2428</v>
      </c>
      <c r="F2676" s="89" t="s">
        <v>648</v>
      </c>
    </row>
    <row r="2677" spans="2:6" ht="38.700000000000003" x14ac:dyDescent="0.55000000000000004">
      <c r="B2677" s="220">
        <v>25</v>
      </c>
      <c r="C2677" s="226" t="s">
        <v>3156</v>
      </c>
      <c r="D2677" s="226" t="s">
        <v>2265</v>
      </c>
      <c r="E2677" s="232" t="s">
        <v>2428</v>
      </c>
      <c r="F2677" s="89" t="s">
        <v>648</v>
      </c>
    </row>
    <row r="2678" spans="2:6" x14ac:dyDescent="0.55000000000000004">
      <c r="B2678" s="220">
        <v>25</v>
      </c>
      <c r="C2678" s="225" t="s">
        <v>2266</v>
      </c>
      <c r="D2678" s="225" t="s">
        <v>2266</v>
      </c>
      <c r="E2678" s="232" t="s">
        <v>789</v>
      </c>
      <c r="F2678" s="89" t="s">
        <v>332</v>
      </c>
    </row>
    <row r="2679" spans="2:6" x14ac:dyDescent="0.55000000000000004">
      <c r="B2679" s="220">
        <v>25</v>
      </c>
      <c r="C2679" s="225" t="s">
        <v>2267</v>
      </c>
      <c r="D2679" s="225" t="s">
        <v>2267</v>
      </c>
      <c r="E2679" s="232" t="s">
        <v>789</v>
      </c>
      <c r="F2679" s="89" t="s">
        <v>332</v>
      </c>
    </row>
    <row r="2680" spans="2:6" x14ac:dyDescent="0.55000000000000004">
      <c r="B2680" s="220">
        <v>25</v>
      </c>
      <c r="C2680" s="225" t="s">
        <v>2268</v>
      </c>
      <c r="D2680" s="225" t="s">
        <v>2268</v>
      </c>
      <c r="E2680" s="232" t="s">
        <v>789</v>
      </c>
      <c r="F2680" s="89" t="s">
        <v>332</v>
      </c>
    </row>
    <row r="2681" spans="2:6" x14ac:dyDescent="0.55000000000000004">
      <c r="B2681" s="220">
        <v>25</v>
      </c>
      <c r="C2681" s="225" t="s">
        <v>2269</v>
      </c>
      <c r="D2681" s="225" t="s">
        <v>2269</v>
      </c>
      <c r="E2681" s="232" t="s">
        <v>789</v>
      </c>
      <c r="F2681" s="89" t="s">
        <v>332</v>
      </c>
    </row>
    <row r="2682" spans="2:6" ht="25.8" x14ac:dyDescent="0.55000000000000004">
      <c r="B2682" s="220">
        <v>25</v>
      </c>
      <c r="C2682" s="225" t="s">
        <v>2270</v>
      </c>
      <c r="D2682" s="225" t="s">
        <v>2270</v>
      </c>
      <c r="E2682" s="232" t="s">
        <v>789</v>
      </c>
      <c r="F2682" s="89" t="s">
        <v>332</v>
      </c>
    </row>
    <row r="2683" spans="2:6" ht="25.8" x14ac:dyDescent="0.55000000000000004">
      <c r="B2683" s="220">
        <v>25</v>
      </c>
      <c r="C2683" s="225" t="s">
        <v>2271</v>
      </c>
      <c r="D2683" s="225" t="s">
        <v>2271</v>
      </c>
      <c r="E2683" s="232" t="s">
        <v>789</v>
      </c>
      <c r="F2683" s="89" t="s">
        <v>332</v>
      </c>
    </row>
    <row r="2684" spans="2:6" ht="25.8" x14ac:dyDescent="0.55000000000000004">
      <c r="B2684" s="220">
        <v>25</v>
      </c>
      <c r="C2684" s="225" t="s">
        <v>3157</v>
      </c>
      <c r="D2684" s="225" t="s">
        <v>2272</v>
      </c>
      <c r="E2684" s="232" t="s">
        <v>789</v>
      </c>
      <c r="F2684" s="89" t="s">
        <v>332</v>
      </c>
    </row>
    <row r="2685" spans="2:6" ht="25.8" x14ac:dyDescent="0.55000000000000004">
      <c r="B2685" s="220">
        <v>25</v>
      </c>
      <c r="C2685" s="225" t="s">
        <v>3158</v>
      </c>
      <c r="D2685" s="225" t="s">
        <v>2273</v>
      </c>
      <c r="E2685" s="232" t="s">
        <v>789</v>
      </c>
      <c r="F2685" s="89" t="s">
        <v>332</v>
      </c>
    </row>
    <row r="2686" spans="2:6" ht="25.8" x14ac:dyDescent="0.55000000000000004">
      <c r="B2686" s="220">
        <v>25</v>
      </c>
      <c r="C2686" s="225" t="s">
        <v>2274</v>
      </c>
      <c r="D2686" s="225" t="s">
        <v>2274</v>
      </c>
      <c r="E2686" s="232" t="s">
        <v>789</v>
      </c>
      <c r="F2686" s="89" t="s">
        <v>332</v>
      </c>
    </row>
    <row r="2687" spans="2:6" ht="25.8" x14ac:dyDescent="0.55000000000000004">
      <c r="B2687" s="220">
        <v>25</v>
      </c>
      <c r="C2687" s="225" t="s">
        <v>2275</v>
      </c>
      <c r="D2687" s="225" t="s">
        <v>2275</v>
      </c>
      <c r="E2687" s="232" t="s">
        <v>789</v>
      </c>
      <c r="F2687" s="89" t="s">
        <v>332</v>
      </c>
    </row>
    <row r="2688" spans="2:6" x14ac:dyDescent="0.55000000000000004">
      <c r="B2688" s="220">
        <v>25</v>
      </c>
      <c r="C2688" s="225" t="s">
        <v>2276</v>
      </c>
      <c r="D2688" s="225" t="s">
        <v>2276</v>
      </c>
      <c r="E2688" s="232" t="s">
        <v>789</v>
      </c>
      <c r="F2688" s="89" t="s">
        <v>332</v>
      </c>
    </row>
    <row r="2689" spans="2:6" x14ac:dyDescent="0.55000000000000004">
      <c r="B2689" s="220">
        <v>25</v>
      </c>
      <c r="C2689" s="225" t="s">
        <v>2277</v>
      </c>
      <c r="D2689" s="225" t="s">
        <v>2277</v>
      </c>
      <c r="E2689" s="232" t="s">
        <v>789</v>
      </c>
      <c r="F2689" s="89" t="s">
        <v>332</v>
      </c>
    </row>
    <row r="2690" spans="2:6" ht="25.8" x14ac:dyDescent="0.55000000000000004">
      <c r="B2690" s="220">
        <v>25</v>
      </c>
      <c r="C2690" s="225" t="s">
        <v>2278</v>
      </c>
      <c r="D2690" s="225" t="s">
        <v>2278</v>
      </c>
      <c r="E2690" s="232" t="s">
        <v>789</v>
      </c>
      <c r="F2690" s="89" t="s">
        <v>332</v>
      </c>
    </row>
    <row r="2691" spans="2:6" ht="25.8" x14ac:dyDescent="0.55000000000000004">
      <c r="B2691" s="220">
        <v>25</v>
      </c>
      <c r="C2691" s="225" t="s">
        <v>2279</v>
      </c>
      <c r="D2691" s="225" t="s">
        <v>2279</v>
      </c>
      <c r="E2691" s="232" t="s">
        <v>789</v>
      </c>
      <c r="F2691" s="89" t="s">
        <v>332</v>
      </c>
    </row>
    <row r="2692" spans="2:6" x14ac:dyDescent="0.55000000000000004">
      <c r="B2692" s="220">
        <v>25</v>
      </c>
      <c r="C2692" s="225" t="s">
        <v>2280</v>
      </c>
      <c r="D2692" s="225" t="s">
        <v>2280</v>
      </c>
      <c r="E2692" s="232" t="s">
        <v>789</v>
      </c>
      <c r="F2692" s="89" t="s">
        <v>332</v>
      </c>
    </row>
    <row r="2693" spans="2:6" x14ac:dyDescent="0.55000000000000004">
      <c r="B2693" s="220">
        <v>25</v>
      </c>
      <c r="C2693" s="225" t="s">
        <v>2281</v>
      </c>
      <c r="D2693" s="225" t="s">
        <v>2281</v>
      </c>
      <c r="E2693" s="232" t="s">
        <v>789</v>
      </c>
      <c r="F2693" s="89" t="s">
        <v>332</v>
      </c>
    </row>
    <row r="2694" spans="2:6" x14ac:dyDescent="0.55000000000000004">
      <c r="B2694" s="220">
        <v>25</v>
      </c>
      <c r="C2694" s="225" t="s">
        <v>2282</v>
      </c>
      <c r="D2694" s="225" t="s">
        <v>2282</v>
      </c>
      <c r="E2694" s="232" t="s">
        <v>789</v>
      </c>
      <c r="F2694" s="89" t="s">
        <v>332</v>
      </c>
    </row>
    <row r="2695" spans="2:6" x14ac:dyDescent="0.55000000000000004">
      <c r="B2695" s="220">
        <v>25</v>
      </c>
      <c r="C2695" s="225" t="s">
        <v>2283</v>
      </c>
      <c r="D2695" s="225" t="s">
        <v>2283</v>
      </c>
      <c r="E2695" s="232" t="s">
        <v>789</v>
      </c>
      <c r="F2695" s="89" t="s">
        <v>332</v>
      </c>
    </row>
    <row r="2696" spans="2:6" ht="25.8" x14ac:dyDescent="0.55000000000000004">
      <c r="B2696" s="220">
        <v>25</v>
      </c>
      <c r="C2696" s="225" t="s">
        <v>2284</v>
      </c>
      <c r="D2696" s="225" t="s">
        <v>2284</v>
      </c>
      <c r="E2696" s="232" t="s">
        <v>789</v>
      </c>
      <c r="F2696" s="89" t="s">
        <v>332</v>
      </c>
    </row>
    <row r="2697" spans="2:6" ht="25.8" x14ac:dyDescent="0.55000000000000004">
      <c r="B2697" s="220">
        <v>25</v>
      </c>
      <c r="C2697" s="225" t="s">
        <v>2285</v>
      </c>
      <c r="D2697" s="225" t="s">
        <v>2285</v>
      </c>
      <c r="E2697" s="232" t="s">
        <v>789</v>
      </c>
      <c r="F2697" s="89" t="s">
        <v>332</v>
      </c>
    </row>
    <row r="2698" spans="2:6" ht="25.8" x14ac:dyDescent="0.55000000000000004">
      <c r="B2698" s="220">
        <v>25</v>
      </c>
      <c r="C2698" s="225" t="s">
        <v>2286</v>
      </c>
      <c r="D2698" s="225" t="s">
        <v>2286</v>
      </c>
      <c r="E2698" s="232" t="s">
        <v>789</v>
      </c>
      <c r="F2698" s="89" t="s">
        <v>332</v>
      </c>
    </row>
    <row r="2699" spans="2:6" ht="25.8" x14ac:dyDescent="0.55000000000000004">
      <c r="B2699" s="220">
        <v>25</v>
      </c>
      <c r="C2699" s="225" t="s">
        <v>2287</v>
      </c>
      <c r="D2699" s="225" t="s">
        <v>2287</v>
      </c>
      <c r="E2699" s="232" t="s">
        <v>789</v>
      </c>
      <c r="F2699" s="89" t="s">
        <v>332</v>
      </c>
    </row>
    <row r="2700" spans="2:6" x14ac:dyDescent="0.55000000000000004">
      <c r="B2700" s="220">
        <v>25</v>
      </c>
      <c r="C2700" s="225" t="s">
        <v>2288</v>
      </c>
      <c r="D2700" s="225" t="s">
        <v>2288</v>
      </c>
      <c r="E2700" s="232" t="s">
        <v>789</v>
      </c>
      <c r="F2700" s="89" t="s">
        <v>332</v>
      </c>
    </row>
    <row r="2701" spans="2:6" x14ac:dyDescent="0.55000000000000004">
      <c r="B2701" s="220">
        <v>25</v>
      </c>
      <c r="C2701" s="225" t="s">
        <v>2289</v>
      </c>
      <c r="D2701" s="225" t="s">
        <v>2289</v>
      </c>
      <c r="E2701" s="232" t="s">
        <v>789</v>
      </c>
      <c r="F2701" s="89" t="s">
        <v>332</v>
      </c>
    </row>
    <row r="2702" spans="2:6" ht="25.8" x14ac:dyDescent="0.55000000000000004">
      <c r="B2702" s="220">
        <v>25</v>
      </c>
      <c r="C2702" s="225" t="s">
        <v>2290</v>
      </c>
      <c r="D2702" s="225" t="s">
        <v>2290</v>
      </c>
      <c r="E2702" s="232" t="s">
        <v>789</v>
      </c>
      <c r="F2702" s="89" t="s">
        <v>332</v>
      </c>
    </row>
    <row r="2703" spans="2:6" ht="25.8" x14ac:dyDescent="0.55000000000000004">
      <c r="B2703" s="220">
        <v>25</v>
      </c>
      <c r="C2703" s="225" t="s">
        <v>2291</v>
      </c>
      <c r="D2703" s="225" t="s">
        <v>2291</v>
      </c>
      <c r="E2703" s="232" t="s">
        <v>789</v>
      </c>
      <c r="F2703" s="89" t="s">
        <v>332</v>
      </c>
    </row>
    <row r="2704" spans="2:6" x14ac:dyDescent="0.55000000000000004">
      <c r="B2704" s="220">
        <v>25</v>
      </c>
      <c r="C2704" s="225" t="s">
        <v>2292</v>
      </c>
      <c r="D2704" s="225" t="s">
        <v>2292</v>
      </c>
      <c r="E2704" s="232" t="s">
        <v>789</v>
      </c>
      <c r="F2704" s="89" t="s">
        <v>332</v>
      </c>
    </row>
    <row r="2705" spans="2:6" x14ac:dyDescent="0.55000000000000004">
      <c r="B2705" s="220">
        <v>25</v>
      </c>
      <c r="C2705" s="225" t="s">
        <v>2293</v>
      </c>
      <c r="D2705" s="225" t="s">
        <v>2293</v>
      </c>
      <c r="E2705" s="232" t="s">
        <v>789</v>
      </c>
      <c r="F2705" s="89" t="s">
        <v>332</v>
      </c>
    </row>
    <row r="2706" spans="2:6" ht="25.8" x14ac:dyDescent="0.55000000000000004">
      <c r="B2706" s="220">
        <v>25</v>
      </c>
      <c r="C2706" s="225" t="s">
        <v>3159</v>
      </c>
      <c r="D2706" s="225" t="s">
        <v>2294</v>
      </c>
      <c r="E2706" s="232" t="s">
        <v>789</v>
      </c>
      <c r="F2706" s="89" t="s">
        <v>332</v>
      </c>
    </row>
    <row r="2707" spans="2:6" ht="25.8" x14ac:dyDescent="0.55000000000000004">
      <c r="B2707" s="220">
        <v>25</v>
      </c>
      <c r="C2707" s="225" t="s">
        <v>3160</v>
      </c>
      <c r="D2707" s="225" t="s">
        <v>2295</v>
      </c>
      <c r="E2707" s="232" t="s">
        <v>789</v>
      </c>
      <c r="F2707" s="89" t="s">
        <v>332</v>
      </c>
    </row>
    <row r="2708" spans="2:6" ht="25.8" x14ac:dyDescent="0.55000000000000004">
      <c r="B2708" s="220">
        <v>25</v>
      </c>
      <c r="C2708" s="225" t="s">
        <v>3161</v>
      </c>
      <c r="D2708" s="225" t="s">
        <v>2296</v>
      </c>
      <c r="E2708" s="232" t="s">
        <v>789</v>
      </c>
      <c r="F2708" s="89" t="s">
        <v>332</v>
      </c>
    </row>
    <row r="2709" spans="2:6" x14ac:dyDescent="0.55000000000000004">
      <c r="B2709" s="220">
        <v>25</v>
      </c>
      <c r="C2709" s="225" t="s">
        <v>2297</v>
      </c>
      <c r="D2709" s="225" t="s">
        <v>2297</v>
      </c>
      <c r="E2709" s="232" t="s">
        <v>789</v>
      </c>
      <c r="F2709" s="89" t="s">
        <v>332</v>
      </c>
    </row>
    <row r="2710" spans="2:6" x14ac:dyDescent="0.55000000000000004">
      <c r="B2710" s="220">
        <v>25</v>
      </c>
      <c r="C2710" s="225" t="s">
        <v>2298</v>
      </c>
      <c r="D2710" s="225" t="s">
        <v>2298</v>
      </c>
      <c r="E2710" s="232" t="s">
        <v>789</v>
      </c>
      <c r="F2710" s="89" t="s">
        <v>332</v>
      </c>
    </row>
    <row r="2711" spans="2:6" ht="25.8" x14ac:dyDescent="0.55000000000000004">
      <c r="B2711" s="220">
        <v>25</v>
      </c>
      <c r="C2711" s="225" t="s">
        <v>3162</v>
      </c>
      <c r="D2711" s="225" t="s">
        <v>2299</v>
      </c>
      <c r="E2711" s="232" t="s">
        <v>789</v>
      </c>
      <c r="F2711" s="89" t="s">
        <v>332</v>
      </c>
    </row>
    <row r="2712" spans="2:6" ht="25.8" x14ac:dyDescent="0.55000000000000004">
      <c r="B2712" s="220">
        <v>25</v>
      </c>
      <c r="C2712" s="225" t="s">
        <v>3163</v>
      </c>
      <c r="D2712" s="225" t="s">
        <v>2300</v>
      </c>
      <c r="E2712" s="232" t="s">
        <v>789</v>
      </c>
      <c r="F2712" s="89" t="s">
        <v>332</v>
      </c>
    </row>
    <row r="2713" spans="2:6" x14ac:dyDescent="0.55000000000000004">
      <c r="B2713" s="220">
        <v>25</v>
      </c>
      <c r="C2713" s="225" t="s">
        <v>2301</v>
      </c>
      <c r="D2713" s="225" t="s">
        <v>2301</v>
      </c>
      <c r="E2713" s="232" t="s">
        <v>789</v>
      </c>
      <c r="F2713" s="89" t="s">
        <v>332</v>
      </c>
    </row>
    <row r="2714" spans="2:6" x14ac:dyDescent="0.55000000000000004">
      <c r="B2714" s="220">
        <v>25</v>
      </c>
      <c r="C2714" s="225" t="s">
        <v>2302</v>
      </c>
      <c r="D2714" s="225" t="s">
        <v>2302</v>
      </c>
      <c r="E2714" s="232" t="s">
        <v>789</v>
      </c>
      <c r="F2714" s="89" t="s">
        <v>332</v>
      </c>
    </row>
    <row r="2715" spans="2:6" x14ac:dyDescent="0.55000000000000004">
      <c r="B2715" s="220">
        <v>25</v>
      </c>
      <c r="C2715" s="225" t="s">
        <v>2303</v>
      </c>
      <c r="D2715" s="225" t="s">
        <v>2303</v>
      </c>
      <c r="E2715" s="232" t="s">
        <v>789</v>
      </c>
      <c r="F2715" s="89" t="s">
        <v>332</v>
      </c>
    </row>
    <row r="2716" spans="2:6" x14ac:dyDescent="0.55000000000000004">
      <c r="B2716" s="220">
        <v>25</v>
      </c>
      <c r="C2716" s="225" t="s">
        <v>2304</v>
      </c>
      <c r="D2716" s="225" t="s">
        <v>2304</v>
      </c>
      <c r="E2716" s="232" t="s">
        <v>789</v>
      </c>
      <c r="F2716" s="89" t="s">
        <v>332</v>
      </c>
    </row>
    <row r="2717" spans="2:6" x14ac:dyDescent="0.55000000000000004">
      <c r="B2717" s="220">
        <v>25</v>
      </c>
      <c r="C2717" s="226" t="s">
        <v>2305</v>
      </c>
      <c r="D2717" s="226" t="s">
        <v>2305</v>
      </c>
      <c r="E2717" s="232" t="s">
        <v>789</v>
      </c>
      <c r="F2717" s="89" t="s">
        <v>332</v>
      </c>
    </row>
    <row r="2718" spans="2:6" x14ac:dyDescent="0.55000000000000004">
      <c r="B2718" s="220">
        <v>25</v>
      </c>
      <c r="C2718" s="226" t="s">
        <v>2306</v>
      </c>
      <c r="D2718" s="226" t="s">
        <v>2306</v>
      </c>
      <c r="E2718" s="232" t="s">
        <v>789</v>
      </c>
      <c r="F2718" s="89" t="s">
        <v>332</v>
      </c>
    </row>
    <row r="2719" spans="2:6" x14ac:dyDescent="0.55000000000000004">
      <c r="B2719" s="220">
        <v>25</v>
      </c>
      <c r="C2719" s="226" t="s">
        <v>2305</v>
      </c>
      <c r="D2719" s="226" t="s">
        <v>2305</v>
      </c>
      <c r="E2719" s="232" t="s">
        <v>2428</v>
      </c>
      <c r="F2719" s="89" t="s">
        <v>648</v>
      </c>
    </row>
    <row r="2720" spans="2:6" x14ac:dyDescent="0.55000000000000004">
      <c r="B2720" s="220">
        <v>25</v>
      </c>
      <c r="C2720" s="226" t="s">
        <v>2306</v>
      </c>
      <c r="D2720" s="226" t="s">
        <v>2306</v>
      </c>
      <c r="E2720" s="232" t="s">
        <v>2428</v>
      </c>
      <c r="F2720" s="89" t="s">
        <v>648</v>
      </c>
    </row>
    <row r="2721" spans="2:6" ht="25.8" x14ac:dyDescent="0.55000000000000004">
      <c r="B2721" s="220">
        <v>25</v>
      </c>
      <c r="C2721" s="225" t="s">
        <v>3164</v>
      </c>
      <c r="D2721" s="225" t="s">
        <v>2307</v>
      </c>
      <c r="E2721" s="232" t="s">
        <v>789</v>
      </c>
      <c r="F2721" s="89" t="s">
        <v>332</v>
      </c>
    </row>
    <row r="2722" spans="2:6" ht="25.8" x14ac:dyDescent="0.55000000000000004">
      <c r="B2722" s="220">
        <v>25</v>
      </c>
      <c r="C2722" s="225" t="s">
        <v>3165</v>
      </c>
      <c r="D2722" s="225" t="s">
        <v>2308</v>
      </c>
      <c r="E2722" s="232" t="s">
        <v>789</v>
      </c>
      <c r="F2722" s="89" t="s">
        <v>332</v>
      </c>
    </row>
    <row r="2723" spans="2:6" ht="25.8" x14ac:dyDescent="0.55000000000000004">
      <c r="B2723" s="220">
        <v>25</v>
      </c>
      <c r="C2723" s="225" t="s">
        <v>2309</v>
      </c>
      <c r="D2723" s="225" t="s">
        <v>2309</v>
      </c>
      <c r="E2723" s="232" t="s">
        <v>789</v>
      </c>
      <c r="F2723" s="89" t="s">
        <v>332</v>
      </c>
    </row>
    <row r="2724" spans="2:6" ht="25.8" x14ac:dyDescent="0.55000000000000004">
      <c r="B2724" s="220">
        <v>25</v>
      </c>
      <c r="C2724" s="225" t="s">
        <v>2310</v>
      </c>
      <c r="D2724" s="225" t="s">
        <v>2310</v>
      </c>
      <c r="E2724" s="232" t="s">
        <v>789</v>
      </c>
      <c r="F2724" s="89" t="s">
        <v>332</v>
      </c>
    </row>
    <row r="2725" spans="2:6" ht="25.8" x14ac:dyDescent="0.55000000000000004">
      <c r="B2725" s="220">
        <v>25</v>
      </c>
      <c r="C2725" s="225" t="s">
        <v>3166</v>
      </c>
      <c r="D2725" s="225" t="s">
        <v>2311</v>
      </c>
      <c r="E2725" s="232" t="s">
        <v>789</v>
      </c>
      <c r="F2725" s="89" t="s">
        <v>332</v>
      </c>
    </row>
    <row r="2726" spans="2:6" ht="25.8" x14ac:dyDescent="0.55000000000000004">
      <c r="B2726" s="220">
        <v>25</v>
      </c>
      <c r="C2726" s="225" t="s">
        <v>3167</v>
      </c>
      <c r="D2726" s="225" t="s">
        <v>2312</v>
      </c>
      <c r="E2726" s="232" t="s">
        <v>789</v>
      </c>
      <c r="F2726" s="89" t="s">
        <v>332</v>
      </c>
    </row>
    <row r="2727" spans="2:6" ht="25.8" x14ac:dyDescent="0.55000000000000004">
      <c r="B2727" s="220">
        <v>25</v>
      </c>
      <c r="C2727" s="225" t="s">
        <v>2313</v>
      </c>
      <c r="D2727" s="225" t="s">
        <v>2313</v>
      </c>
      <c r="E2727" s="232" t="s">
        <v>789</v>
      </c>
      <c r="F2727" s="89" t="s">
        <v>332</v>
      </c>
    </row>
    <row r="2728" spans="2:6" ht="25.8" x14ac:dyDescent="0.55000000000000004">
      <c r="B2728" s="220">
        <v>25</v>
      </c>
      <c r="C2728" s="225" t="s">
        <v>2314</v>
      </c>
      <c r="D2728" s="225" t="s">
        <v>2314</v>
      </c>
      <c r="E2728" s="232" t="s">
        <v>789</v>
      </c>
      <c r="F2728" s="89" t="s">
        <v>332</v>
      </c>
    </row>
    <row r="2729" spans="2:6" ht="25.8" x14ac:dyDescent="0.55000000000000004">
      <c r="B2729" s="220">
        <v>25</v>
      </c>
      <c r="C2729" s="225" t="s">
        <v>3168</v>
      </c>
      <c r="D2729" s="225" t="s">
        <v>2315</v>
      </c>
      <c r="E2729" s="232" t="s">
        <v>789</v>
      </c>
      <c r="F2729" s="89" t="s">
        <v>332</v>
      </c>
    </row>
    <row r="2730" spans="2:6" ht="25.8" x14ac:dyDescent="0.55000000000000004">
      <c r="B2730" s="220">
        <v>25</v>
      </c>
      <c r="C2730" s="225" t="s">
        <v>3169</v>
      </c>
      <c r="D2730" s="225" t="s">
        <v>2316</v>
      </c>
      <c r="E2730" s="232" t="s">
        <v>789</v>
      </c>
      <c r="F2730" s="89" t="s">
        <v>332</v>
      </c>
    </row>
    <row r="2731" spans="2:6" x14ac:dyDescent="0.55000000000000004">
      <c r="B2731" s="220">
        <v>25</v>
      </c>
      <c r="C2731" s="225" t="s">
        <v>2317</v>
      </c>
      <c r="D2731" s="225" t="s">
        <v>2317</v>
      </c>
      <c r="E2731" s="232" t="s">
        <v>789</v>
      </c>
      <c r="F2731" s="89" t="s">
        <v>332</v>
      </c>
    </row>
    <row r="2732" spans="2:6" x14ac:dyDescent="0.55000000000000004">
      <c r="B2732" s="220">
        <v>25</v>
      </c>
      <c r="C2732" s="225" t="s">
        <v>2318</v>
      </c>
      <c r="D2732" s="225" t="s">
        <v>2318</v>
      </c>
      <c r="E2732" s="232" t="s">
        <v>789</v>
      </c>
      <c r="F2732" s="89" t="s">
        <v>332</v>
      </c>
    </row>
    <row r="2733" spans="2:6" ht="25.8" x14ac:dyDescent="0.55000000000000004">
      <c r="B2733" s="220">
        <v>25</v>
      </c>
      <c r="C2733" s="225" t="s">
        <v>2319</v>
      </c>
      <c r="D2733" s="225" t="s">
        <v>2319</v>
      </c>
      <c r="E2733" s="232" t="s">
        <v>789</v>
      </c>
      <c r="F2733" s="89" t="s">
        <v>332</v>
      </c>
    </row>
    <row r="2734" spans="2:6" ht="25.8" x14ac:dyDescent="0.55000000000000004">
      <c r="B2734" s="220">
        <v>25</v>
      </c>
      <c r="C2734" s="225" t="s">
        <v>2320</v>
      </c>
      <c r="D2734" s="225" t="s">
        <v>2320</v>
      </c>
      <c r="E2734" s="232" t="s">
        <v>789</v>
      </c>
      <c r="F2734" s="89" t="s">
        <v>332</v>
      </c>
    </row>
    <row r="2735" spans="2:6" x14ac:dyDescent="0.55000000000000004">
      <c r="B2735" s="220">
        <v>25</v>
      </c>
      <c r="C2735" s="225" t="s">
        <v>2321</v>
      </c>
      <c r="D2735" s="225" t="s">
        <v>2321</v>
      </c>
      <c r="E2735" s="232" t="s">
        <v>789</v>
      </c>
      <c r="F2735" s="89" t="s">
        <v>332</v>
      </c>
    </row>
    <row r="2736" spans="2:6" x14ac:dyDescent="0.55000000000000004">
      <c r="B2736" s="220">
        <v>25</v>
      </c>
      <c r="C2736" s="225" t="s">
        <v>2322</v>
      </c>
      <c r="D2736" s="225" t="s">
        <v>2322</v>
      </c>
      <c r="E2736" s="232" t="s">
        <v>789</v>
      </c>
      <c r="F2736" s="89" t="s">
        <v>332</v>
      </c>
    </row>
    <row r="2737" spans="2:6" x14ac:dyDescent="0.55000000000000004">
      <c r="B2737" s="220">
        <v>25</v>
      </c>
      <c r="C2737" s="225" t="s">
        <v>2323</v>
      </c>
      <c r="D2737" s="225" t="s">
        <v>2323</v>
      </c>
      <c r="E2737" s="232" t="s">
        <v>789</v>
      </c>
      <c r="F2737" s="89" t="s">
        <v>332</v>
      </c>
    </row>
    <row r="2738" spans="2:6" x14ac:dyDescent="0.55000000000000004">
      <c r="B2738" s="220">
        <v>25</v>
      </c>
      <c r="C2738" s="225" t="s">
        <v>2324</v>
      </c>
      <c r="D2738" s="225" t="s">
        <v>2324</v>
      </c>
      <c r="E2738" s="232" t="s">
        <v>789</v>
      </c>
      <c r="F2738" s="89" t="s">
        <v>332</v>
      </c>
    </row>
    <row r="2739" spans="2:6" ht="25.8" x14ac:dyDescent="0.55000000000000004">
      <c r="B2739" s="220">
        <v>25</v>
      </c>
      <c r="C2739" s="225" t="s">
        <v>2325</v>
      </c>
      <c r="D2739" s="225" t="s">
        <v>2325</v>
      </c>
      <c r="E2739" s="232" t="s">
        <v>789</v>
      </c>
      <c r="F2739" s="89" t="s">
        <v>332</v>
      </c>
    </row>
    <row r="2740" spans="2:6" ht="25.8" x14ac:dyDescent="0.55000000000000004">
      <c r="B2740" s="220">
        <v>25</v>
      </c>
      <c r="C2740" s="225" t="s">
        <v>2326</v>
      </c>
      <c r="D2740" s="225" t="s">
        <v>2326</v>
      </c>
      <c r="E2740" s="232" t="s">
        <v>789</v>
      </c>
      <c r="F2740" s="89" t="s">
        <v>332</v>
      </c>
    </row>
    <row r="2741" spans="2:6" x14ac:dyDescent="0.55000000000000004">
      <c r="B2741" s="220">
        <v>25</v>
      </c>
      <c r="C2741" s="225" t="s">
        <v>2327</v>
      </c>
      <c r="D2741" s="225" t="s">
        <v>2327</v>
      </c>
      <c r="E2741" s="232" t="s">
        <v>789</v>
      </c>
      <c r="F2741" s="89" t="s">
        <v>332</v>
      </c>
    </row>
    <row r="2742" spans="2:6" x14ac:dyDescent="0.55000000000000004">
      <c r="B2742" s="220">
        <v>25</v>
      </c>
      <c r="C2742" s="225" t="s">
        <v>2328</v>
      </c>
      <c r="D2742" s="225" t="s">
        <v>2328</v>
      </c>
      <c r="E2742" s="232" t="s">
        <v>789</v>
      </c>
      <c r="F2742" s="89" t="s">
        <v>332</v>
      </c>
    </row>
    <row r="2743" spans="2:6" ht="25.8" x14ac:dyDescent="0.55000000000000004">
      <c r="B2743" s="220">
        <v>25</v>
      </c>
      <c r="C2743" s="225" t="s">
        <v>2329</v>
      </c>
      <c r="D2743" s="225" t="s">
        <v>2329</v>
      </c>
      <c r="E2743" s="232" t="s">
        <v>789</v>
      </c>
      <c r="F2743" s="89" t="s">
        <v>332</v>
      </c>
    </row>
    <row r="2744" spans="2:6" ht="25.8" x14ac:dyDescent="0.55000000000000004">
      <c r="B2744" s="220">
        <v>25</v>
      </c>
      <c r="C2744" s="225" t="s">
        <v>2330</v>
      </c>
      <c r="D2744" s="225" t="s">
        <v>2330</v>
      </c>
      <c r="E2744" s="232" t="s">
        <v>789</v>
      </c>
      <c r="F2744" s="89" t="s">
        <v>332</v>
      </c>
    </row>
    <row r="2745" spans="2:6" ht="25.8" x14ac:dyDescent="0.55000000000000004">
      <c r="B2745" s="220">
        <v>25</v>
      </c>
      <c r="C2745" s="225" t="s">
        <v>2331</v>
      </c>
      <c r="D2745" s="225" t="s">
        <v>2331</v>
      </c>
      <c r="E2745" s="232" t="s">
        <v>789</v>
      </c>
      <c r="F2745" s="89" t="s">
        <v>332</v>
      </c>
    </row>
    <row r="2746" spans="2:6" ht="25.8" x14ac:dyDescent="0.55000000000000004">
      <c r="B2746" s="220">
        <v>25</v>
      </c>
      <c r="C2746" s="225" t="s">
        <v>2332</v>
      </c>
      <c r="D2746" s="225" t="s">
        <v>2332</v>
      </c>
      <c r="E2746" s="232" t="s">
        <v>789</v>
      </c>
      <c r="F2746" s="89" t="s">
        <v>332</v>
      </c>
    </row>
    <row r="2747" spans="2:6" x14ac:dyDescent="0.55000000000000004">
      <c r="B2747" s="220">
        <v>25</v>
      </c>
      <c r="C2747" s="225" t="s">
        <v>2333</v>
      </c>
      <c r="D2747" s="225" t="s">
        <v>2333</v>
      </c>
      <c r="E2747" s="232" t="s">
        <v>789</v>
      </c>
      <c r="F2747" s="89" t="s">
        <v>332</v>
      </c>
    </row>
    <row r="2748" spans="2:6" x14ac:dyDescent="0.55000000000000004">
      <c r="B2748" s="220">
        <v>25</v>
      </c>
      <c r="C2748" s="225" t="s">
        <v>2334</v>
      </c>
      <c r="D2748" s="225" t="s">
        <v>2334</v>
      </c>
      <c r="E2748" s="232" t="s">
        <v>789</v>
      </c>
      <c r="F2748" s="89" t="s">
        <v>332</v>
      </c>
    </row>
    <row r="2749" spans="2:6" x14ac:dyDescent="0.55000000000000004">
      <c r="B2749" s="220">
        <v>25</v>
      </c>
      <c r="C2749" s="225" t="s">
        <v>2335</v>
      </c>
      <c r="D2749" s="225" t="s">
        <v>2335</v>
      </c>
      <c r="E2749" s="232" t="s">
        <v>789</v>
      </c>
      <c r="F2749" s="89" t="s">
        <v>332</v>
      </c>
    </row>
    <row r="2750" spans="2:6" x14ac:dyDescent="0.55000000000000004">
      <c r="B2750" s="220">
        <v>25</v>
      </c>
      <c r="C2750" s="225" t="s">
        <v>2336</v>
      </c>
      <c r="D2750" s="225" t="s">
        <v>2336</v>
      </c>
      <c r="E2750" s="232" t="s">
        <v>789</v>
      </c>
      <c r="F2750" s="89" t="s">
        <v>332</v>
      </c>
    </row>
    <row r="2751" spans="2:6" x14ac:dyDescent="0.55000000000000004">
      <c r="B2751" s="220">
        <v>25</v>
      </c>
      <c r="C2751" s="225" t="s">
        <v>2337</v>
      </c>
      <c r="D2751" s="225" t="s">
        <v>2337</v>
      </c>
      <c r="E2751" s="232" t="s">
        <v>789</v>
      </c>
      <c r="F2751" s="89" t="s">
        <v>332</v>
      </c>
    </row>
    <row r="2752" spans="2:6" x14ac:dyDescent="0.55000000000000004">
      <c r="B2752" s="220">
        <v>25</v>
      </c>
      <c r="C2752" s="225" t="s">
        <v>2338</v>
      </c>
      <c r="D2752" s="225" t="s">
        <v>2338</v>
      </c>
      <c r="E2752" s="232" t="s">
        <v>789</v>
      </c>
      <c r="F2752" s="89" t="s">
        <v>332</v>
      </c>
    </row>
    <row r="2753" spans="2:6" ht="25.8" x14ac:dyDescent="0.55000000000000004">
      <c r="B2753" s="220">
        <v>25</v>
      </c>
      <c r="C2753" s="225" t="s">
        <v>2339</v>
      </c>
      <c r="D2753" s="225" t="s">
        <v>2339</v>
      </c>
      <c r="E2753" s="232" t="s">
        <v>789</v>
      </c>
      <c r="F2753" s="89" t="s">
        <v>332</v>
      </c>
    </row>
    <row r="2754" spans="2:6" ht="25.8" x14ac:dyDescent="0.55000000000000004">
      <c r="B2754" s="220">
        <v>25</v>
      </c>
      <c r="C2754" s="225" t="s">
        <v>2340</v>
      </c>
      <c r="D2754" s="225" t="s">
        <v>2340</v>
      </c>
      <c r="E2754" s="232" t="s">
        <v>789</v>
      </c>
      <c r="F2754" s="89" t="s">
        <v>332</v>
      </c>
    </row>
    <row r="2755" spans="2:6" x14ac:dyDescent="0.55000000000000004">
      <c r="B2755" s="220">
        <v>25</v>
      </c>
      <c r="C2755" s="225" t="s">
        <v>2341</v>
      </c>
      <c r="D2755" s="225" t="s">
        <v>2341</v>
      </c>
      <c r="E2755" s="232" t="s">
        <v>789</v>
      </c>
      <c r="F2755" s="89" t="s">
        <v>332</v>
      </c>
    </row>
    <row r="2756" spans="2:6" x14ac:dyDescent="0.55000000000000004">
      <c r="B2756" s="220">
        <v>25</v>
      </c>
      <c r="C2756" s="225" t="s">
        <v>2342</v>
      </c>
      <c r="D2756" s="225" t="s">
        <v>2342</v>
      </c>
      <c r="E2756" s="232" t="s">
        <v>789</v>
      </c>
      <c r="F2756" s="89" t="s">
        <v>332</v>
      </c>
    </row>
    <row r="2757" spans="2:6" x14ac:dyDescent="0.55000000000000004">
      <c r="B2757" s="220">
        <v>25</v>
      </c>
      <c r="C2757" s="225" t="s">
        <v>2343</v>
      </c>
      <c r="D2757" s="225" t="s">
        <v>2343</v>
      </c>
      <c r="E2757" s="232" t="s">
        <v>789</v>
      </c>
      <c r="F2757" s="89" t="s">
        <v>332</v>
      </c>
    </row>
    <row r="2758" spans="2:6" x14ac:dyDescent="0.55000000000000004">
      <c r="B2758" s="220">
        <v>25</v>
      </c>
      <c r="C2758" s="225" t="s">
        <v>2344</v>
      </c>
      <c r="D2758" s="225" t="s">
        <v>2344</v>
      </c>
      <c r="E2758" s="232" t="s">
        <v>789</v>
      </c>
      <c r="F2758" s="89" t="s">
        <v>332</v>
      </c>
    </row>
    <row r="2759" spans="2:6" x14ac:dyDescent="0.55000000000000004">
      <c r="B2759" s="220">
        <v>25</v>
      </c>
      <c r="C2759" s="225" t="s">
        <v>2345</v>
      </c>
      <c r="D2759" s="225" t="s">
        <v>2345</v>
      </c>
      <c r="E2759" s="232" t="s">
        <v>789</v>
      </c>
      <c r="F2759" s="89" t="s">
        <v>332</v>
      </c>
    </row>
    <row r="2760" spans="2:6" x14ac:dyDescent="0.55000000000000004">
      <c r="B2760" s="220">
        <v>25</v>
      </c>
      <c r="C2760" s="225" t="s">
        <v>2346</v>
      </c>
      <c r="D2760" s="225" t="s">
        <v>2346</v>
      </c>
      <c r="E2760" s="232" t="s">
        <v>789</v>
      </c>
      <c r="F2760" s="89" t="s">
        <v>332</v>
      </c>
    </row>
    <row r="2761" spans="2:6" ht="25.8" x14ac:dyDescent="0.55000000000000004">
      <c r="B2761" s="220">
        <v>25</v>
      </c>
      <c r="C2761" s="225" t="s">
        <v>2347</v>
      </c>
      <c r="D2761" s="225" t="s">
        <v>2347</v>
      </c>
      <c r="E2761" s="232" t="s">
        <v>789</v>
      </c>
      <c r="F2761" s="89" t="s">
        <v>332</v>
      </c>
    </row>
    <row r="2762" spans="2:6" ht="25.8" x14ac:dyDescent="0.55000000000000004">
      <c r="B2762" s="220">
        <v>25</v>
      </c>
      <c r="C2762" s="225" t="s">
        <v>2348</v>
      </c>
      <c r="D2762" s="225" t="s">
        <v>2348</v>
      </c>
      <c r="E2762" s="232" t="s">
        <v>789</v>
      </c>
      <c r="F2762" s="89" t="s">
        <v>332</v>
      </c>
    </row>
    <row r="2763" spans="2:6" x14ac:dyDescent="0.55000000000000004">
      <c r="B2763" s="220">
        <v>25</v>
      </c>
      <c r="C2763" s="226" t="s">
        <v>2349</v>
      </c>
      <c r="D2763" s="226" t="s">
        <v>2349</v>
      </c>
      <c r="E2763" s="232" t="s">
        <v>789</v>
      </c>
      <c r="F2763" s="89" t="s">
        <v>332</v>
      </c>
    </row>
    <row r="2764" spans="2:6" x14ac:dyDescent="0.55000000000000004">
      <c r="B2764" s="220">
        <v>25</v>
      </c>
      <c r="C2764" s="226" t="s">
        <v>2350</v>
      </c>
      <c r="D2764" s="226" t="s">
        <v>2350</v>
      </c>
      <c r="E2764" s="232" t="s">
        <v>789</v>
      </c>
      <c r="F2764" s="89" t="s">
        <v>332</v>
      </c>
    </row>
    <row r="2765" spans="2:6" x14ac:dyDescent="0.55000000000000004">
      <c r="B2765" s="220">
        <v>25</v>
      </c>
      <c r="C2765" s="226" t="s">
        <v>2349</v>
      </c>
      <c r="D2765" s="226" t="s">
        <v>2349</v>
      </c>
      <c r="E2765" s="232" t="s">
        <v>2428</v>
      </c>
      <c r="F2765" s="89" t="s">
        <v>648</v>
      </c>
    </row>
    <row r="2766" spans="2:6" x14ac:dyDescent="0.55000000000000004">
      <c r="B2766" s="220">
        <v>25</v>
      </c>
      <c r="C2766" s="226" t="s">
        <v>2350</v>
      </c>
      <c r="D2766" s="226" t="s">
        <v>2350</v>
      </c>
      <c r="E2766" s="232" t="s">
        <v>2428</v>
      </c>
      <c r="F2766" s="89" t="s">
        <v>648</v>
      </c>
    </row>
    <row r="2767" spans="2:6" ht="25.8" x14ac:dyDescent="0.55000000000000004">
      <c r="B2767" s="220">
        <v>25</v>
      </c>
      <c r="C2767" s="226" t="s">
        <v>2351</v>
      </c>
      <c r="D2767" s="226" t="s">
        <v>2351</v>
      </c>
      <c r="E2767" s="232" t="s">
        <v>789</v>
      </c>
      <c r="F2767" s="89" t="s">
        <v>332</v>
      </c>
    </row>
    <row r="2768" spans="2:6" ht="25.8" x14ac:dyDescent="0.55000000000000004">
      <c r="B2768" s="220">
        <v>25</v>
      </c>
      <c r="C2768" s="226" t="s">
        <v>2352</v>
      </c>
      <c r="D2768" s="226" t="s">
        <v>2352</v>
      </c>
      <c r="E2768" s="232" t="s">
        <v>789</v>
      </c>
      <c r="F2768" s="89" t="s">
        <v>332</v>
      </c>
    </row>
    <row r="2769" spans="2:6" ht="25.8" x14ac:dyDescent="0.55000000000000004">
      <c r="B2769" s="220">
        <v>25</v>
      </c>
      <c r="C2769" s="226" t="s">
        <v>2351</v>
      </c>
      <c r="D2769" s="226" t="s">
        <v>2351</v>
      </c>
      <c r="E2769" s="232" t="s">
        <v>2428</v>
      </c>
      <c r="F2769" s="89" t="s">
        <v>648</v>
      </c>
    </row>
    <row r="2770" spans="2:6" ht="25.8" x14ac:dyDescent="0.55000000000000004">
      <c r="B2770" s="220">
        <v>25</v>
      </c>
      <c r="C2770" s="226" t="s">
        <v>2352</v>
      </c>
      <c r="D2770" s="226" t="s">
        <v>2352</v>
      </c>
      <c r="E2770" s="232" t="s">
        <v>2428</v>
      </c>
      <c r="F2770" s="89" t="s">
        <v>648</v>
      </c>
    </row>
    <row r="2771" spans="2:6" ht="25.8" x14ac:dyDescent="0.55000000000000004">
      <c r="B2771" s="220">
        <v>25</v>
      </c>
      <c r="C2771" s="225" t="s">
        <v>3170</v>
      </c>
      <c r="D2771" s="225" t="s">
        <v>2353</v>
      </c>
      <c r="E2771" s="232" t="s">
        <v>789</v>
      </c>
      <c r="F2771" s="89" t="s">
        <v>332</v>
      </c>
    </row>
    <row r="2772" spans="2:6" ht="25.8" x14ac:dyDescent="0.55000000000000004">
      <c r="B2772" s="220">
        <v>25</v>
      </c>
      <c r="C2772" s="225" t="s">
        <v>3171</v>
      </c>
      <c r="D2772" s="225" t="s">
        <v>2354</v>
      </c>
      <c r="E2772" s="232" t="s">
        <v>789</v>
      </c>
      <c r="F2772" s="89" t="s">
        <v>332</v>
      </c>
    </row>
    <row r="2773" spans="2:6" ht="25.8" x14ac:dyDescent="0.55000000000000004">
      <c r="B2773" s="220">
        <v>25</v>
      </c>
      <c r="C2773" s="225" t="s">
        <v>2355</v>
      </c>
      <c r="D2773" s="225" t="s">
        <v>2355</v>
      </c>
      <c r="E2773" s="232" t="s">
        <v>789</v>
      </c>
      <c r="F2773" s="89" t="s">
        <v>332</v>
      </c>
    </row>
    <row r="2774" spans="2:6" ht="25.8" x14ac:dyDescent="0.55000000000000004">
      <c r="B2774" s="220">
        <v>25</v>
      </c>
      <c r="C2774" s="225" t="s">
        <v>2356</v>
      </c>
      <c r="D2774" s="225" t="s">
        <v>2356</v>
      </c>
      <c r="E2774" s="232" t="s">
        <v>789</v>
      </c>
      <c r="F2774" s="89" t="s">
        <v>332</v>
      </c>
    </row>
    <row r="2775" spans="2:6" ht="25.8" x14ac:dyDescent="0.55000000000000004">
      <c r="B2775" s="220">
        <v>25</v>
      </c>
      <c r="C2775" s="225" t="s">
        <v>2357</v>
      </c>
      <c r="D2775" s="225" t="s">
        <v>2357</v>
      </c>
      <c r="E2775" s="232" t="s">
        <v>789</v>
      </c>
      <c r="F2775" s="89" t="s">
        <v>332</v>
      </c>
    </row>
    <row r="2776" spans="2:6" ht="25.8" x14ac:dyDescent="0.55000000000000004">
      <c r="B2776" s="220">
        <v>25</v>
      </c>
      <c r="C2776" s="225" t="s">
        <v>2358</v>
      </c>
      <c r="D2776" s="225" t="s">
        <v>2358</v>
      </c>
      <c r="E2776" s="232" t="s">
        <v>789</v>
      </c>
      <c r="F2776" s="89" t="s">
        <v>332</v>
      </c>
    </row>
    <row r="2777" spans="2:6" ht="25.8" x14ac:dyDescent="0.55000000000000004">
      <c r="B2777" s="220">
        <v>25</v>
      </c>
      <c r="C2777" s="225" t="s">
        <v>3172</v>
      </c>
      <c r="D2777" s="225" t="s">
        <v>2359</v>
      </c>
      <c r="E2777" s="232" t="s">
        <v>789</v>
      </c>
      <c r="F2777" s="89" t="s">
        <v>332</v>
      </c>
    </row>
    <row r="2778" spans="2:6" ht="25.8" x14ac:dyDescent="0.55000000000000004">
      <c r="B2778" s="220">
        <v>25</v>
      </c>
      <c r="C2778" s="225" t="s">
        <v>3173</v>
      </c>
      <c r="D2778" s="225" t="s">
        <v>2360</v>
      </c>
      <c r="E2778" s="232" t="s">
        <v>789</v>
      </c>
      <c r="F2778" s="89" t="s">
        <v>332</v>
      </c>
    </row>
    <row r="2779" spans="2:6" ht="25.8" x14ac:dyDescent="0.55000000000000004">
      <c r="B2779" s="220">
        <v>25</v>
      </c>
      <c r="C2779" s="225" t="s">
        <v>2361</v>
      </c>
      <c r="D2779" s="225" t="s">
        <v>2361</v>
      </c>
      <c r="E2779" s="232" t="s">
        <v>789</v>
      </c>
      <c r="F2779" s="89" t="s">
        <v>332</v>
      </c>
    </row>
    <row r="2780" spans="2:6" ht="25.8" x14ac:dyDescent="0.55000000000000004">
      <c r="B2780" s="220">
        <v>25</v>
      </c>
      <c r="C2780" s="225" t="s">
        <v>2362</v>
      </c>
      <c r="D2780" s="225" t="s">
        <v>2362</v>
      </c>
      <c r="E2780" s="232" t="s">
        <v>789</v>
      </c>
      <c r="F2780" s="89" t="s">
        <v>332</v>
      </c>
    </row>
    <row r="2781" spans="2:6" ht="25.8" x14ac:dyDescent="0.55000000000000004">
      <c r="B2781" s="220">
        <v>25</v>
      </c>
      <c r="C2781" s="225" t="s">
        <v>3174</v>
      </c>
      <c r="D2781" s="225" t="s">
        <v>2363</v>
      </c>
      <c r="E2781" s="232" t="s">
        <v>789</v>
      </c>
      <c r="F2781" s="89" t="s">
        <v>332</v>
      </c>
    </row>
    <row r="2782" spans="2:6" ht="25.8" x14ac:dyDescent="0.55000000000000004">
      <c r="B2782" s="220">
        <v>25</v>
      </c>
      <c r="C2782" s="225" t="s">
        <v>3175</v>
      </c>
      <c r="D2782" s="225" t="s">
        <v>2364</v>
      </c>
      <c r="E2782" s="232" t="s">
        <v>789</v>
      </c>
      <c r="F2782" s="89" t="s">
        <v>332</v>
      </c>
    </row>
    <row r="2783" spans="2:6" x14ac:dyDescent="0.55000000000000004">
      <c r="B2783" s="220">
        <v>25</v>
      </c>
      <c r="C2783" s="225" t="s">
        <v>2365</v>
      </c>
      <c r="D2783" s="225" t="s">
        <v>2365</v>
      </c>
      <c r="E2783" s="232" t="s">
        <v>789</v>
      </c>
      <c r="F2783" s="89" t="s">
        <v>332</v>
      </c>
    </row>
    <row r="2784" spans="2:6" x14ac:dyDescent="0.55000000000000004">
      <c r="B2784" s="220">
        <v>25</v>
      </c>
      <c r="C2784" s="225" t="s">
        <v>2366</v>
      </c>
      <c r="D2784" s="225" t="s">
        <v>2366</v>
      </c>
      <c r="E2784" s="232" t="s">
        <v>789</v>
      </c>
      <c r="F2784" s="89" t="s">
        <v>332</v>
      </c>
    </row>
    <row r="2785" spans="2:6" ht="25.8" x14ac:dyDescent="0.55000000000000004">
      <c r="B2785" s="220">
        <v>25</v>
      </c>
      <c r="C2785" s="225" t="s">
        <v>2367</v>
      </c>
      <c r="D2785" s="225" t="s">
        <v>2367</v>
      </c>
      <c r="E2785" s="232" t="s">
        <v>789</v>
      </c>
      <c r="F2785" s="89" t="s">
        <v>332</v>
      </c>
    </row>
    <row r="2786" spans="2:6" ht="25.8" x14ac:dyDescent="0.55000000000000004">
      <c r="B2786" s="220">
        <v>25</v>
      </c>
      <c r="C2786" s="225" t="s">
        <v>2368</v>
      </c>
      <c r="D2786" s="225" t="s">
        <v>2368</v>
      </c>
      <c r="E2786" s="232" t="s">
        <v>789</v>
      </c>
      <c r="F2786" s="89" t="s">
        <v>332</v>
      </c>
    </row>
    <row r="2787" spans="2:6" x14ac:dyDescent="0.55000000000000004">
      <c r="B2787" s="220">
        <v>25</v>
      </c>
      <c r="C2787" s="225" t="s">
        <v>2369</v>
      </c>
      <c r="D2787" s="225" t="s">
        <v>2369</v>
      </c>
      <c r="E2787" s="232" t="s">
        <v>789</v>
      </c>
      <c r="F2787" s="89" t="s">
        <v>332</v>
      </c>
    </row>
    <row r="2788" spans="2:6" x14ac:dyDescent="0.55000000000000004">
      <c r="B2788" s="220">
        <v>25</v>
      </c>
      <c r="C2788" s="225" t="s">
        <v>2370</v>
      </c>
      <c r="D2788" s="225" t="s">
        <v>2370</v>
      </c>
      <c r="E2788" s="232" t="s">
        <v>789</v>
      </c>
      <c r="F2788" s="89" t="s">
        <v>332</v>
      </c>
    </row>
    <row r="2789" spans="2:6" ht="25.8" x14ac:dyDescent="0.55000000000000004">
      <c r="B2789" s="220">
        <v>25</v>
      </c>
      <c r="C2789" s="225" t="s">
        <v>2371</v>
      </c>
      <c r="D2789" s="225" t="s">
        <v>2371</v>
      </c>
      <c r="E2789" s="232" t="s">
        <v>789</v>
      </c>
      <c r="F2789" s="89" t="s">
        <v>332</v>
      </c>
    </row>
    <row r="2790" spans="2:6" ht="25.8" x14ac:dyDescent="0.55000000000000004">
      <c r="B2790" s="220">
        <v>25</v>
      </c>
      <c r="C2790" s="225" t="s">
        <v>2372</v>
      </c>
      <c r="D2790" s="225" t="s">
        <v>2372</v>
      </c>
      <c r="E2790" s="232" t="s">
        <v>789</v>
      </c>
      <c r="F2790" s="89" t="s">
        <v>332</v>
      </c>
    </row>
    <row r="2791" spans="2:6" x14ac:dyDescent="0.55000000000000004">
      <c r="B2791" s="220">
        <v>25</v>
      </c>
      <c r="C2791" s="225" t="s">
        <v>2373</v>
      </c>
      <c r="D2791" s="225" t="s">
        <v>2373</v>
      </c>
      <c r="E2791" s="232" t="s">
        <v>789</v>
      </c>
      <c r="F2791" s="89" t="s">
        <v>332</v>
      </c>
    </row>
    <row r="2792" spans="2:6" x14ac:dyDescent="0.55000000000000004">
      <c r="B2792" s="220">
        <v>25</v>
      </c>
      <c r="C2792" s="225" t="s">
        <v>2374</v>
      </c>
      <c r="D2792" s="225" t="s">
        <v>2374</v>
      </c>
      <c r="E2792" s="232" t="s">
        <v>789</v>
      </c>
      <c r="F2792" s="89" t="s">
        <v>332</v>
      </c>
    </row>
    <row r="2793" spans="2:6" ht="25.8" x14ac:dyDescent="0.55000000000000004">
      <c r="B2793" s="220">
        <v>25</v>
      </c>
      <c r="C2793" s="225" t="s">
        <v>3176</v>
      </c>
      <c r="D2793" s="225" t="s">
        <v>2375</v>
      </c>
      <c r="E2793" s="232" t="s">
        <v>789</v>
      </c>
      <c r="F2793" s="89" t="s">
        <v>332</v>
      </c>
    </row>
    <row r="2794" spans="2:6" ht="25.8" x14ac:dyDescent="0.55000000000000004">
      <c r="B2794" s="220">
        <v>25</v>
      </c>
      <c r="C2794" s="225" t="s">
        <v>3177</v>
      </c>
      <c r="D2794" s="225" t="s">
        <v>2376</v>
      </c>
      <c r="E2794" s="232" t="s">
        <v>789</v>
      </c>
      <c r="F2794" s="89" t="s">
        <v>332</v>
      </c>
    </row>
    <row r="2795" spans="2:6" ht="25.8" x14ac:dyDescent="0.55000000000000004">
      <c r="B2795" s="220">
        <v>25</v>
      </c>
      <c r="C2795" s="225" t="s">
        <v>3178</v>
      </c>
      <c r="D2795" s="225" t="s">
        <v>2377</v>
      </c>
      <c r="E2795" s="232" t="s">
        <v>789</v>
      </c>
      <c r="F2795" s="89" t="s">
        <v>332</v>
      </c>
    </row>
    <row r="2796" spans="2:6" ht="25.8" x14ac:dyDescent="0.55000000000000004">
      <c r="B2796" s="220">
        <v>25</v>
      </c>
      <c r="C2796" s="225" t="s">
        <v>3179</v>
      </c>
      <c r="D2796" s="225" t="s">
        <v>2378</v>
      </c>
      <c r="E2796" s="232" t="s">
        <v>789</v>
      </c>
      <c r="F2796" s="89" t="s">
        <v>332</v>
      </c>
    </row>
    <row r="2797" spans="2:6" ht="25.8" x14ac:dyDescent="0.55000000000000004">
      <c r="B2797" s="220">
        <v>25</v>
      </c>
      <c r="C2797" s="225" t="s">
        <v>3180</v>
      </c>
      <c r="D2797" s="225" t="s">
        <v>2379</v>
      </c>
      <c r="E2797" s="232" t="s">
        <v>789</v>
      </c>
      <c r="F2797" s="89" t="s">
        <v>332</v>
      </c>
    </row>
    <row r="2798" spans="2:6" ht="25.8" x14ac:dyDescent="0.55000000000000004">
      <c r="B2798" s="220">
        <v>25</v>
      </c>
      <c r="C2798" s="225" t="s">
        <v>3181</v>
      </c>
      <c r="D2798" s="225" t="s">
        <v>2380</v>
      </c>
      <c r="E2798" s="232" t="s">
        <v>789</v>
      </c>
      <c r="F2798" s="89" t="s">
        <v>332</v>
      </c>
    </row>
    <row r="2799" spans="2:6" ht="25.8" x14ac:dyDescent="0.55000000000000004">
      <c r="B2799" s="220">
        <v>25</v>
      </c>
      <c r="C2799" s="225" t="s">
        <v>3182</v>
      </c>
      <c r="D2799" s="225" t="s">
        <v>2381</v>
      </c>
      <c r="E2799" s="232" t="s">
        <v>789</v>
      </c>
      <c r="F2799" s="89" t="s">
        <v>332</v>
      </c>
    </row>
    <row r="2800" spans="2:6" ht="25.8" x14ac:dyDescent="0.55000000000000004">
      <c r="B2800" s="220">
        <v>25</v>
      </c>
      <c r="C2800" s="225" t="s">
        <v>3183</v>
      </c>
      <c r="D2800" s="225" t="s">
        <v>2382</v>
      </c>
      <c r="E2800" s="232" t="s">
        <v>789</v>
      </c>
      <c r="F2800" s="89" t="s">
        <v>332</v>
      </c>
    </row>
    <row r="2801" spans="2:6" x14ac:dyDescent="0.55000000000000004">
      <c r="B2801" s="220">
        <v>25</v>
      </c>
      <c r="C2801" s="225" t="s">
        <v>2383</v>
      </c>
      <c r="D2801" s="225" t="s">
        <v>2383</v>
      </c>
      <c r="E2801" s="232" t="s">
        <v>789</v>
      </c>
      <c r="F2801" s="89" t="s">
        <v>332</v>
      </c>
    </row>
    <row r="2802" spans="2:6" x14ac:dyDescent="0.55000000000000004">
      <c r="B2802" s="220">
        <v>25</v>
      </c>
      <c r="C2802" s="225" t="s">
        <v>2384</v>
      </c>
      <c r="D2802" s="225" t="s">
        <v>2384</v>
      </c>
      <c r="E2802" s="232" t="s">
        <v>789</v>
      </c>
      <c r="F2802" s="89" t="s">
        <v>332</v>
      </c>
    </row>
    <row r="2803" spans="2:6" x14ac:dyDescent="0.55000000000000004">
      <c r="B2803" s="220">
        <v>25</v>
      </c>
      <c r="C2803" s="225" t="s">
        <v>2385</v>
      </c>
      <c r="D2803" s="225" t="s">
        <v>2385</v>
      </c>
      <c r="E2803" s="232" t="s">
        <v>789</v>
      </c>
      <c r="F2803" s="89" t="s">
        <v>332</v>
      </c>
    </row>
    <row r="2804" spans="2:6" x14ac:dyDescent="0.55000000000000004">
      <c r="B2804" s="220">
        <v>25</v>
      </c>
      <c r="C2804" s="225" t="s">
        <v>2386</v>
      </c>
      <c r="D2804" s="225" t="s">
        <v>2386</v>
      </c>
      <c r="E2804" s="232" t="s">
        <v>789</v>
      </c>
      <c r="F2804" s="89" t="s">
        <v>332</v>
      </c>
    </row>
    <row r="2805" spans="2:6" x14ac:dyDescent="0.55000000000000004">
      <c r="B2805" s="220">
        <v>25</v>
      </c>
      <c r="C2805" s="225" t="s">
        <v>2387</v>
      </c>
      <c r="D2805" s="225" t="s">
        <v>2387</v>
      </c>
      <c r="E2805" s="232" t="s">
        <v>789</v>
      </c>
      <c r="F2805" s="89" t="s">
        <v>332</v>
      </c>
    </row>
    <row r="2806" spans="2:6" x14ac:dyDescent="0.55000000000000004">
      <c r="B2806" s="220">
        <v>25</v>
      </c>
      <c r="C2806" s="225" t="s">
        <v>2388</v>
      </c>
      <c r="D2806" s="225" t="s">
        <v>2388</v>
      </c>
      <c r="E2806" s="232" t="s">
        <v>789</v>
      </c>
      <c r="F2806" s="89" t="s">
        <v>332</v>
      </c>
    </row>
    <row r="2807" spans="2:6" x14ac:dyDescent="0.55000000000000004">
      <c r="B2807" s="220">
        <v>25</v>
      </c>
      <c r="C2807" s="225" t="s">
        <v>2389</v>
      </c>
      <c r="D2807" s="225" t="s">
        <v>2389</v>
      </c>
      <c r="E2807" s="232" t="s">
        <v>789</v>
      </c>
      <c r="F2807" s="89" t="s">
        <v>332</v>
      </c>
    </row>
    <row r="2808" spans="2:6" x14ac:dyDescent="0.55000000000000004">
      <c r="B2808" s="220">
        <v>25</v>
      </c>
      <c r="C2808" s="225" t="s">
        <v>2390</v>
      </c>
      <c r="D2808" s="225" t="s">
        <v>2390</v>
      </c>
      <c r="E2808" s="232" t="s">
        <v>789</v>
      </c>
      <c r="F2808" s="89" t="s">
        <v>332</v>
      </c>
    </row>
    <row r="2809" spans="2:6" x14ac:dyDescent="0.55000000000000004">
      <c r="B2809" s="220">
        <v>25</v>
      </c>
      <c r="C2809" s="225" t="s">
        <v>2391</v>
      </c>
      <c r="D2809" s="225" t="s">
        <v>2391</v>
      </c>
      <c r="E2809" s="232" t="s">
        <v>789</v>
      </c>
      <c r="F2809" s="89" t="s">
        <v>332</v>
      </c>
    </row>
    <row r="2810" spans="2:6" x14ac:dyDescent="0.55000000000000004">
      <c r="B2810" s="220">
        <v>25</v>
      </c>
      <c r="C2810" s="225" t="s">
        <v>2392</v>
      </c>
      <c r="D2810" s="225" t="s">
        <v>2392</v>
      </c>
      <c r="E2810" s="232" t="s">
        <v>789</v>
      </c>
      <c r="F2810" s="89" t="s">
        <v>332</v>
      </c>
    </row>
    <row r="2811" spans="2:6" x14ac:dyDescent="0.55000000000000004">
      <c r="B2811" s="220">
        <v>25</v>
      </c>
      <c r="C2811" s="226" t="s">
        <v>2393</v>
      </c>
      <c r="D2811" s="226" t="s">
        <v>2393</v>
      </c>
      <c r="E2811" s="232" t="s">
        <v>789</v>
      </c>
      <c r="F2811" s="89" t="s">
        <v>332</v>
      </c>
    </row>
    <row r="2812" spans="2:6" x14ac:dyDescent="0.55000000000000004">
      <c r="B2812" s="220">
        <v>25</v>
      </c>
      <c r="C2812" s="226" t="s">
        <v>2394</v>
      </c>
      <c r="D2812" s="226" t="s">
        <v>2394</v>
      </c>
      <c r="E2812" s="232" t="s">
        <v>789</v>
      </c>
      <c r="F2812" s="89" t="s">
        <v>332</v>
      </c>
    </row>
    <row r="2813" spans="2:6" x14ac:dyDescent="0.55000000000000004">
      <c r="B2813" s="220">
        <v>25</v>
      </c>
      <c r="C2813" s="226" t="s">
        <v>2393</v>
      </c>
      <c r="D2813" s="226" t="s">
        <v>2393</v>
      </c>
      <c r="E2813" s="232" t="s">
        <v>2428</v>
      </c>
      <c r="F2813" s="89" t="s">
        <v>648</v>
      </c>
    </row>
    <row r="2814" spans="2:6" x14ac:dyDescent="0.55000000000000004">
      <c r="B2814" s="220">
        <v>25</v>
      </c>
      <c r="C2814" s="226" t="s">
        <v>2394</v>
      </c>
      <c r="D2814" s="226" t="s">
        <v>2394</v>
      </c>
      <c r="E2814" s="232" t="s">
        <v>2428</v>
      </c>
      <c r="F2814" s="89" t="s">
        <v>648</v>
      </c>
    </row>
    <row r="2815" spans="2:6" ht="25.8" x14ac:dyDescent="0.55000000000000004">
      <c r="B2815" s="220">
        <v>25</v>
      </c>
      <c r="C2815" s="225" t="s">
        <v>3184</v>
      </c>
      <c r="D2815" s="225" t="s">
        <v>2395</v>
      </c>
      <c r="E2815" s="232" t="s">
        <v>789</v>
      </c>
      <c r="F2815" s="89" t="s">
        <v>332</v>
      </c>
    </row>
    <row r="2816" spans="2:6" ht="25.8" x14ac:dyDescent="0.55000000000000004">
      <c r="B2816" s="220">
        <v>25</v>
      </c>
      <c r="C2816" s="225" t="s">
        <v>3185</v>
      </c>
      <c r="D2816" s="225" t="s">
        <v>2396</v>
      </c>
      <c r="E2816" s="232" t="s">
        <v>789</v>
      </c>
      <c r="F2816" s="89" t="s">
        <v>332</v>
      </c>
    </row>
    <row r="2817" spans="2:6" ht="25.8" x14ac:dyDescent="0.55000000000000004">
      <c r="B2817" s="220">
        <v>25</v>
      </c>
      <c r="C2817" s="225" t="s">
        <v>3184</v>
      </c>
      <c r="D2817" s="225" t="s">
        <v>2395</v>
      </c>
      <c r="E2817" s="232" t="s">
        <v>2428</v>
      </c>
      <c r="F2817" s="89" t="s">
        <v>648</v>
      </c>
    </row>
    <row r="2818" spans="2:6" ht="25.8" x14ac:dyDescent="0.55000000000000004">
      <c r="B2818" s="220">
        <v>25</v>
      </c>
      <c r="C2818" s="225" t="s">
        <v>3185</v>
      </c>
      <c r="D2818" s="225" t="s">
        <v>2396</v>
      </c>
      <c r="E2818" s="232" t="s">
        <v>2428</v>
      </c>
      <c r="F2818" s="89" t="s">
        <v>648</v>
      </c>
    </row>
    <row r="2819" spans="2:6" ht="25.8" x14ac:dyDescent="0.55000000000000004">
      <c r="B2819" s="220">
        <v>25</v>
      </c>
      <c r="C2819" s="225" t="s">
        <v>2397</v>
      </c>
      <c r="D2819" s="225" t="s">
        <v>2397</v>
      </c>
      <c r="E2819" s="232" t="s">
        <v>789</v>
      </c>
      <c r="F2819" s="89" t="s">
        <v>332</v>
      </c>
    </row>
    <row r="2820" spans="2:6" ht="25.8" x14ac:dyDescent="0.55000000000000004">
      <c r="B2820" s="220">
        <v>25</v>
      </c>
      <c r="C2820" s="225" t="s">
        <v>2398</v>
      </c>
      <c r="D2820" s="225" t="s">
        <v>2398</v>
      </c>
      <c r="E2820" s="232" t="s">
        <v>789</v>
      </c>
      <c r="F2820" s="89" t="s">
        <v>332</v>
      </c>
    </row>
    <row r="2821" spans="2:6" ht="25.8" x14ac:dyDescent="0.55000000000000004">
      <c r="B2821" s="220">
        <v>25</v>
      </c>
      <c r="C2821" s="225" t="s">
        <v>2399</v>
      </c>
      <c r="D2821" s="225" t="s">
        <v>2399</v>
      </c>
      <c r="E2821" s="232" t="s">
        <v>789</v>
      </c>
      <c r="F2821" s="89" t="s">
        <v>332</v>
      </c>
    </row>
    <row r="2822" spans="2:6" ht="25.8" x14ac:dyDescent="0.55000000000000004">
      <c r="B2822" s="220">
        <v>25</v>
      </c>
      <c r="C2822" s="225" t="s">
        <v>2400</v>
      </c>
      <c r="D2822" s="225" t="s">
        <v>2400</v>
      </c>
      <c r="E2822" s="232" t="s">
        <v>789</v>
      </c>
      <c r="F2822" s="89" t="s">
        <v>332</v>
      </c>
    </row>
    <row r="2823" spans="2:6" ht="25.8" x14ac:dyDescent="0.55000000000000004">
      <c r="B2823" s="220">
        <v>25</v>
      </c>
      <c r="C2823" s="225" t="s">
        <v>3186</v>
      </c>
      <c r="D2823" s="225" t="s">
        <v>2401</v>
      </c>
      <c r="E2823" s="232" t="s">
        <v>789</v>
      </c>
      <c r="F2823" s="89" t="s">
        <v>332</v>
      </c>
    </row>
    <row r="2824" spans="2:6" ht="25.8" x14ac:dyDescent="0.55000000000000004">
      <c r="B2824" s="220">
        <v>25</v>
      </c>
      <c r="C2824" s="225" t="s">
        <v>3187</v>
      </c>
      <c r="D2824" s="225" t="s">
        <v>2402</v>
      </c>
      <c r="E2824" s="232" t="s">
        <v>789</v>
      </c>
      <c r="F2824" s="89" t="s">
        <v>332</v>
      </c>
    </row>
    <row r="2825" spans="2:6" ht="25.8" x14ac:dyDescent="0.55000000000000004">
      <c r="B2825" s="220">
        <v>25</v>
      </c>
      <c r="C2825" s="225" t="s">
        <v>3188</v>
      </c>
      <c r="D2825" s="225" t="s">
        <v>2403</v>
      </c>
      <c r="E2825" s="232" t="s">
        <v>789</v>
      </c>
      <c r="F2825" s="89" t="s">
        <v>332</v>
      </c>
    </row>
    <row r="2826" spans="2:6" ht="25.8" x14ac:dyDescent="0.55000000000000004">
      <c r="B2826" s="220">
        <v>25</v>
      </c>
      <c r="C2826" s="225" t="s">
        <v>3189</v>
      </c>
      <c r="D2826" s="225" t="s">
        <v>2404</v>
      </c>
      <c r="E2826" s="232" t="s">
        <v>789</v>
      </c>
      <c r="F2826" s="89" t="s">
        <v>332</v>
      </c>
    </row>
    <row r="2827" spans="2:6" ht="25.8" x14ac:dyDescent="0.55000000000000004">
      <c r="B2827" s="220">
        <v>25</v>
      </c>
      <c r="C2827" s="225" t="s">
        <v>2405</v>
      </c>
      <c r="D2827" s="225" t="s">
        <v>2405</v>
      </c>
      <c r="E2827" s="232" t="s">
        <v>789</v>
      </c>
      <c r="F2827" s="89" t="s">
        <v>332</v>
      </c>
    </row>
    <row r="2828" spans="2:6" ht="25.8" x14ac:dyDescent="0.55000000000000004">
      <c r="B2828" s="220">
        <v>25</v>
      </c>
      <c r="C2828" s="225" t="s">
        <v>2406</v>
      </c>
      <c r="D2828" s="225" t="s">
        <v>2406</v>
      </c>
      <c r="E2828" s="232" t="s">
        <v>789</v>
      </c>
      <c r="F2828" s="89" t="s">
        <v>332</v>
      </c>
    </row>
    <row r="2829" spans="2:6" ht="25.8" x14ac:dyDescent="0.55000000000000004">
      <c r="B2829" s="220">
        <v>25</v>
      </c>
      <c r="C2829" s="225" t="s">
        <v>2407</v>
      </c>
      <c r="D2829" s="225" t="s">
        <v>2407</v>
      </c>
      <c r="E2829" s="232" t="s">
        <v>789</v>
      </c>
      <c r="F2829" s="89" t="s">
        <v>332</v>
      </c>
    </row>
    <row r="2830" spans="2:6" ht="25.8" x14ac:dyDescent="0.55000000000000004">
      <c r="B2830" s="220">
        <v>25</v>
      </c>
      <c r="C2830" s="225" t="s">
        <v>2408</v>
      </c>
      <c r="D2830" s="225" t="s">
        <v>2408</v>
      </c>
      <c r="E2830" s="232" t="s">
        <v>789</v>
      </c>
      <c r="F2830" s="89" t="s">
        <v>332</v>
      </c>
    </row>
    <row r="2831" spans="2:6" x14ac:dyDescent="0.55000000000000004">
      <c r="B2831" s="220">
        <v>25</v>
      </c>
      <c r="C2831" s="225" t="s">
        <v>2409</v>
      </c>
      <c r="D2831" s="225" t="s">
        <v>2409</v>
      </c>
      <c r="E2831" s="232" t="s">
        <v>789</v>
      </c>
      <c r="F2831" s="89" t="s">
        <v>332</v>
      </c>
    </row>
    <row r="2832" spans="2:6" x14ac:dyDescent="0.55000000000000004">
      <c r="B2832" s="220">
        <v>25</v>
      </c>
      <c r="C2832" s="225" t="s">
        <v>2410</v>
      </c>
      <c r="D2832" s="225" t="s">
        <v>2410</v>
      </c>
      <c r="E2832" s="232" t="s">
        <v>789</v>
      </c>
      <c r="F2832" s="89" t="s">
        <v>332</v>
      </c>
    </row>
    <row r="2833" spans="2:6" x14ac:dyDescent="0.55000000000000004">
      <c r="B2833" s="220">
        <v>25</v>
      </c>
      <c r="C2833" s="225" t="s">
        <v>2411</v>
      </c>
      <c r="D2833" s="225" t="s">
        <v>2411</v>
      </c>
      <c r="E2833" s="232" t="s">
        <v>789</v>
      </c>
      <c r="F2833" s="89" t="s">
        <v>332</v>
      </c>
    </row>
    <row r="2834" spans="2:6" x14ac:dyDescent="0.55000000000000004">
      <c r="B2834" s="220">
        <v>25</v>
      </c>
      <c r="C2834" s="225" t="s">
        <v>2412</v>
      </c>
      <c r="D2834" s="225" t="s">
        <v>2412</v>
      </c>
      <c r="E2834" s="232" t="s">
        <v>789</v>
      </c>
      <c r="F2834" s="89" t="s">
        <v>332</v>
      </c>
    </row>
    <row r="2835" spans="2:6" ht="25.8" x14ac:dyDescent="0.55000000000000004">
      <c r="B2835" s="220">
        <v>25</v>
      </c>
      <c r="C2835" s="225" t="s">
        <v>3190</v>
      </c>
      <c r="D2835" s="225" t="s">
        <v>2413</v>
      </c>
      <c r="E2835" s="232" t="s">
        <v>789</v>
      </c>
      <c r="F2835" s="89" t="s">
        <v>332</v>
      </c>
    </row>
    <row r="2836" spans="2:6" ht="25.8" x14ac:dyDescent="0.55000000000000004">
      <c r="B2836" s="220">
        <v>25</v>
      </c>
      <c r="C2836" s="225" t="s">
        <v>3191</v>
      </c>
      <c r="D2836" s="225" t="s">
        <v>2414</v>
      </c>
      <c r="E2836" s="232" t="s">
        <v>789</v>
      </c>
      <c r="F2836" s="89" t="s">
        <v>332</v>
      </c>
    </row>
    <row r="2837" spans="2:6" x14ac:dyDescent="0.55000000000000004">
      <c r="B2837" s="220">
        <v>25</v>
      </c>
      <c r="C2837" s="225" t="s">
        <v>2415</v>
      </c>
      <c r="D2837" s="225" t="s">
        <v>2415</v>
      </c>
      <c r="E2837" s="232" t="s">
        <v>789</v>
      </c>
      <c r="F2837" s="89" t="s">
        <v>332</v>
      </c>
    </row>
    <row r="2838" spans="2:6" x14ac:dyDescent="0.55000000000000004">
      <c r="B2838" s="220">
        <v>25</v>
      </c>
      <c r="C2838" s="225" t="s">
        <v>2416</v>
      </c>
      <c r="D2838" s="225" t="s">
        <v>2416</v>
      </c>
      <c r="E2838" s="232" t="s">
        <v>789</v>
      </c>
      <c r="F2838" s="89" t="s">
        <v>332</v>
      </c>
    </row>
    <row r="2839" spans="2:6" x14ac:dyDescent="0.55000000000000004">
      <c r="B2839" s="222" t="s">
        <v>959</v>
      </c>
      <c r="C2839" s="227" t="s">
        <v>2417</v>
      </c>
      <c r="D2839" s="227" t="s">
        <v>2417</v>
      </c>
      <c r="E2839" s="232" t="e">
        <v>#N/A</v>
      </c>
      <c r="F2839" s="89" t="s">
        <v>2433</v>
      </c>
    </row>
    <row r="2840" spans="2:6" x14ac:dyDescent="0.55000000000000004">
      <c r="B2840" s="220" t="s">
        <v>959</v>
      </c>
      <c r="C2840" s="225" t="s">
        <v>2000</v>
      </c>
      <c r="D2840" s="225" t="s">
        <v>2000</v>
      </c>
      <c r="E2840" s="232" t="s">
        <v>789</v>
      </c>
      <c r="F2840" s="89" t="s">
        <v>332</v>
      </c>
    </row>
    <row r="2841" spans="2:6" ht="25.8" x14ac:dyDescent="0.55000000000000004">
      <c r="B2841" s="220" t="s">
        <v>959</v>
      </c>
      <c r="C2841" s="225" t="s">
        <v>2002</v>
      </c>
      <c r="D2841" s="225" t="s">
        <v>2002</v>
      </c>
      <c r="E2841" s="232" t="s">
        <v>789</v>
      </c>
      <c r="F2841" s="89" t="s">
        <v>332</v>
      </c>
    </row>
    <row r="2842" spans="2:6" ht="38.700000000000003" x14ac:dyDescent="0.55000000000000004">
      <c r="B2842" s="220" t="s">
        <v>959</v>
      </c>
      <c r="C2842" s="225" t="s">
        <v>3083</v>
      </c>
      <c r="D2842" s="225" t="s">
        <v>2004</v>
      </c>
      <c r="E2842" s="232" t="s">
        <v>789</v>
      </c>
      <c r="F2842" s="89" t="s">
        <v>332</v>
      </c>
    </row>
    <row r="2843" spans="2:6" x14ac:dyDescent="0.55000000000000004">
      <c r="B2843" s="220" t="s">
        <v>959</v>
      </c>
      <c r="C2843" s="225" t="s">
        <v>2006</v>
      </c>
      <c r="D2843" s="225" t="s">
        <v>2006</v>
      </c>
      <c r="E2843" s="232" t="s">
        <v>789</v>
      </c>
      <c r="F2843" s="89" t="s">
        <v>332</v>
      </c>
    </row>
    <row r="2844" spans="2:6" ht="25.8" x14ac:dyDescent="0.55000000000000004">
      <c r="B2844" s="220" t="s">
        <v>959</v>
      </c>
      <c r="C2844" s="226" t="s">
        <v>2008</v>
      </c>
      <c r="D2844" s="226" t="s">
        <v>2008</v>
      </c>
      <c r="E2844" s="232" t="s">
        <v>789</v>
      </c>
      <c r="F2844" s="89" t="s">
        <v>332</v>
      </c>
    </row>
    <row r="2845" spans="2:6" ht="25.8" x14ac:dyDescent="0.55000000000000004">
      <c r="B2845" s="220" t="s">
        <v>959</v>
      </c>
      <c r="C2845" s="226" t="s">
        <v>2008</v>
      </c>
      <c r="D2845" s="226" t="s">
        <v>2008</v>
      </c>
      <c r="E2845" s="232" t="s">
        <v>2428</v>
      </c>
      <c r="F2845" s="89" t="s">
        <v>648</v>
      </c>
    </row>
    <row r="2846" spans="2:6" ht="25.8" x14ac:dyDescent="0.55000000000000004">
      <c r="B2846" s="220" t="s">
        <v>959</v>
      </c>
      <c r="C2846" s="225" t="s">
        <v>3085</v>
      </c>
      <c r="D2846" s="225" t="s">
        <v>2010</v>
      </c>
      <c r="E2846" s="232" t="s">
        <v>789</v>
      </c>
      <c r="F2846" s="89" t="s">
        <v>332</v>
      </c>
    </row>
    <row r="2847" spans="2:6" ht="25.8" x14ac:dyDescent="0.55000000000000004">
      <c r="B2847" s="220" t="s">
        <v>959</v>
      </c>
      <c r="C2847" s="225" t="s">
        <v>3087</v>
      </c>
      <c r="D2847" s="225" t="s">
        <v>2012</v>
      </c>
      <c r="E2847" s="232" t="s">
        <v>789</v>
      </c>
      <c r="F2847" s="89" t="s">
        <v>332</v>
      </c>
    </row>
    <row r="2848" spans="2:6" x14ac:dyDescent="0.55000000000000004">
      <c r="B2848" s="220" t="s">
        <v>959</v>
      </c>
      <c r="C2848" s="225" t="s">
        <v>2014</v>
      </c>
      <c r="D2848" s="225" t="s">
        <v>2014</v>
      </c>
      <c r="E2848" s="232" t="s">
        <v>789</v>
      </c>
      <c r="F2848" s="89" t="s">
        <v>332</v>
      </c>
    </row>
    <row r="2849" spans="2:6" ht="25.8" x14ac:dyDescent="0.55000000000000004">
      <c r="B2849" s="220" t="s">
        <v>959</v>
      </c>
      <c r="C2849" s="225" t="s">
        <v>2016</v>
      </c>
      <c r="D2849" s="225" t="s">
        <v>2016</v>
      </c>
      <c r="E2849" s="232" t="s">
        <v>789</v>
      </c>
      <c r="F2849" s="89" t="s">
        <v>332</v>
      </c>
    </row>
    <row r="2850" spans="2:6" ht="25.8" x14ac:dyDescent="0.55000000000000004">
      <c r="B2850" s="220" t="s">
        <v>959</v>
      </c>
      <c r="C2850" s="226" t="s">
        <v>2018</v>
      </c>
      <c r="D2850" s="226" t="s">
        <v>2018</v>
      </c>
      <c r="E2850" s="232" t="s">
        <v>789</v>
      </c>
      <c r="F2850" s="89" t="s">
        <v>332</v>
      </c>
    </row>
    <row r="2851" spans="2:6" x14ac:dyDescent="0.55000000000000004">
      <c r="B2851" s="220" t="s">
        <v>959</v>
      </c>
      <c r="C2851" s="226" t="s">
        <v>2020</v>
      </c>
      <c r="D2851" s="226" t="s">
        <v>2020</v>
      </c>
      <c r="E2851" s="232" t="s">
        <v>789</v>
      </c>
      <c r="F2851" s="89" t="s">
        <v>332</v>
      </c>
    </row>
    <row r="2852" spans="2:6" ht="25.8" x14ac:dyDescent="0.55000000000000004">
      <c r="B2852" s="220" t="s">
        <v>959</v>
      </c>
      <c r="C2852" s="226" t="s">
        <v>2022</v>
      </c>
      <c r="D2852" s="226" t="s">
        <v>2022</v>
      </c>
      <c r="E2852" s="232" t="s">
        <v>789</v>
      </c>
      <c r="F2852" s="89" t="s">
        <v>332</v>
      </c>
    </row>
    <row r="2853" spans="2:6" ht="25.8" x14ac:dyDescent="0.55000000000000004">
      <c r="B2853" s="220" t="s">
        <v>959</v>
      </c>
      <c r="C2853" s="226" t="s">
        <v>2024</v>
      </c>
      <c r="D2853" s="226" t="s">
        <v>2024</v>
      </c>
      <c r="E2853" s="232" t="s">
        <v>789</v>
      </c>
      <c r="F2853" s="89" t="s">
        <v>332</v>
      </c>
    </row>
    <row r="2854" spans="2:6" ht="25.8" x14ac:dyDescent="0.55000000000000004">
      <c r="B2854" s="220" t="s">
        <v>959</v>
      </c>
      <c r="C2854" s="226" t="s">
        <v>2026</v>
      </c>
      <c r="D2854" s="226" t="s">
        <v>2026</v>
      </c>
      <c r="E2854" s="232" t="s">
        <v>789</v>
      </c>
      <c r="F2854" s="89" t="s">
        <v>332</v>
      </c>
    </row>
    <row r="2855" spans="2:6" ht="25.8" x14ac:dyDescent="0.55000000000000004">
      <c r="B2855" s="220" t="s">
        <v>959</v>
      </c>
      <c r="C2855" s="226" t="s">
        <v>2028</v>
      </c>
      <c r="D2855" s="226" t="s">
        <v>2028</v>
      </c>
      <c r="E2855" s="232" t="s">
        <v>789</v>
      </c>
      <c r="F2855" s="89" t="s">
        <v>332</v>
      </c>
    </row>
    <row r="2856" spans="2:6" x14ac:dyDescent="0.55000000000000004">
      <c r="B2856" s="220" t="s">
        <v>959</v>
      </c>
      <c r="C2856" s="225" t="s">
        <v>2030</v>
      </c>
      <c r="D2856" s="225" t="s">
        <v>2030</v>
      </c>
      <c r="E2856" s="232" t="s">
        <v>789</v>
      </c>
      <c r="F2856" s="89" t="s">
        <v>332</v>
      </c>
    </row>
    <row r="2857" spans="2:6" ht="25.8" x14ac:dyDescent="0.55000000000000004">
      <c r="B2857" s="220" t="s">
        <v>959</v>
      </c>
      <c r="C2857" s="225" t="s">
        <v>3089</v>
      </c>
      <c r="D2857" s="225" t="s">
        <v>2032</v>
      </c>
      <c r="E2857" s="232" t="s">
        <v>789</v>
      </c>
      <c r="F2857" s="89" t="s">
        <v>332</v>
      </c>
    </row>
    <row r="2858" spans="2:6" ht="25.8" x14ac:dyDescent="0.55000000000000004">
      <c r="B2858" s="220" t="s">
        <v>959</v>
      </c>
      <c r="C2858" s="225" t="s">
        <v>3091</v>
      </c>
      <c r="D2858" s="225" t="s">
        <v>2034</v>
      </c>
      <c r="E2858" s="232" t="s">
        <v>789</v>
      </c>
      <c r="F2858" s="89" t="s">
        <v>332</v>
      </c>
    </row>
    <row r="2859" spans="2:6" x14ac:dyDescent="0.55000000000000004">
      <c r="B2859" s="220" t="s">
        <v>959</v>
      </c>
      <c r="C2859" s="225" t="s">
        <v>2036</v>
      </c>
      <c r="D2859" s="225" t="s">
        <v>2036</v>
      </c>
      <c r="E2859" s="232" t="s">
        <v>789</v>
      </c>
      <c r="F2859" s="89" t="s">
        <v>332</v>
      </c>
    </row>
    <row r="2860" spans="2:6" ht="25.8" x14ac:dyDescent="0.55000000000000004">
      <c r="B2860" s="220" t="s">
        <v>959</v>
      </c>
      <c r="C2860" s="225" t="s">
        <v>2038</v>
      </c>
      <c r="D2860" s="225" t="s">
        <v>2038</v>
      </c>
      <c r="E2860" s="232" t="s">
        <v>789</v>
      </c>
      <c r="F2860" s="89" t="s">
        <v>332</v>
      </c>
    </row>
    <row r="2861" spans="2:6" x14ac:dyDescent="0.55000000000000004">
      <c r="B2861" s="220" t="s">
        <v>959</v>
      </c>
      <c r="C2861" s="225" t="s">
        <v>2040</v>
      </c>
      <c r="D2861" s="225" t="s">
        <v>2040</v>
      </c>
      <c r="E2861" s="232" t="s">
        <v>789</v>
      </c>
      <c r="F2861" s="89" t="s">
        <v>332</v>
      </c>
    </row>
    <row r="2862" spans="2:6" ht="25.8" x14ac:dyDescent="0.55000000000000004">
      <c r="B2862" s="220" t="s">
        <v>959</v>
      </c>
      <c r="C2862" s="225" t="s">
        <v>3093</v>
      </c>
      <c r="D2862" s="225" t="s">
        <v>2042</v>
      </c>
      <c r="E2862" s="232" t="s">
        <v>789</v>
      </c>
      <c r="F2862" s="89" t="s">
        <v>332</v>
      </c>
    </row>
    <row r="2863" spans="2:6" x14ac:dyDescent="0.55000000000000004">
      <c r="B2863" s="220" t="s">
        <v>959</v>
      </c>
      <c r="C2863" s="225" t="s">
        <v>2044</v>
      </c>
      <c r="D2863" s="225" t="s">
        <v>2044</v>
      </c>
      <c r="E2863" s="232" t="s">
        <v>789</v>
      </c>
      <c r="F2863" s="89" t="s">
        <v>332</v>
      </c>
    </row>
    <row r="2864" spans="2:6" ht="25.8" x14ac:dyDescent="0.55000000000000004">
      <c r="B2864" s="220" t="s">
        <v>959</v>
      </c>
      <c r="C2864" s="225" t="s">
        <v>2046</v>
      </c>
      <c r="D2864" s="225" t="s">
        <v>2046</v>
      </c>
      <c r="E2864" s="232" t="s">
        <v>789</v>
      </c>
      <c r="F2864" s="89" t="s">
        <v>332</v>
      </c>
    </row>
    <row r="2865" spans="2:6" ht="25.8" x14ac:dyDescent="0.55000000000000004">
      <c r="B2865" s="220" t="s">
        <v>959</v>
      </c>
      <c r="C2865" s="225" t="s">
        <v>2048</v>
      </c>
      <c r="D2865" s="225" t="s">
        <v>2048</v>
      </c>
      <c r="E2865" s="232" t="s">
        <v>789</v>
      </c>
      <c r="F2865" s="89" t="s">
        <v>332</v>
      </c>
    </row>
    <row r="2866" spans="2:6" ht="25.8" x14ac:dyDescent="0.55000000000000004">
      <c r="B2866" s="220" t="s">
        <v>959</v>
      </c>
      <c r="C2866" s="225" t="s">
        <v>3095</v>
      </c>
      <c r="D2866" s="225" t="s">
        <v>2050</v>
      </c>
      <c r="E2866" s="232" t="s">
        <v>789</v>
      </c>
      <c r="F2866" s="89" t="s">
        <v>332</v>
      </c>
    </row>
    <row r="2867" spans="2:6" x14ac:dyDescent="0.55000000000000004">
      <c r="B2867" s="220" t="s">
        <v>959</v>
      </c>
      <c r="C2867" s="226" t="s">
        <v>2052</v>
      </c>
      <c r="D2867" s="226" t="s">
        <v>2052</v>
      </c>
      <c r="E2867" s="232" t="s">
        <v>789</v>
      </c>
      <c r="F2867" s="89" t="s">
        <v>332</v>
      </c>
    </row>
    <row r="2868" spans="2:6" x14ac:dyDescent="0.55000000000000004">
      <c r="B2868" s="220" t="s">
        <v>959</v>
      </c>
      <c r="C2868" s="226" t="s">
        <v>2052</v>
      </c>
      <c r="D2868" s="226" t="s">
        <v>2052</v>
      </c>
      <c r="E2868" s="232" t="s">
        <v>2428</v>
      </c>
      <c r="F2868" s="89" t="s">
        <v>648</v>
      </c>
    </row>
    <row r="2869" spans="2:6" ht="25.8" x14ac:dyDescent="0.55000000000000004">
      <c r="B2869" s="220" t="s">
        <v>959</v>
      </c>
      <c r="C2869" s="226" t="s">
        <v>3097</v>
      </c>
      <c r="D2869" s="226" t="s">
        <v>2054</v>
      </c>
      <c r="E2869" s="232" t="s">
        <v>789</v>
      </c>
      <c r="F2869" s="89" t="s">
        <v>332</v>
      </c>
    </row>
    <row r="2870" spans="2:6" ht="25.8" x14ac:dyDescent="0.55000000000000004">
      <c r="B2870" s="220" t="s">
        <v>959</v>
      </c>
      <c r="C2870" s="226" t="s">
        <v>3097</v>
      </c>
      <c r="D2870" s="226" t="s">
        <v>2054</v>
      </c>
      <c r="E2870" s="232" t="s">
        <v>2428</v>
      </c>
      <c r="F2870" s="89" t="s">
        <v>648</v>
      </c>
    </row>
    <row r="2871" spans="2:6" ht="25.8" x14ac:dyDescent="0.55000000000000004">
      <c r="B2871" s="220" t="s">
        <v>959</v>
      </c>
      <c r="C2871" s="226" t="s">
        <v>3099</v>
      </c>
      <c r="D2871" s="226" t="s">
        <v>2056</v>
      </c>
      <c r="E2871" s="232" t="s">
        <v>789</v>
      </c>
      <c r="F2871" s="89" t="s">
        <v>332</v>
      </c>
    </row>
    <row r="2872" spans="2:6" ht="25.8" x14ac:dyDescent="0.55000000000000004">
      <c r="B2872" s="220" t="s">
        <v>959</v>
      </c>
      <c r="C2872" s="226" t="s">
        <v>3099</v>
      </c>
      <c r="D2872" s="226" t="s">
        <v>2056</v>
      </c>
      <c r="E2872" s="232" t="s">
        <v>2428</v>
      </c>
      <c r="F2872" s="89" t="s">
        <v>648</v>
      </c>
    </row>
    <row r="2873" spans="2:6" x14ac:dyDescent="0.55000000000000004">
      <c r="B2873" s="220" t="s">
        <v>959</v>
      </c>
      <c r="C2873" s="225" t="s">
        <v>2058</v>
      </c>
      <c r="D2873" s="225" t="s">
        <v>2058</v>
      </c>
      <c r="E2873" s="232" t="s">
        <v>789</v>
      </c>
      <c r="F2873" s="89" t="s">
        <v>332</v>
      </c>
    </row>
    <row r="2874" spans="2:6" x14ac:dyDescent="0.55000000000000004">
      <c r="B2874" s="220" t="s">
        <v>959</v>
      </c>
      <c r="C2874" s="225" t="s">
        <v>2060</v>
      </c>
      <c r="D2874" s="225" t="s">
        <v>2060</v>
      </c>
      <c r="E2874" s="232" t="s">
        <v>789</v>
      </c>
      <c r="F2874" s="89" t="s">
        <v>332</v>
      </c>
    </row>
    <row r="2875" spans="2:6" ht="25.8" x14ac:dyDescent="0.55000000000000004">
      <c r="B2875" s="220" t="s">
        <v>959</v>
      </c>
      <c r="C2875" s="225" t="s">
        <v>2778</v>
      </c>
      <c r="D2875" s="225" t="s">
        <v>2062</v>
      </c>
      <c r="E2875" s="232" t="s">
        <v>789</v>
      </c>
      <c r="F2875" s="89" t="s">
        <v>332</v>
      </c>
    </row>
    <row r="2876" spans="2:6" ht="25.8" x14ac:dyDescent="0.55000000000000004">
      <c r="B2876" s="220" t="s">
        <v>959</v>
      </c>
      <c r="C2876" s="225" t="s">
        <v>2778</v>
      </c>
      <c r="D2876" s="225" t="s">
        <v>2064</v>
      </c>
      <c r="E2876" s="232" t="s">
        <v>789</v>
      </c>
      <c r="F2876" s="89" t="s">
        <v>332</v>
      </c>
    </row>
    <row r="2877" spans="2:6" ht="25.8" x14ac:dyDescent="0.55000000000000004">
      <c r="B2877" s="220" t="s">
        <v>959</v>
      </c>
      <c r="C2877" s="225" t="s">
        <v>2778</v>
      </c>
      <c r="D2877" s="225" t="s">
        <v>2066</v>
      </c>
      <c r="E2877" s="232" t="s">
        <v>789</v>
      </c>
      <c r="F2877" s="89" t="s">
        <v>332</v>
      </c>
    </row>
    <row r="2878" spans="2:6" x14ac:dyDescent="0.55000000000000004">
      <c r="B2878" s="220" t="s">
        <v>959</v>
      </c>
      <c r="C2878" s="225" t="s">
        <v>2068</v>
      </c>
      <c r="D2878" s="225" t="s">
        <v>2068</v>
      </c>
      <c r="E2878" s="232" t="s">
        <v>789</v>
      </c>
      <c r="F2878" s="89" t="s">
        <v>332</v>
      </c>
    </row>
    <row r="2879" spans="2:6" x14ac:dyDescent="0.55000000000000004">
      <c r="B2879" s="220" t="s">
        <v>959</v>
      </c>
      <c r="C2879" s="225" t="s">
        <v>2070</v>
      </c>
      <c r="D2879" s="225" t="s">
        <v>2070</v>
      </c>
      <c r="E2879" s="232" t="s">
        <v>789</v>
      </c>
      <c r="F2879" s="89" t="s">
        <v>332</v>
      </c>
    </row>
    <row r="2880" spans="2:6" ht="25.8" x14ac:dyDescent="0.55000000000000004">
      <c r="B2880" s="220" t="s">
        <v>959</v>
      </c>
      <c r="C2880" s="225" t="s">
        <v>3101</v>
      </c>
      <c r="D2880" s="225" t="s">
        <v>2072</v>
      </c>
      <c r="E2880" s="232" t="s">
        <v>789</v>
      </c>
      <c r="F2880" s="89" t="s">
        <v>332</v>
      </c>
    </row>
    <row r="2881" spans="2:6" ht="38.700000000000003" x14ac:dyDescent="0.55000000000000004">
      <c r="B2881" s="220" t="s">
        <v>959</v>
      </c>
      <c r="C2881" s="225" t="s">
        <v>3103</v>
      </c>
      <c r="D2881" s="225" t="s">
        <v>2074</v>
      </c>
      <c r="E2881" s="232" t="s">
        <v>789</v>
      </c>
      <c r="F2881" s="89" t="s">
        <v>332</v>
      </c>
    </row>
    <row r="2882" spans="2:6" ht="25.8" x14ac:dyDescent="0.55000000000000004">
      <c r="B2882" s="220" t="s">
        <v>959</v>
      </c>
      <c r="C2882" s="225" t="s">
        <v>2076</v>
      </c>
      <c r="D2882" s="225" t="s">
        <v>2076</v>
      </c>
      <c r="E2882" s="232" t="s">
        <v>789</v>
      </c>
      <c r="F2882" s="89" t="s">
        <v>332</v>
      </c>
    </row>
    <row r="2883" spans="2:6" ht="25.8" x14ac:dyDescent="0.55000000000000004">
      <c r="B2883" s="220" t="s">
        <v>959</v>
      </c>
      <c r="C2883" s="225" t="s">
        <v>2078</v>
      </c>
      <c r="D2883" s="225" t="s">
        <v>2078</v>
      </c>
      <c r="E2883" s="232" t="s">
        <v>789</v>
      </c>
      <c r="F2883" s="89" t="s">
        <v>332</v>
      </c>
    </row>
    <row r="2884" spans="2:6" ht="25.8" x14ac:dyDescent="0.55000000000000004">
      <c r="B2884" s="220" t="s">
        <v>959</v>
      </c>
      <c r="C2884" s="225" t="s">
        <v>2081</v>
      </c>
      <c r="D2884" s="225" t="s">
        <v>2081</v>
      </c>
      <c r="E2884" s="232" t="s">
        <v>789</v>
      </c>
      <c r="F2884" s="89" t="s">
        <v>332</v>
      </c>
    </row>
    <row r="2885" spans="2:6" ht="25.8" x14ac:dyDescent="0.55000000000000004">
      <c r="B2885" s="220" t="s">
        <v>959</v>
      </c>
      <c r="C2885" s="225" t="s">
        <v>2083</v>
      </c>
      <c r="D2885" s="225" t="s">
        <v>2083</v>
      </c>
      <c r="E2885" s="232" t="s">
        <v>789</v>
      </c>
      <c r="F2885" s="89" t="s">
        <v>332</v>
      </c>
    </row>
    <row r="2886" spans="2:6" x14ac:dyDescent="0.55000000000000004">
      <c r="B2886" s="220" t="s">
        <v>959</v>
      </c>
      <c r="C2886" s="225" t="s">
        <v>2085</v>
      </c>
      <c r="D2886" s="225" t="s">
        <v>2085</v>
      </c>
      <c r="E2886" s="232" t="s">
        <v>789</v>
      </c>
      <c r="F2886" s="89" t="s">
        <v>332</v>
      </c>
    </row>
    <row r="2887" spans="2:6" ht="25.8" x14ac:dyDescent="0.55000000000000004">
      <c r="B2887" s="220" t="s">
        <v>959</v>
      </c>
      <c r="C2887" s="225" t="s">
        <v>2088</v>
      </c>
      <c r="D2887" s="225" t="s">
        <v>2088</v>
      </c>
      <c r="E2887" s="232" t="s">
        <v>789</v>
      </c>
      <c r="F2887" s="89" t="s">
        <v>332</v>
      </c>
    </row>
    <row r="2888" spans="2:6" ht="25.8" x14ac:dyDescent="0.55000000000000004">
      <c r="B2888" s="220" t="s">
        <v>959</v>
      </c>
      <c r="C2888" s="225" t="s">
        <v>3107</v>
      </c>
      <c r="D2888" s="225" t="s">
        <v>2090</v>
      </c>
      <c r="E2888" s="232" t="s">
        <v>789</v>
      </c>
      <c r="F2888" s="89" t="s">
        <v>332</v>
      </c>
    </row>
    <row r="2889" spans="2:6" ht="25.8" x14ac:dyDescent="0.55000000000000004">
      <c r="B2889" s="220" t="s">
        <v>959</v>
      </c>
      <c r="C2889" s="225" t="s">
        <v>3109</v>
      </c>
      <c r="D2889" s="225" t="s">
        <v>2094</v>
      </c>
      <c r="E2889" s="232" t="s">
        <v>789</v>
      </c>
      <c r="F2889" s="89" t="s">
        <v>332</v>
      </c>
    </row>
    <row r="2890" spans="2:6" x14ac:dyDescent="0.55000000000000004">
      <c r="B2890" s="220" t="s">
        <v>959</v>
      </c>
      <c r="C2890" s="225" t="s">
        <v>2097</v>
      </c>
      <c r="D2890" s="225" t="s">
        <v>2097</v>
      </c>
      <c r="E2890" s="232" t="s">
        <v>789</v>
      </c>
      <c r="F2890" s="89" t="s">
        <v>332</v>
      </c>
    </row>
    <row r="2891" spans="2:6" ht="25.8" x14ac:dyDescent="0.55000000000000004">
      <c r="B2891" s="220" t="s">
        <v>959</v>
      </c>
      <c r="C2891" s="225" t="s">
        <v>3111</v>
      </c>
      <c r="D2891" s="225" t="s">
        <v>2099</v>
      </c>
      <c r="E2891" s="232" t="s">
        <v>789</v>
      </c>
      <c r="F2891" s="89" t="s">
        <v>332</v>
      </c>
    </row>
    <row r="2892" spans="2:6" ht="25.8" x14ac:dyDescent="0.55000000000000004">
      <c r="B2892" s="220" t="s">
        <v>959</v>
      </c>
      <c r="C2892" s="225" t="s">
        <v>3113</v>
      </c>
      <c r="D2892" s="225" t="s">
        <v>2101</v>
      </c>
      <c r="E2892" s="232" t="s">
        <v>789</v>
      </c>
      <c r="F2892" s="89" t="s">
        <v>332</v>
      </c>
    </row>
    <row r="2893" spans="2:6" ht="25.8" x14ac:dyDescent="0.55000000000000004">
      <c r="B2893" s="220" t="s">
        <v>959</v>
      </c>
      <c r="C2893" s="225" t="s">
        <v>2103</v>
      </c>
      <c r="D2893" s="225" t="s">
        <v>2103</v>
      </c>
      <c r="E2893" s="232" t="s">
        <v>789</v>
      </c>
      <c r="F2893" s="89" t="s">
        <v>332</v>
      </c>
    </row>
    <row r="2894" spans="2:6" ht="25.8" x14ac:dyDescent="0.55000000000000004">
      <c r="B2894" s="220" t="s">
        <v>959</v>
      </c>
      <c r="C2894" s="225" t="s">
        <v>3115</v>
      </c>
      <c r="D2894" s="225" t="s">
        <v>2105</v>
      </c>
      <c r="E2894" s="232" t="s">
        <v>789</v>
      </c>
      <c r="F2894" s="89" t="s">
        <v>332</v>
      </c>
    </row>
    <row r="2895" spans="2:6" x14ac:dyDescent="0.55000000000000004">
      <c r="B2895" s="220" t="s">
        <v>959</v>
      </c>
      <c r="C2895" s="225" t="s">
        <v>2107</v>
      </c>
      <c r="D2895" s="225" t="s">
        <v>2107</v>
      </c>
      <c r="E2895" s="232" t="s">
        <v>789</v>
      </c>
      <c r="F2895" s="89" t="s">
        <v>332</v>
      </c>
    </row>
    <row r="2896" spans="2:6" x14ac:dyDescent="0.55000000000000004">
      <c r="B2896" s="220" t="s">
        <v>959</v>
      </c>
      <c r="C2896" s="225" t="s">
        <v>2109</v>
      </c>
      <c r="D2896" s="225" t="s">
        <v>2109</v>
      </c>
      <c r="E2896" s="232" t="s">
        <v>789</v>
      </c>
      <c r="F2896" s="89" t="s">
        <v>332</v>
      </c>
    </row>
    <row r="2897" spans="2:6" ht="25.8" x14ac:dyDescent="0.55000000000000004">
      <c r="B2897" s="220" t="s">
        <v>959</v>
      </c>
      <c r="C2897" s="225" t="s">
        <v>3117</v>
      </c>
      <c r="D2897" s="225" t="s">
        <v>2111</v>
      </c>
      <c r="E2897" s="232" t="s">
        <v>789</v>
      </c>
      <c r="F2897" s="89" t="s">
        <v>332</v>
      </c>
    </row>
    <row r="2898" spans="2:6" x14ac:dyDescent="0.55000000000000004">
      <c r="B2898" s="220" t="s">
        <v>959</v>
      </c>
      <c r="C2898" s="225" t="s">
        <v>2113</v>
      </c>
      <c r="D2898" s="225" t="s">
        <v>2113</v>
      </c>
      <c r="E2898" s="232" t="s">
        <v>789</v>
      </c>
      <c r="F2898" s="89" t="s">
        <v>332</v>
      </c>
    </row>
    <row r="2899" spans="2:6" x14ac:dyDescent="0.55000000000000004">
      <c r="B2899" s="220" t="s">
        <v>959</v>
      </c>
      <c r="C2899" s="225" t="s">
        <v>2115</v>
      </c>
      <c r="D2899" s="225" t="s">
        <v>2115</v>
      </c>
      <c r="E2899" s="232" t="s">
        <v>789</v>
      </c>
      <c r="F2899" s="89" t="s">
        <v>332</v>
      </c>
    </row>
    <row r="2900" spans="2:6" ht="25.8" x14ac:dyDescent="0.55000000000000004">
      <c r="B2900" s="220" t="s">
        <v>959</v>
      </c>
      <c r="C2900" s="225" t="s">
        <v>2118</v>
      </c>
      <c r="D2900" s="225" t="s">
        <v>2118</v>
      </c>
      <c r="E2900" s="232" t="s">
        <v>789</v>
      </c>
      <c r="F2900" s="89" t="s">
        <v>332</v>
      </c>
    </row>
    <row r="2901" spans="2:6" ht="25.8" x14ac:dyDescent="0.55000000000000004">
      <c r="B2901" s="220" t="s">
        <v>959</v>
      </c>
      <c r="C2901" s="225" t="s">
        <v>2120</v>
      </c>
      <c r="D2901" s="225" t="s">
        <v>2120</v>
      </c>
      <c r="E2901" s="232" t="s">
        <v>789</v>
      </c>
      <c r="F2901" s="89" t="s">
        <v>332</v>
      </c>
    </row>
    <row r="2902" spans="2:6" ht="25.8" x14ac:dyDescent="0.55000000000000004">
      <c r="B2902" s="220" t="s">
        <v>959</v>
      </c>
      <c r="C2902" s="225" t="s">
        <v>3119</v>
      </c>
      <c r="D2902" s="225" t="s">
        <v>2122</v>
      </c>
      <c r="E2902" s="232" t="s">
        <v>789</v>
      </c>
      <c r="F2902" s="89" t="s">
        <v>332</v>
      </c>
    </row>
    <row r="2903" spans="2:6" ht="25.8" x14ac:dyDescent="0.55000000000000004">
      <c r="B2903" s="220" t="s">
        <v>959</v>
      </c>
      <c r="C2903" s="225" t="s">
        <v>2124</v>
      </c>
      <c r="D2903" s="225" t="s">
        <v>2124</v>
      </c>
      <c r="E2903" s="232" t="s">
        <v>789</v>
      </c>
      <c r="F2903" s="89" t="s">
        <v>332</v>
      </c>
    </row>
    <row r="2904" spans="2:6" ht="25.8" x14ac:dyDescent="0.55000000000000004">
      <c r="B2904" s="220" t="s">
        <v>959</v>
      </c>
      <c r="C2904" s="225" t="s">
        <v>2126</v>
      </c>
      <c r="D2904" s="225" t="s">
        <v>2126</v>
      </c>
      <c r="E2904" s="232" t="s">
        <v>789</v>
      </c>
      <c r="F2904" s="89" t="s">
        <v>332</v>
      </c>
    </row>
    <row r="2905" spans="2:6" x14ac:dyDescent="0.55000000000000004">
      <c r="B2905" s="220" t="s">
        <v>959</v>
      </c>
      <c r="C2905" s="225" t="s">
        <v>2128</v>
      </c>
      <c r="D2905" s="225" t="s">
        <v>2128</v>
      </c>
      <c r="E2905" s="232" t="s">
        <v>789</v>
      </c>
      <c r="F2905" s="89" t="s">
        <v>332</v>
      </c>
    </row>
    <row r="2906" spans="2:6" ht="25.8" x14ac:dyDescent="0.55000000000000004">
      <c r="B2906" s="220" t="s">
        <v>959</v>
      </c>
      <c r="C2906" s="225" t="s">
        <v>2130</v>
      </c>
      <c r="D2906" s="225" t="s">
        <v>2130</v>
      </c>
      <c r="E2906" s="232" t="s">
        <v>789</v>
      </c>
      <c r="F2906" s="89" t="s">
        <v>332</v>
      </c>
    </row>
    <row r="2907" spans="2:6" x14ac:dyDescent="0.55000000000000004">
      <c r="B2907" s="220" t="s">
        <v>959</v>
      </c>
      <c r="C2907" s="225" t="s">
        <v>2133</v>
      </c>
      <c r="D2907" s="225" t="s">
        <v>2133</v>
      </c>
      <c r="E2907" s="232" t="s">
        <v>789</v>
      </c>
      <c r="F2907" s="89" t="s">
        <v>332</v>
      </c>
    </row>
    <row r="2908" spans="2:6" ht="25.8" x14ac:dyDescent="0.55000000000000004">
      <c r="B2908" s="220" t="s">
        <v>959</v>
      </c>
      <c r="C2908" s="225" t="s">
        <v>2135</v>
      </c>
      <c r="D2908" s="225" t="s">
        <v>2135</v>
      </c>
      <c r="E2908" s="232" t="s">
        <v>789</v>
      </c>
      <c r="F2908" s="89" t="s">
        <v>332</v>
      </c>
    </row>
    <row r="2909" spans="2:6" ht="25.8" x14ac:dyDescent="0.55000000000000004">
      <c r="B2909" s="220" t="s">
        <v>959</v>
      </c>
      <c r="C2909" s="225" t="s">
        <v>3122</v>
      </c>
      <c r="D2909" s="225" t="s">
        <v>2137</v>
      </c>
      <c r="E2909" s="232" t="s">
        <v>789</v>
      </c>
      <c r="F2909" s="89" t="s">
        <v>332</v>
      </c>
    </row>
    <row r="2910" spans="2:6" ht="25.8" x14ac:dyDescent="0.55000000000000004">
      <c r="B2910" s="220" t="s">
        <v>959</v>
      </c>
      <c r="C2910" s="225" t="s">
        <v>2139</v>
      </c>
      <c r="D2910" s="225" t="s">
        <v>2139</v>
      </c>
      <c r="E2910" s="232" t="s">
        <v>789</v>
      </c>
      <c r="F2910" s="89" t="s">
        <v>332</v>
      </c>
    </row>
    <row r="2911" spans="2:6" x14ac:dyDescent="0.55000000000000004">
      <c r="B2911" s="220" t="s">
        <v>959</v>
      </c>
      <c r="C2911" s="225" t="s">
        <v>2141</v>
      </c>
      <c r="D2911" s="225" t="s">
        <v>2141</v>
      </c>
      <c r="E2911" s="232" t="s">
        <v>789</v>
      </c>
      <c r="F2911" s="89" t="s">
        <v>332</v>
      </c>
    </row>
    <row r="2912" spans="2:6" x14ac:dyDescent="0.55000000000000004">
      <c r="B2912" s="220" t="s">
        <v>959</v>
      </c>
      <c r="C2912" s="225" t="s">
        <v>2143</v>
      </c>
      <c r="D2912" s="225" t="s">
        <v>2143</v>
      </c>
      <c r="E2912" s="232" t="s">
        <v>789</v>
      </c>
      <c r="F2912" s="89" t="s">
        <v>332</v>
      </c>
    </row>
    <row r="2913" spans="2:6" ht="25.8" x14ac:dyDescent="0.55000000000000004">
      <c r="B2913" s="220" t="s">
        <v>959</v>
      </c>
      <c r="C2913" s="225" t="s">
        <v>2145</v>
      </c>
      <c r="D2913" s="225" t="s">
        <v>2145</v>
      </c>
      <c r="E2913" s="232" t="s">
        <v>789</v>
      </c>
      <c r="F2913" s="89" t="s">
        <v>332</v>
      </c>
    </row>
    <row r="2914" spans="2:6" x14ac:dyDescent="0.55000000000000004">
      <c r="B2914" s="220" t="s">
        <v>959</v>
      </c>
      <c r="C2914" s="225" t="s">
        <v>2147</v>
      </c>
      <c r="D2914" s="225" t="s">
        <v>2147</v>
      </c>
      <c r="E2914" s="232" t="s">
        <v>789</v>
      </c>
      <c r="F2914" s="89" t="s">
        <v>332</v>
      </c>
    </row>
    <row r="2915" spans="2:6" ht="25.8" x14ac:dyDescent="0.55000000000000004">
      <c r="B2915" s="220" t="s">
        <v>959</v>
      </c>
      <c r="C2915" s="225" t="s">
        <v>3124</v>
      </c>
      <c r="D2915" s="225" t="s">
        <v>2149</v>
      </c>
      <c r="E2915" s="232" t="s">
        <v>789</v>
      </c>
      <c r="F2915" s="89" t="s">
        <v>332</v>
      </c>
    </row>
    <row r="2916" spans="2:6" x14ac:dyDescent="0.55000000000000004">
      <c r="B2916" s="220" t="s">
        <v>959</v>
      </c>
      <c r="C2916" s="225" t="s">
        <v>2151</v>
      </c>
      <c r="D2916" s="225" t="s">
        <v>2151</v>
      </c>
      <c r="E2916" s="232" t="s">
        <v>789</v>
      </c>
      <c r="F2916" s="89" t="s">
        <v>332</v>
      </c>
    </row>
    <row r="2917" spans="2:6" ht="25.8" x14ac:dyDescent="0.55000000000000004">
      <c r="B2917" s="220" t="s">
        <v>959</v>
      </c>
      <c r="C2917" s="225" t="s">
        <v>3126</v>
      </c>
      <c r="D2917" s="225" t="s">
        <v>2153</v>
      </c>
      <c r="E2917" s="232" t="s">
        <v>789</v>
      </c>
      <c r="F2917" s="89" t="s">
        <v>332</v>
      </c>
    </row>
    <row r="2918" spans="2:6" ht="25.8" x14ac:dyDescent="0.55000000000000004">
      <c r="B2918" s="220" t="s">
        <v>959</v>
      </c>
      <c r="C2918" s="225" t="s">
        <v>2155</v>
      </c>
      <c r="D2918" s="225" t="s">
        <v>2155</v>
      </c>
      <c r="E2918" s="232" t="s">
        <v>789</v>
      </c>
      <c r="F2918" s="89" t="s">
        <v>332</v>
      </c>
    </row>
    <row r="2919" spans="2:6" ht="25.8" x14ac:dyDescent="0.55000000000000004">
      <c r="B2919" s="220" t="s">
        <v>959</v>
      </c>
      <c r="C2919" s="225" t="s">
        <v>2157</v>
      </c>
      <c r="D2919" s="225" t="s">
        <v>2157</v>
      </c>
      <c r="E2919" s="232" t="s">
        <v>789</v>
      </c>
      <c r="F2919" s="89" t="s">
        <v>332</v>
      </c>
    </row>
    <row r="2920" spans="2:6" ht="25.8" x14ac:dyDescent="0.55000000000000004">
      <c r="B2920" s="220" t="s">
        <v>959</v>
      </c>
      <c r="C2920" s="225" t="s">
        <v>2159</v>
      </c>
      <c r="D2920" s="225" t="s">
        <v>2159</v>
      </c>
      <c r="E2920" s="232" t="s">
        <v>789</v>
      </c>
      <c r="F2920" s="89" t="s">
        <v>332</v>
      </c>
    </row>
    <row r="2921" spans="2:6" ht="25.8" x14ac:dyDescent="0.55000000000000004">
      <c r="B2921" s="220" t="s">
        <v>959</v>
      </c>
      <c r="C2921" s="225" t="s">
        <v>2161</v>
      </c>
      <c r="D2921" s="225" t="s">
        <v>2161</v>
      </c>
      <c r="E2921" s="232" t="s">
        <v>789</v>
      </c>
      <c r="F2921" s="89" t="s">
        <v>332</v>
      </c>
    </row>
    <row r="2922" spans="2:6" ht="25.8" x14ac:dyDescent="0.55000000000000004">
      <c r="B2922" s="220" t="s">
        <v>959</v>
      </c>
      <c r="C2922" s="225" t="s">
        <v>3128</v>
      </c>
      <c r="D2922" s="225" t="s">
        <v>2163</v>
      </c>
      <c r="E2922" s="232" t="s">
        <v>789</v>
      </c>
      <c r="F2922" s="89" t="s">
        <v>332</v>
      </c>
    </row>
    <row r="2923" spans="2:6" x14ac:dyDescent="0.55000000000000004">
      <c r="B2923" s="220" t="s">
        <v>959</v>
      </c>
      <c r="C2923" s="225" t="s">
        <v>2165</v>
      </c>
      <c r="D2923" s="225" t="s">
        <v>2165</v>
      </c>
      <c r="E2923" s="232" t="s">
        <v>789</v>
      </c>
      <c r="F2923" s="89" t="s">
        <v>332</v>
      </c>
    </row>
    <row r="2924" spans="2:6" x14ac:dyDescent="0.55000000000000004">
      <c r="B2924" s="220" t="s">
        <v>959</v>
      </c>
      <c r="C2924" s="225" t="s">
        <v>2167</v>
      </c>
      <c r="D2924" s="225" t="s">
        <v>2167</v>
      </c>
      <c r="E2924" s="232" t="s">
        <v>789</v>
      </c>
      <c r="F2924" s="89" t="s">
        <v>332</v>
      </c>
    </row>
    <row r="2925" spans="2:6" ht="25.8" x14ac:dyDescent="0.55000000000000004">
      <c r="B2925" s="220" t="s">
        <v>959</v>
      </c>
      <c r="C2925" s="225" t="s">
        <v>2169</v>
      </c>
      <c r="D2925" s="225" t="s">
        <v>2169</v>
      </c>
      <c r="E2925" s="232" t="s">
        <v>789</v>
      </c>
      <c r="F2925" s="89" t="s">
        <v>332</v>
      </c>
    </row>
    <row r="2926" spans="2:6" ht="25.8" x14ac:dyDescent="0.55000000000000004">
      <c r="B2926" s="220" t="s">
        <v>959</v>
      </c>
      <c r="C2926" s="225" t="s">
        <v>3130</v>
      </c>
      <c r="D2926" s="225" t="s">
        <v>2171</v>
      </c>
      <c r="E2926" s="232" t="s">
        <v>789</v>
      </c>
      <c r="F2926" s="89" t="s">
        <v>332</v>
      </c>
    </row>
    <row r="2927" spans="2:6" x14ac:dyDescent="0.55000000000000004">
      <c r="B2927" s="220" t="s">
        <v>959</v>
      </c>
      <c r="C2927" s="225" t="s">
        <v>2173</v>
      </c>
      <c r="D2927" s="225" t="s">
        <v>2173</v>
      </c>
      <c r="E2927" s="232" t="s">
        <v>789</v>
      </c>
      <c r="F2927" s="89" t="s">
        <v>332</v>
      </c>
    </row>
    <row r="2928" spans="2:6" ht="25.8" x14ac:dyDescent="0.55000000000000004">
      <c r="B2928" s="220" t="s">
        <v>959</v>
      </c>
      <c r="C2928" s="225" t="s">
        <v>2175</v>
      </c>
      <c r="D2928" s="225" t="s">
        <v>2175</v>
      </c>
      <c r="E2928" s="232" t="s">
        <v>789</v>
      </c>
      <c r="F2928" s="89" t="s">
        <v>332</v>
      </c>
    </row>
    <row r="2929" spans="2:6" x14ac:dyDescent="0.55000000000000004">
      <c r="B2929" s="220" t="s">
        <v>959</v>
      </c>
      <c r="C2929" s="225" t="s">
        <v>2177</v>
      </c>
      <c r="D2929" s="225" t="s">
        <v>2177</v>
      </c>
      <c r="E2929" s="232" t="s">
        <v>789</v>
      </c>
      <c r="F2929" s="89" t="s">
        <v>332</v>
      </c>
    </row>
    <row r="2930" spans="2:6" ht="25.8" x14ac:dyDescent="0.55000000000000004">
      <c r="B2930" s="220" t="s">
        <v>959</v>
      </c>
      <c r="C2930" s="225" t="s">
        <v>2179</v>
      </c>
      <c r="D2930" s="225" t="s">
        <v>2179</v>
      </c>
      <c r="E2930" s="232" t="s">
        <v>789</v>
      </c>
      <c r="F2930" s="89" t="s">
        <v>332</v>
      </c>
    </row>
    <row r="2931" spans="2:6" ht="25.8" x14ac:dyDescent="0.55000000000000004">
      <c r="B2931" s="220" t="s">
        <v>959</v>
      </c>
      <c r="C2931" s="225" t="s">
        <v>3132</v>
      </c>
      <c r="D2931" s="225" t="s">
        <v>2181</v>
      </c>
      <c r="E2931" s="232" t="s">
        <v>789</v>
      </c>
      <c r="F2931" s="89" t="s">
        <v>332</v>
      </c>
    </row>
    <row r="2932" spans="2:6" ht="25.8" x14ac:dyDescent="0.55000000000000004">
      <c r="B2932" s="220" t="s">
        <v>959</v>
      </c>
      <c r="C2932" s="225" t="s">
        <v>3134</v>
      </c>
      <c r="D2932" s="225" t="s">
        <v>2183</v>
      </c>
      <c r="E2932" s="232" t="s">
        <v>789</v>
      </c>
      <c r="F2932" s="89" t="s">
        <v>332</v>
      </c>
    </row>
    <row r="2933" spans="2:6" x14ac:dyDescent="0.55000000000000004">
      <c r="B2933" s="220" t="s">
        <v>959</v>
      </c>
      <c r="C2933" s="225" t="s">
        <v>2185</v>
      </c>
      <c r="D2933" s="225" t="s">
        <v>2185</v>
      </c>
      <c r="E2933" s="232" t="s">
        <v>789</v>
      </c>
      <c r="F2933" s="89" t="s">
        <v>332</v>
      </c>
    </row>
    <row r="2934" spans="2:6" ht="25.8" x14ac:dyDescent="0.55000000000000004">
      <c r="B2934" s="220" t="s">
        <v>959</v>
      </c>
      <c r="C2934" s="226" t="s">
        <v>3136</v>
      </c>
      <c r="D2934" s="226" t="s">
        <v>2187</v>
      </c>
      <c r="E2934" s="232" t="s">
        <v>789</v>
      </c>
      <c r="F2934" s="89" t="s">
        <v>332</v>
      </c>
    </row>
    <row r="2935" spans="2:6" ht="25.8" x14ac:dyDescent="0.55000000000000004">
      <c r="B2935" s="220" t="s">
        <v>959</v>
      </c>
      <c r="C2935" s="226" t="s">
        <v>3136</v>
      </c>
      <c r="D2935" s="226" t="s">
        <v>2187</v>
      </c>
      <c r="E2935" s="232" t="s">
        <v>2428</v>
      </c>
      <c r="F2935" s="89" t="s">
        <v>648</v>
      </c>
    </row>
    <row r="2936" spans="2:6" ht="25.8" x14ac:dyDescent="0.55000000000000004">
      <c r="B2936" s="220" t="s">
        <v>959</v>
      </c>
      <c r="C2936" s="225" t="s">
        <v>2189</v>
      </c>
      <c r="D2936" s="225" t="s">
        <v>2189</v>
      </c>
      <c r="E2936" s="232" t="s">
        <v>789</v>
      </c>
      <c r="F2936" s="89" t="s">
        <v>332</v>
      </c>
    </row>
    <row r="2937" spans="2:6" ht="25.8" x14ac:dyDescent="0.55000000000000004">
      <c r="B2937" s="220" t="s">
        <v>959</v>
      </c>
      <c r="C2937" s="225" t="s">
        <v>3138</v>
      </c>
      <c r="D2937" s="225" t="s">
        <v>2191</v>
      </c>
      <c r="E2937" s="232" t="s">
        <v>789</v>
      </c>
      <c r="F2937" s="89" t="s">
        <v>332</v>
      </c>
    </row>
    <row r="2938" spans="2:6" x14ac:dyDescent="0.55000000000000004">
      <c r="B2938" s="220" t="s">
        <v>959</v>
      </c>
      <c r="C2938" s="225" t="s">
        <v>2193</v>
      </c>
      <c r="D2938" s="225" t="s">
        <v>2193</v>
      </c>
      <c r="E2938" s="232" t="s">
        <v>789</v>
      </c>
      <c r="F2938" s="89" t="s">
        <v>332</v>
      </c>
    </row>
    <row r="2939" spans="2:6" x14ac:dyDescent="0.55000000000000004">
      <c r="B2939" s="220" t="s">
        <v>959</v>
      </c>
      <c r="C2939" s="225" t="s">
        <v>2195</v>
      </c>
      <c r="D2939" s="225" t="s">
        <v>2195</v>
      </c>
      <c r="E2939" s="232" t="s">
        <v>337</v>
      </c>
      <c r="F2939" s="89" t="s">
        <v>338</v>
      </c>
    </row>
    <row r="2940" spans="2:6" ht="25.8" x14ac:dyDescent="0.55000000000000004">
      <c r="B2940" s="220" t="s">
        <v>959</v>
      </c>
      <c r="C2940" s="225" t="s">
        <v>2197</v>
      </c>
      <c r="D2940" s="225" t="s">
        <v>2197</v>
      </c>
      <c r="E2940" s="232" t="s">
        <v>789</v>
      </c>
      <c r="F2940" s="89" t="s">
        <v>332</v>
      </c>
    </row>
    <row r="2941" spans="2:6" x14ac:dyDescent="0.55000000000000004">
      <c r="B2941" s="220" t="s">
        <v>959</v>
      </c>
      <c r="C2941" s="225" t="s">
        <v>2199</v>
      </c>
      <c r="D2941" s="225" t="s">
        <v>2199</v>
      </c>
      <c r="E2941" s="232" t="s">
        <v>789</v>
      </c>
      <c r="F2941" s="89" t="s">
        <v>332</v>
      </c>
    </row>
    <row r="2942" spans="2:6" ht="25.8" x14ac:dyDescent="0.55000000000000004">
      <c r="B2942" s="220" t="s">
        <v>959</v>
      </c>
      <c r="C2942" s="225" t="s">
        <v>3140</v>
      </c>
      <c r="D2942" s="225" t="s">
        <v>2201</v>
      </c>
      <c r="E2942" s="232" t="s">
        <v>789</v>
      </c>
      <c r="F2942" s="89" t="s">
        <v>332</v>
      </c>
    </row>
    <row r="2943" spans="2:6" ht="25.8" x14ac:dyDescent="0.55000000000000004">
      <c r="B2943" s="220" t="s">
        <v>959</v>
      </c>
      <c r="C2943" s="225" t="s">
        <v>2203</v>
      </c>
      <c r="D2943" s="225" t="s">
        <v>2203</v>
      </c>
      <c r="E2943" s="232" t="s">
        <v>789</v>
      </c>
      <c r="F2943" s="89" t="s">
        <v>332</v>
      </c>
    </row>
    <row r="2944" spans="2:6" ht="38.700000000000003" x14ac:dyDescent="0.55000000000000004">
      <c r="B2944" s="220" t="s">
        <v>959</v>
      </c>
      <c r="C2944" s="225" t="s">
        <v>3142</v>
      </c>
      <c r="D2944" s="225" t="s">
        <v>2205</v>
      </c>
      <c r="E2944" s="232" t="s">
        <v>789</v>
      </c>
      <c r="F2944" s="89" t="s">
        <v>332</v>
      </c>
    </row>
    <row r="2945" spans="2:6" ht="25.8" x14ac:dyDescent="0.55000000000000004">
      <c r="B2945" s="220" t="s">
        <v>959</v>
      </c>
      <c r="C2945" s="225" t="s">
        <v>2207</v>
      </c>
      <c r="D2945" s="225" t="s">
        <v>2207</v>
      </c>
      <c r="E2945" s="232" t="s">
        <v>789</v>
      </c>
      <c r="F2945" s="89" t="s">
        <v>332</v>
      </c>
    </row>
    <row r="2946" spans="2:6" ht="25.8" x14ac:dyDescent="0.55000000000000004">
      <c r="B2946" s="220" t="s">
        <v>959</v>
      </c>
      <c r="C2946" s="225" t="s">
        <v>2209</v>
      </c>
      <c r="D2946" s="225" t="s">
        <v>2209</v>
      </c>
      <c r="E2946" s="232" t="s">
        <v>789</v>
      </c>
      <c r="F2946" s="89" t="s">
        <v>332</v>
      </c>
    </row>
    <row r="2947" spans="2:6" ht="25.8" x14ac:dyDescent="0.55000000000000004">
      <c r="B2947" s="220" t="s">
        <v>959</v>
      </c>
      <c r="C2947" s="225" t="s">
        <v>3144</v>
      </c>
      <c r="D2947" s="225" t="s">
        <v>2211</v>
      </c>
      <c r="E2947" s="232" t="s">
        <v>789</v>
      </c>
      <c r="F2947" s="89" t="s">
        <v>332</v>
      </c>
    </row>
    <row r="2948" spans="2:6" ht="25.8" x14ac:dyDescent="0.55000000000000004">
      <c r="B2948" s="220" t="s">
        <v>959</v>
      </c>
      <c r="C2948" s="225" t="s">
        <v>2213</v>
      </c>
      <c r="D2948" s="225" t="s">
        <v>2213</v>
      </c>
      <c r="E2948" s="232" t="s">
        <v>789</v>
      </c>
      <c r="F2948" s="89" t="s">
        <v>332</v>
      </c>
    </row>
    <row r="2949" spans="2:6" ht="25.8" x14ac:dyDescent="0.55000000000000004">
      <c r="B2949" s="220" t="s">
        <v>959</v>
      </c>
      <c r="C2949" s="225" t="s">
        <v>2215</v>
      </c>
      <c r="D2949" s="225" t="s">
        <v>2215</v>
      </c>
      <c r="E2949" s="232" t="s">
        <v>789</v>
      </c>
      <c r="F2949" s="89" t="s">
        <v>332</v>
      </c>
    </row>
    <row r="2950" spans="2:6" ht="25.8" x14ac:dyDescent="0.55000000000000004">
      <c r="B2950" s="220" t="s">
        <v>959</v>
      </c>
      <c r="C2950" s="225" t="s">
        <v>3146</v>
      </c>
      <c r="D2950" s="225" t="s">
        <v>2217</v>
      </c>
      <c r="E2950" s="232" t="s">
        <v>789</v>
      </c>
      <c r="F2950" s="89" t="s">
        <v>332</v>
      </c>
    </row>
    <row r="2951" spans="2:6" ht="25.8" x14ac:dyDescent="0.55000000000000004">
      <c r="B2951" s="220" t="s">
        <v>959</v>
      </c>
      <c r="C2951" s="225" t="s">
        <v>2219</v>
      </c>
      <c r="D2951" s="225" t="s">
        <v>2219</v>
      </c>
      <c r="E2951" s="232" t="s">
        <v>789</v>
      </c>
      <c r="F2951" s="89" t="s">
        <v>332</v>
      </c>
    </row>
    <row r="2952" spans="2:6" x14ac:dyDescent="0.55000000000000004">
      <c r="B2952" s="220" t="s">
        <v>959</v>
      </c>
      <c r="C2952" s="225" t="s">
        <v>2221</v>
      </c>
      <c r="D2952" s="225" t="s">
        <v>2221</v>
      </c>
      <c r="E2952" s="232" t="s">
        <v>789</v>
      </c>
      <c r="F2952" s="89" t="s">
        <v>332</v>
      </c>
    </row>
    <row r="2953" spans="2:6" ht="25.8" x14ac:dyDescent="0.55000000000000004">
      <c r="B2953" s="220" t="s">
        <v>959</v>
      </c>
      <c r="C2953" s="225" t="s">
        <v>2224</v>
      </c>
      <c r="D2953" s="225" t="s">
        <v>2224</v>
      </c>
      <c r="E2953" s="232" t="s">
        <v>789</v>
      </c>
      <c r="F2953" s="89" t="s">
        <v>332</v>
      </c>
    </row>
    <row r="2954" spans="2:6" x14ac:dyDescent="0.55000000000000004">
      <c r="B2954" s="220" t="s">
        <v>959</v>
      </c>
      <c r="C2954" s="225" t="s">
        <v>2225</v>
      </c>
      <c r="D2954" s="225" t="s">
        <v>2225</v>
      </c>
      <c r="E2954" s="232" t="s">
        <v>789</v>
      </c>
      <c r="F2954" s="89" t="s">
        <v>332</v>
      </c>
    </row>
    <row r="2955" spans="2:6" ht="25.8" x14ac:dyDescent="0.55000000000000004">
      <c r="B2955" s="220" t="s">
        <v>959</v>
      </c>
      <c r="C2955" s="225" t="s">
        <v>2227</v>
      </c>
      <c r="D2955" s="225" t="s">
        <v>2227</v>
      </c>
      <c r="E2955" s="232" t="s">
        <v>789</v>
      </c>
      <c r="F2955" s="89" t="s">
        <v>332</v>
      </c>
    </row>
    <row r="2956" spans="2:6" ht="25.8" x14ac:dyDescent="0.55000000000000004">
      <c r="B2956" s="220" t="s">
        <v>959</v>
      </c>
      <c r="C2956" s="225" t="s">
        <v>2229</v>
      </c>
      <c r="D2956" s="225" t="s">
        <v>2229</v>
      </c>
      <c r="E2956" s="232" t="s">
        <v>789</v>
      </c>
      <c r="F2956" s="89" t="s">
        <v>332</v>
      </c>
    </row>
    <row r="2957" spans="2:6" ht="25.8" x14ac:dyDescent="0.55000000000000004">
      <c r="B2957" s="220" t="s">
        <v>959</v>
      </c>
      <c r="C2957" s="226" t="s">
        <v>2231</v>
      </c>
      <c r="D2957" s="226" t="s">
        <v>2231</v>
      </c>
      <c r="E2957" s="232" t="s">
        <v>789</v>
      </c>
      <c r="F2957" s="89" t="s">
        <v>332</v>
      </c>
    </row>
    <row r="2958" spans="2:6" ht="25.8" x14ac:dyDescent="0.55000000000000004">
      <c r="B2958" s="220" t="s">
        <v>959</v>
      </c>
      <c r="C2958" s="226" t="s">
        <v>2231</v>
      </c>
      <c r="D2958" s="226" t="s">
        <v>2231</v>
      </c>
      <c r="E2958" s="232" t="s">
        <v>2428</v>
      </c>
      <c r="F2958" s="89" t="s">
        <v>648</v>
      </c>
    </row>
    <row r="2959" spans="2:6" ht="25.8" x14ac:dyDescent="0.55000000000000004">
      <c r="B2959" s="220" t="s">
        <v>959</v>
      </c>
      <c r="C2959" s="225" t="s">
        <v>2233</v>
      </c>
      <c r="D2959" s="225" t="s">
        <v>2233</v>
      </c>
      <c r="E2959" s="232" t="s">
        <v>789</v>
      </c>
      <c r="F2959" s="89" t="s">
        <v>332</v>
      </c>
    </row>
    <row r="2960" spans="2:6" x14ac:dyDescent="0.55000000000000004">
      <c r="B2960" s="220" t="s">
        <v>959</v>
      </c>
      <c r="C2960" s="225" t="s">
        <v>2235</v>
      </c>
      <c r="D2960" s="225" t="s">
        <v>2235</v>
      </c>
      <c r="E2960" s="232" t="s">
        <v>789</v>
      </c>
      <c r="F2960" s="89" t="s">
        <v>332</v>
      </c>
    </row>
    <row r="2961" spans="2:6" x14ac:dyDescent="0.55000000000000004">
      <c r="B2961" s="220" t="s">
        <v>959</v>
      </c>
      <c r="C2961" s="225" t="s">
        <v>2237</v>
      </c>
      <c r="D2961" s="225" t="s">
        <v>2237</v>
      </c>
      <c r="E2961" s="232" t="s">
        <v>789</v>
      </c>
      <c r="F2961" s="89" t="s">
        <v>332</v>
      </c>
    </row>
    <row r="2962" spans="2:6" ht="25.8" x14ac:dyDescent="0.55000000000000004">
      <c r="B2962" s="220" t="s">
        <v>959</v>
      </c>
      <c r="C2962" s="225" t="s">
        <v>2239</v>
      </c>
      <c r="D2962" s="225" t="s">
        <v>2239</v>
      </c>
      <c r="E2962" s="232" t="s">
        <v>789</v>
      </c>
      <c r="F2962" s="89" t="s">
        <v>332</v>
      </c>
    </row>
    <row r="2963" spans="2:6" ht="25.8" x14ac:dyDescent="0.55000000000000004">
      <c r="B2963" s="220" t="s">
        <v>959</v>
      </c>
      <c r="C2963" s="225" t="s">
        <v>2241</v>
      </c>
      <c r="D2963" s="225" t="s">
        <v>2241</v>
      </c>
      <c r="E2963" s="232" t="s">
        <v>789</v>
      </c>
      <c r="F2963" s="89" t="s">
        <v>332</v>
      </c>
    </row>
    <row r="2964" spans="2:6" ht="25.8" x14ac:dyDescent="0.55000000000000004">
      <c r="B2964" s="220" t="s">
        <v>959</v>
      </c>
      <c r="C2964" s="225" t="s">
        <v>3148</v>
      </c>
      <c r="D2964" s="225" t="s">
        <v>2243</v>
      </c>
      <c r="E2964" s="232" t="s">
        <v>789</v>
      </c>
      <c r="F2964" s="89" t="s">
        <v>332</v>
      </c>
    </row>
    <row r="2965" spans="2:6" x14ac:dyDescent="0.55000000000000004">
      <c r="B2965" s="220" t="s">
        <v>959</v>
      </c>
      <c r="C2965" s="226" t="s">
        <v>2245</v>
      </c>
      <c r="D2965" s="226" t="s">
        <v>2245</v>
      </c>
      <c r="E2965" s="232" t="s">
        <v>789</v>
      </c>
      <c r="F2965" s="89" t="s">
        <v>332</v>
      </c>
    </row>
    <row r="2966" spans="2:6" x14ac:dyDescent="0.55000000000000004">
      <c r="B2966" s="220" t="s">
        <v>959</v>
      </c>
      <c r="C2966" s="226" t="s">
        <v>2245</v>
      </c>
      <c r="D2966" s="226" t="s">
        <v>2245</v>
      </c>
      <c r="E2966" s="232" t="s">
        <v>2428</v>
      </c>
      <c r="F2966" s="89" t="s">
        <v>648</v>
      </c>
    </row>
    <row r="2967" spans="2:6" x14ac:dyDescent="0.55000000000000004">
      <c r="B2967" s="220" t="s">
        <v>959</v>
      </c>
      <c r="C2967" s="226" t="s">
        <v>2247</v>
      </c>
      <c r="D2967" s="226" t="s">
        <v>2247</v>
      </c>
      <c r="E2967" s="232" t="s">
        <v>789</v>
      </c>
      <c r="F2967" s="89" t="s">
        <v>332</v>
      </c>
    </row>
    <row r="2968" spans="2:6" x14ac:dyDescent="0.55000000000000004">
      <c r="B2968" s="220" t="s">
        <v>959</v>
      </c>
      <c r="C2968" s="226" t="s">
        <v>2247</v>
      </c>
      <c r="D2968" s="226" t="s">
        <v>2247</v>
      </c>
      <c r="E2968" s="232" t="s">
        <v>2428</v>
      </c>
      <c r="F2968" s="89" t="s">
        <v>648</v>
      </c>
    </row>
    <row r="2969" spans="2:6" ht="25.8" x14ac:dyDescent="0.55000000000000004">
      <c r="B2969" s="220" t="s">
        <v>959</v>
      </c>
      <c r="C2969" s="226" t="s">
        <v>3150</v>
      </c>
      <c r="D2969" s="226" t="s">
        <v>2249</v>
      </c>
      <c r="E2969" s="232" t="s">
        <v>789</v>
      </c>
      <c r="F2969" s="89" t="s">
        <v>332</v>
      </c>
    </row>
    <row r="2970" spans="2:6" ht="25.8" x14ac:dyDescent="0.55000000000000004">
      <c r="B2970" s="220" t="s">
        <v>959</v>
      </c>
      <c r="C2970" s="226" t="s">
        <v>3150</v>
      </c>
      <c r="D2970" s="226" t="s">
        <v>2249</v>
      </c>
      <c r="E2970" s="232" t="s">
        <v>2428</v>
      </c>
      <c r="F2970" s="89" t="s">
        <v>648</v>
      </c>
    </row>
    <row r="2971" spans="2:6" x14ac:dyDescent="0.55000000000000004">
      <c r="B2971" s="220" t="s">
        <v>959</v>
      </c>
      <c r="C2971" s="225" t="s">
        <v>2251</v>
      </c>
      <c r="D2971" s="225" t="s">
        <v>2251</v>
      </c>
      <c r="E2971" s="232" t="s">
        <v>789</v>
      </c>
      <c r="F2971" s="89" t="s">
        <v>332</v>
      </c>
    </row>
    <row r="2972" spans="2:6" x14ac:dyDescent="0.55000000000000004">
      <c r="B2972" s="220" t="s">
        <v>959</v>
      </c>
      <c r="C2972" s="225" t="s">
        <v>2253</v>
      </c>
      <c r="D2972" s="225" t="s">
        <v>2253</v>
      </c>
      <c r="E2972" s="232" t="s">
        <v>789</v>
      </c>
      <c r="F2972" s="89" t="s">
        <v>332</v>
      </c>
    </row>
    <row r="2973" spans="2:6" x14ac:dyDescent="0.55000000000000004">
      <c r="B2973" s="220" t="s">
        <v>959</v>
      </c>
      <c r="C2973" s="225" t="s">
        <v>2255</v>
      </c>
      <c r="D2973" s="225" t="s">
        <v>2255</v>
      </c>
      <c r="E2973" s="232" t="s">
        <v>789</v>
      </c>
      <c r="F2973" s="89" t="s">
        <v>332</v>
      </c>
    </row>
    <row r="2974" spans="2:6" ht="38.700000000000003" x14ac:dyDescent="0.55000000000000004">
      <c r="B2974" s="220" t="s">
        <v>959</v>
      </c>
      <c r="C2974" s="226" t="s">
        <v>3152</v>
      </c>
      <c r="D2974" s="226" t="s">
        <v>2257</v>
      </c>
      <c r="E2974" s="232" t="s">
        <v>789</v>
      </c>
      <c r="F2974" s="89" t="s">
        <v>332</v>
      </c>
    </row>
    <row r="2975" spans="2:6" ht="38.700000000000003" x14ac:dyDescent="0.55000000000000004">
      <c r="B2975" s="220" t="s">
        <v>959</v>
      </c>
      <c r="C2975" s="226" t="s">
        <v>3152</v>
      </c>
      <c r="D2975" s="226" t="s">
        <v>2257</v>
      </c>
      <c r="E2975" s="232" t="s">
        <v>2428</v>
      </c>
      <c r="F2975" s="89" t="s">
        <v>648</v>
      </c>
    </row>
    <row r="2976" spans="2:6" ht="25.8" x14ac:dyDescent="0.55000000000000004">
      <c r="B2976" s="220" t="s">
        <v>959</v>
      </c>
      <c r="C2976" s="226" t="s">
        <v>2259</v>
      </c>
      <c r="D2976" s="226" t="s">
        <v>2259</v>
      </c>
      <c r="E2976" s="232" t="s">
        <v>789</v>
      </c>
      <c r="F2976" s="89" t="s">
        <v>332</v>
      </c>
    </row>
    <row r="2977" spans="2:6" ht="25.8" x14ac:dyDescent="0.55000000000000004">
      <c r="B2977" s="220" t="s">
        <v>959</v>
      </c>
      <c r="C2977" s="226" t="s">
        <v>2259</v>
      </c>
      <c r="D2977" s="226" t="s">
        <v>2259</v>
      </c>
      <c r="E2977" s="232" t="s">
        <v>2428</v>
      </c>
      <c r="F2977" s="89" t="s">
        <v>648</v>
      </c>
    </row>
    <row r="2978" spans="2:6" ht="25.8" x14ac:dyDescent="0.55000000000000004">
      <c r="B2978" s="220" t="s">
        <v>959</v>
      </c>
      <c r="C2978" s="226" t="s">
        <v>2261</v>
      </c>
      <c r="D2978" s="226" t="s">
        <v>2261</v>
      </c>
      <c r="E2978" s="232" t="s">
        <v>789</v>
      </c>
      <c r="F2978" s="89" t="s">
        <v>332</v>
      </c>
    </row>
    <row r="2979" spans="2:6" ht="25.8" x14ac:dyDescent="0.55000000000000004">
      <c r="B2979" s="220" t="s">
        <v>959</v>
      </c>
      <c r="C2979" s="226" t="s">
        <v>2261</v>
      </c>
      <c r="D2979" s="226" t="s">
        <v>2261</v>
      </c>
      <c r="E2979" s="232" t="s">
        <v>2428</v>
      </c>
      <c r="F2979" s="89" t="s">
        <v>648</v>
      </c>
    </row>
    <row r="2980" spans="2:6" ht="38.700000000000003" x14ac:dyDescent="0.55000000000000004">
      <c r="B2980" s="220" t="s">
        <v>959</v>
      </c>
      <c r="C2980" s="226" t="s">
        <v>3154</v>
      </c>
      <c r="D2980" s="226" t="s">
        <v>2263</v>
      </c>
      <c r="E2980" s="232" t="s">
        <v>789</v>
      </c>
      <c r="F2980" s="89" t="s">
        <v>332</v>
      </c>
    </row>
    <row r="2981" spans="2:6" ht="38.700000000000003" x14ac:dyDescent="0.55000000000000004">
      <c r="B2981" s="220" t="s">
        <v>959</v>
      </c>
      <c r="C2981" s="226" t="s">
        <v>3154</v>
      </c>
      <c r="D2981" s="226" t="s">
        <v>2263</v>
      </c>
      <c r="E2981" s="232" t="s">
        <v>2428</v>
      </c>
      <c r="F2981" s="89" t="s">
        <v>648</v>
      </c>
    </row>
    <row r="2982" spans="2:6" ht="38.700000000000003" x14ac:dyDescent="0.55000000000000004">
      <c r="B2982" s="220" t="s">
        <v>959</v>
      </c>
      <c r="C2982" s="226" t="s">
        <v>3156</v>
      </c>
      <c r="D2982" s="226" t="s">
        <v>2265</v>
      </c>
      <c r="E2982" s="232" t="s">
        <v>789</v>
      </c>
      <c r="F2982" s="89" t="s">
        <v>332</v>
      </c>
    </row>
    <row r="2983" spans="2:6" ht="38.700000000000003" x14ac:dyDescent="0.55000000000000004">
      <c r="B2983" s="220" t="s">
        <v>959</v>
      </c>
      <c r="C2983" s="226" t="s">
        <v>3156</v>
      </c>
      <c r="D2983" s="226" t="s">
        <v>2265</v>
      </c>
      <c r="E2983" s="232" t="s">
        <v>2428</v>
      </c>
      <c r="F2983" s="89" t="s">
        <v>648</v>
      </c>
    </row>
    <row r="2984" spans="2:6" x14ac:dyDescent="0.55000000000000004">
      <c r="B2984" s="220" t="s">
        <v>959</v>
      </c>
      <c r="C2984" s="225" t="s">
        <v>2267</v>
      </c>
      <c r="D2984" s="225" t="s">
        <v>2267</v>
      </c>
      <c r="E2984" s="232" t="s">
        <v>789</v>
      </c>
      <c r="F2984" s="89" t="s">
        <v>332</v>
      </c>
    </row>
    <row r="2985" spans="2:6" x14ac:dyDescent="0.55000000000000004">
      <c r="B2985" s="220" t="s">
        <v>959</v>
      </c>
      <c r="C2985" s="225" t="s">
        <v>2269</v>
      </c>
      <c r="D2985" s="225" t="s">
        <v>2269</v>
      </c>
      <c r="E2985" s="232" t="s">
        <v>789</v>
      </c>
      <c r="F2985" s="89" t="s">
        <v>332</v>
      </c>
    </row>
    <row r="2986" spans="2:6" ht="25.8" x14ac:dyDescent="0.55000000000000004">
      <c r="B2986" s="220" t="s">
        <v>959</v>
      </c>
      <c r="C2986" s="225" t="s">
        <v>2271</v>
      </c>
      <c r="D2986" s="225" t="s">
        <v>2271</v>
      </c>
      <c r="E2986" s="232" t="s">
        <v>789</v>
      </c>
      <c r="F2986" s="89" t="s">
        <v>332</v>
      </c>
    </row>
    <row r="2987" spans="2:6" ht="25.8" x14ac:dyDescent="0.55000000000000004">
      <c r="B2987" s="220" t="s">
        <v>959</v>
      </c>
      <c r="C2987" s="225" t="s">
        <v>3158</v>
      </c>
      <c r="D2987" s="225" t="s">
        <v>2273</v>
      </c>
      <c r="E2987" s="232" t="s">
        <v>789</v>
      </c>
      <c r="F2987" s="89" t="s">
        <v>332</v>
      </c>
    </row>
    <row r="2988" spans="2:6" ht="25.8" x14ac:dyDescent="0.55000000000000004">
      <c r="B2988" s="220" t="s">
        <v>959</v>
      </c>
      <c r="C2988" s="225" t="s">
        <v>2275</v>
      </c>
      <c r="D2988" s="225" t="s">
        <v>2275</v>
      </c>
      <c r="E2988" s="232" t="s">
        <v>789</v>
      </c>
      <c r="F2988" s="89" t="s">
        <v>332</v>
      </c>
    </row>
    <row r="2989" spans="2:6" x14ac:dyDescent="0.55000000000000004">
      <c r="B2989" s="220" t="s">
        <v>959</v>
      </c>
      <c r="C2989" s="225" t="s">
        <v>2277</v>
      </c>
      <c r="D2989" s="225" t="s">
        <v>2277</v>
      </c>
      <c r="E2989" s="232" t="s">
        <v>789</v>
      </c>
      <c r="F2989" s="89" t="s">
        <v>332</v>
      </c>
    </row>
    <row r="2990" spans="2:6" ht="25.8" x14ac:dyDescent="0.55000000000000004">
      <c r="B2990" s="220" t="s">
        <v>959</v>
      </c>
      <c r="C2990" s="225" t="s">
        <v>2279</v>
      </c>
      <c r="D2990" s="225" t="s">
        <v>2279</v>
      </c>
      <c r="E2990" s="232" t="s">
        <v>789</v>
      </c>
      <c r="F2990" s="89" t="s">
        <v>332</v>
      </c>
    </row>
    <row r="2991" spans="2:6" x14ac:dyDescent="0.55000000000000004">
      <c r="B2991" s="220" t="s">
        <v>959</v>
      </c>
      <c r="C2991" s="225" t="s">
        <v>2281</v>
      </c>
      <c r="D2991" s="225" t="s">
        <v>2281</v>
      </c>
      <c r="E2991" s="232" t="s">
        <v>789</v>
      </c>
      <c r="F2991" s="89" t="s">
        <v>332</v>
      </c>
    </row>
    <row r="2992" spans="2:6" x14ac:dyDescent="0.55000000000000004">
      <c r="B2992" s="220" t="s">
        <v>959</v>
      </c>
      <c r="C2992" s="225" t="s">
        <v>2283</v>
      </c>
      <c r="D2992" s="225" t="s">
        <v>2283</v>
      </c>
      <c r="E2992" s="232" t="s">
        <v>789</v>
      </c>
      <c r="F2992" s="89" t="s">
        <v>332</v>
      </c>
    </row>
    <row r="2993" spans="2:6" ht="25.8" x14ac:dyDescent="0.55000000000000004">
      <c r="B2993" s="220" t="s">
        <v>959</v>
      </c>
      <c r="C2993" s="225" t="s">
        <v>2285</v>
      </c>
      <c r="D2993" s="225" t="s">
        <v>2285</v>
      </c>
      <c r="E2993" s="232" t="s">
        <v>789</v>
      </c>
      <c r="F2993" s="89" t="s">
        <v>332</v>
      </c>
    </row>
    <row r="2994" spans="2:6" ht="25.8" x14ac:dyDescent="0.55000000000000004">
      <c r="B2994" s="220" t="s">
        <v>959</v>
      </c>
      <c r="C2994" s="225" t="s">
        <v>2287</v>
      </c>
      <c r="D2994" s="225" t="s">
        <v>2287</v>
      </c>
      <c r="E2994" s="232" t="s">
        <v>789</v>
      </c>
      <c r="F2994" s="89" t="s">
        <v>332</v>
      </c>
    </row>
    <row r="2995" spans="2:6" x14ac:dyDescent="0.55000000000000004">
      <c r="B2995" s="220" t="s">
        <v>959</v>
      </c>
      <c r="C2995" s="225" t="s">
        <v>2289</v>
      </c>
      <c r="D2995" s="225" t="s">
        <v>2289</v>
      </c>
      <c r="E2995" s="232" t="s">
        <v>789</v>
      </c>
      <c r="F2995" s="89" t="s">
        <v>332</v>
      </c>
    </row>
    <row r="2996" spans="2:6" ht="25.8" x14ac:dyDescent="0.55000000000000004">
      <c r="B2996" s="220" t="s">
        <v>959</v>
      </c>
      <c r="C2996" s="225" t="s">
        <v>2291</v>
      </c>
      <c r="D2996" s="225" t="s">
        <v>2291</v>
      </c>
      <c r="E2996" s="232" t="s">
        <v>789</v>
      </c>
      <c r="F2996" s="89" t="s">
        <v>332</v>
      </c>
    </row>
    <row r="2997" spans="2:6" x14ac:dyDescent="0.55000000000000004">
      <c r="B2997" s="220" t="s">
        <v>959</v>
      </c>
      <c r="C2997" s="225" t="s">
        <v>2293</v>
      </c>
      <c r="D2997" s="225" t="s">
        <v>2293</v>
      </c>
      <c r="E2997" s="232" t="s">
        <v>789</v>
      </c>
      <c r="F2997" s="89" t="s">
        <v>332</v>
      </c>
    </row>
    <row r="2998" spans="2:6" ht="25.8" x14ac:dyDescent="0.55000000000000004">
      <c r="B2998" s="220" t="s">
        <v>959</v>
      </c>
      <c r="C2998" s="225" t="s">
        <v>3160</v>
      </c>
      <c r="D2998" s="225" t="s">
        <v>2295</v>
      </c>
      <c r="E2998" s="232" t="s">
        <v>789</v>
      </c>
      <c r="F2998" s="89" t="s">
        <v>332</v>
      </c>
    </row>
    <row r="2999" spans="2:6" x14ac:dyDescent="0.55000000000000004">
      <c r="B2999" s="220" t="s">
        <v>959</v>
      </c>
      <c r="C2999" s="225" t="s">
        <v>2298</v>
      </c>
      <c r="D2999" s="225" t="s">
        <v>2298</v>
      </c>
      <c r="E2999" s="232" t="s">
        <v>789</v>
      </c>
      <c r="F2999" s="89" t="s">
        <v>332</v>
      </c>
    </row>
    <row r="3000" spans="2:6" ht="25.8" x14ac:dyDescent="0.55000000000000004">
      <c r="B3000" s="220" t="s">
        <v>959</v>
      </c>
      <c r="C3000" s="225" t="s">
        <v>3163</v>
      </c>
      <c r="D3000" s="225" t="s">
        <v>2300</v>
      </c>
      <c r="E3000" s="232" t="s">
        <v>789</v>
      </c>
      <c r="F3000" s="89" t="s">
        <v>332</v>
      </c>
    </row>
    <row r="3001" spans="2:6" x14ac:dyDescent="0.55000000000000004">
      <c r="B3001" s="220" t="s">
        <v>959</v>
      </c>
      <c r="C3001" s="225" t="s">
        <v>2302</v>
      </c>
      <c r="D3001" s="225" t="s">
        <v>2302</v>
      </c>
      <c r="E3001" s="232" t="s">
        <v>789</v>
      </c>
      <c r="F3001" s="89" t="s">
        <v>332</v>
      </c>
    </row>
    <row r="3002" spans="2:6" x14ac:dyDescent="0.55000000000000004">
      <c r="B3002" s="220" t="s">
        <v>959</v>
      </c>
      <c r="C3002" s="225" t="s">
        <v>2304</v>
      </c>
      <c r="D3002" s="225" t="s">
        <v>2304</v>
      </c>
      <c r="E3002" s="232" t="s">
        <v>789</v>
      </c>
      <c r="F3002" s="89" t="s">
        <v>332</v>
      </c>
    </row>
    <row r="3003" spans="2:6" x14ac:dyDescent="0.55000000000000004">
      <c r="B3003" s="220" t="s">
        <v>959</v>
      </c>
      <c r="C3003" s="226" t="s">
        <v>2306</v>
      </c>
      <c r="D3003" s="226" t="s">
        <v>2306</v>
      </c>
      <c r="E3003" s="232" t="s">
        <v>789</v>
      </c>
      <c r="F3003" s="89" t="s">
        <v>332</v>
      </c>
    </row>
    <row r="3004" spans="2:6" x14ac:dyDescent="0.55000000000000004">
      <c r="B3004" s="220" t="s">
        <v>959</v>
      </c>
      <c r="C3004" s="226" t="s">
        <v>2306</v>
      </c>
      <c r="D3004" s="226" t="s">
        <v>2306</v>
      </c>
      <c r="E3004" s="232" t="s">
        <v>2428</v>
      </c>
      <c r="F3004" s="89" t="s">
        <v>648</v>
      </c>
    </row>
    <row r="3005" spans="2:6" ht="25.8" x14ac:dyDescent="0.55000000000000004">
      <c r="B3005" s="220" t="s">
        <v>959</v>
      </c>
      <c r="C3005" s="225" t="s">
        <v>3165</v>
      </c>
      <c r="D3005" s="225" t="s">
        <v>2308</v>
      </c>
      <c r="E3005" s="232" t="s">
        <v>789</v>
      </c>
      <c r="F3005" s="89" t="s">
        <v>332</v>
      </c>
    </row>
    <row r="3006" spans="2:6" ht="25.8" x14ac:dyDescent="0.55000000000000004">
      <c r="B3006" s="220" t="s">
        <v>959</v>
      </c>
      <c r="C3006" s="225" t="s">
        <v>2310</v>
      </c>
      <c r="D3006" s="225" t="s">
        <v>2310</v>
      </c>
      <c r="E3006" s="232" t="s">
        <v>789</v>
      </c>
      <c r="F3006" s="89" t="s">
        <v>332</v>
      </c>
    </row>
    <row r="3007" spans="2:6" ht="25.8" x14ac:dyDescent="0.55000000000000004">
      <c r="B3007" s="220" t="s">
        <v>959</v>
      </c>
      <c r="C3007" s="225" t="s">
        <v>3167</v>
      </c>
      <c r="D3007" s="225" t="s">
        <v>2312</v>
      </c>
      <c r="E3007" s="232" t="s">
        <v>789</v>
      </c>
      <c r="F3007" s="89" t="s">
        <v>332</v>
      </c>
    </row>
    <row r="3008" spans="2:6" ht="25.8" x14ac:dyDescent="0.55000000000000004">
      <c r="B3008" s="220" t="s">
        <v>959</v>
      </c>
      <c r="C3008" s="225" t="s">
        <v>2314</v>
      </c>
      <c r="D3008" s="225" t="s">
        <v>2314</v>
      </c>
      <c r="E3008" s="232" t="s">
        <v>789</v>
      </c>
      <c r="F3008" s="89" t="s">
        <v>332</v>
      </c>
    </row>
    <row r="3009" spans="2:6" ht="25.8" x14ac:dyDescent="0.55000000000000004">
      <c r="B3009" s="220" t="s">
        <v>959</v>
      </c>
      <c r="C3009" s="225" t="s">
        <v>3169</v>
      </c>
      <c r="D3009" s="225" t="s">
        <v>2316</v>
      </c>
      <c r="E3009" s="232" t="s">
        <v>789</v>
      </c>
      <c r="F3009" s="89" t="s">
        <v>332</v>
      </c>
    </row>
    <row r="3010" spans="2:6" x14ac:dyDescent="0.55000000000000004">
      <c r="B3010" s="220" t="s">
        <v>959</v>
      </c>
      <c r="C3010" s="225" t="s">
        <v>2318</v>
      </c>
      <c r="D3010" s="225" t="s">
        <v>2318</v>
      </c>
      <c r="E3010" s="232" t="s">
        <v>789</v>
      </c>
      <c r="F3010" s="89" t="s">
        <v>332</v>
      </c>
    </row>
    <row r="3011" spans="2:6" ht="25.8" x14ac:dyDescent="0.55000000000000004">
      <c r="B3011" s="220" t="s">
        <v>959</v>
      </c>
      <c r="C3011" s="225" t="s">
        <v>2320</v>
      </c>
      <c r="D3011" s="225" t="s">
        <v>2320</v>
      </c>
      <c r="E3011" s="232" t="s">
        <v>789</v>
      </c>
      <c r="F3011" s="89" t="s">
        <v>332</v>
      </c>
    </row>
    <row r="3012" spans="2:6" x14ac:dyDescent="0.55000000000000004">
      <c r="B3012" s="220" t="s">
        <v>959</v>
      </c>
      <c r="C3012" s="225" t="s">
        <v>2322</v>
      </c>
      <c r="D3012" s="225" t="s">
        <v>2322</v>
      </c>
      <c r="E3012" s="232" t="s">
        <v>789</v>
      </c>
      <c r="F3012" s="89" t="s">
        <v>332</v>
      </c>
    </row>
    <row r="3013" spans="2:6" x14ac:dyDescent="0.55000000000000004">
      <c r="B3013" s="220" t="s">
        <v>959</v>
      </c>
      <c r="C3013" s="225" t="s">
        <v>2324</v>
      </c>
      <c r="D3013" s="225" t="s">
        <v>2324</v>
      </c>
      <c r="E3013" s="232" t="s">
        <v>789</v>
      </c>
      <c r="F3013" s="89" t="s">
        <v>332</v>
      </c>
    </row>
    <row r="3014" spans="2:6" ht="25.8" x14ac:dyDescent="0.55000000000000004">
      <c r="B3014" s="220" t="s">
        <v>959</v>
      </c>
      <c r="C3014" s="225" t="s">
        <v>2326</v>
      </c>
      <c r="D3014" s="225" t="s">
        <v>2326</v>
      </c>
      <c r="E3014" s="232" t="s">
        <v>789</v>
      </c>
      <c r="F3014" s="89" t="s">
        <v>332</v>
      </c>
    </row>
    <row r="3015" spans="2:6" x14ac:dyDescent="0.55000000000000004">
      <c r="B3015" s="220" t="s">
        <v>959</v>
      </c>
      <c r="C3015" s="225" t="s">
        <v>2328</v>
      </c>
      <c r="D3015" s="225" t="s">
        <v>2328</v>
      </c>
      <c r="E3015" s="232" t="s">
        <v>789</v>
      </c>
      <c r="F3015" s="89" t="s">
        <v>332</v>
      </c>
    </row>
    <row r="3016" spans="2:6" ht="25.8" x14ac:dyDescent="0.55000000000000004">
      <c r="B3016" s="220" t="s">
        <v>959</v>
      </c>
      <c r="C3016" s="225" t="s">
        <v>2330</v>
      </c>
      <c r="D3016" s="225" t="s">
        <v>2330</v>
      </c>
      <c r="E3016" s="232" t="s">
        <v>789</v>
      </c>
      <c r="F3016" s="89" t="s">
        <v>332</v>
      </c>
    </row>
    <row r="3017" spans="2:6" ht="25.8" x14ac:dyDescent="0.55000000000000004">
      <c r="B3017" s="220" t="s">
        <v>959</v>
      </c>
      <c r="C3017" s="225" t="s">
        <v>2332</v>
      </c>
      <c r="D3017" s="225" t="s">
        <v>2332</v>
      </c>
      <c r="E3017" s="232" t="s">
        <v>789</v>
      </c>
      <c r="F3017" s="89" t="s">
        <v>332</v>
      </c>
    </row>
    <row r="3018" spans="2:6" x14ac:dyDescent="0.55000000000000004">
      <c r="B3018" s="220" t="s">
        <v>959</v>
      </c>
      <c r="C3018" s="225" t="s">
        <v>2334</v>
      </c>
      <c r="D3018" s="225" t="s">
        <v>2334</v>
      </c>
      <c r="E3018" s="232" t="s">
        <v>789</v>
      </c>
      <c r="F3018" s="89" t="s">
        <v>332</v>
      </c>
    </row>
    <row r="3019" spans="2:6" x14ac:dyDescent="0.55000000000000004">
      <c r="B3019" s="220" t="s">
        <v>959</v>
      </c>
      <c r="C3019" s="225" t="s">
        <v>2336</v>
      </c>
      <c r="D3019" s="225" t="s">
        <v>2336</v>
      </c>
      <c r="E3019" s="232" t="s">
        <v>789</v>
      </c>
      <c r="F3019" s="89" t="s">
        <v>332</v>
      </c>
    </row>
    <row r="3020" spans="2:6" x14ac:dyDescent="0.55000000000000004">
      <c r="B3020" s="220" t="s">
        <v>959</v>
      </c>
      <c r="C3020" s="225" t="s">
        <v>2338</v>
      </c>
      <c r="D3020" s="225" t="s">
        <v>2338</v>
      </c>
      <c r="E3020" s="232" t="s">
        <v>789</v>
      </c>
      <c r="F3020" s="89" t="s">
        <v>332</v>
      </c>
    </row>
    <row r="3021" spans="2:6" ht="25.8" x14ac:dyDescent="0.55000000000000004">
      <c r="B3021" s="220" t="s">
        <v>959</v>
      </c>
      <c r="C3021" s="225" t="s">
        <v>2340</v>
      </c>
      <c r="D3021" s="225" t="s">
        <v>2340</v>
      </c>
      <c r="E3021" s="232" t="s">
        <v>789</v>
      </c>
      <c r="F3021" s="89" t="s">
        <v>332</v>
      </c>
    </row>
    <row r="3022" spans="2:6" x14ac:dyDescent="0.55000000000000004">
      <c r="B3022" s="220" t="s">
        <v>959</v>
      </c>
      <c r="C3022" s="225" t="s">
        <v>2343</v>
      </c>
      <c r="D3022" s="225" t="s">
        <v>2343</v>
      </c>
      <c r="E3022" s="232" t="s">
        <v>789</v>
      </c>
      <c r="F3022" s="89" t="s">
        <v>332</v>
      </c>
    </row>
    <row r="3023" spans="2:6" x14ac:dyDescent="0.55000000000000004">
      <c r="B3023" s="220" t="s">
        <v>959</v>
      </c>
      <c r="C3023" s="225" t="s">
        <v>2344</v>
      </c>
      <c r="D3023" s="225" t="s">
        <v>2344</v>
      </c>
      <c r="E3023" s="232" t="s">
        <v>789</v>
      </c>
      <c r="F3023" s="89" t="s">
        <v>332</v>
      </c>
    </row>
    <row r="3024" spans="2:6" x14ac:dyDescent="0.55000000000000004">
      <c r="B3024" s="220" t="s">
        <v>959</v>
      </c>
      <c r="C3024" s="225" t="s">
        <v>2346</v>
      </c>
      <c r="D3024" s="225" t="s">
        <v>2346</v>
      </c>
      <c r="E3024" s="232" t="s">
        <v>789</v>
      </c>
      <c r="F3024" s="89" t="s">
        <v>332</v>
      </c>
    </row>
    <row r="3025" spans="2:6" ht="25.8" x14ac:dyDescent="0.55000000000000004">
      <c r="B3025" s="220" t="s">
        <v>959</v>
      </c>
      <c r="C3025" s="225" t="s">
        <v>2348</v>
      </c>
      <c r="D3025" s="225" t="s">
        <v>2348</v>
      </c>
      <c r="E3025" s="232" t="s">
        <v>789</v>
      </c>
      <c r="F3025" s="89" t="s">
        <v>332</v>
      </c>
    </row>
    <row r="3026" spans="2:6" x14ac:dyDescent="0.55000000000000004">
      <c r="B3026" s="220" t="s">
        <v>959</v>
      </c>
      <c r="C3026" s="226" t="s">
        <v>2350</v>
      </c>
      <c r="D3026" s="226" t="s">
        <v>2350</v>
      </c>
      <c r="E3026" s="232" t="s">
        <v>789</v>
      </c>
      <c r="F3026" s="89" t="s">
        <v>332</v>
      </c>
    </row>
    <row r="3027" spans="2:6" x14ac:dyDescent="0.55000000000000004">
      <c r="B3027" s="220" t="s">
        <v>959</v>
      </c>
      <c r="C3027" s="226" t="s">
        <v>2350</v>
      </c>
      <c r="D3027" s="226" t="s">
        <v>2350</v>
      </c>
      <c r="E3027" s="232" t="s">
        <v>2428</v>
      </c>
      <c r="F3027" s="89" t="s">
        <v>648</v>
      </c>
    </row>
    <row r="3028" spans="2:6" ht="25.8" x14ac:dyDescent="0.55000000000000004">
      <c r="B3028" s="220" t="s">
        <v>959</v>
      </c>
      <c r="C3028" s="226" t="s">
        <v>2352</v>
      </c>
      <c r="D3028" s="226" t="s">
        <v>2352</v>
      </c>
      <c r="E3028" s="232" t="s">
        <v>789</v>
      </c>
      <c r="F3028" s="89" t="s">
        <v>332</v>
      </c>
    </row>
    <row r="3029" spans="2:6" ht="25.8" x14ac:dyDescent="0.55000000000000004">
      <c r="B3029" s="220" t="s">
        <v>959</v>
      </c>
      <c r="C3029" s="226" t="s">
        <v>2352</v>
      </c>
      <c r="D3029" s="226" t="s">
        <v>2352</v>
      </c>
      <c r="E3029" s="232" t="s">
        <v>2428</v>
      </c>
      <c r="F3029" s="89" t="s">
        <v>648</v>
      </c>
    </row>
    <row r="3030" spans="2:6" ht="25.8" x14ac:dyDescent="0.55000000000000004">
      <c r="B3030" s="220" t="s">
        <v>959</v>
      </c>
      <c r="C3030" s="225" t="s">
        <v>3171</v>
      </c>
      <c r="D3030" s="225" t="s">
        <v>2354</v>
      </c>
      <c r="E3030" s="232" t="s">
        <v>789</v>
      </c>
      <c r="F3030" s="89" t="s">
        <v>332</v>
      </c>
    </row>
    <row r="3031" spans="2:6" ht="25.8" x14ac:dyDescent="0.55000000000000004">
      <c r="B3031" s="220" t="s">
        <v>959</v>
      </c>
      <c r="C3031" s="225" t="s">
        <v>2356</v>
      </c>
      <c r="D3031" s="225" t="s">
        <v>2356</v>
      </c>
      <c r="E3031" s="232" t="s">
        <v>789</v>
      </c>
      <c r="F3031" s="89" t="s">
        <v>332</v>
      </c>
    </row>
    <row r="3032" spans="2:6" ht="25.8" x14ac:dyDescent="0.55000000000000004">
      <c r="B3032" s="220" t="s">
        <v>959</v>
      </c>
      <c r="C3032" s="225" t="s">
        <v>2358</v>
      </c>
      <c r="D3032" s="225" t="s">
        <v>2358</v>
      </c>
      <c r="E3032" s="232" t="s">
        <v>789</v>
      </c>
      <c r="F3032" s="89" t="s">
        <v>332</v>
      </c>
    </row>
    <row r="3033" spans="2:6" ht="25.8" x14ac:dyDescent="0.55000000000000004">
      <c r="B3033" s="220" t="s">
        <v>959</v>
      </c>
      <c r="C3033" s="225" t="s">
        <v>3173</v>
      </c>
      <c r="D3033" s="225" t="s">
        <v>2360</v>
      </c>
      <c r="E3033" s="232" t="s">
        <v>789</v>
      </c>
      <c r="F3033" s="89" t="s">
        <v>332</v>
      </c>
    </row>
    <row r="3034" spans="2:6" ht="25.8" x14ac:dyDescent="0.55000000000000004">
      <c r="B3034" s="220" t="s">
        <v>959</v>
      </c>
      <c r="C3034" s="225" t="s">
        <v>2362</v>
      </c>
      <c r="D3034" s="225" t="s">
        <v>2362</v>
      </c>
      <c r="E3034" s="232" t="s">
        <v>789</v>
      </c>
      <c r="F3034" s="89" t="s">
        <v>332</v>
      </c>
    </row>
    <row r="3035" spans="2:6" ht="25.8" x14ac:dyDescent="0.55000000000000004">
      <c r="B3035" s="220" t="s">
        <v>959</v>
      </c>
      <c r="C3035" s="225" t="s">
        <v>3175</v>
      </c>
      <c r="D3035" s="225" t="s">
        <v>2364</v>
      </c>
      <c r="E3035" s="232" t="s">
        <v>789</v>
      </c>
      <c r="F3035" s="89" t="s">
        <v>332</v>
      </c>
    </row>
    <row r="3036" spans="2:6" x14ac:dyDescent="0.55000000000000004">
      <c r="B3036" s="220" t="s">
        <v>959</v>
      </c>
      <c r="C3036" s="225" t="s">
        <v>2366</v>
      </c>
      <c r="D3036" s="225" t="s">
        <v>2366</v>
      </c>
      <c r="E3036" s="232" t="s">
        <v>789</v>
      </c>
      <c r="F3036" s="89" t="s">
        <v>332</v>
      </c>
    </row>
    <row r="3037" spans="2:6" ht="25.8" x14ac:dyDescent="0.55000000000000004">
      <c r="B3037" s="220" t="s">
        <v>959</v>
      </c>
      <c r="C3037" s="225" t="s">
        <v>2368</v>
      </c>
      <c r="D3037" s="225" t="s">
        <v>2368</v>
      </c>
      <c r="E3037" s="232" t="s">
        <v>789</v>
      </c>
      <c r="F3037" s="89" t="s">
        <v>332</v>
      </c>
    </row>
    <row r="3038" spans="2:6" x14ac:dyDescent="0.55000000000000004">
      <c r="B3038" s="220" t="s">
        <v>959</v>
      </c>
      <c r="C3038" s="225" t="s">
        <v>2370</v>
      </c>
      <c r="D3038" s="225" t="s">
        <v>2370</v>
      </c>
      <c r="E3038" s="232" t="s">
        <v>789</v>
      </c>
      <c r="F3038" s="89" t="s">
        <v>332</v>
      </c>
    </row>
    <row r="3039" spans="2:6" ht="25.8" x14ac:dyDescent="0.55000000000000004">
      <c r="B3039" s="220" t="s">
        <v>959</v>
      </c>
      <c r="C3039" s="225" t="s">
        <v>2372</v>
      </c>
      <c r="D3039" s="225" t="s">
        <v>2372</v>
      </c>
      <c r="E3039" s="232" t="s">
        <v>789</v>
      </c>
      <c r="F3039" s="89" t="s">
        <v>332</v>
      </c>
    </row>
    <row r="3040" spans="2:6" x14ac:dyDescent="0.55000000000000004">
      <c r="B3040" s="220" t="s">
        <v>959</v>
      </c>
      <c r="C3040" s="225" t="s">
        <v>2374</v>
      </c>
      <c r="D3040" s="225" t="s">
        <v>2374</v>
      </c>
      <c r="E3040" s="232" t="s">
        <v>789</v>
      </c>
      <c r="F3040" s="89" t="s">
        <v>332</v>
      </c>
    </row>
    <row r="3041" spans="2:6" ht="25.8" x14ac:dyDescent="0.55000000000000004">
      <c r="B3041" s="220" t="s">
        <v>959</v>
      </c>
      <c r="C3041" s="225" t="s">
        <v>3177</v>
      </c>
      <c r="D3041" s="225" t="s">
        <v>2376</v>
      </c>
      <c r="E3041" s="232" t="s">
        <v>789</v>
      </c>
      <c r="F3041" s="89" t="s">
        <v>332</v>
      </c>
    </row>
    <row r="3042" spans="2:6" ht="25.8" x14ac:dyDescent="0.55000000000000004">
      <c r="B3042" s="220" t="s">
        <v>959</v>
      </c>
      <c r="C3042" s="225" t="s">
        <v>3179</v>
      </c>
      <c r="D3042" s="225" t="s">
        <v>2378</v>
      </c>
      <c r="E3042" s="232" t="s">
        <v>789</v>
      </c>
      <c r="F3042" s="89" t="s">
        <v>332</v>
      </c>
    </row>
    <row r="3043" spans="2:6" ht="25.8" x14ac:dyDescent="0.55000000000000004">
      <c r="B3043" s="220" t="s">
        <v>959</v>
      </c>
      <c r="C3043" s="225" t="s">
        <v>3181</v>
      </c>
      <c r="D3043" s="225" t="s">
        <v>2380</v>
      </c>
      <c r="E3043" s="232" t="s">
        <v>789</v>
      </c>
      <c r="F3043" s="89" t="s">
        <v>332</v>
      </c>
    </row>
    <row r="3044" spans="2:6" ht="25.8" x14ac:dyDescent="0.55000000000000004">
      <c r="B3044" s="220" t="s">
        <v>959</v>
      </c>
      <c r="C3044" s="225" t="s">
        <v>3183</v>
      </c>
      <c r="D3044" s="225" t="s">
        <v>2382</v>
      </c>
      <c r="E3044" s="232" t="s">
        <v>789</v>
      </c>
      <c r="F3044" s="89" t="s">
        <v>332</v>
      </c>
    </row>
    <row r="3045" spans="2:6" x14ac:dyDescent="0.55000000000000004">
      <c r="B3045" s="220" t="s">
        <v>959</v>
      </c>
      <c r="C3045" s="225" t="s">
        <v>2384</v>
      </c>
      <c r="D3045" s="225" t="s">
        <v>2384</v>
      </c>
      <c r="E3045" s="232" t="s">
        <v>789</v>
      </c>
      <c r="F3045" s="89" t="s">
        <v>332</v>
      </c>
    </row>
    <row r="3046" spans="2:6" x14ac:dyDescent="0.55000000000000004">
      <c r="B3046" s="220" t="s">
        <v>959</v>
      </c>
      <c r="C3046" s="225" t="s">
        <v>2386</v>
      </c>
      <c r="D3046" s="225" t="s">
        <v>2386</v>
      </c>
      <c r="E3046" s="232" t="s">
        <v>789</v>
      </c>
      <c r="F3046" s="89" t="s">
        <v>332</v>
      </c>
    </row>
    <row r="3047" spans="2:6" x14ac:dyDescent="0.55000000000000004">
      <c r="B3047" s="220" t="s">
        <v>959</v>
      </c>
      <c r="C3047" s="225" t="s">
        <v>2388</v>
      </c>
      <c r="D3047" s="225" t="s">
        <v>2388</v>
      </c>
      <c r="E3047" s="232" t="s">
        <v>789</v>
      </c>
      <c r="F3047" s="89" t="s">
        <v>332</v>
      </c>
    </row>
    <row r="3048" spans="2:6" x14ac:dyDescent="0.55000000000000004">
      <c r="B3048" s="220" t="s">
        <v>959</v>
      </c>
      <c r="C3048" s="225" t="s">
        <v>2390</v>
      </c>
      <c r="D3048" s="225" t="s">
        <v>2390</v>
      </c>
      <c r="E3048" s="232" t="s">
        <v>789</v>
      </c>
      <c r="F3048" s="89" t="s">
        <v>332</v>
      </c>
    </row>
    <row r="3049" spans="2:6" x14ac:dyDescent="0.55000000000000004">
      <c r="B3049" s="220" t="s">
        <v>959</v>
      </c>
      <c r="C3049" s="225" t="s">
        <v>2392</v>
      </c>
      <c r="D3049" s="225" t="s">
        <v>2392</v>
      </c>
      <c r="E3049" s="232" t="s">
        <v>789</v>
      </c>
      <c r="F3049" s="89" t="s">
        <v>332</v>
      </c>
    </row>
    <row r="3050" spans="2:6" x14ac:dyDescent="0.55000000000000004">
      <c r="B3050" s="220" t="s">
        <v>959</v>
      </c>
      <c r="C3050" s="226" t="s">
        <v>2394</v>
      </c>
      <c r="D3050" s="226" t="s">
        <v>2394</v>
      </c>
      <c r="E3050" s="232" t="s">
        <v>789</v>
      </c>
      <c r="F3050" s="89" t="s">
        <v>332</v>
      </c>
    </row>
    <row r="3051" spans="2:6" x14ac:dyDescent="0.55000000000000004">
      <c r="B3051" s="220" t="s">
        <v>959</v>
      </c>
      <c r="C3051" s="226" t="s">
        <v>2394</v>
      </c>
      <c r="D3051" s="226" t="s">
        <v>2394</v>
      </c>
      <c r="E3051" s="232" t="s">
        <v>2428</v>
      </c>
      <c r="F3051" s="89" t="s">
        <v>648</v>
      </c>
    </row>
    <row r="3052" spans="2:6" ht="25.8" x14ac:dyDescent="0.55000000000000004">
      <c r="B3052" s="220" t="s">
        <v>959</v>
      </c>
      <c r="C3052" s="225" t="s">
        <v>3185</v>
      </c>
      <c r="D3052" s="225" t="s">
        <v>2396</v>
      </c>
      <c r="E3052" s="232" t="s">
        <v>789</v>
      </c>
      <c r="F3052" s="89" t="s">
        <v>332</v>
      </c>
    </row>
    <row r="3053" spans="2:6" ht="25.8" x14ac:dyDescent="0.55000000000000004">
      <c r="B3053" s="220" t="s">
        <v>959</v>
      </c>
      <c r="C3053" s="225" t="s">
        <v>2398</v>
      </c>
      <c r="D3053" s="225" t="s">
        <v>2398</v>
      </c>
      <c r="E3053" s="232" t="s">
        <v>789</v>
      </c>
      <c r="F3053" s="89" t="s">
        <v>332</v>
      </c>
    </row>
    <row r="3054" spans="2:6" ht="25.8" x14ac:dyDescent="0.55000000000000004">
      <c r="B3054" s="220" t="s">
        <v>959</v>
      </c>
      <c r="C3054" s="225" t="s">
        <v>2400</v>
      </c>
      <c r="D3054" s="225" t="s">
        <v>2400</v>
      </c>
      <c r="E3054" s="232" t="s">
        <v>789</v>
      </c>
      <c r="F3054" s="89" t="s">
        <v>332</v>
      </c>
    </row>
    <row r="3055" spans="2:6" ht="25.8" x14ac:dyDescent="0.55000000000000004">
      <c r="B3055" s="220" t="s">
        <v>959</v>
      </c>
      <c r="C3055" s="225" t="s">
        <v>3187</v>
      </c>
      <c r="D3055" s="225" t="s">
        <v>2402</v>
      </c>
      <c r="E3055" s="232" t="s">
        <v>789</v>
      </c>
      <c r="F3055" s="89" t="s">
        <v>332</v>
      </c>
    </row>
    <row r="3056" spans="2:6" ht="25.8" x14ac:dyDescent="0.55000000000000004">
      <c r="B3056" s="220" t="s">
        <v>959</v>
      </c>
      <c r="C3056" s="225" t="s">
        <v>3189</v>
      </c>
      <c r="D3056" s="225" t="s">
        <v>2404</v>
      </c>
      <c r="E3056" s="232" t="s">
        <v>789</v>
      </c>
      <c r="F3056" s="89" t="s">
        <v>332</v>
      </c>
    </row>
    <row r="3057" spans="2:6" ht="25.8" x14ac:dyDescent="0.55000000000000004">
      <c r="B3057" s="220" t="s">
        <v>959</v>
      </c>
      <c r="C3057" s="225" t="s">
        <v>2406</v>
      </c>
      <c r="D3057" s="225" t="s">
        <v>2406</v>
      </c>
      <c r="E3057" s="232" t="s">
        <v>789</v>
      </c>
      <c r="F3057" s="89" t="s">
        <v>332</v>
      </c>
    </row>
    <row r="3058" spans="2:6" ht="25.8" x14ac:dyDescent="0.55000000000000004">
      <c r="B3058" s="220" t="s">
        <v>959</v>
      </c>
      <c r="C3058" s="225" t="s">
        <v>2408</v>
      </c>
      <c r="D3058" s="225" t="s">
        <v>2408</v>
      </c>
      <c r="E3058" s="232" t="s">
        <v>789</v>
      </c>
      <c r="F3058" s="89" t="s">
        <v>332</v>
      </c>
    </row>
    <row r="3059" spans="2:6" x14ac:dyDescent="0.55000000000000004">
      <c r="B3059" s="220" t="s">
        <v>959</v>
      </c>
      <c r="C3059" s="225" t="s">
        <v>2410</v>
      </c>
      <c r="D3059" s="225" t="s">
        <v>2410</v>
      </c>
      <c r="E3059" s="232" t="s">
        <v>789</v>
      </c>
      <c r="F3059" s="89" t="s">
        <v>332</v>
      </c>
    </row>
    <row r="3060" spans="2:6" x14ac:dyDescent="0.55000000000000004">
      <c r="B3060" s="220" t="s">
        <v>959</v>
      </c>
      <c r="C3060" s="225" t="s">
        <v>2412</v>
      </c>
      <c r="D3060" s="225" t="s">
        <v>2412</v>
      </c>
      <c r="E3060" s="232" t="s">
        <v>789</v>
      </c>
      <c r="F3060" s="89" t="s">
        <v>332</v>
      </c>
    </row>
    <row r="3061" spans="2:6" ht="25.8" x14ac:dyDescent="0.55000000000000004">
      <c r="B3061" s="220" t="s">
        <v>959</v>
      </c>
      <c r="C3061" s="225" t="s">
        <v>3191</v>
      </c>
      <c r="D3061" s="225" t="s">
        <v>2414</v>
      </c>
      <c r="E3061" s="232" t="s">
        <v>789</v>
      </c>
      <c r="F3061" s="89" t="s">
        <v>332</v>
      </c>
    </row>
    <row r="3062" spans="2:6" x14ac:dyDescent="0.55000000000000004">
      <c r="B3062" s="220" t="s">
        <v>959</v>
      </c>
      <c r="C3062" s="225" t="s">
        <v>2416</v>
      </c>
      <c r="D3062" s="225" t="s">
        <v>2416</v>
      </c>
      <c r="E3062" s="232" t="s">
        <v>789</v>
      </c>
      <c r="F3062" s="89" t="s">
        <v>332</v>
      </c>
    </row>
    <row r="3063" spans="2:6" x14ac:dyDescent="0.55000000000000004">
      <c r="B3063" s="222" t="s">
        <v>960</v>
      </c>
      <c r="C3063" s="227" t="s">
        <v>2418</v>
      </c>
      <c r="D3063" s="227" t="s">
        <v>2418</v>
      </c>
      <c r="E3063" s="232" t="e">
        <v>#N/A</v>
      </c>
      <c r="F3063" s="89" t="s">
        <v>2433</v>
      </c>
    </row>
    <row r="3064" spans="2:6" x14ac:dyDescent="0.55000000000000004">
      <c r="B3064" s="220" t="s">
        <v>960</v>
      </c>
      <c r="C3064" s="225" t="s">
        <v>1999</v>
      </c>
      <c r="D3064" s="225" t="s">
        <v>1999</v>
      </c>
      <c r="E3064" s="232" t="s">
        <v>789</v>
      </c>
      <c r="F3064" s="89" t="s">
        <v>332</v>
      </c>
    </row>
    <row r="3065" spans="2:6" ht="25.8" x14ac:dyDescent="0.55000000000000004">
      <c r="B3065" s="220" t="s">
        <v>960</v>
      </c>
      <c r="C3065" s="225" t="s">
        <v>2001</v>
      </c>
      <c r="D3065" s="225" t="s">
        <v>2001</v>
      </c>
      <c r="E3065" s="232" t="s">
        <v>789</v>
      </c>
      <c r="F3065" s="89" t="s">
        <v>332</v>
      </c>
    </row>
    <row r="3066" spans="2:6" ht="38.700000000000003" x14ac:dyDescent="0.55000000000000004">
      <c r="B3066" s="220" t="s">
        <v>960</v>
      </c>
      <c r="C3066" s="225" t="s">
        <v>3082</v>
      </c>
      <c r="D3066" s="225" t="s">
        <v>2003</v>
      </c>
      <c r="E3066" s="232" t="s">
        <v>789</v>
      </c>
      <c r="F3066" s="89" t="s">
        <v>332</v>
      </c>
    </row>
    <row r="3067" spans="2:6" x14ac:dyDescent="0.55000000000000004">
      <c r="B3067" s="220" t="s">
        <v>960</v>
      </c>
      <c r="C3067" s="225" t="s">
        <v>2005</v>
      </c>
      <c r="D3067" s="225" t="s">
        <v>2005</v>
      </c>
      <c r="E3067" s="232" t="s">
        <v>789</v>
      </c>
      <c r="F3067" s="89" t="s">
        <v>332</v>
      </c>
    </row>
    <row r="3068" spans="2:6" ht="25.8" x14ac:dyDescent="0.55000000000000004">
      <c r="B3068" s="220" t="s">
        <v>960</v>
      </c>
      <c r="C3068" s="226" t="s">
        <v>2007</v>
      </c>
      <c r="D3068" s="226" t="s">
        <v>2007</v>
      </c>
      <c r="E3068" s="232" t="s">
        <v>789</v>
      </c>
      <c r="F3068" s="89" t="s">
        <v>332</v>
      </c>
    </row>
    <row r="3069" spans="2:6" ht="25.8" x14ac:dyDescent="0.55000000000000004">
      <c r="B3069" s="220" t="s">
        <v>960</v>
      </c>
      <c r="C3069" s="226" t="s">
        <v>2007</v>
      </c>
      <c r="D3069" s="226" t="s">
        <v>2007</v>
      </c>
      <c r="E3069" s="232" t="s">
        <v>2428</v>
      </c>
      <c r="F3069" s="89" t="s">
        <v>648</v>
      </c>
    </row>
    <row r="3070" spans="2:6" ht="25.8" x14ac:dyDescent="0.55000000000000004">
      <c r="B3070" s="220" t="s">
        <v>960</v>
      </c>
      <c r="C3070" s="225" t="s">
        <v>3084</v>
      </c>
      <c r="D3070" s="225" t="s">
        <v>2009</v>
      </c>
      <c r="E3070" s="232" t="s">
        <v>789</v>
      </c>
      <c r="F3070" s="89" t="s">
        <v>332</v>
      </c>
    </row>
    <row r="3071" spans="2:6" ht="25.8" x14ac:dyDescent="0.55000000000000004">
      <c r="B3071" s="220" t="s">
        <v>960</v>
      </c>
      <c r="C3071" s="225" t="s">
        <v>3086</v>
      </c>
      <c r="D3071" s="225" t="s">
        <v>2011</v>
      </c>
      <c r="E3071" s="232" t="s">
        <v>789</v>
      </c>
      <c r="F3071" s="89" t="s">
        <v>332</v>
      </c>
    </row>
    <row r="3072" spans="2:6" x14ac:dyDescent="0.55000000000000004">
      <c r="B3072" s="220" t="s">
        <v>960</v>
      </c>
      <c r="C3072" s="225" t="s">
        <v>2013</v>
      </c>
      <c r="D3072" s="225" t="s">
        <v>2013</v>
      </c>
      <c r="E3072" s="232" t="s">
        <v>789</v>
      </c>
      <c r="F3072" s="89" t="s">
        <v>332</v>
      </c>
    </row>
    <row r="3073" spans="2:6" ht="25.8" x14ac:dyDescent="0.55000000000000004">
      <c r="B3073" s="220" t="s">
        <v>960</v>
      </c>
      <c r="C3073" s="225" t="s">
        <v>2015</v>
      </c>
      <c r="D3073" s="225" t="s">
        <v>2015</v>
      </c>
      <c r="E3073" s="232" t="s">
        <v>789</v>
      </c>
      <c r="F3073" s="89" t="s">
        <v>332</v>
      </c>
    </row>
    <row r="3074" spans="2:6" ht="25.8" x14ac:dyDescent="0.55000000000000004">
      <c r="B3074" s="220" t="s">
        <v>960</v>
      </c>
      <c r="C3074" s="226" t="s">
        <v>2017</v>
      </c>
      <c r="D3074" s="226" t="s">
        <v>2017</v>
      </c>
      <c r="E3074" s="232" t="s">
        <v>789</v>
      </c>
      <c r="F3074" s="89" t="s">
        <v>332</v>
      </c>
    </row>
    <row r="3075" spans="2:6" x14ac:dyDescent="0.55000000000000004">
      <c r="B3075" s="220" t="s">
        <v>960</v>
      </c>
      <c r="C3075" s="226" t="s">
        <v>2019</v>
      </c>
      <c r="D3075" s="226" t="s">
        <v>2019</v>
      </c>
      <c r="E3075" s="232" t="s">
        <v>789</v>
      </c>
      <c r="F3075" s="89" t="s">
        <v>332</v>
      </c>
    </row>
    <row r="3076" spans="2:6" ht="25.8" x14ac:dyDescent="0.55000000000000004">
      <c r="B3076" s="220" t="s">
        <v>960</v>
      </c>
      <c r="C3076" s="226" t="s">
        <v>2021</v>
      </c>
      <c r="D3076" s="226" t="s">
        <v>2021</v>
      </c>
      <c r="E3076" s="232" t="s">
        <v>789</v>
      </c>
      <c r="F3076" s="89" t="s">
        <v>332</v>
      </c>
    </row>
    <row r="3077" spans="2:6" ht="25.8" x14ac:dyDescent="0.55000000000000004">
      <c r="B3077" s="220" t="s">
        <v>960</v>
      </c>
      <c r="C3077" s="226" t="s">
        <v>2023</v>
      </c>
      <c r="D3077" s="226" t="s">
        <v>2023</v>
      </c>
      <c r="E3077" s="232" t="s">
        <v>789</v>
      </c>
      <c r="F3077" s="89" t="s">
        <v>332</v>
      </c>
    </row>
    <row r="3078" spans="2:6" ht="25.8" x14ac:dyDescent="0.55000000000000004">
      <c r="B3078" s="220" t="s">
        <v>960</v>
      </c>
      <c r="C3078" s="226" t="s">
        <v>2025</v>
      </c>
      <c r="D3078" s="226" t="s">
        <v>2025</v>
      </c>
      <c r="E3078" s="232" t="s">
        <v>789</v>
      </c>
      <c r="F3078" s="89" t="s">
        <v>332</v>
      </c>
    </row>
    <row r="3079" spans="2:6" ht="25.8" x14ac:dyDescent="0.55000000000000004">
      <c r="B3079" s="220" t="s">
        <v>960</v>
      </c>
      <c r="C3079" s="226" t="s">
        <v>2027</v>
      </c>
      <c r="D3079" s="226" t="s">
        <v>2027</v>
      </c>
      <c r="E3079" s="232" t="s">
        <v>789</v>
      </c>
      <c r="F3079" s="89" t="s">
        <v>332</v>
      </c>
    </row>
    <row r="3080" spans="2:6" x14ac:dyDescent="0.55000000000000004">
      <c r="B3080" s="220" t="s">
        <v>960</v>
      </c>
      <c r="C3080" s="225" t="s">
        <v>2029</v>
      </c>
      <c r="D3080" s="225" t="s">
        <v>2029</v>
      </c>
      <c r="E3080" s="232" t="s">
        <v>789</v>
      </c>
      <c r="F3080" s="89" t="s">
        <v>332</v>
      </c>
    </row>
    <row r="3081" spans="2:6" ht="25.8" x14ac:dyDescent="0.55000000000000004">
      <c r="B3081" s="220" t="s">
        <v>960</v>
      </c>
      <c r="C3081" s="225" t="s">
        <v>3088</v>
      </c>
      <c r="D3081" s="225" t="s">
        <v>2031</v>
      </c>
      <c r="E3081" s="232" t="s">
        <v>789</v>
      </c>
      <c r="F3081" s="89" t="s">
        <v>332</v>
      </c>
    </row>
    <row r="3082" spans="2:6" ht="25.8" x14ac:dyDescent="0.55000000000000004">
      <c r="B3082" s="220" t="s">
        <v>960</v>
      </c>
      <c r="C3082" s="225" t="s">
        <v>3090</v>
      </c>
      <c r="D3082" s="225" t="s">
        <v>2033</v>
      </c>
      <c r="E3082" s="232" t="s">
        <v>789</v>
      </c>
      <c r="F3082" s="89" t="s">
        <v>332</v>
      </c>
    </row>
    <row r="3083" spans="2:6" x14ac:dyDescent="0.55000000000000004">
      <c r="B3083" s="220" t="s">
        <v>960</v>
      </c>
      <c r="C3083" s="225" t="s">
        <v>2035</v>
      </c>
      <c r="D3083" s="225" t="s">
        <v>2035</v>
      </c>
      <c r="E3083" s="232" t="s">
        <v>789</v>
      </c>
      <c r="F3083" s="89" t="s">
        <v>332</v>
      </c>
    </row>
    <row r="3084" spans="2:6" ht="25.8" x14ac:dyDescent="0.55000000000000004">
      <c r="B3084" s="220" t="s">
        <v>960</v>
      </c>
      <c r="C3084" s="225" t="s">
        <v>2037</v>
      </c>
      <c r="D3084" s="225" t="s">
        <v>2037</v>
      </c>
      <c r="E3084" s="232" t="s">
        <v>789</v>
      </c>
      <c r="F3084" s="89" t="s">
        <v>332</v>
      </c>
    </row>
    <row r="3085" spans="2:6" x14ac:dyDescent="0.55000000000000004">
      <c r="B3085" s="220" t="s">
        <v>960</v>
      </c>
      <c r="C3085" s="225" t="s">
        <v>2039</v>
      </c>
      <c r="D3085" s="225" t="s">
        <v>2039</v>
      </c>
      <c r="E3085" s="232" t="s">
        <v>789</v>
      </c>
      <c r="F3085" s="89" t="s">
        <v>332</v>
      </c>
    </row>
    <row r="3086" spans="2:6" ht="25.8" x14ac:dyDescent="0.55000000000000004">
      <c r="B3086" s="220" t="s">
        <v>960</v>
      </c>
      <c r="C3086" s="225" t="s">
        <v>3092</v>
      </c>
      <c r="D3086" s="225" t="s">
        <v>2041</v>
      </c>
      <c r="E3086" s="232" t="s">
        <v>789</v>
      </c>
      <c r="F3086" s="89" t="s">
        <v>332</v>
      </c>
    </row>
    <row r="3087" spans="2:6" x14ac:dyDescent="0.55000000000000004">
      <c r="B3087" s="220" t="s">
        <v>960</v>
      </c>
      <c r="C3087" s="225" t="s">
        <v>2043</v>
      </c>
      <c r="D3087" s="225" t="s">
        <v>2043</v>
      </c>
      <c r="E3087" s="232" t="s">
        <v>789</v>
      </c>
      <c r="F3087" s="89" t="s">
        <v>332</v>
      </c>
    </row>
    <row r="3088" spans="2:6" ht="25.8" x14ac:dyDescent="0.55000000000000004">
      <c r="B3088" s="220" t="s">
        <v>960</v>
      </c>
      <c r="C3088" s="225" t="s">
        <v>2045</v>
      </c>
      <c r="D3088" s="225" t="s">
        <v>2045</v>
      </c>
      <c r="E3088" s="232" t="s">
        <v>789</v>
      </c>
      <c r="F3088" s="89" t="s">
        <v>332</v>
      </c>
    </row>
    <row r="3089" spans="2:6" ht="25.8" x14ac:dyDescent="0.55000000000000004">
      <c r="B3089" s="220" t="s">
        <v>960</v>
      </c>
      <c r="C3089" s="225" t="s">
        <v>2047</v>
      </c>
      <c r="D3089" s="225" t="s">
        <v>2047</v>
      </c>
      <c r="E3089" s="232" t="s">
        <v>789</v>
      </c>
      <c r="F3089" s="89" t="s">
        <v>332</v>
      </c>
    </row>
    <row r="3090" spans="2:6" ht="25.8" x14ac:dyDescent="0.55000000000000004">
      <c r="B3090" s="220" t="s">
        <v>960</v>
      </c>
      <c r="C3090" s="225" t="s">
        <v>3094</v>
      </c>
      <c r="D3090" s="225" t="s">
        <v>2049</v>
      </c>
      <c r="E3090" s="232" t="s">
        <v>789</v>
      </c>
      <c r="F3090" s="89" t="s">
        <v>332</v>
      </c>
    </row>
    <row r="3091" spans="2:6" x14ac:dyDescent="0.55000000000000004">
      <c r="B3091" s="220" t="s">
        <v>960</v>
      </c>
      <c r="C3091" s="226" t="s">
        <v>2051</v>
      </c>
      <c r="D3091" s="226" t="s">
        <v>2051</v>
      </c>
      <c r="E3091" s="232" t="s">
        <v>789</v>
      </c>
      <c r="F3091" s="89" t="s">
        <v>332</v>
      </c>
    </row>
    <row r="3092" spans="2:6" x14ac:dyDescent="0.55000000000000004">
      <c r="B3092" s="220" t="s">
        <v>960</v>
      </c>
      <c r="C3092" s="226" t="s">
        <v>2051</v>
      </c>
      <c r="D3092" s="226" t="s">
        <v>2051</v>
      </c>
      <c r="E3092" s="232" t="s">
        <v>2428</v>
      </c>
      <c r="F3092" s="89" t="s">
        <v>648</v>
      </c>
    </row>
    <row r="3093" spans="2:6" ht="25.8" x14ac:dyDescent="0.55000000000000004">
      <c r="B3093" s="220" t="s">
        <v>960</v>
      </c>
      <c r="C3093" s="226" t="s">
        <v>3096</v>
      </c>
      <c r="D3093" s="226" t="s">
        <v>2053</v>
      </c>
      <c r="E3093" s="232" t="s">
        <v>789</v>
      </c>
      <c r="F3093" s="89" t="s">
        <v>332</v>
      </c>
    </row>
    <row r="3094" spans="2:6" ht="25.8" x14ac:dyDescent="0.55000000000000004">
      <c r="B3094" s="220" t="s">
        <v>960</v>
      </c>
      <c r="C3094" s="226" t="s">
        <v>3096</v>
      </c>
      <c r="D3094" s="226" t="s">
        <v>2053</v>
      </c>
      <c r="E3094" s="232" t="s">
        <v>2428</v>
      </c>
      <c r="F3094" s="89" t="s">
        <v>648</v>
      </c>
    </row>
    <row r="3095" spans="2:6" ht="25.8" x14ac:dyDescent="0.55000000000000004">
      <c r="B3095" s="220" t="s">
        <v>960</v>
      </c>
      <c r="C3095" s="226" t="s">
        <v>3098</v>
      </c>
      <c r="D3095" s="226" t="s">
        <v>2055</v>
      </c>
      <c r="E3095" s="232" t="s">
        <v>789</v>
      </c>
      <c r="F3095" s="89" t="s">
        <v>332</v>
      </c>
    </row>
    <row r="3096" spans="2:6" ht="25.8" x14ac:dyDescent="0.55000000000000004">
      <c r="B3096" s="220" t="s">
        <v>960</v>
      </c>
      <c r="C3096" s="226" t="s">
        <v>3098</v>
      </c>
      <c r="D3096" s="226" t="s">
        <v>2055</v>
      </c>
      <c r="E3096" s="232" t="s">
        <v>2428</v>
      </c>
      <c r="F3096" s="89" t="s">
        <v>648</v>
      </c>
    </row>
    <row r="3097" spans="2:6" x14ac:dyDescent="0.55000000000000004">
      <c r="B3097" s="220" t="s">
        <v>960</v>
      </c>
      <c r="C3097" s="225" t="s">
        <v>2057</v>
      </c>
      <c r="D3097" s="225" t="s">
        <v>2057</v>
      </c>
      <c r="E3097" s="232" t="s">
        <v>789</v>
      </c>
      <c r="F3097" s="89" t="s">
        <v>332</v>
      </c>
    </row>
    <row r="3098" spans="2:6" x14ac:dyDescent="0.55000000000000004">
      <c r="B3098" s="220" t="s">
        <v>960</v>
      </c>
      <c r="C3098" s="225" t="s">
        <v>2059</v>
      </c>
      <c r="D3098" s="225" t="s">
        <v>2059</v>
      </c>
      <c r="E3098" s="232" t="s">
        <v>789</v>
      </c>
      <c r="F3098" s="89" t="s">
        <v>332</v>
      </c>
    </row>
    <row r="3099" spans="2:6" ht="25.8" x14ac:dyDescent="0.55000000000000004">
      <c r="B3099" s="220" t="s">
        <v>960</v>
      </c>
      <c r="C3099" s="225" t="s">
        <v>2778</v>
      </c>
      <c r="D3099" s="225" t="s">
        <v>2061</v>
      </c>
      <c r="E3099" s="232" t="s">
        <v>789</v>
      </c>
      <c r="F3099" s="89" t="s">
        <v>332</v>
      </c>
    </row>
    <row r="3100" spans="2:6" ht="25.8" x14ac:dyDescent="0.55000000000000004">
      <c r="B3100" s="220" t="s">
        <v>960</v>
      </c>
      <c r="C3100" s="225" t="s">
        <v>2778</v>
      </c>
      <c r="D3100" s="225" t="s">
        <v>2063</v>
      </c>
      <c r="E3100" s="232" t="s">
        <v>789</v>
      </c>
      <c r="F3100" s="89" t="s">
        <v>332</v>
      </c>
    </row>
    <row r="3101" spans="2:6" ht="25.8" x14ac:dyDescent="0.55000000000000004">
      <c r="B3101" s="220" t="s">
        <v>960</v>
      </c>
      <c r="C3101" s="225" t="s">
        <v>2778</v>
      </c>
      <c r="D3101" s="225" t="s">
        <v>2065</v>
      </c>
      <c r="E3101" s="232" t="s">
        <v>789</v>
      </c>
      <c r="F3101" s="89" t="s">
        <v>332</v>
      </c>
    </row>
    <row r="3102" spans="2:6" x14ac:dyDescent="0.55000000000000004">
      <c r="B3102" s="220" t="s">
        <v>960</v>
      </c>
      <c r="C3102" s="225" t="s">
        <v>2067</v>
      </c>
      <c r="D3102" s="225" t="s">
        <v>2067</v>
      </c>
      <c r="E3102" s="232" t="s">
        <v>789</v>
      </c>
      <c r="F3102" s="89" t="s">
        <v>332</v>
      </c>
    </row>
    <row r="3103" spans="2:6" x14ac:dyDescent="0.55000000000000004">
      <c r="B3103" s="220" t="s">
        <v>960</v>
      </c>
      <c r="C3103" s="225" t="s">
        <v>2069</v>
      </c>
      <c r="D3103" s="225" t="s">
        <v>2069</v>
      </c>
      <c r="E3103" s="232" t="s">
        <v>789</v>
      </c>
      <c r="F3103" s="89" t="s">
        <v>332</v>
      </c>
    </row>
    <row r="3104" spans="2:6" ht="25.8" x14ac:dyDescent="0.55000000000000004">
      <c r="B3104" s="220" t="s">
        <v>960</v>
      </c>
      <c r="C3104" s="225" t="s">
        <v>3100</v>
      </c>
      <c r="D3104" s="225" t="s">
        <v>2071</v>
      </c>
      <c r="E3104" s="232" t="s">
        <v>789</v>
      </c>
      <c r="F3104" s="89" t="s">
        <v>332</v>
      </c>
    </row>
    <row r="3105" spans="2:6" ht="38.700000000000003" x14ac:dyDescent="0.55000000000000004">
      <c r="B3105" s="220" t="s">
        <v>960</v>
      </c>
      <c r="C3105" s="225" t="s">
        <v>3102</v>
      </c>
      <c r="D3105" s="225" t="s">
        <v>2073</v>
      </c>
      <c r="E3105" s="232" t="s">
        <v>789</v>
      </c>
      <c r="F3105" s="89" t="s">
        <v>332</v>
      </c>
    </row>
    <row r="3106" spans="2:6" ht="25.8" x14ac:dyDescent="0.55000000000000004">
      <c r="B3106" s="220" t="s">
        <v>960</v>
      </c>
      <c r="C3106" s="225" t="s">
        <v>2075</v>
      </c>
      <c r="D3106" s="225" t="s">
        <v>2075</v>
      </c>
      <c r="E3106" s="232" t="s">
        <v>789</v>
      </c>
      <c r="F3106" s="89" t="s">
        <v>332</v>
      </c>
    </row>
    <row r="3107" spans="2:6" ht="25.8" x14ac:dyDescent="0.55000000000000004">
      <c r="B3107" s="220" t="s">
        <v>960</v>
      </c>
      <c r="C3107" s="225" t="s">
        <v>2077</v>
      </c>
      <c r="D3107" s="225" t="s">
        <v>2077</v>
      </c>
      <c r="E3107" s="232" t="s">
        <v>789</v>
      </c>
      <c r="F3107" s="89" t="s">
        <v>332</v>
      </c>
    </row>
    <row r="3108" spans="2:6" ht="25.8" x14ac:dyDescent="0.55000000000000004">
      <c r="B3108" s="220" t="s">
        <v>960</v>
      </c>
      <c r="C3108" s="225" t="s">
        <v>3104</v>
      </c>
      <c r="D3108" s="225" t="s">
        <v>2079</v>
      </c>
      <c r="E3108" s="232" t="s">
        <v>789</v>
      </c>
      <c r="F3108" s="89" t="s">
        <v>332</v>
      </c>
    </row>
    <row r="3109" spans="2:6" ht="25.8" x14ac:dyDescent="0.55000000000000004">
      <c r="B3109" s="220" t="s">
        <v>960</v>
      </c>
      <c r="C3109" s="225" t="s">
        <v>2080</v>
      </c>
      <c r="D3109" s="225" t="s">
        <v>2080</v>
      </c>
      <c r="E3109" s="232" t="s">
        <v>789</v>
      </c>
      <c r="F3109" s="89" t="s">
        <v>332</v>
      </c>
    </row>
    <row r="3110" spans="2:6" ht="25.8" x14ac:dyDescent="0.55000000000000004">
      <c r="B3110" s="220" t="s">
        <v>960</v>
      </c>
      <c r="C3110" s="225" t="s">
        <v>2082</v>
      </c>
      <c r="D3110" s="225" t="s">
        <v>2082</v>
      </c>
      <c r="E3110" s="232" t="s">
        <v>789</v>
      </c>
      <c r="F3110" s="89" t="s">
        <v>332</v>
      </c>
    </row>
    <row r="3111" spans="2:6" x14ac:dyDescent="0.55000000000000004">
      <c r="B3111" s="220" t="s">
        <v>960</v>
      </c>
      <c r="C3111" s="225" t="s">
        <v>2084</v>
      </c>
      <c r="D3111" s="225" t="s">
        <v>2084</v>
      </c>
      <c r="E3111" s="232" t="s">
        <v>789</v>
      </c>
      <c r="F3111" s="89" t="s">
        <v>332</v>
      </c>
    </row>
    <row r="3112" spans="2:6" ht="25.8" x14ac:dyDescent="0.55000000000000004">
      <c r="B3112" s="220" t="s">
        <v>960</v>
      </c>
      <c r="C3112" s="225" t="s">
        <v>3105</v>
      </c>
      <c r="D3112" s="225" t="s">
        <v>2086</v>
      </c>
      <c r="E3112" s="232" t="s">
        <v>789</v>
      </c>
      <c r="F3112" s="89" t="s">
        <v>332</v>
      </c>
    </row>
    <row r="3113" spans="2:6" ht="25.8" x14ac:dyDescent="0.55000000000000004">
      <c r="B3113" s="220" t="s">
        <v>960</v>
      </c>
      <c r="C3113" s="225" t="s">
        <v>2087</v>
      </c>
      <c r="D3113" s="225" t="s">
        <v>2087</v>
      </c>
      <c r="E3113" s="232" t="s">
        <v>789</v>
      </c>
      <c r="F3113" s="89" t="s">
        <v>332</v>
      </c>
    </row>
    <row r="3114" spans="2:6" ht="25.8" x14ac:dyDescent="0.55000000000000004">
      <c r="B3114" s="220" t="s">
        <v>960</v>
      </c>
      <c r="C3114" s="225" t="s">
        <v>3106</v>
      </c>
      <c r="D3114" s="225" t="s">
        <v>2089</v>
      </c>
      <c r="E3114" s="232" t="s">
        <v>789</v>
      </c>
      <c r="F3114" s="89" t="s">
        <v>332</v>
      </c>
    </row>
    <row r="3115" spans="2:6" ht="25.8" x14ac:dyDescent="0.55000000000000004">
      <c r="B3115" s="220" t="s">
        <v>960</v>
      </c>
      <c r="C3115" s="225" t="s">
        <v>2091</v>
      </c>
      <c r="D3115" s="225" t="s">
        <v>2091</v>
      </c>
      <c r="E3115" s="232" t="s">
        <v>789</v>
      </c>
      <c r="F3115" s="89" t="s">
        <v>332</v>
      </c>
    </row>
    <row r="3116" spans="2:6" x14ac:dyDescent="0.55000000000000004">
      <c r="B3116" s="220" t="s">
        <v>960</v>
      </c>
      <c r="C3116" s="225" t="s">
        <v>2092</v>
      </c>
      <c r="D3116" s="225" t="s">
        <v>2092</v>
      </c>
      <c r="E3116" s="232" t="s">
        <v>789</v>
      </c>
      <c r="F3116" s="89" t="s">
        <v>332</v>
      </c>
    </row>
    <row r="3117" spans="2:6" ht="25.8" x14ac:dyDescent="0.55000000000000004">
      <c r="B3117" s="220" t="s">
        <v>960</v>
      </c>
      <c r="C3117" s="225" t="s">
        <v>3108</v>
      </c>
      <c r="D3117" s="225" t="s">
        <v>2093</v>
      </c>
      <c r="E3117" s="232" t="s">
        <v>789</v>
      </c>
      <c r="F3117" s="89" t="s">
        <v>332</v>
      </c>
    </row>
    <row r="3118" spans="2:6" x14ac:dyDescent="0.55000000000000004">
      <c r="B3118" s="220" t="s">
        <v>960</v>
      </c>
      <c r="C3118" s="225" t="s">
        <v>2095</v>
      </c>
      <c r="D3118" s="225" t="s">
        <v>2095</v>
      </c>
      <c r="E3118" s="232" t="s">
        <v>789</v>
      </c>
      <c r="F3118" s="89" t="s">
        <v>332</v>
      </c>
    </row>
    <row r="3119" spans="2:6" x14ac:dyDescent="0.55000000000000004">
      <c r="B3119" s="220" t="s">
        <v>960</v>
      </c>
      <c r="C3119" s="225" t="s">
        <v>2096</v>
      </c>
      <c r="D3119" s="225" t="s">
        <v>2096</v>
      </c>
      <c r="E3119" s="232" t="s">
        <v>789</v>
      </c>
      <c r="F3119" s="89" t="s">
        <v>332</v>
      </c>
    </row>
    <row r="3120" spans="2:6" ht="25.8" x14ac:dyDescent="0.55000000000000004">
      <c r="B3120" s="220" t="s">
        <v>960</v>
      </c>
      <c r="C3120" s="225" t="s">
        <v>3110</v>
      </c>
      <c r="D3120" s="225" t="s">
        <v>2098</v>
      </c>
      <c r="E3120" s="232" t="s">
        <v>789</v>
      </c>
      <c r="F3120" s="89" t="s">
        <v>332</v>
      </c>
    </row>
    <row r="3121" spans="2:6" ht="25.8" x14ac:dyDescent="0.55000000000000004">
      <c r="B3121" s="220" t="s">
        <v>960</v>
      </c>
      <c r="C3121" s="225" t="s">
        <v>3112</v>
      </c>
      <c r="D3121" s="225" t="s">
        <v>2100</v>
      </c>
      <c r="E3121" s="232" t="s">
        <v>789</v>
      </c>
      <c r="F3121" s="89" t="s">
        <v>332</v>
      </c>
    </row>
    <row r="3122" spans="2:6" ht="25.8" x14ac:dyDescent="0.55000000000000004">
      <c r="B3122" s="220" t="s">
        <v>960</v>
      </c>
      <c r="C3122" s="225" t="s">
        <v>2102</v>
      </c>
      <c r="D3122" s="225" t="s">
        <v>2102</v>
      </c>
      <c r="E3122" s="232" t="s">
        <v>789</v>
      </c>
      <c r="F3122" s="89" t="s">
        <v>332</v>
      </c>
    </row>
    <row r="3123" spans="2:6" ht="25.8" x14ac:dyDescent="0.55000000000000004">
      <c r="B3123" s="220" t="s">
        <v>960</v>
      </c>
      <c r="C3123" s="225" t="s">
        <v>3114</v>
      </c>
      <c r="D3123" s="225" t="s">
        <v>2104</v>
      </c>
      <c r="E3123" s="232" t="s">
        <v>789</v>
      </c>
      <c r="F3123" s="89" t="s">
        <v>332</v>
      </c>
    </row>
    <row r="3124" spans="2:6" x14ac:dyDescent="0.55000000000000004">
      <c r="B3124" s="220" t="s">
        <v>960</v>
      </c>
      <c r="C3124" s="225" t="s">
        <v>2106</v>
      </c>
      <c r="D3124" s="225" t="s">
        <v>2106</v>
      </c>
      <c r="E3124" s="232" t="s">
        <v>789</v>
      </c>
      <c r="F3124" s="89" t="s">
        <v>332</v>
      </c>
    </row>
    <row r="3125" spans="2:6" x14ac:dyDescent="0.55000000000000004">
      <c r="B3125" s="220" t="s">
        <v>960</v>
      </c>
      <c r="C3125" s="225" t="s">
        <v>2108</v>
      </c>
      <c r="D3125" s="225" t="s">
        <v>2108</v>
      </c>
      <c r="E3125" s="232" t="s">
        <v>789</v>
      </c>
      <c r="F3125" s="89" t="s">
        <v>332</v>
      </c>
    </row>
    <row r="3126" spans="2:6" ht="25.8" x14ac:dyDescent="0.55000000000000004">
      <c r="B3126" s="220" t="s">
        <v>960</v>
      </c>
      <c r="C3126" s="225" t="s">
        <v>3116</v>
      </c>
      <c r="D3126" s="225" t="s">
        <v>2110</v>
      </c>
      <c r="E3126" s="232" t="s">
        <v>789</v>
      </c>
      <c r="F3126" s="89" t="s">
        <v>332</v>
      </c>
    </row>
    <row r="3127" spans="2:6" x14ac:dyDescent="0.55000000000000004">
      <c r="B3127" s="220" t="s">
        <v>960</v>
      </c>
      <c r="C3127" s="225" t="s">
        <v>2112</v>
      </c>
      <c r="D3127" s="225" t="s">
        <v>2112</v>
      </c>
      <c r="E3127" s="232" t="s">
        <v>789</v>
      </c>
      <c r="F3127" s="89" t="s">
        <v>332</v>
      </c>
    </row>
    <row r="3128" spans="2:6" x14ac:dyDescent="0.55000000000000004">
      <c r="B3128" s="220" t="s">
        <v>960</v>
      </c>
      <c r="C3128" s="225" t="s">
        <v>2114</v>
      </c>
      <c r="D3128" s="225" t="s">
        <v>2114</v>
      </c>
      <c r="E3128" s="232" t="s">
        <v>789</v>
      </c>
      <c r="F3128" s="89" t="s">
        <v>332</v>
      </c>
    </row>
    <row r="3129" spans="2:6" x14ac:dyDescent="0.55000000000000004">
      <c r="B3129" s="220" t="s">
        <v>960</v>
      </c>
      <c r="C3129" s="225" t="s">
        <v>2116</v>
      </c>
      <c r="D3129" s="225" t="s">
        <v>2116</v>
      </c>
      <c r="E3129" s="232" t="s">
        <v>789</v>
      </c>
      <c r="F3129" s="89" t="s">
        <v>332</v>
      </c>
    </row>
    <row r="3130" spans="2:6" ht="25.8" x14ac:dyDescent="0.55000000000000004">
      <c r="B3130" s="220" t="s">
        <v>960</v>
      </c>
      <c r="C3130" s="225" t="s">
        <v>2117</v>
      </c>
      <c r="D3130" s="225" t="s">
        <v>2117</v>
      </c>
      <c r="E3130" s="232" t="s">
        <v>789</v>
      </c>
      <c r="F3130" s="89" t="s">
        <v>332</v>
      </c>
    </row>
    <row r="3131" spans="2:6" ht="25.8" x14ac:dyDescent="0.55000000000000004">
      <c r="B3131" s="220" t="s">
        <v>960</v>
      </c>
      <c r="C3131" s="225" t="s">
        <v>2119</v>
      </c>
      <c r="D3131" s="225" t="s">
        <v>2119</v>
      </c>
      <c r="E3131" s="232" t="s">
        <v>789</v>
      </c>
      <c r="F3131" s="89" t="s">
        <v>332</v>
      </c>
    </row>
    <row r="3132" spans="2:6" ht="25.8" x14ac:dyDescent="0.55000000000000004">
      <c r="B3132" s="220" t="s">
        <v>960</v>
      </c>
      <c r="C3132" s="225" t="s">
        <v>3118</v>
      </c>
      <c r="D3132" s="225" t="s">
        <v>2121</v>
      </c>
      <c r="E3132" s="232" t="s">
        <v>789</v>
      </c>
      <c r="F3132" s="89" t="s">
        <v>332</v>
      </c>
    </row>
    <row r="3133" spans="2:6" ht="25.8" x14ac:dyDescent="0.55000000000000004">
      <c r="B3133" s="220" t="s">
        <v>960</v>
      </c>
      <c r="C3133" s="225" t="s">
        <v>2123</v>
      </c>
      <c r="D3133" s="225" t="s">
        <v>2123</v>
      </c>
      <c r="E3133" s="232" t="s">
        <v>789</v>
      </c>
      <c r="F3133" s="89" t="s">
        <v>332</v>
      </c>
    </row>
    <row r="3134" spans="2:6" ht="25.8" x14ac:dyDescent="0.55000000000000004">
      <c r="B3134" s="220" t="s">
        <v>960</v>
      </c>
      <c r="C3134" s="225" t="s">
        <v>2125</v>
      </c>
      <c r="D3134" s="225" t="s">
        <v>2125</v>
      </c>
      <c r="E3134" s="232" t="s">
        <v>789</v>
      </c>
      <c r="F3134" s="89" t="s">
        <v>332</v>
      </c>
    </row>
    <row r="3135" spans="2:6" x14ac:dyDescent="0.55000000000000004">
      <c r="B3135" s="220" t="s">
        <v>960</v>
      </c>
      <c r="C3135" s="225" t="s">
        <v>2127</v>
      </c>
      <c r="D3135" s="225" t="s">
        <v>2127</v>
      </c>
      <c r="E3135" s="232" t="s">
        <v>789</v>
      </c>
      <c r="F3135" s="89" t="s">
        <v>332</v>
      </c>
    </row>
    <row r="3136" spans="2:6" ht="25.8" x14ac:dyDescent="0.55000000000000004">
      <c r="B3136" s="220" t="s">
        <v>960</v>
      </c>
      <c r="C3136" s="225" t="s">
        <v>2129</v>
      </c>
      <c r="D3136" s="225" t="s">
        <v>2129</v>
      </c>
      <c r="E3136" s="232" t="s">
        <v>789</v>
      </c>
      <c r="F3136" s="89" t="s">
        <v>332</v>
      </c>
    </row>
    <row r="3137" spans="2:6" ht="38.700000000000003" x14ac:dyDescent="0.55000000000000004">
      <c r="B3137" s="220" t="s">
        <v>960</v>
      </c>
      <c r="C3137" s="225" t="s">
        <v>3120</v>
      </c>
      <c r="D3137" s="225" t="s">
        <v>2131</v>
      </c>
      <c r="E3137" s="232" t="s">
        <v>789</v>
      </c>
      <c r="F3137" s="89" t="s">
        <v>332</v>
      </c>
    </row>
    <row r="3138" spans="2:6" x14ac:dyDescent="0.55000000000000004">
      <c r="B3138" s="220" t="s">
        <v>960</v>
      </c>
      <c r="C3138" s="225" t="s">
        <v>2132</v>
      </c>
      <c r="D3138" s="225" t="s">
        <v>2132</v>
      </c>
      <c r="E3138" s="232" t="s">
        <v>789</v>
      </c>
      <c r="F3138" s="89" t="s">
        <v>332</v>
      </c>
    </row>
    <row r="3139" spans="2:6" ht="25.8" x14ac:dyDescent="0.55000000000000004">
      <c r="B3139" s="220" t="s">
        <v>960</v>
      </c>
      <c r="C3139" s="225" t="s">
        <v>2134</v>
      </c>
      <c r="D3139" s="225" t="s">
        <v>2134</v>
      </c>
      <c r="E3139" s="232" t="s">
        <v>789</v>
      </c>
      <c r="F3139" s="89" t="s">
        <v>332</v>
      </c>
    </row>
    <row r="3140" spans="2:6" ht="25.8" x14ac:dyDescent="0.55000000000000004">
      <c r="B3140" s="220" t="s">
        <v>960</v>
      </c>
      <c r="C3140" s="225" t="s">
        <v>3121</v>
      </c>
      <c r="D3140" s="225" t="s">
        <v>2136</v>
      </c>
      <c r="E3140" s="232" t="s">
        <v>789</v>
      </c>
      <c r="F3140" s="89" t="s">
        <v>332</v>
      </c>
    </row>
    <row r="3141" spans="2:6" ht="25.8" x14ac:dyDescent="0.55000000000000004">
      <c r="B3141" s="220" t="s">
        <v>960</v>
      </c>
      <c r="C3141" s="225" t="s">
        <v>2138</v>
      </c>
      <c r="D3141" s="225" t="s">
        <v>2138</v>
      </c>
      <c r="E3141" s="232" t="s">
        <v>789</v>
      </c>
      <c r="F3141" s="89" t="s">
        <v>332</v>
      </c>
    </row>
    <row r="3142" spans="2:6" x14ac:dyDescent="0.55000000000000004">
      <c r="B3142" s="220" t="s">
        <v>960</v>
      </c>
      <c r="C3142" s="225" t="s">
        <v>2140</v>
      </c>
      <c r="D3142" s="225" t="s">
        <v>2140</v>
      </c>
      <c r="E3142" s="232" t="s">
        <v>789</v>
      </c>
      <c r="F3142" s="89" t="s">
        <v>332</v>
      </c>
    </row>
    <row r="3143" spans="2:6" x14ac:dyDescent="0.55000000000000004">
      <c r="B3143" s="220" t="s">
        <v>960</v>
      </c>
      <c r="C3143" s="225" t="s">
        <v>2142</v>
      </c>
      <c r="D3143" s="225" t="s">
        <v>2142</v>
      </c>
      <c r="E3143" s="232" t="s">
        <v>789</v>
      </c>
      <c r="F3143" s="89" t="s">
        <v>332</v>
      </c>
    </row>
    <row r="3144" spans="2:6" ht="25.8" x14ac:dyDescent="0.55000000000000004">
      <c r="B3144" s="220" t="s">
        <v>960</v>
      </c>
      <c r="C3144" s="225" t="s">
        <v>2144</v>
      </c>
      <c r="D3144" s="225" t="s">
        <v>2144</v>
      </c>
      <c r="E3144" s="232" t="s">
        <v>789</v>
      </c>
      <c r="F3144" s="89" t="s">
        <v>332</v>
      </c>
    </row>
    <row r="3145" spans="2:6" x14ac:dyDescent="0.55000000000000004">
      <c r="B3145" s="220" t="s">
        <v>960</v>
      </c>
      <c r="C3145" s="225" t="s">
        <v>2146</v>
      </c>
      <c r="D3145" s="225" t="s">
        <v>2146</v>
      </c>
      <c r="E3145" s="232" t="s">
        <v>789</v>
      </c>
      <c r="F3145" s="89" t="s">
        <v>332</v>
      </c>
    </row>
    <row r="3146" spans="2:6" ht="25.8" x14ac:dyDescent="0.55000000000000004">
      <c r="B3146" s="220" t="s">
        <v>960</v>
      </c>
      <c r="C3146" s="225" t="s">
        <v>3123</v>
      </c>
      <c r="D3146" s="225" t="s">
        <v>2148</v>
      </c>
      <c r="E3146" s="232" t="s">
        <v>789</v>
      </c>
      <c r="F3146" s="89" t="s">
        <v>332</v>
      </c>
    </row>
    <row r="3147" spans="2:6" x14ac:dyDescent="0.55000000000000004">
      <c r="B3147" s="220" t="s">
        <v>960</v>
      </c>
      <c r="C3147" s="225" t="s">
        <v>2150</v>
      </c>
      <c r="D3147" s="225" t="s">
        <v>2150</v>
      </c>
      <c r="E3147" s="232" t="s">
        <v>789</v>
      </c>
      <c r="F3147" s="89" t="s">
        <v>332</v>
      </c>
    </row>
    <row r="3148" spans="2:6" ht="25.8" x14ac:dyDescent="0.55000000000000004">
      <c r="B3148" s="220" t="s">
        <v>960</v>
      </c>
      <c r="C3148" s="225" t="s">
        <v>3125</v>
      </c>
      <c r="D3148" s="225" t="s">
        <v>2152</v>
      </c>
      <c r="E3148" s="232" t="s">
        <v>789</v>
      </c>
      <c r="F3148" s="89" t="s">
        <v>332</v>
      </c>
    </row>
    <row r="3149" spans="2:6" ht="25.8" x14ac:dyDescent="0.55000000000000004">
      <c r="B3149" s="220" t="s">
        <v>960</v>
      </c>
      <c r="C3149" s="225" t="s">
        <v>2154</v>
      </c>
      <c r="D3149" s="225" t="s">
        <v>2154</v>
      </c>
      <c r="E3149" s="232" t="s">
        <v>789</v>
      </c>
      <c r="F3149" s="89" t="s">
        <v>332</v>
      </c>
    </row>
    <row r="3150" spans="2:6" ht="25.8" x14ac:dyDescent="0.55000000000000004">
      <c r="B3150" s="220" t="s">
        <v>960</v>
      </c>
      <c r="C3150" s="225" t="s">
        <v>2156</v>
      </c>
      <c r="D3150" s="225" t="s">
        <v>2156</v>
      </c>
      <c r="E3150" s="232" t="s">
        <v>789</v>
      </c>
      <c r="F3150" s="89" t="s">
        <v>332</v>
      </c>
    </row>
    <row r="3151" spans="2:6" ht="25.8" x14ac:dyDescent="0.55000000000000004">
      <c r="B3151" s="220" t="s">
        <v>960</v>
      </c>
      <c r="C3151" s="225" t="s">
        <v>2158</v>
      </c>
      <c r="D3151" s="225" t="s">
        <v>2158</v>
      </c>
      <c r="E3151" s="232" t="s">
        <v>789</v>
      </c>
      <c r="F3151" s="89" t="s">
        <v>332</v>
      </c>
    </row>
    <row r="3152" spans="2:6" ht="25.8" x14ac:dyDescent="0.55000000000000004">
      <c r="B3152" s="220" t="s">
        <v>960</v>
      </c>
      <c r="C3152" s="225" t="s">
        <v>2160</v>
      </c>
      <c r="D3152" s="225" t="s">
        <v>2160</v>
      </c>
      <c r="E3152" s="232" t="s">
        <v>789</v>
      </c>
      <c r="F3152" s="89" t="s">
        <v>332</v>
      </c>
    </row>
    <row r="3153" spans="2:6" ht="25.8" x14ac:dyDescent="0.55000000000000004">
      <c r="B3153" s="220" t="s">
        <v>960</v>
      </c>
      <c r="C3153" s="225" t="s">
        <v>3127</v>
      </c>
      <c r="D3153" s="225" t="s">
        <v>2162</v>
      </c>
      <c r="E3153" s="232" t="s">
        <v>789</v>
      </c>
      <c r="F3153" s="89" t="s">
        <v>332</v>
      </c>
    </row>
    <row r="3154" spans="2:6" x14ac:dyDescent="0.55000000000000004">
      <c r="B3154" s="220" t="s">
        <v>960</v>
      </c>
      <c r="C3154" s="225" t="s">
        <v>2164</v>
      </c>
      <c r="D3154" s="225" t="s">
        <v>2164</v>
      </c>
      <c r="E3154" s="232" t="s">
        <v>789</v>
      </c>
      <c r="F3154" s="89" t="s">
        <v>332</v>
      </c>
    </row>
    <row r="3155" spans="2:6" x14ac:dyDescent="0.55000000000000004">
      <c r="B3155" s="220" t="s">
        <v>960</v>
      </c>
      <c r="C3155" s="225" t="s">
        <v>2166</v>
      </c>
      <c r="D3155" s="225" t="s">
        <v>2166</v>
      </c>
      <c r="E3155" s="232" t="s">
        <v>789</v>
      </c>
      <c r="F3155" s="89" t="s">
        <v>332</v>
      </c>
    </row>
    <row r="3156" spans="2:6" ht="25.8" x14ac:dyDescent="0.55000000000000004">
      <c r="B3156" s="220" t="s">
        <v>960</v>
      </c>
      <c r="C3156" s="225" t="s">
        <v>2168</v>
      </c>
      <c r="D3156" s="225" t="s">
        <v>2168</v>
      </c>
      <c r="E3156" s="232" t="s">
        <v>789</v>
      </c>
      <c r="F3156" s="89" t="s">
        <v>332</v>
      </c>
    </row>
    <row r="3157" spans="2:6" ht="25.8" x14ac:dyDescent="0.55000000000000004">
      <c r="B3157" s="220" t="s">
        <v>960</v>
      </c>
      <c r="C3157" s="225" t="s">
        <v>3129</v>
      </c>
      <c r="D3157" s="225" t="s">
        <v>2170</v>
      </c>
      <c r="E3157" s="232" t="s">
        <v>789</v>
      </c>
      <c r="F3157" s="89" t="s">
        <v>332</v>
      </c>
    </row>
    <row r="3158" spans="2:6" x14ac:dyDescent="0.55000000000000004">
      <c r="B3158" s="220" t="s">
        <v>960</v>
      </c>
      <c r="C3158" s="225" t="s">
        <v>2172</v>
      </c>
      <c r="D3158" s="225" t="s">
        <v>2172</v>
      </c>
      <c r="E3158" s="232" t="s">
        <v>789</v>
      </c>
      <c r="F3158" s="89" t="s">
        <v>332</v>
      </c>
    </row>
    <row r="3159" spans="2:6" ht="25.8" x14ac:dyDescent="0.55000000000000004">
      <c r="B3159" s="220" t="s">
        <v>960</v>
      </c>
      <c r="C3159" s="225" t="s">
        <v>2174</v>
      </c>
      <c r="D3159" s="225" t="s">
        <v>2174</v>
      </c>
      <c r="E3159" s="232" t="s">
        <v>789</v>
      </c>
      <c r="F3159" s="89" t="s">
        <v>332</v>
      </c>
    </row>
    <row r="3160" spans="2:6" x14ac:dyDescent="0.55000000000000004">
      <c r="B3160" s="220" t="s">
        <v>960</v>
      </c>
      <c r="C3160" s="225" t="s">
        <v>2176</v>
      </c>
      <c r="D3160" s="225" t="s">
        <v>2176</v>
      </c>
      <c r="E3160" s="232" t="s">
        <v>789</v>
      </c>
      <c r="F3160" s="89" t="s">
        <v>332</v>
      </c>
    </row>
    <row r="3161" spans="2:6" ht="25.8" x14ac:dyDescent="0.55000000000000004">
      <c r="B3161" s="220" t="s">
        <v>960</v>
      </c>
      <c r="C3161" s="225" t="s">
        <v>2178</v>
      </c>
      <c r="D3161" s="225" t="s">
        <v>2178</v>
      </c>
      <c r="E3161" s="232" t="s">
        <v>789</v>
      </c>
      <c r="F3161" s="89" t="s">
        <v>332</v>
      </c>
    </row>
    <row r="3162" spans="2:6" ht="25.8" x14ac:dyDescent="0.55000000000000004">
      <c r="B3162" s="220" t="s">
        <v>960</v>
      </c>
      <c r="C3162" s="225" t="s">
        <v>3131</v>
      </c>
      <c r="D3162" s="225" t="s">
        <v>2180</v>
      </c>
      <c r="E3162" s="232" t="s">
        <v>789</v>
      </c>
      <c r="F3162" s="89" t="s">
        <v>332</v>
      </c>
    </row>
    <row r="3163" spans="2:6" ht="25.8" x14ac:dyDescent="0.55000000000000004">
      <c r="B3163" s="220" t="s">
        <v>960</v>
      </c>
      <c r="C3163" s="225" t="s">
        <v>3133</v>
      </c>
      <c r="D3163" s="225" t="s">
        <v>2182</v>
      </c>
      <c r="E3163" s="232" t="s">
        <v>789</v>
      </c>
      <c r="F3163" s="89" t="s">
        <v>332</v>
      </c>
    </row>
    <row r="3164" spans="2:6" x14ac:dyDescent="0.55000000000000004">
      <c r="B3164" s="220" t="s">
        <v>960</v>
      </c>
      <c r="C3164" s="225" t="s">
        <v>2184</v>
      </c>
      <c r="D3164" s="225" t="s">
        <v>2184</v>
      </c>
      <c r="E3164" s="232" t="s">
        <v>789</v>
      </c>
      <c r="F3164" s="89" t="s">
        <v>332</v>
      </c>
    </row>
    <row r="3165" spans="2:6" ht="25.8" x14ac:dyDescent="0.55000000000000004">
      <c r="B3165" s="220" t="s">
        <v>960</v>
      </c>
      <c r="C3165" s="226" t="s">
        <v>3135</v>
      </c>
      <c r="D3165" s="226" t="s">
        <v>2186</v>
      </c>
      <c r="E3165" s="232" t="s">
        <v>789</v>
      </c>
      <c r="F3165" s="89" t="s">
        <v>332</v>
      </c>
    </row>
    <row r="3166" spans="2:6" ht="25.8" x14ac:dyDescent="0.55000000000000004">
      <c r="B3166" s="220" t="s">
        <v>960</v>
      </c>
      <c r="C3166" s="226" t="s">
        <v>3135</v>
      </c>
      <c r="D3166" s="226" t="s">
        <v>2186</v>
      </c>
      <c r="E3166" s="232" t="s">
        <v>2428</v>
      </c>
      <c r="F3166" s="89" t="s">
        <v>648</v>
      </c>
    </row>
    <row r="3167" spans="2:6" ht="25.8" x14ac:dyDescent="0.55000000000000004">
      <c r="B3167" s="220" t="s">
        <v>960</v>
      </c>
      <c r="C3167" s="225" t="s">
        <v>2188</v>
      </c>
      <c r="D3167" s="225" t="s">
        <v>2188</v>
      </c>
      <c r="E3167" s="232" t="s">
        <v>789</v>
      </c>
      <c r="F3167" s="89" t="s">
        <v>332</v>
      </c>
    </row>
    <row r="3168" spans="2:6" ht="25.8" x14ac:dyDescent="0.55000000000000004">
      <c r="B3168" s="220" t="s">
        <v>960</v>
      </c>
      <c r="C3168" s="225" t="s">
        <v>3137</v>
      </c>
      <c r="D3168" s="225" t="s">
        <v>2190</v>
      </c>
      <c r="E3168" s="232" t="s">
        <v>789</v>
      </c>
      <c r="F3168" s="89" t="s">
        <v>332</v>
      </c>
    </row>
    <row r="3169" spans="2:6" x14ac:dyDescent="0.55000000000000004">
      <c r="B3169" s="220" t="s">
        <v>960</v>
      </c>
      <c r="C3169" s="225" t="s">
        <v>2192</v>
      </c>
      <c r="D3169" s="225" t="s">
        <v>2192</v>
      </c>
      <c r="E3169" s="232" t="s">
        <v>789</v>
      </c>
      <c r="F3169" s="89" t="s">
        <v>332</v>
      </c>
    </row>
    <row r="3170" spans="2:6" x14ac:dyDescent="0.55000000000000004">
      <c r="B3170" s="220" t="s">
        <v>960</v>
      </c>
      <c r="C3170" s="225" t="s">
        <v>2194</v>
      </c>
      <c r="D3170" s="225" t="s">
        <v>2194</v>
      </c>
      <c r="E3170" s="232" t="s">
        <v>337</v>
      </c>
      <c r="F3170" s="89" t="s">
        <v>338</v>
      </c>
    </row>
    <row r="3171" spans="2:6" ht="25.8" x14ac:dyDescent="0.55000000000000004">
      <c r="B3171" s="220" t="s">
        <v>960</v>
      </c>
      <c r="C3171" s="225" t="s">
        <v>2196</v>
      </c>
      <c r="D3171" s="225" t="s">
        <v>2196</v>
      </c>
      <c r="E3171" s="232" t="s">
        <v>789</v>
      </c>
      <c r="F3171" s="89" t="s">
        <v>332</v>
      </c>
    </row>
    <row r="3172" spans="2:6" x14ac:dyDescent="0.55000000000000004">
      <c r="B3172" s="220" t="s">
        <v>960</v>
      </c>
      <c r="C3172" s="225" t="s">
        <v>2198</v>
      </c>
      <c r="D3172" s="225" t="s">
        <v>2198</v>
      </c>
      <c r="E3172" s="232" t="s">
        <v>789</v>
      </c>
      <c r="F3172" s="89" t="s">
        <v>332</v>
      </c>
    </row>
    <row r="3173" spans="2:6" ht="25.8" x14ac:dyDescent="0.55000000000000004">
      <c r="B3173" s="220" t="s">
        <v>960</v>
      </c>
      <c r="C3173" s="225" t="s">
        <v>3139</v>
      </c>
      <c r="D3173" s="225" t="s">
        <v>2200</v>
      </c>
      <c r="E3173" s="232" t="s">
        <v>789</v>
      </c>
      <c r="F3173" s="89" t="s">
        <v>332</v>
      </c>
    </row>
    <row r="3174" spans="2:6" ht="25.8" x14ac:dyDescent="0.55000000000000004">
      <c r="B3174" s="220" t="s">
        <v>960</v>
      </c>
      <c r="C3174" s="225" t="s">
        <v>2202</v>
      </c>
      <c r="D3174" s="225" t="s">
        <v>2202</v>
      </c>
      <c r="E3174" s="232" t="s">
        <v>789</v>
      </c>
      <c r="F3174" s="89" t="s">
        <v>332</v>
      </c>
    </row>
    <row r="3175" spans="2:6" ht="38.700000000000003" x14ac:dyDescent="0.55000000000000004">
      <c r="B3175" s="220" t="s">
        <v>960</v>
      </c>
      <c r="C3175" s="225" t="s">
        <v>3141</v>
      </c>
      <c r="D3175" s="225" t="s">
        <v>2204</v>
      </c>
      <c r="E3175" s="232" t="s">
        <v>789</v>
      </c>
      <c r="F3175" s="89" t="s">
        <v>332</v>
      </c>
    </row>
    <row r="3176" spans="2:6" ht="25.8" x14ac:dyDescent="0.55000000000000004">
      <c r="B3176" s="220" t="s">
        <v>960</v>
      </c>
      <c r="C3176" s="225" t="s">
        <v>2206</v>
      </c>
      <c r="D3176" s="225" t="s">
        <v>2206</v>
      </c>
      <c r="E3176" s="232" t="s">
        <v>789</v>
      </c>
      <c r="F3176" s="89" t="s">
        <v>332</v>
      </c>
    </row>
    <row r="3177" spans="2:6" ht="25.8" x14ac:dyDescent="0.55000000000000004">
      <c r="B3177" s="220" t="s">
        <v>960</v>
      </c>
      <c r="C3177" s="225" t="s">
        <v>2208</v>
      </c>
      <c r="D3177" s="225" t="s">
        <v>2208</v>
      </c>
      <c r="E3177" s="232" t="s">
        <v>789</v>
      </c>
      <c r="F3177" s="89" t="s">
        <v>332</v>
      </c>
    </row>
    <row r="3178" spans="2:6" ht="25.8" x14ac:dyDescent="0.55000000000000004">
      <c r="B3178" s="220" t="s">
        <v>960</v>
      </c>
      <c r="C3178" s="225" t="s">
        <v>3143</v>
      </c>
      <c r="D3178" s="225" t="s">
        <v>2210</v>
      </c>
      <c r="E3178" s="232" t="s">
        <v>789</v>
      </c>
      <c r="F3178" s="89" t="s">
        <v>332</v>
      </c>
    </row>
    <row r="3179" spans="2:6" ht="25.8" x14ac:dyDescent="0.55000000000000004">
      <c r="B3179" s="220" t="s">
        <v>960</v>
      </c>
      <c r="C3179" s="225" t="s">
        <v>2212</v>
      </c>
      <c r="D3179" s="225" t="s">
        <v>2212</v>
      </c>
      <c r="E3179" s="232" t="s">
        <v>789</v>
      </c>
      <c r="F3179" s="89" t="s">
        <v>332</v>
      </c>
    </row>
    <row r="3180" spans="2:6" ht="25.8" x14ac:dyDescent="0.55000000000000004">
      <c r="B3180" s="220" t="s">
        <v>960</v>
      </c>
      <c r="C3180" s="225" t="s">
        <v>2214</v>
      </c>
      <c r="D3180" s="225" t="s">
        <v>2214</v>
      </c>
      <c r="E3180" s="232" t="s">
        <v>789</v>
      </c>
      <c r="F3180" s="89" t="s">
        <v>332</v>
      </c>
    </row>
    <row r="3181" spans="2:6" ht="25.8" x14ac:dyDescent="0.55000000000000004">
      <c r="B3181" s="220" t="s">
        <v>960</v>
      </c>
      <c r="C3181" s="225" t="s">
        <v>3145</v>
      </c>
      <c r="D3181" s="225" t="s">
        <v>2216</v>
      </c>
      <c r="E3181" s="232" t="s">
        <v>789</v>
      </c>
      <c r="F3181" s="89" t="s">
        <v>332</v>
      </c>
    </row>
    <row r="3182" spans="2:6" ht="25.8" x14ac:dyDescent="0.55000000000000004">
      <c r="B3182" s="220" t="s">
        <v>960</v>
      </c>
      <c r="C3182" s="225" t="s">
        <v>2218</v>
      </c>
      <c r="D3182" s="225" t="s">
        <v>2218</v>
      </c>
      <c r="E3182" s="232" t="s">
        <v>789</v>
      </c>
      <c r="F3182" s="89" t="s">
        <v>332</v>
      </c>
    </row>
    <row r="3183" spans="2:6" x14ac:dyDescent="0.55000000000000004">
      <c r="B3183" s="220" t="s">
        <v>960</v>
      </c>
      <c r="C3183" s="225" t="s">
        <v>2220</v>
      </c>
      <c r="D3183" s="225" t="s">
        <v>2220</v>
      </c>
      <c r="E3183" s="232" t="s">
        <v>789</v>
      </c>
      <c r="F3183" s="89" t="s">
        <v>332</v>
      </c>
    </row>
    <row r="3184" spans="2:6" x14ac:dyDescent="0.55000000000000004">
      <c r="B3184" s="220" t="s">
        <v>960</v>
      </c>
      <c r="C3184" s="225" t="s">
        <v>2222</v>
      </c>
      <c r="D3184" s="225" t="s">
        <v>2222</v>
      </c>
      <c r="E3184" s="232" t="s">
        <v>789</v>
      </c>
      <c r="F3184" s="89" t="s">
        <v>332</v>
      </c>
    </row>
    <row r="3185" spans="2:6" ht="25.8" x14ac:dyDescent="0.55000000000000004">
      <c r="B3185" s="220" t="s">
        <v>960</v>
      </c>
      <c r="C3185" s="225" t="s">
        <v>2223</v>
      </c>
      <c r="D3185" s="225" t="s">
        <v>2223</v>
      </c>
      <c r="E3185" s="232" t="s">
        <v>789</v>
      </c>
      <c r="F3185" s="89" t="s">
        <v>332</v>
      </c>
    </row>
    <row r="3186" spans="2:6" ht="25.8" x14ac:dyDescent="0.55000000000000004">
      <c r="B3186" s="220" t="s">
        <v>960</v>
      </c>
      <c r="C3186" s="225" t="s">
        <v>2226</v>
      </c>
      <c r="D3186" s="225" t="s">
        <v>2226</v>
      </c>
      <c r="E3186" s="232" t="s">
        <v>789</v>
      </c>
      <c r="F3186" s="89" t="s">
        <v>332</v>
      </c>
    </row>
    <row r="3187" spans="2:6" ht="25.8" x14ac:dyDescent="0.55000000000000004">
      <c r="B3187" s="220" t="s">
        <v>960</v>
      </c>
      <c r="C3187" s="225" t="s">
        <v>2228</v>
      </c>
      <c r="D3187" s="225" t="s">
        <v>2228</v>
      </c>
      <c r="E3187" s="232" t="s">
        <v>789</v>
      </c>
      <c r="F3187" s="89" t="s">
        <v>332</v>
      </c>
    </row>
    <row r="3188" spans="2:6" ht="25.8" x14ac:dyDescent="0.55000000000000004">
      <c r="B3188" s="220" t="s">
        <v>960</v>
      </c>
      <c r="C3188" s="226" t="s">
        <v>2230</v>
      </c>
      <c r="D3188" s="226" t="s">
        <v>2230</v>
      </c>
      <c r="E3188" s="232" t="s">
        <v>789</v>
      </c>
      <c r="F3188" s="89" t="s">
        <v>332</v>
      </c>
    </row>
    <row r="3189" spans="2:6" ht="25.8" x14ac:dyDescent="0.55000000000000004">
      <c r="B3189" s="220" t="s">
        <v>960</v>
      </c>
      <c r="C3189" s="226" t="s">
        <v>2230</v>
      </c>
      <c r="D3189" s="226" t="s">
        <v>2230</v>
      </c>
      <c r="E3189" s="232" t="s">
        <v>2428</v>
      </c>
      <c r="F3189" s="89" t="s">
        <v>648</v>
      </c>
    </row>
    <row r="3190" spans="2:6" ht="25.8" x14ac:dyDescent="0.55000000000000004">
      <c r="B3190" s="220" t="s">
        <v>960</v>
      </c>
      <c r="C3190" s="225" t="s">
        <v>2232</v>
      </c>
      <c r="D3190" s="225" t="s">
        <v>2232</v>
      </c>
      <c r="E3190" s="232" t="s">
        <v>789</v>
      </c>
      <c r="F3190" s="89" t="s">
        <v>332</v>
      </c>
    </row>
    <row r="3191" spans="2:6" x14ac:dyDescent="0.55000000000000004">
      <c r="B3191" s="220" t="s">
        <v>960</v>
      </c>
      <c r="C3191" s="225" t="s">
        <v>2234</v>
      </c>
      <c r="D3191" s="225" t="s">
        <v>2234</v>
      </c>
      <c r="E3191" s="232" t="s">
        <v>789</v>
      </c>
      <c r="F3191" s="89" t="s">
        <v>332</v>
      </c>
    </row>
    <row r="3192" spans="2:6" x14ac:dyDescent="0.55000000000000004">
      <c r="B3192" s="220" t="s">
        <v>960</v>
      </c>
      <c r="C3192" s="225" t="s">
        <v>2236</v>
      </c>
      <c r="D3192" s="225" t="s">
        <v>2236</v>
      </c>
      <c r="E3192" s="232" t="s">
        <v>789</v>
      </c>
      <c r="F3192" s="89" t="s">
        <v>332</v>
      </c>
    </row>
    <row r="3193" spans="2:6" ht="25.8" x14ac:dyDescent="0.55000000000000004">
      <c r="B3193" s="220" t="s">
        <v>960</v>
      </c>
      <c r="C3193" s="225" t="s">
        <v>2238</v>
      </c>
      <c r="D3193" s="225" t="s">
        <v>2238</v>
      </c>
      <c r="E3193" s="232" t="s">
        <v>789</v>
      </c>
      <c r="F3193" s="89" t="s">
        <v>332</v>
      </c>
    </row>
    <row r="3194" spans="2:6" ht="25.8" x14ac:dyDescent="0.55000000000000004">
      <c r="B3194" s="220" t="s">
        <v>960</v>
      </c>
      <c r="C3194" s="225" t="s">
        <v>2240</v>
      </c>
      <c r="D3194" s="225" t="s">
        <v>2240</v>
      </c>
      <c r="E3194" s="232" t="s">
        <v>789</v>
      </c>
      <c r="F3194" s="89" t="s">
        <v>332</v>
      </c>
    </row>
    <row r="3195" spans="2:6" ht="25.8" x14ac:dyDescent="0.55000000000000004">
      <c r="B3195" s="220" t="s">
        <v>960</v>
      </c>
      <c r="C3195" s="225" t="s">
        <v>3147</v>
      </c>
      <c r="D3195" s="225" t="s">
        <v>2242</v>
      </c>
      <c r="E3195" s="232" t="s">
        <v>789</v>
      </c>
      <c r="F3195" s="89" t="s">
        <v>332</v>
      </c>
    </row>
    <row r="3196" spans="2:6" x14ac:dyDescent="0.55000000000000004">
      <c r="B3196" s="220" t="s">
        <v>960</v>
      </c>
      <c r="C3196" s="226" t="s">
        <v>2244</v>
      </c>
      <c r="D3196" s="226" t="s">
        <v>2244</v>
      </c>
      <c r="E3196" s="232" t="s">
        <v>789</v>
      </c>
      <c r="F3196" s="89" t="s">
        <v>332</v>
      </c>
    </row>
    <row r="3197" spans="2:6" x14ac:dyDescent="0.55000000000000004">
      <c r="B3197" s="220" t="s">
        <v>960</v>
      </c>
      <c r="C3197" s="226" t="s">
        <v>2244</v>
      </c>
      <c r="D3197" s="226" t="s">
        <v>2244</v>
      </c>
      <c r="E3197" s="232" t="s">
        <v>2428</v>
      </c>
      <c r="F3197" s="89" t="s">
        <v>648</v>
      </c>
    </row>
    <row r="3198" spans="2:6" x14ac:dyDescent="0.55000000000000004">
      <c r="B3198" s="220" t="s">
        <v>960</v>
      </c>
      <c r="C3198" s="226" t="s">
        <v>2246</v>
      </c>
      <c r="D3198" s="226" t="s">
        <v>2246</v>
      </c>
      <c r="E3198" s="232" t="s">
        <v>789</v>
      </c>
      <c r="F3198" s="89" t="s">
        <v>332</v>
      </c>
    </row>
    <row r="3199" spans="2:6" x14ac:dyDescent="0.55000000000000004">
      <c r="B3199" s="220" t="s">
        <v>960</v>
      </c>
      <c r="C3199" s="226" t="s">
        <v>2246</v>
      </c>
      <c r="D3199" s="226" t="s">
        <v>2246</v>
      </c>
      <c r="E3199" s="232" t="s">
        <v>2428</v>
      </c>
      <c r="F3199" s="89" t="s">
        <v>648</v>
      </c>
    </row>
    <row r="3200" spans="2:6" ht="25.8" x14ac:dyDescent="0.55000000000000004">
      <c r="B3200" s="220" t="s">
        <v>960</v>
      </c>
      <c r="C3200" s="226" t="s">
        <v>3149</v>
      </c>
      <c r="D3200" s="226" t="s">
        <v>2248</v>
      </c>
      <c r="E3200" s="232" t="s">
        <v>789</v>
      </c>
      <c r="F3200" s="89" t="s">
        <v>332</v>
      </c>
    </row>
    <row r="3201" spans="2:6" ht="25.8" x14ac:dyDescent="0.55000000000000004">
      <c r="B3201" s="220" t="s">
        <v>960</v>
      </c>
      <c r="C3201" s="226" t="s">
        <v>3149</v>
      </c>
      <c r="D3201" s="226" t="s">
        <v>2248</v>
      </c>
      <c r="E3201" s="232" t="s">
        <v>2428</v>
      </c>
      <c r="F3201" s="89" t="s">
        <v>648</v>
      </c>
    </row>
    <row r="3202" spans="2:6" x14ac:dyDescent="0.55000000000000004">
      <c r="B3202" s="220" t="s">
        <v>960</v>
      </c>
      <c r="C3202" s="225" t="s">
        <v>2250</v>
      </c>
      <c r="D3202" s="225" t="s">
        <v>2250</v>
      </c>
      <c r="E3202" s="232" t="s">
        <v>789</v>
      </c>
      <c r="F3202" s="89" t="s">
        <v>332</v>
      </c>
    </row>
    <row r="3203" spans="2:6" x14ac:dyDescent="0.55000000000000004">
      <c r="B3203" s="220" t="s">
        <v>960</v>
      </c>
      <c r="C3203" s="225" t="s">
        <v>2252</v>
      </c>
      <c r="D3203" s="225" t="s">
        <v>2252</v>
      </c>
      <c r="E3203" s="232" t="s">
        <v>789</v>
      </c>
      <c r="F3203" s="89" t="s">
        <v>332</v>
      </c>
    </row>
    <row r="3204" spans="2:6" x14ac:dyDescent="0.55000000000000004">
      <c r="B3204" s="220" t="s">
        <v>960</v>
      </c>
      <c r="C3204" s="225" t="s">
        <v>2254</v>
      </c>
      <c r="D3204" s="225" t="s">
        <v>2254</v>
      </c>
      <c r="E3204" s="232" t="s">
        <v>789</v>
      </c>
      <c r="F3204" s="89" t="s">
        <v>332</v>
      </c>
    </row>
    <row r="3205" spans="2:6" ht="38.700000000000003" x14ac:dyDescent="0.55000000000000004">
      <c r="B3205" s="220" t="s">
        <v>960</v>
      </c>
      <c r="C3205" s="226" t="s">
        <v>3151</v>
      </c>
      <c r="D3205" s="226" t="s">
        <v>2256</v>
      </c>
      <c r="E3205" s="232" t="s">
        <v>789</v>
      </c>
      <c r="F3205" s="89" t="s">
        <v>332</v>
      </c>
    </row>
    <row r="3206" spans="2:6" ht="38.700000000000003" x14ac:dyDescent="0.55000000000000004">
      <c r="B3206" s="220" t="s">
        <v>960</v>
      </c>
      <c r="C3206" s="226" t="s">
        <v>3151</v>
      </c>
      <c r="D3206" s="226" t="s">
        <v>2256</v>
      </c>
      <c r="E3206" s="232" t="s">
        <v>2428</v>
      </c>
      <c r="F3206" s="89" t="s">
        <v>648</v>
      </c>
    </row>
    <row r="3207" spans="2:6" ht="25.8" x14ac:dyDescent="0.55000000000000004">
      <c r="B3207" s="220" t="s">
        <v>960</v>
      </c>
      <c r="C3207" s="226" t="s">
        <v>2258</v>
      </c>
      <c r="D3207" s="226" t="s">
        <v>2258</v>
      </c>
      <c r="E3207" s="232" t="s">
        <v>789</v>
      </c>
      <c r="F3207" s="89" t="s">
        <v>332</v>
      </c>
    </row>
    <row r="3208" spans="2:6" ht="25.8" x14ac:dyDescent="0.55000000000000004">
      <c r="B3208" s="220" t="s">
        <v>960</v>
      </c>
      <c r="C3208" s="226" t="s">
        <v>2258</v>
      </c>
      <c r="D3208" s="226" t="s">
        <v>2258</v>
      </c>
      <c r="E3208" s="232" t="s">
        <v>2428</v>
      </c>
      <c r="F3208" s="89" t="s">
        <v>648</v>
      </c>
    </row>
    <row r="3209" spans="2:6" ht="25.8" x14ac:dyDescent="0.55000000000000004">
      <c r="B3209" s="220" t="s">
        <v>960</v>
      </c>
      <c r="C3209" s="226" t="s">
        <v>2260</v>
      </c>
      <c r="D3209" s="226" t="s">
        <v>2260</v>
      </c>
      <c r="E3209" s="232" t="s">
        <v>789</v>
      </c>
      <c r="F3209" s="89" t="s">
        <v>332</v>
      </c>
    </row>
    <row r="3210" spans="2:6" ht="25.8" x14ac:dyDescent="0.55000000000000004">
      <c r="B3210" s="220" t="s">
        <v>960</v>
      </c>
      <c r="C3210" s="226" t="s">
        <v>2260</v>
      </c>
      <c r="D3210" s="226" t="s">
        <v>2260</v>
      </c>
      <c r="E3210" s="232" t="s">
        <v>2428</v>
      </c>
      <c r="F3210" s="89" t="s">
        <v>648</v>
      </c>
    </row>
    <row r="3211" spans="2:6" ht="38.700000000000003" x14ac:dyDescent="0.55000000000000004">
      <c r="B3211" s="220" t="s">
        <v>960</v>
      </c>
      <c r="C3211" s="226" t="s">
        <v>3153</v>
      </c>
      <c r="D3211" s="226" t="s">
        <v>2262</v>
      </c>
      <c r="E3211" s="232" t="s">
        <v>789</v>
      </c>
      <c r="F3211" s="89" t="s">
        <v>332</v>
      </c>
    </row>
    <row r="3212" spans="2:6" ht="38.700000000000003" x14ac:dyDescent="0.55000000000000004">
      <c r="B3212" s="220" t="s">
        <v>960</v>
      </c>
      <c r="C3212" s="226" t="s">
        <v>3153</v>
      </c>
      <c r="D3212" s="226" t="s">
        <v>2262</v>
      </c>
      <c r="E3212" s="232" t="s">
        <v>2428</v>
      </c>
      <c r="F3212" s="89" t="s">
        <v>648</v>
      </c>
    </row>
    <row r="3213" spans="2:6" ht="38.700000000000003" x14ac:dyDescent="0.55000000000000004">
      <c r="B3213" s="220" t="s">
        <v>960</v>
      </c>
      <c r="C3213" s="226" t="s">
        <v>3155</v>
      </c>
      <c r="D3213" s="226" t="s">
        <v>2264</v>
      </c>
      <c r="E3213" s="232" t="s">
        <v>789</v>
      </c>
      <c r="F3213" s="89" t="s">
        <v>332</v>
      </c>
    </row>
    <row r="3214" spans="2:6" ht="38.700000000000003" x14ac:dyDescent="0.55000000000000004">
      <c r="B3214" s="220" t="s">
        <v>960</v>
      </c>
      <c r="C3214" s="226" t="s">
        <v>3155</v>
      </c>
      <c r="D3214" s="226" t="s">
        <v>2264</v>
      </c>
      <c r="E3214" s="232" t="s">
        <v>2428</v>
      </c>
      <c r="F3214" s="89" t="s">
        <v>648</v>
      </c>
    </row>
    <row r="3215" spans="2:6" x14ac:dyDescent="0.55000000000000004">
      <c r="B3215" s="220" t="s">
        <v>960</v>
      </c>
      <c r="C3215" s="225" t="s">
        <v>2266</v>
      </c>
      <c r="D3215" s="225" t="s">
        <v>2266</v>
      </c>
      <c r="E3215" s="232" t="s">
        <v>789</v>
      </c>
      <c r="F3215" s="89" t="s">
        <v>332</v>
      </c>
    </row>
    <row r="3216" spans="2:6" x14ac:dyDescent="0.55000000000000004">
      <c r="B3216" s="220" t="s">
        <v>960</v>
      </c>
      <c r="C3216" s="225" t="s">
        <v>2268</v>
      </c>
      <c r="D3216" s="225" t="s">
        <v>2268</v>
      </c>
      <c r="E3216" s="232" t="s">
        <v>789</v>
      </c>
      <c r="F3216" s="89" t="s">
        <v>332</v>
      </c>
    </row>
    <row r="3217" spans="2:6" ht="25.8" x14ac:dyDescent="0.55000000000000004">
      <c r="B3217" s="220" t="s">
        <v>960</v>
      </c>
      <c r="C3217" s="225" t="s">
        <v>2270</v>
      </c>
      <c r="D3217" s="225" t="s">
        <v>2270</v>
      </c>
      <c r="E3217" s="232" t="s">
        <v>789</v>
      </c>
      <c r="F3217" s="89" t="s">
        <v>332</v>
      </c>
    </row>
    <row r="3218" spans="2:6" ht="25.8" x14ac:dyDescent="0.55000000000000004">
      <c r="B3218" s="220" t="s">
        <v>960</v>
      </c>
      <c r="C3218" s="225" t="s">
        <v>3157</v>
      </c>
      <c r="D3218" s="225" t="s">
        <v>2272</v>
      </c>
      <c r="E3218" s="232" t="s">
        <v>789</v>
      </c>
      <c r="F3218" s="89" t="s">
        <v>332</v>
      </c>
    </row>
    <row r="3219" spans="2:6" ht="25.8" x14ac:dyDescent="0.55000000000000004">
      <c r="B3219" s="220" t="s">
        <v>960</v>
      </c>
      <c r="C3219" s="225" t="s">
        <v>2274</v>
      </c>
      <c r="D3219" s="225" t="s">
        <v>2274</v>
      </c>
      <c r="E3219" s="232" t="s">
        <v>789</v>
      </c>
      <c r="F3219" s="89" t="s">
        <v>332</v>
      </c>
    </row>
    <row r="3220" spans="2:6" x14ac:dyDescent="0.55000000000000004">
      <c r="B3220" s="220" t="s">
        <v>960</v>
      </c>
      <c r="C3220" s="225" t="s">
        <v>2276</v>
      </c>
      <c r="D3220" s="225" t="s">
        <v>2276</v>
      </c>
      <c r="E3220" s="232" t="s">
        <v>789</v>
      </c>
      <c r="F3220" s="89" t="s">
        <v>332</v>
      </c>
    </row>
    <row r="3221" spans="2:6" ht="25.8" x14ac:dyDescent="0.55000000000000004">
      <c r="B3221" s="220" t="s">
        <v>960</v>
      </c>
      <c r="C3221" s="225" t="s">
        <v>2278</v>
      </c>
      <c r="D3221" s="225" t="s">
        <v>2278</v>
      </c>
      <c r="E3221" s="232" t="s">
        <v>789</v>
      </c>
      <c r="F3221" s="89" t="s">
        <v>332</v>
      </c>
    </row>
    <row r="3222" spans="2:6" x14ac:dyDescent="0.55000000000000004">
      <c r="B3222" s="220" t="s">
        <v>960</v>
      </c>
      <c r="C3222" s="225" t="s">
        <v>2280</v>
      </c>
      <c r="D3222" s="225" t="s">
        <v>2280</v>
      </c>
      <c r="E3222" s="232" t="s">
        <v>789</v>
      </c>
      <c r="F3222" s="89" t="s">
        <v>332</v>
      </c>
    </row>
    <row r="3223" spans="2:6" x14ac:dyDescent="0.55000000000000004">
      <c r="B3223" s="220" t="s">
        <v>960</v>
      </c>
      <c r="C3223" s="225" t="s">
        <v>2282</v>
      </c>
      <c r="D3223" s="225" t="s">
        <v>2282</v>
      </c>
      <c r="E3223" s="232" t="s">
        <v>789</v>
      </c>
      <c r="F3223" s="89" t="s">
        <v>332</v>
      </c>
    </row>
    <row r="3224" spans="2:6" ht="25.8" x14ac:dyDescent="0.55000000000000004">
      <c r="B3224" s="220" t="s">
        <v>960</v>
      </c>
      <c r="C3224" s="225" t="s">
        <v>2284</v>
      </c>
      <c r="D3224" s="225" t="s">
        <v>2284</v>
      </c>
      <c r="E3224" s="232" t="s">
        <v>789</v>
      </c>
      <c r="F3224" s="89" t="s">
        <v>332</v>
      </c>
    </row>
    <row r="3225" spans="2:6" ht="25.8" x14ac:dyDescent="0.55000000000000004">
      <c r="B3225" s="220" t="s">
        <v>960</v>
      </c>
      <c r="C3225" s="225" t="s">
        <v>2286</v>
      </c>
      <c r="D3225" s="225" t="s">
        <v>2286</v>
      </c>
      <c r="E3225" s="232" t="s">
        <v>789</v>
      </c>
      <c r="F3225" s="89" t="s">
        <v>332</v>
      </c>
    </row>
    <row r="3226" spans="2:6" x14ac:dyDescent="0.55000000000000004">
      <c r="B3226" s="220" t="s">
        <v>960</v>
      </c>
      <c r="C3226" s="225" t="s">
        <v>2288</v>
      </c>
      <c r="D3226" s="225" t="s">
        <v>2288</v>
      </c>
      <c r="E3226" s="232" t="s">
        <v>789</v>
      </c>
      <c r="F3226" s="89" t="s">
        <v>332</v>
      </c>
    </row>
    <row r="3227" spans="2:6" ht="25.8" x14ac:dyDescent="0.55000000000000004">
      <c r="B3227" s="220" t="s">
        <v>960</v>
      </c>
      <c r="C3227" s="225" t="s">
        <v>2290</v>
      </c>
      <c r="D3227" s="225" t="s">
        <v>2290</v>
      </c>
      <c r="E3227" s="232" t="s">
        <v>789</v>
      </c>
      <c r="F3227" s="89" t="s">
        <v>332</v>
      </c>
    </row>
    <row r="3228" spans="2:6" x14ac:dyDescent="0.55000000000000004">
      <c r="B3228" s="220" t="s">
        <v>960</v>
      </c>
      <c r="C3228" s="225" t="s">
        <v>2292</v>
      </c>
      <c r="D3228" s="225" t="s">
        <v>2292</v>
      </c>
      <c r="E3228" s="232" t="s">
        <v>789</v>
      </c>
      <c r="F3228" s="89" t="s">
        <v>332</v>
      </c>
    </row>
    <row r="3229" spans="2:6" ht="25.8" x14ac:dyDescent="0.55000000000000004">
      <c r="B3229" s="220" t="s">
        <v>960</v>
      </c>
      <c r="C3229" s="225" t="s">
        <v>3159</v>
      </c>
      <c r="D3229" s="225" t="s">
        <v>2294</v>
      </c>
      <c r="E3229" s="232" t="s">
        <v>789</v>
      </c>
      <c r="F3229" s="89" t="s">
        <v>332</v>
      </c>
    </row>
    <row r="3230" spans="2:6" ht="25.8" x14ac:dyDescent="0.55000000000000004">
      <c r="B3230" s="220" t="s">
        <v>960</v>
      </c>
      <c r="C3230" s="225" t="s">
        <v>3161</v>
      </c>
      <c r="D3230" s="225" t="s">
        <v>2296</v>
      </c>
      <c r="E3230" s="232" t="s">
        <v>789</v>
      </c>
      <c r="F3230" s="89" t="s">
        <v>332</v>
      </c>
    </row>
    <row r="3231" spans="2:6" x14ac:dyDescent="0.55000000000000004">
      <c r="B3231" s="220" t="s">
        <v>960</v>
      </c>
      <c r="C3231" s="225" t="s">
        <v>2297</v>
      </c>
      <c r="D3231" s="225" t="s">
        <v>2297</v>
      </c>
      <c r="E3231" s="232" t="s">
        <v>789</v>
      </c>
      <c r="F3231" s="89" t="s">
        <v>332</v>
      </c>
    </row>
    <row r="3232" spans="2:6" ht="25.8" x14ac:dyDescent="0.55000000000000004">
      <c r="B3232" s="220" t="s">
        <v>960</v>
      </c>
      <c r="C3232" s="225" t="s">
        <v>3162</v>
      </c>
      <c r="D3232" s="225" t="s">
        <v>2299</v>
      </c>
      <c r="E3232" s="232" t="s">
        <v>789</v>
      </c>
      <c r="F3232" s="89" t="s">
        <v>332</v>
      </c>
    </row>
    <row r="3233" spans="2:6" x14ac:dyDescent="0.55000000000000004">
      <c r="B3233" s="220" t="s">
        <v>960</v>
      </c>
      <c r="C3233" s="225" t="s">
        <v>2301</v>
      </c>
      <c r="D3233" s="225" t="s">
        <v>2301</v>
      </c>
      <c r="E3233" s="232" t="s">
        <v>789</v>
      </c>
      <c r="F3233" s="89" t="s">
        <v>332</v>
      </c>
    </row>
    <row r="3234" spans="2:6" x14ac:dyDescent="0.55000000000000004">
      <c r="B3234" s="220" t="s">
        <v>960</v>
      </c>
      <c r="C3234" s="225" t="s">
        <v>2303</v>
      </c>
      <c r="D3234" s="225" t="s">
        <v>2303</v>
      </c>
      <c r="E3234" s="232" t="s">
        <v>789</v>
      </c>
      <c r="F3234" s="89" t="s">
        <v>332</v>
      </c>
    </row>
    <row r="3235" spans="2:6" x14ac:dyDescent="0.55000000000000004">
      <c r="B3235" s="220" t="s">
        <v>960</v>
      </c>
      <c r="C3235" s="226" t="s">
        <v>2305</v>
      </c>
      <c r="D3235" s="226" t="s">
        <v>2305</v>
      </c>
      <c r="E3235" s="232" t="s">
        <v>789</v>
      </c>
      <c r="F3235" s="89" t="s">
        <v>332</v>
      </c>
    </row>
    <row r="3236" spans="2:6" x14ac:dyDescent="0.55000000000000004">
      <c r="B3236" s="220" t="s">
        <v>960</v>
      </c>
      <c r="C3236" s="226" t="s">
        <v>2305</v>
      </c>
      <c r="D3236" s="226" t="s">
        <v>2305</v>
      </c>
      <c r="E3236" s="232" t="s">
        <v>2428</v>
      </c>
      <c r="F3236" s="89" t="s">
        <v>648</v>
      </c>
    </row>
    <row r="3237" spans="2:6" ht="25.8" x14ac:dyDescent="0.55000000000000004">
      <c r="B3237" s="220" t="s">
        <v>960</v>
      </c>
      <c r="C3237" s="225" t="s">
        <v>3164</v>
      </c>
      <c r="D3237" s="225" t="s">
        <v>2307</v>
      </c>
      <c r="E3237" s="232" t="s">
        <v>789</v>
      </c>
      <c r="F3237" s="89" t="s">
        <v>332</v>
      </c>
    </row>
    <row r="3238" spans="2:6" ht="25.8" x14ac:dyDescent="0.55000000000000004">
      <c r="B3238" s="220" t="s">
        <v>960</v>
      </c>
      <c r="C3238" s="225" t="s">
        <v>2309</v>
      </c>
      <c r="D3238" s="225" t="s">
        <v>2309</v>
      </c>
      <c r="E3238" s="232" t="s">
        <v>789</v>
      </c>
      <c r="F3238" s="89" t="s">
        <v>332</v>
      </c>
    </row>
    <row r="3239" spans="2:6" ht="25.8" x14ac:dyDescent="0.55000000000000004">
      <c r="B3239" s="220" t="s">
        <v>960</v>
      </c>
      <c r="C3239" s="225" t="s">
        <v>3166</v>
      </c>
      <c r="D3239" s="225" t="s">
        <v>2311</v>
      </c>
      <c r="E3239" s="232" t="s">
        <v>789</v>
      </c>
      <c r="F3239" s="89" t="s">
        <v>332</v>
      </c>
    </row>
    <row r="3240" spans="2:6" ht="25.8" x14ac:dyDescent="0.55000000000000004">
      <c r="B3240" s="220" t="s">
        <v>960</v>
      </c>
      <c r="C3240" s="225" t="s">
        <v>2313</v>
      </c>
      <c r="D3240" s="225" t="s">
        <v>2313</v>
      </c>
      <c r="E3240" s="232" t="s">
        <v>789</v>
      </c>
      <c r="F3240" s="89" t="s">
        <v>332</v>
      </c>
    </row>
    <row r="3241" spans="2:6" ht="25.8" x14ac:dyDescent="0.55000000000000004">
      <c r="B3241" s="220" t="s">
        <v>960</v>
      </c>
      <c r="C3241" s="225" t="s">
        <v>3168</v>
      </c>
      <c r="D3241" s="225" t="s">
        <v>2315</v>
      </c>
      <c r="E3241" s="232" t="s">
        <v>789</v>
      </c>
      <c r="F3241" s="89" t="s">
        <v>332</v>
      </c>
    </row>
    <row r="3242" spans="2:6" x14ac:dyDescent="0.55000000000000004">
      <c r="B3242" s="220" t="s">
        <v>960</v>
      </c>
      <c r="C3242" s="225" t="s">
        <v>2317</v>
      </c>
      <c r="D3242" s="225" t="s">
        <v>2317</v>
      </c>
      <c r="E3242" s="232" t="s">
        <v>789</v>
      </c>
      <c r="F3242" s="89" t="s">
        <v>332</v>
      </c>
    </row>
    <row r="3243" spans="2:6" ht="25.8" x14ac:dyDescent="0.55000000000000004">
      <c r="B3243" s="220" t="s">
        <v>960</v>
      </c>
      <c r="C3243" s="225" t="s">
        <v>2319</v>
      </c>
      <c r="D3243" s="225" t="s">
        <v>2319</v>
      </c>
      <c r="E3243" s="232" t="s">
        <v>789</v>
      </c>
      <c r="F3243" s="89" t="s">
        <v>332</v>
      </c>
    </row>
    <row r="3244" spans="2:6" x14ac:dyDescent="0.55000000000000004">
      <c r="B3244" s="220" t="s">
        <v>960</v>
      </c>
      <c r="C3244" s="225" t="s">
        <v>2321</v>
      </c>
      <c r="D3244" s="225" t="s">
        <v>2321</v>
      </c>
      <c r="E3244" s="232" t="s">
        <v>789</v>
      </c>
      <c r="F3244" s="89" t="s">
        <v>332</v>
      </c>
    </row>
    <row r="3245" spans="2:6" x14ac:dyDescent="0.55000000000000004">
      <c r="B3245" s="220" t="s">
        <v>960</v>
      </c>
      <c r="C3245" s="225" t="s">
        <v>2323</v>
      </c>
      <c r="D3245" s="225" t="s">
        <v>2323</v>
      </c>
      <c r="E3245" s="232" t="s">
        <v>789</v>
      </c>
      <c r="F3245" s="89" t="s">
        <v>332</v>
      </c>
    </row>
    <row r="3246" spans="2:6" ht="25.8" x14ac:dyDescent="0.55000000000000004">
      <c r="B3246" s="220" t="s">
        <v>960</v>
      </c>
      <c r="C3246" s="225" t="s">
        <v>2325</v>
      </c>
      <c r="D3246" s="225" t="s">
        <v>2325</v>
      </c>
      <c r="E3246" s="232" t="s">
        <v>789</v>
      </c>
      <c r="F3246" s="89" t="s">
        <v>332</v>
      </c>
    </row>
    <row r="3247" spans="2:6" x14ac:dyDescent="0.55000000000000004">
      <c r="B3247" s="220" t="s">
        <v>960</v>
      </c>
      <c r="C3247" s="225" t="s">
        <v>2327</v>
      </c>
      <c r="D3247" s="225" t="s">
        <v>2327</v>
      </c>
      <c r="E3247" s="232" t="s">
        <v>789</v>
      </c>
      <c r="F3247" s="89" t="s">
        <v>332</v>
      </c>
    </row>
    <row r="3248" spans="2:6" ht="25.8" x14ac:dyDescent="0.55000000000000004">
      <c r="B3248" s="220" t="s">
        <v>960</v>
      </c>
      <c r="C3248" s="225" t="s">
        <v>2329</v>
      </c>
      <c r="D3248" s="225" t="s">
        <v>2329</v>
      </c>
      <c r="E3248" s="232" t="s">
        <v>789</v>
      </c>
      <c r="F3248" s="89" t="s">
        <v>332</v>
      </c>
    </row>
    <row r="3249" spans="2:6" ht="25.8" x14ac:dyDescent="0.55000000000000004">
      <c r="B3249" s="220" t="s">
        <v>960</v>
      </c>
      <c r="C3249" s="225" t="s">
        <v>2331</v>
      </c>
      <c r="D3249" s="225" t="s">
        <v>2331</v>
      </c>
      <c r="E3249" s="232" t="s">
        <v>789</v>
      </c>
      <c r="F3249" s="89" t="s">
        <v>332</v>
      </c>
    </row>
    <row r="3250" spans="2:6" x14ac:dyDescent="0.55000000000000004">
      <c r="B3250" s="220" t="s">
        <v>960</v>
      </c>
      <c r="C3250" s="225" t="s">
        <v>2333</v>
      </c>
      <c r="D3250" s="225" t="s">
        <v>2333</v>
      </c>
      <c r="E3250" s="232" t="s">
        <v>789</v>
      </c>
      <c r="F3250" s="89" t="s">
        <v>332</v>
      </c>
    </row>
    <row r="3251" spans="2:6" x14ac:dyDescent="0.55000000000000004">
      <c r="B3251" s="220" t="s">
        <v>960</v>
      </c>
      <c r="C3251" s="225" t="s">
        <v>2335</v>
      </c>
      <c r="D3251" s="225" t="s">
        <v>2335</v>
      </c>
      <c r="E3251" s="232" t="s">
        <v>789</v>
      </c>
      <c r="F3251" s="89" t="s">
        <v>332</v>
      </c>
    </row>
    <row r="3252" spans="2:6" x14ac:dyDescent="0.55000000000000004">
      <c r="B3252" s="220" t="s">
        <v>960</v>
      </c>
      <c r="C3252" s="225" t="s">
        <v>2337</v>
      </c>
      <c r="D3252" s="225" t="s">
        <v>2337</v>
      </c>
      <c r="E3252" s="232" t="s">
        <v>789</v>
      </c>
      <c r="F3252" s="89" t="s">
        <v>332</v>
      </c>
    </row>
    <row r="3253" spans="2:6" ht="25.8" x14ac:dyDescent="0.55000000000000004">
      <c r="B3253" s="220" t="s">
        <v>960</v>
      </c>
      <c r="C3253" s="225" t="s">
        <v>2339</v>
      </c>
      <c r="D3253" s="225" t="s">
        <v>2339</v>
      </c>
      <c r="E3253" s="232" t="s">
        <v>789</v>
      </c>
      <c r="F3253" s="89" t="s">
        <v>332</v>
      </c>
    </row>
    <row r="3254" spans="2:6" x14ac:dyDescent="0.55000000000000004">
      <c r="B3254" s="220" t="s">
        <v>960</v>
      </c>
      <c r="C3254" s="225" t="s">
        <v>2341</v>
      </c>
      <c r="D3254" s="225" t="s">
        <v>2341</v>
      </c>
      <c r="E3254" s="232" t="s">
        <v>789</v>
      </c>
      <c r="F3254" s="89" t="s">
        <v>332</v>
      </c>
    </row>
    <row r="3255" spans="2:6" x14ac:dyDescent="0.55000000000000004">
      <c r="B3255" s="220" t="s">
        <v>960</v>
      </c>
      <c r="C3255" s="225" t="s">
        <v>2342</v>
      </c>
      <c r="D3255" s="225" t="s">
        <v>2342</v>
      </c>
      <c r="E3255" s="232" t="s">
        <v>789</v>
      </c>
      <c r="F3255" s="89" t="s">
        <v>332</v>
      </c>
    </row>
    <row r="3256" spans="2:6" x14ac:dyDescent="0.55000000000000004">
      <c r="B3256" s="220" t="s">
        <v>960</v>
      </c>
      <c r="C3256" s="225" t="s">
        <v>2345</v>
      </c>
      <c r="D3256" s="225" t="s">
        <v>2345</v>
      </c>
      <c r="E3256" s="232" t="s">
        <v>789</v>
      </c>
      <c r="F3256" s="89" t="s">
        <v>332</v>
      </c>
    </row>
    <row r="3257" spans="2:6" ht="25.8" x14ac:dyDescent="0.55000000000000004">
      <c r="B3257" s="220" t="s">
        <v>960</v>
      </c>
      <c r="C3257" s="225" t="s">
        <v>2347</v>
      </c>
      <c r="D3257" s="225" t="s">
        <v>2347</v>
      </c>
      <c r="E3257" s="232" t="s">
        <v>789</v>
      </c>
      <c r="F3257" s="89" t="s">
        <v>332</v>
      </c>
    </row>
    <row r="3258" spans="2:6" x14ac:dyDescent="0.55000000000000004">
      <c r="B3258" s="220" t="s">
        <v>960</v>
      </c>
      <c r="C3258" s="226" t="s">
        <v>2349</v>
      </c>
      <c r="D3258" s="226" t="s">
        <v>2349</v>
      </c>
      <c r="E3258" s="232" t="s">
        <v>789</v>
      </c>
      <c r="F3258" s="89" t="s">
        <v>332</v>
      </c>
    </row>
    <row r="3259" spans="2:6" x14ac:dyDescent="0.55000000000000004">
      <c r="B3259" s="220" t="s">
        <v>960</v>
      </c>
      <c r="C3259" s="226" t="s">
        <v>2349</v>
      </c>
      <c r="D3259" s="226" t="s">
        <v>2349</v>
      </c>
      <c r="E3259" s="232" t="s">
        <v>2428</v>
      </c>
      <c r="F3259" s="89" t="s">
        <v>648</v>
      </c>
    </row>
    <row r="3260" spans="2:6" ht="25.8" x14ac:dyDescent="0.55000000000000004">
      <c r="B3260" s="220" t="s">
        <v>960</v>
      </c>
      <c r="C3260" s="226" t="s">
        <v>2351</v>
      </c>
      <c r="D3260" s="226" t="s">
        <v>2351</v>
      </c>
      <c r="E3260" s="232" t="s">
        <v>789</v>
      </c>
      <c r="F3260" s="89" t="s">
        <v>332</v>
      </c>
    </row>
    <row r="3261" spans="2:6" ht="25.8" x14ac:dyDescent="0.55000000000000004">
      <c r="B3261" s="220" t="s">
        <v>960</v>
      </c>
      <c r="C3261" s="226" t="s">
        <v>2351</v>
      </c>
      <c r="D3261" s="226" t="s">
        <v>2351</v>
      </c>
      <c r="E3261" s="232" t="s">
        <v>2428</v>
      </c>
      <c r="F3261" s="89" t="s">
        <v>648</v>
      </c>
    </row>
    <row r="3262" spans="2:6" ht="25.8" x14ac:dyDescent="0.55000000000000004">
      <c r="B3262" s="220" t="s">
        <v>960</v>
      </c>
      <c r="C3262" s="225" t="s">
        <v>3170</v>
      </c>
      <c r="D3262" s="225" t="s">
        <v>2353</v>
      </c>
      <c r="E3262" s="232" t="s">
        <v>789</v>
      </c>
      <c r="F3262" s="89" t="s">
        <v>332</v>
      </c>
    </row>
    <row r="3263" spans="2:6" ht="25.8" x14ac:dyDescent="0.55000000000000004">
      <c r="B3263" s="220" t="s">
        <v>960</v>
      </c>
      <c r="C3263" s="225" t="s">
        <v>2355</v>
      </c>
      <c r="D3263" s="225" t="s">
        <v>2355</v>
      </c>
      <c r="E3263" s="232" t="s">
        <v>789</v>
      </c>
      <c r="F3263" s="89" t="s">
        <v>332</v>
      </c>
    </row>
    <row r="3264" spans="2:6" ht="25.8" x14ac:dyDescent="0.55000000000000004">
      <c r="B3264" s="220" t="s">
        <v>960</v>
      </c>
      <c r="C3264" s="225" t="s">
        <v>2357</v>
      </c>
      <c r="D3264" s="225" t="s">
        <v>2357</v>
      </c>
      <c r="E3264" s="232" t="s">
        <v>789</v>
      </c>
      <c r="F3264" s="89" t="s">
        <v>332</v>
      </c>
    </row>
    <row r="3265" spans="2:6" ht="25.8" x14ac:dyDescent="0.55000000000000004">
      <c r="B3265" s="220" t="s">
        <v>960</v>
      </c>
      <c r="C3265" s="225" t="s">
        <v>3172</v>
      </c>
      <c r="D3265" s="225" t="s">
        <v>2359</v>
      </c>
      <c r="E3265" s="232" t="s">
        <v>789</v>
      </c>
      <c r="F3265" s="89" t="s">
        <v>332</v>
      </c>
    </row>
    <row r="3266" spans="2:6" ht="25.8" x14ac:dyDescent="0.55000000000000004">
      <c r="B3266" s="220" t="s">
        <v>960</v>
      </c>
      <c r="C3266" s="225" t="s">
        <v>2361</v>
      </c>
      <c r="D3266" s="225" t="s">
        <v>2361</v>
      </c>
      <c r="E3266" s="232" t="s">
        <v>789</v>
      </c>
      <c r="F3266" s="89" t="s">
        <v>332</v>
      </c>
    </row>
    <row r="3267" spans="2:6" ht="25.8" x14ac:dyDescent="0.55000000000000004">
      <c r="B3267" s="220" t="s">
        <v>960</v>
      </c>
      <c r="C3267" s="225" t="s">
        <v>3174</v>
      </c>
      <c r="D3267" s="225" t="s">
        <v>2363</v>
      </c>
      <c r="E3267" s="232" t="s">
        <v>789</v>
      </c>
      <c r="F3267" s="89" t="s">
        <v>332</v>
      </c>
    </row>
    <row r="3268" spans="2:6" x14ac:dyDescent="0.55000000000000004">
      <c r="B3268" s="220" t="s">
        <v>960</v>
      </c>
      <c r="C3268" s="225" t="s">
        <v>2365</v>
      </c>
      <c r="D3268" s="225" t="s">
        <v>2365</v>
      </c>
      <c r="E3268" s="232" t="s">
        <v>789</v>
      </c>
      <c r="F3268" s="89" t="s">
        <v>332</v>
      </c>
    </row>
    <row r="3269" spans="2:6" ht="25.8" x14ac:dyDescent="0.55000000000000004">
      <c r="B3269" s="220" t="s">
        <v>960</v>
      </c>
      <c r="C3269" s="225" t="s">
        <v>2367</v>
      </c>
      <c r="D3269" s="225" t="s">
        <v>2367</v>
      </c>
      <c r="E3269" s="232" t="s">
        <v>789</v>
      </c>
      <c r="F3269" s="89" t="s">
        <v>332</v>
      </c>
    </row>
    <row r="3270" spans="2:6" x14ac:dyDescent="0.55000000000000004">
      <c r="B3270" s="220" t="s">
        <v>960</v>
      </c>
      <c r="C3270" s="225" t="s">
        <v>2369</v>
      </c>
      <c r="D3270" s="225" t="s">
        <v>2369</v>
      </c>
      <c r="E3270" s="232" t="s">
        <v>789</v>
      </c>
      <c r="F3270" s="89" t="s">
        <v>332</v>
      </c>
    </row>
    <row r="3271" spans="2:6" ht="25.8" x14ac:dyDescent="0.55000000000000004">
      <c r="B3271" s="220" t="s">
        <v>960</v>
      </c>
      <c r="C3271" s="225" t="s">
        <v>2371</v>
      </c>
      <c r="D3271" s="225" t="s">
        <v>2371</v>
      </c>
      <c r="E3271" s="232" t="s">
        <v>789</v>
      </c>
      <c r="F3271" s="89" t="s">
        <v>332</v>
      </c>
    </row>
    <row r="3272" spans="2:6" x14ac:dyDescent="0.55000000000000004">
      <c r="B3272" s="220" t="s">
        <v>960</v>
      </c>
      <c r="C3272" s="225" t="s">
        <v>2373</v>
      </c>
      <c r="D3272" s="225" t="s">
        <v>2373</v>
      </c>
      <c r="E3272" s="232" t="s">
        <v>789</v>
      </c>
      <c r="F3272" s="89" t="s">
        <v>332</v>
      </c>
    </row>
    <row r="3273" spans="2:6" ht="25.8" x14ac:dyDescent="0.55000000000000004">
      <c r="B3273" s="220" t="s">
        <v>960</v>
      </c>
      <c r="C3273" s="225" t="s">
        <v>3176</v>
      </c>
      <c r="D3273" s="225" t="s">
        <v>2375</v>
      </c>
      <c r="E3273" s="232" t="s">
        <v>789</v>
      </c>
      <c r="F3273" s="89" t="s">
        <v>332</v>
      </c>
    </row>
    <row r="3274" spans="2:6" ht="25.8" x14ac:dyDescent="0.55000000000000004">
      <c r="B3274" s="220" t="s">
        <v>960</v>
      </c>
      <c r="C3274" s="225" t="s">
        <v>3178</v>
      </c>
      <c r="D3274" s="225" t="s">
        <v>2377</v>
      </c>
      <c r="E3274" s="232" t="s">
        <v>789</v>
      </c>
      <c r="F3274" s="89" t="s">
        <v>332</v>
      </c>
    </row>
    <row r="3275" spans="2:6" ht="25.8" x14ac:dyDescent="0.55000000000000004">
      <c r="B3275" s="220" t="s">
        <v>960</v>
      </c>
      <c r="C3275" s="225" t="s">
        <v>3180</v>
      </c>
      <c r="D3275" s="225" t="s">
        <v>2379</v>
      </c>
      <c r="E3275" s="232" t="s">
        <v>789</v>
      </c>
      <c r="F3275" s="89" t="s">
        <v>332</v>
      </c>
    </row>
    <row r="3276" spans="2:6" ht="25.8" x14ac:dyDescent="0.55000000000000004">
      <c r="B3276" s="220" t="s">
        <v>960</v>
      </c>
      <c r="C3276" s="225" t="s">
        <v>3182</v>
      </c>
      <c r="D3276" s="225" t="s">
        <v>2381</v>
      </c>
      <c r="E3276" s="232" t="s">
        <v>789</v>
      </c>
      <c r="F3276" s="89" t="s">
        <v>332</v>
      </c>
    </row>
    <row r="3277" spans="2:6" x14ac:dyDescent="0.55000000000000004">
      <c r="B3277" s="220" t="s">
        <v>960</v>
      </c>
      <c r="C3277" s="225" t="s">
        <v>2383</v>
      </c>
      <c r="D3277" s="225" t="s">
        <v>2383</v>
      </c>
      <c r="E3277" s="232" t="s">
        <v>789</v>
      </c>
      <c r="F3277" s="89" t="s">
        <v>332</v>
      </c>
    </row>
    <row r="3278" spans="2:6" x14ac:dyDescent="0.55000000000000004">
      <c r="B3278" s="220" t="s">
        <v>960</v>
      </c>
      <c r="C3278" s="225" t="s">
        <v>2385</v>
      </c>
      <c r="D3278" s="225" t="s">
        <v>2385</v>
      </c>
      <c r="E3278" s="232" t="s">
        <v>789</v>
      </c>
      <c r="F3278" s="89" t="s">
        <v>332</v>
      </c>
    </row>
    <row r="3279" spans="2:6" x14ac:dyDescent="0.55000000000000004">
      <c r="B3279" s="220" t="s">
        <v>960</v>
      </c>
      <c r="C3279" s="225" t="s">
        <v>2387</v>
      </c>
      <c r="D3279" s="225" t="s">
        <v>2387</v>
      </c>
      <c r="E3279" s="232" t="s">
        <v>789</v>
      </c>
      <c r="F3279" s="89" t="s">
        <v>332</v>
      </c>
    </row>
    <row r="3280" spans="2:6" x14ac:dyDescent="0.55000000000000004">
      <c r="B3280" s="220" t="s">
        <v>960</v>
      </c>
      <c r="C3280" s="225" t="s">
        <v>2389</v>
      </c>
      <c r="D3280" s="225" t="s">
        <v>2389</v>
      </c>
      <c r="E3280" s="232" t="s">
        <v>789</v>
      </c>
      <c r="F3280" s="89" t="s">
        <v>332</v>
      </c>
    </row>
    <row r="3281" spans="2:6" x14ac:dyDescent="0.55000000000000004">
      <c r="B3281" s="220" t="s">
        <v>960</v>
      </c>
      <c r="C3281" s="225" t="s">
        <v>2391</v>
      </c>
      <c r="D3281" s="225" t="s">
        <v>2391</v>
      </c>
      <c r="E3281" s="232" t="s">
        <v>789</v>
      </c>
      <c r="F3281" s="89" t="s">
        <v>332</v>
      </c>
    </row>
    <row r="3282" spans="2:6" x14ac:dyDescent="0.55000000000000004">
      <c r="B3282" s="220" t="s">
        <v>960</v>
      </c>
      <c r="C3282" s="226" t="s">
        <v>2393</v>
      </c>
      <c r="D3282" s="226" t="s">
        <v>2393</v>
      </c>
      <c r="E3282" s="232" t="s">
        <v>789</v>
      </c>
      <c r="F3282" s="89" t="s">
        <v>332</v>
      </c>
    </row>
    <row r="3283" spans="2:6" x14ac:dyDescent="0.55000000000000004">
      <c r="B3283" s="220" t="s">
        <v>960</v>
      </c>
      <c r="C3283" s="226" t="s">
        <v>2393</v>
      </c>
      <c r="D3283" s="226" t="s">
        <v>2393</v>
      </c>
      <c r="E3283" s="232" t="s">
        <v>2428</v>
      </c>
      <c r="F3283" s="89" t="s">
        <v>648</v>
      </c>
    </row>
    <row r="3284" spans="2:6" ht="25.8" x14ac:dyDescent="0.55000000000000004">
      <c r="B3284" s="220" t="s">
        <v>960</v>
      </c>
      <c r="C3284" s="225" t="s">
        <v>3184</v>
      </c>
      <c r="D3284" s="225" t="s">
        <v>2395</v>
      </c>
      <c r="E3284" s="232" t="s">
        <v>789</v>
      </c>
      <c r="F3284" s="89" t="s">
        <v>332</v>
      </c>
    </row>
    <row r="3285" spans="2:6" ht="25.8" x14ac:dyDescent="0.55000000000000004">
      <c r="B3285" s="220" t="s">
        <v>960</v>
      </c>
      <c r="C3285" s="225" t="s">
        <v>2397</v>
      </c>
      <c r="D3285" s="225" t="s">
        <v>2397</v>
      </c>
      <c r="E3285" s="232" t="s">
        <v>789</v>
      </c>
      <c r="F3285" s="89" t="s">
        <v>332</v>
      </c>
    </row>
    <row r="3286" spans="2:6" ht="25.8" x14ac:dyDescent="0.55000000000000004">
      <c r="B3286" s="220" t="s">
        <v>960</v>
      </c>
      <c r="C3286" s="225" t="s">
        <v>2399</v>
      </c>
      <c r="D3286" s="225" t="s">
        <v>2399</v>
      </c>
      <c r="E3286" s="232" t="s">
        <v>789</v>
      </c>
      <c r="F3286" s="89" t="s">
        <v>332</v>
      </c>
    </row>
    <row r="3287" spans="2:6" ht="25.8" x14ac:dyDescent="0.55000000000000004">
      <c r="B3287" s="220" t="s">
        <v>960</v>
      </c>
      <c r="C3287" s="225" t="s">
        <v>3186</v>
      </c>
      <c r="D3287" s="225" t="s">
        <v>2401</v>
      </c>
      <c r="E3287" s="232" t="s">
        <v>789</v>
      </c>
      <c r="F3287" s="89" t="s">
        <v>332</v>
      </c>
    </row>
    <row r="3288" spans="2:6" ht="25.8" x14ac:dyDescent="0.55000000000000004">
      <c r="B3288" s="220" t="s">
        <v>960</v>
      </c>
      <c r="C3288" s="225" t="s">
        <v>3188</v>
      </c>
      <c r="D3288" s="225" t="s">
        <v>2403</v>
      </c>
      <c r="E3288" s="232" t="s">
        <v>789</v>
      </c>
      <c r="F3288" s="89" t="s">
        <v>332</v>
      </c>
    </row>
    <row r="3289" spans="2:6" ht="25.8" x14ac:dyDescent="0.55000000000000004">
      <c r="B3289" s="220" t="s">
        <v>960</v>
      </c>
      <c r="C3289" s="225" t="s">
        <v>2405</v>
      </c>
      <c r="D3289" s="225" t="s">
        <v>2405</v>
      </c>
      <c r="E3289" s="232" t="s">
        <v>789</v>
      </c>
      <c r="F3289" s="89" t="s">
        <v>332</v>
      </c>
    </row>
    <row r="3290" spans="2:6" ht="25.8" x14ac:dyDescent="0.55000000000000004">
      <c r="B3290" s="220" t="s">
        <v>960</v>
      </c>
      <c r="C3290" s="225" t="s">
        <v>2407</v>
      </c>
      <c r="D3290" s="225" t="s">
        <v>2407</v>
      </c>
      <c r="E3290" s="232" t="s">
        <v>789</v>
      </c>
      <c r="F3290" s="89" t="s">
        <v>332</v>
      </c>
    </row>
    <row r="3291" spans="2:6" x14ac:dyDescent="0.55000000000000004">
      <c r="B3291" s="220" t="s">
        <v>960</v>
      </c>
      <c r="C3291" s="225" t="s">
        <v>2409</v>
      </c>
      <c r="D3291" s="225" t="s">
        <v>2409</v>
      </c>
      <c r="E3291" s="232" t="s">
        <v>789</v>
      </c>
      <c r="F3291" s="89" t="s">
        <v>332</v>
      </c>
    </row>
    <row r="3292" spans="2:6" x14ac:dyDescent="0.55000000000000004">
      <c r="B3292" s="220" t="s">
        <v>960</v>
      </c>
      <c r="C3292" s="225" t="s">
        <v>2411</v>
      </c>
      <c r="D3292" s="225" t="s">
        <v>2411</v>
      </c>
      <c r="E3292" s="232" t="s">
        <v>789</v>
      </c>
      <c r="F3292" s="89" t="s">
        <v>332</v>
      </c>
    </row>
    <row r="3293" spans="2:6" ht="25.8" x14ac:dyDescent="0.55000000000000004">
      <c r="B3293" s="220" t="s">
        <v>960</v>
      </c>
      <c r="C3293" s="225" t="s">
        <v>3190</v>
      </c>
      <c r="D3293" s="225" t="s">
        <v>2413</v>
      </c>
      <c r="E3293" s="232" t="s">
        <v>789</v>
      </c>
      <c r="F3293" s="89" t="s">
        <v>332</v>
      </c>
    </row>
    <row r="3294" spans="2:6" x14ac:dyDescent="0.55000000000000004">
      <c r="B3294" s="220" t="s">
        <v>960</v>
      </c>
      <c r="C3294" s="225" t="s">
        <v>2415</v>
      </c>
      <c r="D3294" s="225" t="s">
        <v>2415</v>
      </c>
      <c r="E3294" s="232" t="s">
        <v>789</v>
      </c>
      <c r="F3294" s="89" t="s">
        <v>332</v>
      </c>
    </row>
    <row r="3295" spans="2:6" ht="25.8" x14ac:dyDescent="0.55000000000000004">
      <c r="B3295" s="219" t="s">
        <v>961</v>
      </c>
      <c r="C3295" s="224" t="s">
        <v>2419</v>
      </c>
      <c r="D3295" s="224" t="s">
        <v>2419</v>
      </c>
      <c r="E3295" s="232" t="e">
        <v>#N/A</v>
      </c>
      <c r="F3295" s="89" t="s">
        <v>2433</v>
      </c>
    </row>
    <row r="3296" spans="2:6" x14ac:dyDescent="0.55000000000000004">
      <c r="B3296" s="221" t="s">
        <v>961</v>
      </c>
      <c r="C3296" s="225" t="s">
        <v>239</v>
      </c>
      <c r="D3296" s="225" t="s">
        <v>239</v>
      </c>
      <c r="E3296" s="232" t="s">
        <v>2428</v>
      </c>
      <c r="F3296" s="89" t="s">
        <v>332</v>
      </c>
    </row>
    <row r="3297" spans="2:6" x14ac:dyDescent="0.55000000000000004">
      <c r="B3297" s="220" t="s">
        <v>961</v>
      </c>
      <c r="C3297" s="225" t="s">
        <v>2420</v>
      </c>
      <c r="D3297" s="225" t="s">
        <v>2420</v>
      </c>
      <c r="E3297" s="232" t="s">
        <v>337</v>
      </c>
      <c r="F3297" s="89" t="s">
        <v>549</v>
      </c>
    </row>
    <row r="3298" spans="2:6" x14ac:dyDescent="0.55000000000000004">
      <c r="B3298" s="221" t="s">
        <v>961</v>
      </c>
      <c r="C3298" s="225" t="s">
        <v>784</v>
      </c>
      <c r="D3298" s="225" t="s">
        <v>784</v>
      </c>
      <c r="E3298" s="232" t="s">
        <v>337</v>
      </c>
      <c r="F3298" s="89" t="s">
        <v>338</v>
      </c>
    </row>
    <row r="3299" spans="2:6" x14ac:dyDescent="0.55000000000000004">
      <c r="B3299" s="220" t="s">
        <v>961</v>
      </c>
      <c r="C3299" s="225" t="s">
        <v>2421</v>
      </c>
      <c r="D3299" s="225" t="s">
        <v>2421</v>
      </c>
      <c r="E3299" s="232" t="s">
        <v>645</v>
      </c>
      <c r="F3299" s="89" t="s">
        <v>338</v>
      </c>
    </row>
    <row r="3300" spans="2:6" ht="25.8" x14ac:dyDescent="0.55000000000000004">
      <c r="B3300" s="219" t="s">
        <v>961</v>
      </c>
      <c r="C3300" s="224" t="s">
        <v>2422</v>
      </c>
      <c r="D3300" s="224" t="s">
        <v>2422</v>
      </c>
      <c r="E3300" s="232" t="e">
        <v>#N/A</v>
      </c>
      <c r="F3300" s="89" t="s">
        <v>2433</v>
      </c>
    </row>
    <row r="3301" spans="2:6" x14ac:dyDescent="0.55000000000000004">
      <c r="B3301" s="220" t="s">
        <v>961</v>
      </c>
      <c r="C3301" s="225" t="s">
        <v>786</v>
      </c>
      <c r="D3301" s="225" t="s">
        <v>786</v>
      </c>
      <c r="E3301" s="232" t="s">
        <v>2429</v>
      </c>
      <c r="F3301" s="89" t="s">
        <v>524</v>
      </c>
    </row>
    <row r="3302" spans="2:6" x14ac:dyDescent="0.55000000000000004">
      <c r="B3302" s="220" t="s">
        <v>961</v>
      </c>
      <c r="C3302" s="225" t="s">
        <v>2423</v>
      </c>
      <c r="D3302" s="225" t="s">
        <v>2423</v>
      </c>
      <c r="E3302" s="232" t="s">
        <v>645</v>
      </c>
      <c r="F3302" s="89" t="s">
        <v>332</v>
      </c>
    </row>
    <row r="3303" spans="2:6" x14ac:dyDescent="0.55000000000000004">
      <c r="B3303" s="220" t="s">
        <v>961</v>
      </c>
      <c r="C3303" s="225" t="s">
        <v>2423</v>
      </c>
      <c r="D3303" s="225" t="s">
        <v>2423</v>
      </c>
      <c r="E3303" s="232" t="s">
        <v>645</v>
      </c>
      <c r="F3303" s="89" t="s">
        <v>332</v>
      </c>
    </row>
    <row r="3304" spans="2:6" x14ac:dyDescent="0.55000000000000004">
      <c r="B3304" s="220" t="s">
        <v>961</v>
      </c>
      <c r="C3304" s="225" t="s">
        <v>2423</v>
      </c>
      <c r="D3304" s="225" t="s">
        <v>2423</v>
      </c>
      <c r="E3304" s="232" t="s">
        <v>645</v>
      </c>
      <c r="F3304" s="89" t="s">
        <v>332</v>
      </c>
    </row>
    <row r="3305" spans="2:6" x14ac:dyDescent="0.55000000000000004">
      <c r="B3305" s="220" t="s">
        <v>961</v>
      </c>
      <c r="C3305" s="225" t="s">
        <v>2423</v>
      </c>
      <c r="D3305" s="225" t="s">
        <v>2423</v>
      </c>
      <c r="E3305" s="232" t="s">
        <v>645</v>
      </c>
      <c r="F3305" s="89" t="s">
        <v>332</v>
      </c>
    </row>
    <row r="3306" spans="2:6" x14ac:dyDescent="0.55000000000000004">
      <c r="B3306" s="220" t="s">
        <v>961</v>
      </c>
      <c r="C3306" s="225" t="s">
        <v>2423</v>
      </c>
      <c r="D3306" s="225" t="s">
        <v>2423</v>
      </c>
      <c r="E3306" s="232" t="s">
        <v>645</v>
      </c>
      <c r="F3306" s="89" t="s">
        <v>332</v>
      </c>
    </row>
    <row r="3307" spans="2:6" x14ac:dyDescent="0.55000000000000004">
      <c r="B3307" s="220" t="s">
        <v>961</v>
      </c>
      <c r="C3307" s="225" t="s">
        <v>2423</v>
      </c>
      <c r="D3307" s="225" t="s">
        <v>2423</v>
      </c>
      <c r="E3307" s="232" t="s">
        <v>645</v>
      </c>
      <c r="F3307" s="89" t="s">
        <v>332</v>
      </c>
    </row>
    <row r="3308" spans="2:6" x14ac:dyDescent="0.55000000000000004">
      <c r="B3308" s="220" t="s">
        <v>961</v>
      </c>
      <c r="C3308" s="225" t="s">
        <v>2423</v>
      </c>
      <c r="D3308" s="225" t="s">
        <v>2423</v>
      </c>
      <c r="E3308" s="232" t="s">
        <v>645</v>
      </c>
      <c r="F3308" s="89" t="s">
        <v>332</v>
      </c>
    </row>
    <row r="3309" spans="2:6" x14ac:dyDescent="0.55000000000000004">
      <c r="B3309" s="220" t="s">
        <v>961</v>
      </c>
      <c r="C3309" s="225" t="s">
        <v>2423</v>
      </c>
      <c r="D3309" s="225" t="s">
        <v>2423</v>
      </c>
      <c r="E3309" s="232" t="s">
        <v>645</v>
      </c>
      <c r="F3309" s="89" t="s">
        <v>332</v>
      </c>
    </row>
    <row r="3310" spans="2:6" x14ac:dyDescent="0.55000000000000004">
      <c r="B3310" s="220" t="s">
        <v>961</v>
      </c>
      <c r="C3310" s="225" t="s">
        <v>2423</v>
      </c>
      <c r="D3310" s="225" t="s">
        <v>2423</v>
      </c>
      <c r="E3310" s="232" t="s">
        <v>645</v>
      </c>
      <c r="F3310" s="89" t="s">
        <v>332</v>
      </c>
    </row>
    <row r="3311" spans="2:6" x14ac:dyDescent="0.55000000000000004">
      <c r="B3311" s="220" t="s">
        <v>961</v>
      </c>
      <c r="C3311" s="225" t="s">
        <v>2423</v>
      </c>
      <c r="D3311" s="225" t="s">
        <v>2423</v>
      </c>
      <c r="E3311" s="232" t="s">
        <v>645</v>
      </c>
      <c r="F3311" s="89" t="s">
        <v>332</v>
      </c>
    </row>
    <row r="3312" spans="2:6" x14ac:dyDescent="0.55000000000000004">
      <c r="B3312" s="220" t="s">
        <v>961</v>
      </c>
      <c r="C3312" s="225" t="s">
        <v>2423</v>
      </c>
      <c r="D3312" s="225" t="s">
        <v>2423</v>
      </c>
      <c r="E3312" s="232" t="s">
        <v>645</v>
      </c>
      <c r="F3312" s="89" t="s">
        <v>332</v>
      </c>
    </row>
    <row r="3313" spans="2:6" x14ac:dyDescent="0.55000000000000004">
      <c r="B3313" s="220" t="s">
        <v>961</v>
      </c>
      <c r="C3313" s="225" t="s">
        <v>2423</v>
      </c>
      <c r="D3313" s="225" t="s">
        <v>2423</v>
      </c>
      <c r="E3313" s="232" t="s">
        <v>645</v>
      </c>
      <c r="F3313" s="89" t="s">
        <v>332</v>
      </c>
    </row>
    <row r="3314" spans="2:6" x14ac:dyDescent="0.55000000000000004">
      <c r="B3314" s="220" t="s">
        <v>961</v>
      </c>
      <c r="C3314" s="225" t="s">
        <v>2424</v>
      </c>
      <c r="D3314" s="225" t="s">
        <v>2424</v>
      </c>
      <c r="E3314" s="232" t="s">
        <v>645</v>
      </c>
      <c r="F3314" s="89" t="s">
        <v>338</v>
      </c>
    </row>
    <row r="3315" spans="2:6" x14ac:dyDescent="0.55000000000000004">
      <c r="B3315" s="220" t="s">
        <v>961</v>
      </c>
      <c r="C3315" s="225" t="s">
        <v>2424</v>
      </c>
      <c r="D3315" s="225" t="s">
        <v>2424</v>
      </c>
      <c r="E3315" s="232" t="s">
        <v>645</v>
      </c>
      <c r="F3315" s="89" t="s">
        <v>338</v>
      </c>
    </row>
    <row r="3316" spans="2:6" x14ac:dyDescent="0.55000000000000004">
      <c r="B3316" s="220" t="s">
        <v>961</v>
      </c>
      <c r="C3316" s="225" t="s">
        <v>2424</v>
      </c>
      <c r="D3316" s="225" t="s">
        <v>2424</v>
      </c>
      <c r="E3316" s="232" t="s">
        <v>645</v>
      </c>
      <c r="F3316" s="89" t="s">
        <v>338</v>
      </c>
    </row>
    <row r="3317" spans="2:6" x14ac:dyDescent="0.55000000000000004">
      <c r="B3317" s="220" t="s">
        <v>961</v>
      </c>
      <c r="C3317" s="225" t="s">
        <v>2424</v>
      </c>
      <c r="D3317" s="225" t="s">
        <v>2424</v>
      </c>
      <c r="E3317" s="232" t="s">
        <v>645</v>
      </c>
      <c r="F3317" s="89" t="s">
        <v>338</v>
      </c>
    </row>
    <row r="3318" spans="2:6" x14ac:dyDescent="0.55000000000000004">
      <c r="B3318" s="220" t="s">
        <v>961</v>
      </c>
      <c r="C3318" s="225" t="s">
        <v>2424</v>
      </c>
      <c r="D3318" s="225" t="s">
        <v>2424</v>
      </c>
      <c r="E3318" s="232" t="s">
        <v>645</v>
      </c>
      <c r="F3318" s="89" t="s">
        <v>338</v>
      </c>
    </row>
    <row r="3319" spans="2:6" x14ac:dyDescent="0.55000000000000004">
      <c r="B3319" s="220" t="s">
        <v>961</v>
      </c>
      <c r="C3319" s="225" t="s">
        <v>2425</v>
      </c>
      <c r="D3319" s="225" t="s">
        <v>2425</v>
      </c>
      <c r="E3319" s="232" t="s">
        <v>645</v>
      </c>
      <c r="F3319" s="89" t="s">
        <v>338</v>
      </c>
    </row>
    <row r="3320" spans="2:6" x14ac:dyDescent="0.55000000000000004">
      <c r="B3320" s="220" t="s">
        <v>961</v>
      </c>
      <c r="C3320" s="225" t="s">
        <v>2425</v>
      </c>
      <c r="D3320" s="225" t="s">
        <v>2425</v>
      </c>
      <c r="E3320" s="232" t="s">
        <v>645</v>
      </c>
      <c r="F3320" s="89" t="s">
        <v>338</v>
      </c>
    </row>
    <row r="3321" spans="2:6" x14ac:dyDescent="0.55000000000000004">
      <c r="B3321" s="220" t="s">
        <v>961</v>
      </c>
      <c r="C3321" s="225" t="s">
        <v>2425</v>
      </c>
      <c r="D3321" s="225" t="s">
        <v>2425</v>
      </c>
      <c r="E3321" s="232" t="s">
        <v>645</v>
      </c>
      <c r="F3321" s="89" t="s">
        <v>338</v>
      </c>
    </row>
    <row r="3322" spans="2:6" x14ac:dyDescent="0.55000000000000004">
      <c r="B3322" s="220" t="s">
        <v>961</v>
      </c>
      <c r="C3322" s="225" t="s">
        <v>3192</v>
      </c>
      <c r="D3322" s="225" t="s">
        <v>2426</v>
      </c>
      <c r="E3322" s="232" t="s">
        <v>656</v>
      </c>
      <c r="F3322" s="89" t="s">
        <v>648</v>
      </c>
    </row>
    <row r="3323" spans="2:6" x14ac:dyDescent="0.55000000000000004">
      <c r="B3323" s="220" t="s">
        <v>961</v>
      </c>
      <c r="C3323" s="225" t="s">
        <v>785</v>
      </c>
      <c r="D3323" s="225" t="s">
        <v>785</v>
      </c>
      <c r="E3323" s="232" t="s">
        <v>633</v>
      </c>
      <c r="F3323" s="89" t="s">
        <v>785</v>
      </c>
    </row>
    <row r="3324" spans="2:6" x14ac:dyDescent="0.55000000000000004">
      <c r="B3324" s="220" t="s">
        <v>961</v>
      </c>
      <c r="C3324" s="225" t="s">
        <v>787</v>
      </c>
      <c r="D3324" s="225" t="s">
        <v>787</v>
      </c>
      <c r="E3324" s="232" t="s">
        <v>656</v>
      </c>
      <c r="F3324" s="89" t="s">
        <v>648</v>
      </c>
    </row>
    <row r="3325" spans="2:6" x14ac:dyDescent="0.55000000000000004">
      <c r="B3325" s="96" t="s">
        <v>3193</v>
      </c>
      <c r="C3325" s="90" t="s">
        <v>268</v>
      </c>
      <c r="D3325" s="88" t="s">
        <v>3194</v>
      </c>
      <c r="E3325" s="89" t="s">
        <v>268</v>
      </c>
      <c r="F3325" s="89" t="s">
        <v>505</v>
      </c>
    </row>
    <row r="3326" spans="2:6" x14ac:dyDescent="0.55000000000000004">
      <c r="C3326" s="90" t="s">
        <v>3636</v>
      </c>
      <c r="D3326" s="90" t="s">
        <v>3636</v>
      </c>
      <c r="E3326" s="89" t="s">
        <v>961</v>
      </c>
      <c r="F3326" s="89" t="s">
        <v>3798</v>
      </c>
    </row>
    <row r="3327" spans="2:6" x14ac:dyDescent="0.55000000000000004">
      <c r="C3327" s="90" t="s">
        <v>3637</v>
      </c>
      <c r="D3327" s="90" t="s">
        <v>3637</v>
      </c>
      <c r="E3327" s="89" t="s">
        <v>961</v>
      </c>
      <c r="F3327" s="89" t="s">
        <v>3798</v>
      </c>
    </row>
    <row r="3328" spans="2:6" x14ac:dyDescent="0.55000000000000004">
      <c r="C3328" s="90" t="s">
        <v>3638</v>
      </c>
      <c r="D3328" s="90" t="s">
        <v>3638</v>
      </c>
      <c r="E3328" s="89" t="s">
        <v>961</v>
      </c>
      <c r="F3328" s="89" t="s">
        <v>3798</v>
      </c>
    </row>
    <row r="3329" spans="3:6" x14ac:dyDescent="0.55000000000000004">
      <c r="C3329" s="90" t="s">
        <v>3639</v>
      </c>
      <c r="D3329" s="90" t="s">
        <v>3639</v>
      </c>
      <c r="E3329" s="89" t="s">
        <v>961</v>
      </c>
      <c r="F3329" s="89" t="s">
        <v>3798</v>
      </c>
    </row>
    <row r="3330" spans="3:6" x14ac:dyDescent="0.55000000000000004">
      <c r="C3330" s="90" t="s">
        <v>3640</v>
      </c>
      <c r="D3330" s="90" t="s">
        <v>3640</v>
      </c>
      <c r="E3330" s="89" t="s">
        <v>961</v>
      </c>
      <c r="F3330" s="89" t="s">
        <v>3798</v>
      </c>
    </row>
    <row r="3331" spans="3:6" x14ac:dyDescent="0.55000000000000004">
      <c r="C3331" s="90" t="s">
        <v>3641</v>
      </c>
      <c r="D3331" s="90" t="s">
        <v>3641</v>
      </c>
      <c r="E3331" s="89" t="s">
        <v>961</v>
      </c>
      <c r="F3331" s="89" t="s">
        <v>3798</v>
      </c>
    </row>
    <row r="3332" spans="3:6" x14ac:dyDescent="0.55000000000000004">
      <c r="C3332" s="90" t="s">
        <v>3642</v>
      </c>
      <c r="D3332" s="90" t="s">
        <v>3642</v>
      </c>
      <c r="E3332" s="89" t="s">
        <v>961</v>
      </c>
      <c r="F3332" s="89" t="s">
        <v>3798</v>
      </c>
    </row>
    <row r="3333" spans="3:6" x14ac:dyDescent="0.55000000000000004">
      <c r="C3333" s="90" t="s">
        <v>3643</v>
      </c>
      <c r="D3333" s="90" t="s">
        <v>3643</v>
      </c>
      <c r="E3333" s="89" t="s">
        <v>961</v>
      </c>
      <c r="F3333" s="89" t="s">
        <v>3798</v>
      </c>
    </row>
    <row r="3334" spans="3:6" x14ac:dyDescent="0.55000000000000004">
      <c r="C3334" s="90" t="s">
        <v>3644</v>
      </c>
      <c r="D3334" s="90" t="s">
        <v>3644</v>
      </c>
      <c r="E3334" s="89" t="s">
        <v>961</v>
      </c>
      <c r="F3334" s="89" t="s">
        <v>3798</v>
      </c>
    </row>
    <row r="3335" spans="3:6" x14ac:dyDescent="0.55000000000000004">
      <c r="C3335" s="90" t="s">
        <v>3645</v>
      </c>
      <c r="D3335" s="90" t="s">
        <v>3645</v>
      </c>
      <c r="E3335" s="89" t="s">
        <v>961</v>
      </c>
      <c r="F3335" s="89" t="s">
        <v>3798</v>
      </c>
    </row>
    <row r="3336" spans="3:6" x14ac:dyDescent="0.55000000000000004">
      <c r="C3336" s="90" t="s">
        <v>3646</v>
      </c>
      <c r="D3336" s="90" t="s">
        <v>3646</v>
      </c>
      <c r="E3336" s="89" t="s">
        <v>961</v>
      </c>
      <c r="F3336" s="89" t="s">
        <v>3798</v>
      </c>
    </row>
    <row r="3337" spans="3:6" x14ac:dyDescent="0.55000000000000004">
      <c r="C3337" s="90" t="s">
        <v>3647</v>
      </c>
      <c r="D3337" s="90" t="s">
        <v>3647</v>
      </c>
      <c r="E3337" s="89" t="s">
        <v>961</v>
      </c>
      <c r="F3337" s="89" t="s">
        <v>3798</v>
      </c>
    </row>
    <row r="3338" spans="3:6" x14ac:dyDescent="0.55000000000000004">
      <c r="C3338" s="90" t="s">
        <v>3648</v>
      </c>
      <c r="D3338" s="90" t="s">
        <v>3648</v>
      </c>
      <c r="E3338" s="89" t="s">
        <v>961</v>
      </c>
      <c r="F3338" s="89" t="s">
        <v>3798</v>
      </c>
    </row>
    <row r="3339" spans="3:6" x14ac:dyDescent="0.55000000000000004">
      <c r="C3339" s="90" t="s">
        <v>3649</v>
      </c>
      <c r="D3339" s="90" t="s">
        <v>3649</v>
      </c>
      <c r="E3339" s="89" t="s">
        <v>961</v>
      </c>
      <c r="F3339" s="89" t="s">
        <v>3798</v>
      </c>
    </row>
    <row r="3340" spans="3:6" x14ac:dyDescent="0.55000000000000004">
      <c r="C3340" s="90" t="s">
        <v>3650</v>
      </c>
      <c r="D3340" s="90" t="s">
        <v>3650</v>
      </c>
      <c r="E3340" s="89" t="s">
        <v>961</v>
      </c>
      <c r="F3340" s="89" t="s">
        <v>3798</v>
      </c>
    </row>
    <row r="3341" spans="3:6" x14ac:dyDescent="0.55000000000000004">
      <c r="C3341" s="90" t="s">
        <v>3651</v>
      </c>
      <c r="D3341" s="90" t="s">
        <v>3651</v>
      </c>
      <c r="E3341" s="89" t="s">
        <v>961</v>
      </c>
      <c r="F3341" s="89" t="s">
        <v>3798</v>
      </c>
    </row>
    <row r="3342" spans="3:6" x14ac:dyDescent="0.55000000000000004">
      <c r="C3342" s="90" t="s">
        <v>3652</v>
      </c>
      <c r="D3342" s="90" t="s">
        <v>3652</v>
      </c>
      <c r="E3342" s="89" t="s">
        <v>961</v>
      </c>
      <c r="F3342" s="89" t="s">
        <v>3798</v>
      </c>
    </row>
    <row r="3343" spans="3:6" x14ac:dyDescent="0.55000000000000004">
      <c r="C3343" s="90" t="s">
        <v>3653</v>
      </c>
      <c r="D3343" s="90" t="s">
        <v>3653</v>
      </c>
      <c r="E3343" s="89" t="s">
        <v>961</v>
      </c>
      <c r="F3343" s="89" t="s">
        <v>3798</v>
      </c>
    </row>
    <row r="3344" spans="3:6" x14ac:dyDescent="0.55000000000000004">
      <c r="C3344" s="90" t="s">
        <v>3653</v>
      </c>
      <c r="D3344" s="90" t="s">
        <v>3653</v>
      </c>
      <c r="E3344" s="89" t="s">
        <v>961</v>
      </c>
      <c r="F3344" s="89" t="s">
        <v>3798</v>
      </c>
    </row>
    <row r="3345" spans="3:6" x14ac:dyDescent="0.55000000000000004">
      <c r="C3345" s="90" t="s">
        <v>3654</v>
      </c>
      <c r="D3345" s="90" t="s">
        <v>3654</v>
      </c>
      <c r="E3345" s="89" t="s">
        <v>961</v>
      </c>
      <c r="F3345" s="89" t="s">
        <v>3798</v>
      </c>
    </row>
    <row r="3346" spans="3:6" x14ac:dyDescent="0.55000000000000004">
      <c r="C3346" s="90" t="s">
        <v>3655</v>
      </c>
      <c r="D3346" s="90" t="s">
        <v>3655</v>
      </c>
      <c r="E3346" s="89" t="s">
        <v>961</v>
      </c>
      <c r="F3346" s="89" t="s">
        <v>3798</v>
      </c>
    </row>
    <row r="3347" spans="3:6" x14ac:dyDescent="0.55000000000000004">
      <c r="C3347" s="90" t="s">
        <v>3656</v>
      </c>
      <c r="D3347" s="90" t="s">
        <v>3656</v>
      </c>
      <c r="E3347" s="89" t="s">
        <v>961</v>
      </c>
      <c r="F3347" s="89" t="s">
        <v>3798</v>
      </c>
    </row>
    <row r="3348" spans="3:6" x14ac:dyDescent="0.55000000000000004">
      <c r="C3348" s="90" t="s">
        <v>3657</v>
      </c>
      <c r="D3348" s="90" t="s">
        <v>3657</v>
      </c>
      <c r="E3348" s="89" t="s">
        <v>961</v>
      </c>
      <c r="F3348" s="89" t="s">
        <v>3798</v>
      </c>
    </row>
    <row r="3349" spans="3:6" x14ac:dyDescent="0.55000000000000004">
      <c r="C3349" s="90" t="s">
        <v>3657</v>
      </c>
      <c r="D3349" s="90" t="s">
        <v>3657</v>
      </c>
      <c r="E3349" s="89" t="s">
        <v>961</v>
      </c>
      <c r="F3349" s="89" t="s">
        <v>3798</v>
      </c>
    </row>
    <row r="3350" spans="3:6" x14ac:dyDescent="0.55000000000000004">
      <c r="C3350" s="90" t="s">
        <v>3658</v>
      </c>
      <c r="D3350" s="90" t="s">
        <v>3658</v>
      </c>
      <c r="E3350" s="89" t="s">
        <v>961</v>
      </c>
      <c r="F3350" s="89" t="s">
        <v>3798</v>
      </c>
    </row>
    <row r="3351" spans="3:6" x14ac:dyDescent="0.55000000000000004">
      <c r="C3351" s="90" t="s">
        <v>3659</v>
      </c>
      <c r="D3351" s="90" t="s">
        <v>3659</v>
      </c>
      <c r="E3351" s="89" t="s">
        <v>961</v>
      </c>
      <c r="F3351" s="89" t="s">
        <v>3798</v>
      </c>
    </row>
    <row r="3352" spans="3:6" x14ac:dyDescent="0.55000000000000004">
      <c r="C3352" s="90" t="s">
        <v>3660</v>
      </c>
      <c r="D3352" s="90" t="s">
        <v>3660</v>
      </c>
      <c r="E3352" s="89" t="s">
        <v>961</v>
      </c>
      <c r="F3352" s="89" t="s">
        <v>3798</v>
      </c>
    </row>
    <row r="3353" spans="3:6" x14ac:dyDescent="0.55000000000000004">
      <c r="C3353" s="90" t="s">
        <v>3661</v>
      </c>
      <c r="D3353" s="90" t="s">
        <v>3661</v>
      </c>
      <c r="E3353" s="89" t="s">
        <v>961</v>
      </c>
      <c r="F3353" s="89" t="s">
        <v>3798</v>
      </c>
    </row>
    <row r="3354" spans="3:6" x14ac:dyDescent="0.55000000000000004">
      <c r="C3354" s="90" t="s">
        <v>3662</v>
      </c>
      <c r="D3354" s="90" t="s">
        <v>3662</v>
      </c>
      <c r="E3354" s="89" t="s">
        <v>961</v>
      </c>
      <c r="F3354" s="89" t="s">
        <v>3798</v>
      </c>
    </row>
    <row r="3355" spans="3:6" x14ac:dyDescent="0.55000000000000004">
      <c r="C3355" s="90" t="s">
        <v>3663</v>
      </c>
      <c r="D3355" s="90" t="s">
        <v>3663</v>
      </c>
      <c r="E3355" s="89" t="s">
        <v>961</v>
      </c>
      <c r="F3355" s="89" t="s">
        <v>3798</v>
      </c>
    </row>
    <row r="3356" spans="3:6" x14ac:dyDescent="0.55000000000000004">
      <c r="C3356" s="90" t="s">
        <v>3664</v>
      </c>
      <c r="D3356" s="90" t="s">
        <v>3664</v>
      </c>
      <c r="E3356" s="89" t="s">
        <v>961</v>
      </c>
      <c r="F3356" s="89" t="s">
        <v>3798</v>
      </c>
    </row>
    <row r="3357" spans="3:6" x14ac:dyDescent="0.55000000000000004">
      <c r="C3357" s="90" t="s">
        <v>3665</v>
      </c>
      <c r="D3357" s="90" t="s">
        <v>3665</v>
      </c>
      <c r="E3357" s="89" t="s">
        <v>961</v>
      </c>
      <c r="F3357" s="89" t="s">
        <v>3798</v>
      </c>
    </row>
    <row r="3358" spans="3:6" x14ac:dyDescent="0.55000000000000004">
      <c r="C3358" s="90" t="s">
        <v>3666</v>
      </c>
      <c r="D3358" s="90" t="s">
        <v>3666</v>
      </c>
      <c r="E3358" s="89" t="s">
        <v>961</v>
      </c>
      <c r="F3358" s="89" t="s">
        <v>3798</v>
      </c>
    </row>
    <row r="3359" spans="3:6" x14ac:dyDescent="0.55000000000000004">
      <c r="C3359" s="90" t="s">
        <v>3667</v>
      </c>
      <c r="D3359" s="90" t="s">
        <v>3667</v>
      </c>
      <c r="E3359" s="89" t="s">
        <v>961</v>
      </c>
      <c r="F3359" s="89" t="s">
        <v>3798</v>
      </c>
    </row>
    <row r="3360" spans="3:6" x14ac:dyDescent="0.55000000000000004">
      <c r="C3360" s="90" t="s">
        <v>3668</v>
      </c>
      <c r="D3360" s="90" t="s">
        <v>3668</v>
      </c>
      <c r="E3360" s="89" t="s">
        <v>961</v>
      </c>
      <c r="F3360" s="89" t="s">
        <v>3798</v>
      </c>
    </row>
    <row r="3361" spans="3:6" x14ac:dyDescent="0.55000000000000004">
      <c r="C3361" s="90" t="s">
        <v>3669</v>
      </c>
      <c r="D3361" s="90" t="s">
        <v>3669</v>
      </c>
      <c r="E3361" s="89" t="s">
        <v>961</v>
      </c>
      <c r="F3361" s="89" t="s">
        <v>3798</v>
      </c>
    </row>
    <row r="3362" spans="3:6" x14ac:dyDescent="0.55000000000000004">
      <c r="C3362" s="90" t="s">
        <v>3666</v>
      </c>
      <c r="D3362" s="90" t="s">
        <v>3666</v>
      </c>
      <c r="E3362" s="89" t="s">
        <v>961</v>
      </c>
      <c r="F3362" s="89" t="s">
        <v>3798</v>
      </c>
    </row>
    <row r="3363" spans="3:6" x14ac:dyDescent="0.55000000000000004">
      <c r="C3363" s="90" t="s">
        <v>3667</v>
      </c>
      <c r="D3363" s="90" t="s">
        <v>3667</v>
      </c>
      <c r="E3363" s="89" t="s">
        <v>961</v>
      </c>
      <c r="F3363" s="89" t="s">
        <v>3798</v>
      </c>
    </row>
    <row r="3364" spans="3:6" x14ac:dyDescent="0.55000000000000004">
      <c r="C3364" s="90" t="s">
        <v>3668</v>
      </c>
      <c r="D3364" s="90" t="s">
        <v>3668</v>
      </c>
      <c r="E3364" s="89" t="s">
        <v>961</v>
      </c>
      <c r="F3364" s="89" t="s">
        <v>3798</v>
      </c>
    </row>
    <row r="3365" spans="3:6" x14ac:dyDescent="0.55000000000000004">
      <c r="C3365" s="90" t="s">
        <v>3670</v>
      </c>
      <c r="D3365" s="90" t="s">
        <v>3670</v>
      </c>
      <c r="E3365" s="89" t="s">
        <v>3808</v>
      </c>
      <c r="F3365" s="89" t="s">
        <v>3798</v>
      </c>
    </row>
    <row r="3366" spans="3:6" x14ac:dyDescent="0.55000000000000004">
      <c r="C3366" s="90" t="s">
        <v>3671</v>
      </c>
      <c r="D3366" s="90" t="s">
        <v>3671</v>
      </c>
      <c r="E3366" s="89" t="s">
        <v>3808</v>
      </c>
      <c r="F3366" s="89" t="s">
        <v>3798</v>
      </c>
    </row>
    <row r="3367" spans="3:6" x14ac:dyDescent="0.55000000000000004">
      <c r="C3367" s="90" t="s">
        <v>3672</v>
      </c>
      <c r="D3367" s="90" t="s">
        <v>3672</v>
      </c>
      <c r="E3367" s="89" t="s">
        <v>3808</v>
      </c>
      <c r="F3367" s="89" t="s">
        <v>3798</v>
      </c>
    </row>
    <row r="3368" spans="3:6" x14ac:dyDescent="0.55000000000000004">
      <c r="C3368" s="90" t="s">
        <v>3673</v>
      </c>
      <c r="D3368" s="90" t="s">
        <v>3673</v>
      </c>
      <c r="E3368" s="89" t="s">
        <v>3808</v>
      </c>
      <c r="F3368" s="89" t="s">
        <v>3798</v>
      </c>
    </row>
    <row r="3369" spans="3:6" x14ac:dyDescent="0.55000000000000004">
      <c r="C3369" s="90" t="s">
        <v>3674</v>
      </c>
      <c r="D3369" s="90" t="s">
        <v>3674</v>
      </c>
      <c r="E3369" s="89" t="s">
        <v>3808</v>
      </c>
      <c r="F3369" s="89" t="s">
        <v>3798</v>
      </c>
    </row>
    <row r="3370" spans="3:6" x14ac:dyDescent="0.55000000000000004">
      <c r="C3370" s="90" t="s">
        <v>3675</v>
      </c>
      <c r="D3370" s="90" t="s">
        <v>3675</v>
      </c>
      <c r="E3370" s="89" t="s">
        <v>3808</v>
      </c>
      <c r="F3370" s="89" t="s">
        <v>3798</v>
      </c>
    </row>
    <row r="3371" spans="3:6" x14ac:dyDescent="0.55000000000000004">
      <c r="C3371" s="90" t="s">
        <v>3672</v>
      </c>
      <c r="D3371" s="90" t="s">
        <v>3672</v>
      </c>
      <c r="E3371" s="89" t="s">
        <v>3808</v>
      </c>
      <c r="F3371" s="89" t="s">
        <v>3798</v>
      </c>
    </row>
    <row r="3372" spans="3:6" x14ac:dyDescent="0.55000000000000004">
      <c r="C3372" s="90" t="s">
        <v>3673</v>
      </c>
      <c r="D3372" s="90" t="s">
        <v>3673</v>
      </c>
      <c r="E3372" s="89" t="s">
        <v>3808</v>
      </c>
      <c r="F3372" s="89" t="s">
        <v>3798</v>
      </c>
    </row>
    <row r="3373" spans="3:6" x14ac:dyDescent="0.55000000000000004">
      <c r="C3373" s="90" t="s">
        <v>3674</v>
      </c>
      <c r="D3373" s="90" t="s">
        <v>3674</v>
      </c>
      <c r="E3373" s="89" t="s">
        <v>3808</v>
      </c>
      <c r="F3373" s="89" t="s">
        <v>3798</v>
      </c>
    </row>
    <row r="3374" spans="3:6" x14ac:dyDescent="0.55000000000000004">
      <c r="C3374" s="90" t="s">
        <v>3676</v>
      </c>
      <c r="D3374" s="90" t="s">
        <v>3676</v>
      </c>
      <c r="E3374" s="89" t="s">
        <v>3808</v>
      </c>
      <c r="F3374" s="89" t="s">
        <v>3798</v>
      </c>
    </row>
    <row r="3375" spans="3:6" x14ac:dyDescent="0.55000000000000004">
      <c r="C3375" s="90" t="s">
        <v>3672</v>
      </c>
      <c r="D3375" s="90" t="s">
        <v>3672</v>
      </c>
      <c r="E3375" s="89" t="s">
        <v>3808</v>
      </c>
      <c r="F3375" s="89" t="s">
        <v>3798</v>
      </c>
    </row>
    <row r="3376" spans="3:6" x14ac:dyDescent="0.55000000000000004">
      <c r="C3376" s="90" t="s">
        <v>3673</v>
      </c>
      <c r="D3376" s="90" t="s">
        <v>3673</v>
      </c>
      <c r="E3376" s="89" t="s">
        <v>3808</v>
      </c>
      <c r="F3376" s="89" t="s">
        <v>3798</v>
      </c>
    </row>
    <row r="3377" spans="3:6" x14ac:dyDescent="0.55000000000000004">
      <c r="C3377" s="90" t="s">
        <v>3674</v>
      </c>
      <c r="D3377" s="90" t="s">
        <v>3674</v>
      </c>
      <c r="E3377" s="89" t="s">
        <v>3808</v>
      </c>
      <c r="F3377" s="89" t="s">
        <v>3798</v>
      </c>
    </row>
    <row r="3378" spans="3:6" x14ac:dyDescent="0.55000000000000004">
      <c r="C3378" s="90" t="s">
        <v>3677</v>
      </c>
      <c r="D3378" s="90" t="s">
        <v>3677</v>
      </c>
      <c r="E3378" s="89" t="s">
        <v>3808</v>
      </c>
      <c r="F3378" s="89" t="s">
        <v>3798</v>
      </c>
    </row>
    <row r="3379" spans="3:6" x14ac:dyDescent="0.55000000000000004">
      <c r="C3379" s="90" t="s">
        <v>3672</v>
      </c>
      <c r="D3379" s="90" t="s">
        <v>3672</v>
      </c>
      <c r="E3379" s="89" t="s">
        <v>3808</v>
      </c>
      <c r="F3379" s="89" t="s">
        <v>3798</v>
      </c>
    </row>
    <row r="3380" spans="3:6" x14ac:dyDescent="0.55000000000000004">
      <c r="C3380" s="90" t="s">
        <v>3673</v>
      </c>
      <c r="D3380" s="90" t="s">
        <v>3673</v>
      </c>
      <c r="E3380" s="89" t="s">
        <v>3808</v>
      </c>
      <c r="F3380" s="89" t="s">
        <v>3798</v>
      </c>
    </row>
    <row r="3381" spans="3:6" x14ac:dyDescent="0.55000000000000004">
      <c r="C3381" s="90" t="s">
        <v>3674</v>
      </c>
      <c r="D3381" s="90" t="s">
        <v>3674</v>
      </c>
      <c r="E3381" s="89" t="s">
        <v>3808</v>
      </c>
      <c r="F3381" s="89" t="s">
        <v>3798</v>
      </c>
    </row>
    <row r="3382" spans="3:6" x14ac:dyDescent="0.55000000000000004">
      <c r="C3382" s="90" t="s">
        <v>3678</v>
      </c>
      <c r="D3382" s="90" t="s">
        <v>3678</v>
      </c>
      <c r="E3382" s="89" t="s">
        <v>961</v>
      </c>
      <c r="F3382" s="89" t="s">
        <v>3798</v>
      </c>
    </row>
    <row r="3383" spans="3:6" x14ac:dyDescent="0.55000000000000004">
      <c r="C3383" s="90" t="s">
        <v>3679</v>
      </c>
      <c r="D3383" s="90" t="s">
        <v>3679</v>
      </c>
      <c r="E3383" s="89" t="s">
        <v>961</v>
      </c>
      <c r="F3383" s="89" t="s">
        <v>3798</v>
      </c>
    </row>
    <row r="3384" spans="3:6" x14ac:dyDescent="0.55000000000000004">
      <c r="C3384" s="90" t="s">
        <v>3680</v>
      </c>
      <c r="D3384" s="90" t="s">
        <v>3680</v>
      </c>
      <c r="E3384" s="89" t="s">
        <v>961</v>
      </c>
      <c r="F3384" s="89" t="s">
        <v>3798</v>
      </c>
    </row>
    <row r="3385" spans="3:6" x14ac:dyDescent="0.55000000000000004">
      <c r="C3385" s="90" t="s">
        <v>3681</v>
      </c>
      <c r="D3385" s="90" t="s">
        <v>3681</v>
      </c>
      <c r="E3385" s="89" t="s">
        <v>961</v>
      </c>
      <c r="F3385" s="89" t="s">
        <v>3798</v>
      </c>
    </row>
    <row r="3386" spans="3:6" x14ac:dyDescent="0.55000000000000004">
      <c r="C3386" s="90" t="s">
        <v>3682</v>
      </c>
      <c r="D3386" s="90" t="s">
        <v>3682</v>
      </c>
      <c r="E3386" s="89" t="s">
        <v>961</v>
      </c>
      <c r="F3386" s="89" t="s">
        <v>3798</v>
      </c>
    </row>
    <row r="3387" spans="3:6" x14ac:dyDescent="0.55000000000000004">
      <c r="C3387" s="90" t="s">
        <v>3683</v>
      </c>
      <c r="D3387" s="90" t="s">
        <v>3683</v>
      </c>
      <c r="E3387" s="89" t="s">
        <v>961</v>
      </c>
      <c r="F3387" s="89" t="s">
        <v>3798</v>
      </c>
    </row>
    <row r="3388" spans="3:6" x14ac:dyDescent="0.55000000000000004">
      <c r="C3388" s="90" t="s">
        <v>3684</v>
      </c>
      <c r="D3388" s="90" t="s">
        <v>3684</v>
      </c>
      <c r="E3388" s="89" t="s">
        <v>961</v>
      </c>
      <c r="F3388" s="89" t="s">
        <v>3798</v>
      </c>
    </row>
    <row r="3389" spans="3:6" x14ac:dyDescent="0.55000000000000004">
      <c r="C3389" s="90" t="s">
        <v>3685</v>
      </c>
      <c r="D3389" s="90" t="s">
        <v>3685</v>
      </c>
      <c r="E3389" s="89" t="s">
        <v>961</v>
      </c>
      <c r="F3389" s="89" t="s">
        <v>3798</v>
      </c>
    </row>
    <row r="3390" spans="3:6" x14ac:dyDescent="0.55000000000000004">
      <c r="C3390" s="90" t="s">
        <v>3686</v>
      </c>
      <c r="D3390" s="90" t="s">
        <v>3686</v>
      </c>
      <c r="E3390" s="89" t="s">
        <v>961</v>
      </c>
      <c r="F3390" s="89" t="s">
        <v>3798</v>
      </c>
    </row>
    <row r="3391" spans="3:6" x14ac:dyDescent="0.55000000000000004">
      <c r="C3391" s="90" t="s">
        <v>3687</v>
      </c>
      <c r="D3391" s="90" t="s">
        <v>3687</v>
      </c>
      <c r="E3391" s="89" t="s">
        <v>961</v>
      </c>
      <c r="F3391" s="89" t="s">
        <v>3798</v>
      </c>
    </row>
    <row r="3392" spans="3:6" x14ac:dyDescent="0.55000000000000004">
      <c r="C3392" s="90" t="s">
        <v>3688</v>
      </c>
      <c r="D3392" s="90" t="s">
        <v>3688</v>
      </c>
      <c r="E3392" s="89" t="s">
        <v>961</v>
      </c>
      <c r="F3392" s="89" t="s">
        <v>3798</v>
      </c>
    </row>
    <row r="3393" spans="3:6" x14ac:dyDescent="0.55000000000000004">
      <c r="C3393" s="90" t="s">
        <v>3689</v>
      </c>
      <c r="D3393" s="90" t="s">
        <v>3689</v>
      </c>
      <c r="E3393" s="89" t="s">
        <v>961</v>
      </c>
      <c r="F3393" s="89" t="s">
        <v>3798</v>
      </c>
    </row>
    <row r="3394" spans="3:6" x14ac:dyDescent="0.55000000000000004">
      <c r="C3394" s="90" t="s">
        <v>3690</v>
      </c>
      <c r="D3394" s="90" t="s">
        <v>3690</v>
      </c>
      <c r="E3394" s="89" t="s">
        <v>961</v>
      </c>
      <c r="F3394" s="89" t="s">
        <v>3798</v>
      </c>
    </row>
    <row r="3395" spans="3:6" x14ac:dyDescent="0.55000000000000004">
      <c r="C3395" s="90" t="s">
        <v>3691</v>
      </c>
      <c r="D3395" s="90" t="s">
        <v>3691</v>
      </c>
      <c r="E3395" s="89" t="s">
        <v>961</v>
      </c>
      <c r="F3395" s="89" t="s">
        <v>3798</v>
      </c>
    </row>
    <row r="3396" spans="3:6" x14ac:dyDescent="0.55000000000000004">
      <c r="C3396" s="90" t="s">
        <v>3692</v>
      </c>
      <c r="D3396" s="90" t="s">
        <v>3692</v>
      </c>
      <c r="E3396" s="89" t="s">
        <v>961</v>
      </c>
      <c r="F3396" s="89" t="s">
        <v>3798</v>
      </c>
    </row>
    <row r="3397" spans="3:6" x14ac:dyDescent="0.55000000000000004">
      <c r="C3397" s="90" t="s">
        <v>3693</v>
      </c>
      <c r="D3397" s="90" t="s">
        <v>3693</v>
      </c>
      <c r="E3397" s="89" t="s">
        <v>961</v>
      </c>
      <c r="F3397" s="89" t="s">
        <v>3798</v>
      </c>
    </row>
    <row r="3398" spans="3:6" ht="25.8" x14ac:dyDescent="0.55000000000000004">
      <c r="C3398" s="90" t="s">
        <v>3694</v>
      </c>
      <c r="D3398" s="90" t="s">
        <v>3694</v>
      </c>
      <c r="E3398" s="89" t="s">
        <v>3809</v>
      </c>
      <c r="F3398" s="89" t="s">
        <v>3799</v>
      </c>
    </row>
    <row r="3399" spans="3:6" ht="25.8" x14ac:dyDescent="0.55000000000000004">
      <c r="C3399" s="90" t="s">
        <v>3695</v>
      </c>
      <c r="D3399" s="90" t="s">
        <v>3695</v>
      </c>
      <c r="E3399" s="89" t="s">
        <v>3810</v>
      </c>
      <c r="F3399" s="89" t="s">
        <v>3800</v>
      </c>
    </row>
    <row r="3400" spans="3:6" ht="25.8" x14ac:dyDescent="0.55000000000000004">
      <c r="C3400" s="90" t="s">
        <v>3696</v>
      </c>
      <c r="D3400" s="90" t="s">
        <v>3696</v>
      </c>
      <c r="E3400" s="89" t="s">
        <v>3811</v>
      </c>
      <c r="F3400" s="89" t="s">
        <v>3800</v>
      </c>
    </row>
    <row r="3401" spans="3:6" x14ac:dyDescent="0.55000000000000004">
      <c r="C3401" s="90" t="s">
        <v>3697</v>
      </c>
      <c r="D3401" s="90" t="s">
        <v>3697</v>
      </c>
      <c r="E3401" s="89" t="s">
        <v>3810</v>
      </c>
      <c r="F3401" s="89" t="s">
        <v>357</v>
      </c>
    </row>
    <row r="3402" spans="3:6" ht="25.8" x14ac:dyDescent="0.55000000000000004">
      <c r="C3402" s="90" t="s">
        <v>3698</v>
      </c>
      <c r="D3402" s="90" t="s">
        <v>3698</v>
      </c>
      <c r="E3402" s="89" t="s">
        <v>3811</v>
      </c>
      <c r="F3402" s="89" t="s">
        <v>357</v>
      </c>
    </row>
    <row r="3403" spans="3:6" x14ac:dyDescent="0.55000000000000004">
      <c r="C3403" s="90" t="s">
        <v>3699</v>
      </c>
      <c r="D3403" s="90" t="s">
        <v>3699</v>
      </c>
      <c r="E3403" s="89" t="s">
        <v>3810</v>
      </c>
      <c r="F3403" s="89" t="s">
        <v>357</v>
      </c>
    </row>
    <row r="3404" spans="3:6" ht="25.8" x14ac:dyDescent="0.55000000000000004">
      <c r="C3404" s="90" t="s">
        <v>3700</v>
      </c>
      <c r="D3404" s="90" t="s">
        <v>3700</v>
      </c>
      <c r="E3404" s="89" t="s">
        <v>3812</v>
      </c>
      <c r="F3404" s="89" t="s">
        <v>357</v>
      </c>
    </row>
    <row r="3405" spans="3:6" x14ac:dyDescent="0.55000000000000004">
      <c r="C3405" s="90" t="s">
        <v>3701</v>
      </c>
      <c r="D3405" s="90" t="s">
        <v>3701</v>
      </c>
      <c r="E3405" s="89" t="s">
        <v>3810</v>
      </c>
      <c r="F3405" s="89" t="s">
        <v>3801</v>
      </c>
    </row>
    <row r="3406" spans="3:6" ht="38.700000000000003" x14ac:dyDescent="0.55000000000000004">
      <c r="C3406" s="90" t="s">
        <v>3702</v>
      </c>
      <c r="D3406" s="90" t="s">
        <v>3702</v>
      </c>
      <c r="E3406" s="89" t="s">
        <v>3813</v>
      </c>
      <c r="F3406" s="89" t="s">
        <v>3801</v>
      </c>
    </row>
    <row r="3407" spans="3:6" ht="25.8" x14ac:dyDescent="0.55000000000000004">
      <c r="C3407" s="90" t="s">
        <v>3703</v>
      </c>
      <c r="D3407" s="90" t="s">
        <v>3703</v>
      </c>
      <c r="E3407" s="89" t="s">
        <v>3814</v>
      </c>
      <c r="F3407" s="89" t="s">
        <v>3802</v>
      </c>
    </row>
    <row r="3408" spans="3:6" ht="25.8" x14ac:dyDescent="0.55000000000000004">
      <c r="C3408" s="90" t="s">
        <v>3704</v>
      </c>
      <c r="D3408" s="90" t="s">
        <v>3704</v>
      </c>
      <c r="E3408" s="89" t="s">
        <v>3815</v>
      </c>
      <c r="F3408" s="89" t="s">
        <v>3802</v>
      </c>
    </row>
    <row r="3409" spans="3:6" x14ac:dyDescent="0.55000000000000004">
      <c r="C3409" s="90" t="s">
        <v>3705</v>
      </c>
      <c r="D3409" s="90" t="s">
        <v>3705</v>
      </c>
      <c r="E3409" s="89" t="s">
        <v>3814</v>
      </c>
      <c r="F3409" s="89" t="s">
        <v>3801</v>
      </c>
    </row>
    <row r="3410" spans="3:6" x14ac:dyDescent="0.55000000000000004">
      <c r="C3410" s="90" t="s">
        <v>3706</v>
      </c>
      <c r="D3410" s="90" t="s">
        <v>3706</v>
      </c>
      <c r="E3410" s="89" t="s">
        <v>3814</v>
      </c>
      <c r="F3410" s="89" t="s">
        <v>3801</v>
      </c>
    </row>
    <row r="3411" spans="3:6" x14ac:dyDescent="0.55000000000000004">
      <c r="C3411" s="90" t="s">
        <v>3707</v>
      </c>
      <c r="D3411" s="90" t="s">
        <v>3707</v>
      </c>
      <c r="E3411" s="89" t="s">
        <v>3814</v>
      </c>
      <c r="F3411" s="89" t="s">
        <v>3803</v>
      </c>
    </row>
    <row r="3412" spans="3:6" x14ac:dyDescent="0.55000000000000004">
      <c r="C3412" s="90" t="s">
        <v>3708</v>
      </c>
      <c r="D3412" s="90" t="s">
        <v>3708</v>
      </c>
      <c r="E3412" s="89" t="s">
        <v>3814</v>
      </c>
      <c r="F3412" s="89" t="s">
        <v>3803</v>
      </c>
    </row>
    <row r="3413" spans="3:6" ht="25.8" x14ac:dyDescent="0.55000000000000004">
      <c r="C3413" s="90" t="s">
        <v>3709</v>
      </c>
      <c r="D3413" s="90" t="s">
        <v>3709</v>
      </c>
      <c r="E3413" s="89" t="s">
        <v>3816</v>
      </c>
      <c r="F3413" s="89" t="s">
        <v>357</v>
      </c>
    </row>
    <row r="3414" spans="3:6" ht="25.8" x14ac:dyDescent="0.55000000000000004">
      <c r="C3414" s="90" t="s">
        <v>3710</v>
      </c>
      <c r="D3414" s="90" t="s">
        <v>3710</v>
      </c>
      <c r="E3414" s="89" t="s">
        <v>3817</v>
      </c>
      <c r="F3414" s="89" t="s">
        <v>3804</v>
      </c>
    </row>
    <row r="3415" spans="3:6" ht="25.8" x14ac:dyDescent="0.55000000000000004">
      <c r="C3415" s="90" t="s">
        <v>3711</v>
      </c>
      <c r="D3415" s="90" t="s">
        <v>3711</v>
      </c>
      <c r="E3415" s="89" t="s">
        <v>3817</v>
      </c>
      <c r="F3415" s="89" t="s">
        <v>3804</v>
      </c>
    </row>
    <row r="3416" spans="3:6" x14ac:dyDescent="0.55000000000000004">
      <c r="C3416" s="90" t="s">
        <v>3712</v>
      </c>
      <c r="D3416" s="90" t="s">
        <v>3712</v>
      </c>
      <c r="E3416" s="89" t="s">
        <v>3817</v>
      </c>
      <c r="F3416" s="89" t="s">
        <v>650</v>
      </c>
    </row>
    <row r="3417" spans="3:6" x14ac:dyDescent="0.55000000000000004">
      <c r="C3417" s="90" t="s">
        <v>3713</v>
      </c>
      <c r="D3417" s="90" t="s">
        <v>3713</v>
      </c>
      <c r="E3417" s="89" t="s">
        <v>3817</v>
      </c>
      <c r="F3417" s="89" t="s">
        <v>650</v>
      </c>
    </row>
    <row r="3418" spans="3:6" x14ac:dyDescent="0.55000000000000004">
      <c r="C3418" s="90" t="s">
        <v>3714</v>
      </c>
      <c r="D3418" s="90" t="s">
        <v>3714</v>
      </c>
      <c r="E3418" s="89" t="s">
        <v>3817</v>
      </c>
      <c r="F3418" s="89" t="s">
        <v>650</v>
      </c>
    </row>
    <row r="3419" spans="3:6" x14ac:dyDescent="0.55000000000000004">
      <c r="C3419" s="90" t="s">
        <v>3715</v>
      </c>
      <c r="D3419" s="90" t="s">
        <v>3715</v>
      </c>
      <c r="E3419" s="89" t="s">
        <v>3818</v>
      </c>
      <c r="F3419" s="89" t="s">
        <v>650</v>
      </c>
    </row>
    <row r="3420" spans="3:6" x14ac:dyDescent="0.55000000000000004">
      <c r="C3420" s="90" t="s">
        <v>3716</v>
      </c>
      <c r="D3420" s="90" t="s">
        <v>3716</v>
      </c>
      <c r="E3420" s="89" t="s">
        <v>3809</v>
      </c>
      <c r="F3420" s="89" t="s">
        <v>650</v>
      </c>
    </row>
    <row r="3421" spans="3:6" x14ac:dyDescent="0.55000000000000004">
      <c r="C3421" s="90" t="s">
        <v>3717</v>
      </c>
      <c r="D3421" s="90" t="s">
        <v>3717</v>
      </c>
      <c r="E3421" s="89" t="s">
        <v>3819</v>
      </c>
      <c r="F3421" s="89" t="s">
        <v>650</v>
      </c>
    </row>
    <row r="3422" spans="3:6" x14ac:dyDescent="0.55000000000000004">
      <c r="C3422" s="90" t="s">
        <v>3718</v>
      </c>
      <c r="D3422" s="90" t="s">
        <v>3718</v>
      </c>
      <c r="E3422" s="89" t="s">
        <v>3820</v>
      </c>
      <c r="F3422" s="89" t="s">
        <v>650</v>
      </c>
    </row>
    <row r="3423" spans="3:6" x14ac:dyDescent="0.55000000000000004">
      <c r="C3423" s="90" t="s">
        <v>3719</v>
      </c>
      <c r="D3423" s="90" t="s">
        <v>3719</v>
      </c>
      <c r="E3423" s="89" t="s">
        <v>3820</v>
      </c>
      <c r="F3423" s="89" t="s">
        <v>650</v>
      </c>
    </row>
    <row r="3424" spans="3:6" x14ac:dyDescent="0.55000000000000004">
      <c r="C3424" s="90" t="s">
        <v>3720</v>
      </c>
      <c r="D3424" s="90" t="s">
        <v>3720</v>
      </c>
      <c r="E3424" s="89" t="s">
        <v>3820</v>
      </c>
      <c r="F3424" s="89" t="s">
        <v>650</v>
      </c>
    </row>
    <row r="3425" spans="3:6" x14ac:dyDescent="0.55000000000000004">
      <c r="C3425" s="90" t="s">
        <v>3721</v>
      </c>
      <c r="D3425" s="90" t="s">
        <v>3721</v>
      </c>
      <c r="E3425" s="89" t="s">
        <v>961</v>
      </c>
      <c r="F3425" s="89" t="s">
        <v>3798</v>
      </c>
    </row>
    <row r="3426" spans="3:6" x14ac:dyDescent="0.55000000000000004">
      <c r="C3426" s="90" t="s">
        <v>3722</v>
      </c>
      <c r="D3426" s="90" t="s">
        <v>3722</v>
      </c>
      <c r="E3426" s="89" t="s">
        <v>961</v>
      </c>
      <c r="F3426" s="89" t="s">
        <v>3798</v>
      </c>
    </row>
    <row r="3427" spans="3:6" x14ac:dyDescent="0.55000000000000004">
      <c r="C3427" s="90" t="s">
        <v>3723</v>
      </c>
      <c r="D3427" s="90" t="s">
        <v>3723</v>
      </c>
      <c r="E3427" s="89" t="s">
        <v>961</v>
      </c>
      <c r="F3427" s="89" t="s">
        <v>3798</v>
      </c>
    </row>
    <row r="3428" spans="3:6" x14ac:dyDescent="0.55000000000000004">
      <c r="C3428" s="90" t="s">
        <v>3724</v>
      </c>
      <c r="D3428" s="90" t="s">
        <v>3724</v>
      </c>
      <c r="E3428" s="89" t="s">
        <v>3821</v>
      </c>
      <c r="F3428" s="89" t="s">
        <v>3805</v>
      </c>
    </row>
    <row r="3429" spans="3:6" x14ac:dyDescent="0.55000000000000004">
      <c r="C3429" s="90" t="s">
        <v>3725</v>
      </c>
      <c r="D3429" s="90" t="s">
        <v>3725</v>
      </c>
      <c r="E3429" s="89" t="s">
        <v>961</v>
      </c>
      <c r="F3429" s="89" t="s">
        <v>3805</v>
      </c>
    </row>
    <row r="3430" spans="3:6" x14ac:dyDescent="0.55000000000000004">
      <c r="C3430" s="90" t="s">
        <v>3726</v>
      </c>
      <c r="D3430" s="90" t="s">
        <v>3726</v>
      </c>
      <c r="E3430" s="89" t="s">
        <v>961</v>
      </c>
      <c r="F3430" s="89" t="s">
        <v>3805</v>
      </c>
    </row>
    <row r="3431" spans="3:6" x14ac:dyDescent="0.55000000000000004">
      <c r="C3431" s="90" t="s">
        <v>3727</v>
      </c>
      <c r="D3431" s="90" t="s">
        <v>3727</v>
      </c>
      <c r="E3431" s="89" t="s">
        <v>961</v>
      </c>
      <c r="F3431" s="89" t="s">
        <v>3805</v>
      </c>
    </row>
    <row r="3432" spans="3:6" x14ac:dyDescent="0.55000000000000004">
      <c r="C3432" s="90" t="s">
        <v>3728</v>
      </c>
      <c r="D3432" s="90" t="s">
        <v>3728</v>
      </c>
      <c r="E3432" s="89" t="s">
        <v>961</v>
      </c>
      <c r="F3432" s="89" t="s">
        <v>3805</v>
      </c>
    </row>
    <row r="3433" spans="3:6" x14ac:dyDescent="0.55000000000000004">
      <c r="C3433" s="90" t="s">
        <v>3729</v>
      </c>
      <c r="D3433" s="90" t="s">
        <v>3729</v>
      </c>
      <c r="E3433" s="89" t="s">
        <v>961</v>
      </c>
      <c r="F3433" s="89" t="s">
        <v>3805</v>
      </c>
    </row>
    <row r="3434" spans="3:6" x14ac:dyDescent="0.55000000000000004">
      <c r="C3434" s="90" t="s">
        <v>3730</v>
      </c>
      <c r="D3434" s="90" t="s">
        <v>3730</v>
      </c>
      <c r="E3434" s="89" t="s">
        <v>961</v>
      </c>
      <c r="F3434" s="89" t="s">
        <v>3805</v>
      </c>
    </row>
    <row r="3435" spans="3:6" x14ac:dyDescent="0.55000000000000004">
      <c r="C3435" s="90" t="s">
        <v>3731</v>
      </c>
      <c r="D3435" s="90" t="s">
        <v>3731</v>
      </c>
      <c r="E3435" s="89" t="s">
        <v>961</v>
      </c>
      <c r="F3435" s="89" t="s">
        <v>3805</v>
      </c>
    </row>
    <row r="3436" spans="3:6" x14ac:dyDescent="0.55000000000000004">
      <c r="C3436" s="90" t="s">
        <v>3732</v>
      </c>
      <c r="D3436" s="90" t="s">
        <v>3732</v>
      </c>
      <c r="E3436" s="89" t="s">
        <v>961</v>
      </c>
      <c r="F3436" s="89" t="s">
        <v>3805</v>
      </c>
    </row>
    <row r="3437" spans="3:6" x14ac:dyDescent="0.55000000000000004">
      <c r="C3437" s="90" t="s">
        <v>3733</v>
      </c>
      <c r="D3437" s="90" t="s">
        <v>3733</v>
      </c>
      <c r="E3437" s="89" t="s">
        <v>961</v>
      </c>
      <c r="F3437" s="89" t="s">
        <v>3805</v>
      </c>
    </row>
    <row r="3438" spans="3:6" x14ac:dyDescent="0.55000000000000004">
      <c r="C3438" s="90" t="s">
        <v>3734</v>
      </c>
      <c r="D3438" s="90" t="s">
        <v>3734</v>
      </c>
      <c r="E3438" s="89" t="s">
        <v>961</v>
      </c>
      <c r="F3438" s="89" t="s">
        <v>3805</v>
      </c>
    </row>
    <row r="3439" spans="3:6" ht="38.700000000000003" x14ac:dyDescent="0.55000000000000004">
      <c r="C3439" s="90" t="s">
        <v>3735</v>
      </c>
      <c r="D3439" s="90" t="s">
        <v>3735</v>
      </c>
      <c r="E3439" s="89" t="s">
        <v>3822</v>
      </c>
      <c r="F3439" s="89" t="s">
        <v>650</v>
      </c>
    </row>
    <row r="3440" spans="3:6" x14ac:dyDescent="0.55000000000000004">
      <c r="C3440" s="90" t="s">
        <v>3736</v>
      </c>
      <c r="D3440" s="90" t="s">
        <v>3736</v>
      </c>
      <c r="E3440" s="89" t="s">
        <v>961</v>
      </c>
      <c r="F3440" s="89" t="s">
        <v>3805</v>
      </c>
    </row>
    <row r="3441" spans="3:6" x14ac:dyDescent="0.55000000000000004">
      <c r="C3441" s="90" t="s">
        <v>3737</v>
      </c>
      <c r="D3441" s="90" t="s">
        <v>3737</v>
      </c>
      <c r="E3441" s="89" t="s">
        <v>961</v>
      </c>
      <c r="F3441" s="89" t="s">
        <v>3798</v>
      </c>
    </row>
    <row r="3442" spans="3:6" x14ac:dyDescent="0.55000000000000004">
      <c r="C3442" s="90" t="s">
        <v>3738</v>
      </c>
      <c r="D3442" s="90" t="s">
        <v>3738</v>
      </c>
      <c r="E3442" s="89" t="s">
        <v>961</v>
      </c>
      <c r="F3442" s="89" t="s">
        <v>3798</v>
      </c>
    </row>
    <row r="3443" spans="3:6" x14ac:dyDescent="0.55000000000000004">
      <c r="C3443" s="90" t="s">
        <v>3739</v>
      </c>
      <c r="D3443" s="90" t="s">
        <v>3739</v>
      </c>
      <c r="E3443" s="89" t="s">
        <v>961</v>
      </c>
      <c r="F3443" s="89" t="s">
        <v>3798</v>
      </c>
    </row>
    <row r="3444" spans="3:6" x14ac:dyDescent="0.55000000000000004">
      <c r="C3444" s="90" t="s">
        <v>3740</v>
      </c>
      <c r="D3444" s="90" t="s">
        <v>3740</v>
      </c>
      <c r="E3444" s="89" t="s">
        <v>961</v>
      </c>
      <c r="F3444" s="89" t="s">
        <v>3798</v>
      </c>
    </row>
    <row r="3445" spans="3:6" x14ac:dyDescent="0.55000000000000004">
      <c r="C3445" s="90" t="s">
        <v>3741</v>
      </c>
      <c r="D3445" s="90" t="s">
        <v>3741</v>
      </c>
      <c r="E3445" s="89" t="s">
        <v>961</v>
      </c>
      <c r="F3445" s="89" t="s">
        <v>3806</v>
      </c>
    </row>
    <row r="3446" spans="3:6" x14ac:dyDescent="0.55000000000000004">
      <c r="C3446" s="90" t="s">
        <v>3742</v>
      </c>
      <c r="D3446" s="90" t="s">
        <v>3742</v>
      </c>
      <c r="E3446" s="89" t="s">
        <v>961</v>
      </c>
      <c r="F3446" s="89" t="s">
        <v>3805</v>
      </c>
    </row>
    <row r="3447" spans="3:6" x14ac:dyDescent="0.55000000000000004">
      <c r="C3447" s="90" t="s">
        <v>3743</v>
      </c>
      <c r="D3447" s="90" t="s">
        <v>3743</v>
      </c>
      <c r="E3447" s="89" t="s">
        <v>961</v>
      </c>
      <c r="F3447" s="89" t="s">
        <v>3798</v>
      </c>
    </row>
    <row r="3448" spans="3:6" x14ac:dyDescent="0.55000000000000004">
      <c r="C3448" s="90" t="s">
        <v>3744</v>
      </c>
      <c r="D3448" s="90" t="s">
        <v>3744</v>
      </c>
      <c r="E3448" s="89" t="s">
        <v>961</v>
      </c>
      <c r="F3448" s="89" t="s">
        <v>3798</v>
      </c>
    </row>
    <row r="3449" spans="3:6" x14ac:dyDescent="0.55000000000000004">
      <c r="C3449" s="90" t="s">
        <v>3745</v>
      </c>
      <c r="D3449" s="90" t="s">
        <v>3745</v>
      </c>
      <c r="E3449" s="89" t="s">
        <v>3823</v>
      </c>
      <c r="F3449" s="89" t="s">
        <v>3805</v>
      </c>
    </row>
    <row r="3450" spans="3:6" x14ac:dyDescent="0.55000000000000004">
      <c r="C3450" s="90" t="s">
        <v>3746</v>
      </c>
      <c r="D3450" s="90" t="s">
        <v>3746</v>
      </c>
      <c r="E3450" s="89" t="s">
        <v>961</v>
      </c>
      <c r="F3450" s="89" t="s">
        <v>3798</v>
      </c>
    </row>
    <row r="3451" spans="3:6" x14ac:dyDescent="0.55000000000000004">
      <c r="C3451" s="90" t="s">
        <v>3747</v>
      </c>
      <c r="D3451" s="90" t="s">
        <v>3747</v>
      </c>
      <c r="E3451" s="89" t="s">
        <v>961</v>
      </c>
      <c r="F3451" s="89" t="s">
        <v>3798</v>
      </c>
    </row>
    <row r="3452" spans="3:6" x14ac:dyDescent="0.55000000000000004">
      <c r="C3452" s="90" t="s">
        <v>3748</v>
      </c>
      <c r="D3452" s="90" t="s">
        <v>3748</v>
      </c>
      <c r="E3452" s="89" t="s">
        <v>961</v>
      </c>
      <c r="F3452" s="89" t="s">
        <v>3798</v>
      </c>
    </row>
    <row r="3453" spans="3:6" x14ac:dyDescent="0.55000000000000004">
      <c r="C3453" s="90" t="s">
        <v>3749</v>
      </c>
      <c r="D3453" s="90" t="s">
        <v>3749</v>
      </c>
      <c r="E3453" s="89" t="s">
        <v>961</v>
      </c>
      <c r="F3453" s="89" t="s">
        <v>3798</v>
      </c>
    </row>
    <row r="3454" spans="3:6" x14ac:dyDescent="0.55000000000000004">
      <c r="C3454" s="90" t="s">
        <v>3750</v>
      </c>
      <c r="D3454" s="90" t="s">
        <v>3750</v>
      </c>
      <c r="E3454" s="89" t="s">
        <v>961</v>
      </c>
      <c r="F3454" s="89" t="s">
        <v>3798</v>
      </c>
    </row>
    <row r="3455" spans="3:6" x14ac:dyDescent="0.55000000000000004">
      <c r="C3455" s="90" t="s">
        <v>3751</v>
      </c>
      <c r="D3455" s="90" t="s">
        <v>3751</v>
      </c>
      <c r="E3455" s="89" t="s">
        <v>961</v>
      </c>
      <c r="F3455" s="89" t="s">
        <v>3798</v>
      </c>
    </row>
    <row r="3456" spans="3:6" x14ac:dyDescent="0.55000000000000004">
      <c r="C3456" s="90" t="s">
        <v>3752</v>
      </c>
      <c r="D3456" s="90" t="s">
        <v>3752</v>
      </c>
      <c r="E3456" s="89" t="s">
        <v>961</v>
      </c>
      <c r="F3456" s="89" t="s">
        <v>3798</v>
      </c>
    </row>
    <row r="3457" spans="3:6" x14ac:dyDescent="0.55000000000000004">
      <c r="C3457" s="90" t="s">
        <v>3753</v>
      </c>
      <c r="D3457" s="90" t="s">
        <v>3753</v>
      </c>
      <c r="E3457" s="89" t="s">
        <v>961</v>
      </c>
      <c r="F3457" s="89" t="s">
        <v>3798</v>
      </c>
    </row>
    <row r="3458" spans="3:6" x14ac:dyDescent="0.55000000000000004">
      <c r="C3458" s="90" t="s">
        <v>3754</v>
      </c>
      <c r="D3458" s="90" t="s">
        <v>3754</v>
      </c>
      <c r="E3458" s="89" t="s">
        <v>961</v>
      </c>
      <c r="F3458" s="89" t="s">
        <v>3798</v>
      </c>
    </row>
    <row r="3459" spans="3:6" x14ac:dyDescent="0.55000000000000004">
      <c r="C3459" s="90" t="s">
        <v>3755</v>
      </c>
      <c r="D3459" s="90" t="s">
        <v>3755</v>
      </c>
      <c r="E3459" s="89" t="s">
        <v>961</v>
      </c>
      <c r="F3459" s="89" t="s">
        <v>3798</v>
      </c>
    </row>
    <row r="3460" spans="3:6" x14ac:dyDescent="0.55000000000000004">
      <c r="C3460" s="90" t="s">
        <v>3756</v>
      </c>
      <c r="D3460" s="90" t="s">
        <v>3756</v>
      </c>
      <c r="E3460" s="89" t="s">
        <v>961</v>
      </c>
      <c r="F3460" s="89" t="s">
        <v>3798</v>
      </c>
    </row>
    <row r="3461" spans="3:6" x14ac:dyDescent="0.55000000000000004">
      <c r="C3461" s="90" t="s">
        <v>3757</v>
      </c>
      <c r="D3461" s="90" t="s">
        <v>3757</v>
      </c>
      <c r="E3461" s="89" t="s">
        <v>961</v>
      </c>
      <c r="F3461" s="89" t="s">
        <v>3798</v>
      </c>
    </row>
    <row r="3462" spans="3:6" x14ac:dyDescent="0.55000000000000004">
      <c r="C3462" s="90" t="s">
        <v>3758</v>
      </c>
      <c r="D3462" s="90" t="s">
        <v>3758</v>
      </c>
      <c r="E3462" s="89" t="s">
        <v>961</v>
      </c>
      <c r="F3462" s="89" t="s">
        <v>3798</v>
      </c>
    </row>
    <row r="3463" spans="3:6" x14ac:dyDescent="0.55000000000000004">
      <c r="C3463" s="90" t="s">
        <v>3759</v>
      </c>
      <c r="D3463" s="90" t="s">
        <v>3759</v>
      </c>
      <c r="E3463" s="89" t="s">
        <v>961</v>
      </c>
      <c r="F3463" s="89" t="s">
        <v>3798</v>
      </c>
    </row>
    <row r="3464" spans="3:6" x14ac:dyDescent="0.55000000000000004">
      <c r="C3464" s="90" t="s">
        <v>3760</v>
      </c>
      <c r="D3464" s="90" t="s">
        <v>3760</v>
      </c>
      <c r="E3464" s="89" t="s">
        <v>961</v>
      </c>
      <c r="F3464" s="89" t="s">
        <v>3798</v>
      </c>
    </row>
    <row r="3465" spans="3:6" x14ac:dyDescent="0.55000000000000004">
      <c r="C3465" s="90" t="s">
        <v>3761</v>
      </c>
      <c r="D3465" s="90" t="s">
        <v>3761</v>
      </c>
      <c r="E3465" s="89" t="s">
        <v>961</v>
      </c>
      <c r="F3465" s="89" t="s">
        <v>3798</v>
      </c>
    </row>
    <row r="3466" spans="3:6" x14ac:dyDescent="0.55000000000000004">
      <c r="C3466" s="90" t="s">
        <v>3762</v>
      </c>
      <c r="D3466" s="90" t="s">
        <v>3762</v>
      </c>
      <c r="E3466" s="89" t="s">
        <v>961</v>
      </c>
      <c r="F3466" s="89" t="s">
        <v>3806</v>
      </c>
    </row>
    <row r="3467" spans="3:6" x14ac:dyDescent="0.55000000000000004">
      <c r="C3467" s="90" t="s">
        <v>3763</v>
      </c>
      <c r="D3467" s="90" t="s">
        <v>3763</v>
      </c>
      <c r="E3467" s="89" t="s">
        <v>961</v>
      </c>
      <c r="F3467" s="89" t="s">
        <v>3798</v>
      </c>
    </row>
    <row r="3468" spans="3:6" x14ac:dyDescent="0.55000000000000004">
      <c r="C3468" s="90" t="s">
        <v>3764</v>
      </c>
      <c r="D3468" s="90" t="s">
        <v>3764</v>
      </c>
      <c r="E3468" s="89" t="s">
        <v>961</v>
      </c>
      <c r="F3468" s="89" t="s">
        <v>3798</v>
      </c>
    </row>
    <row r="3469" spans="3:6" x14ac:dyDescent="0.55000000000000004">
      <c r="C3469" s="90" t="s">
        <v>3765</v>
      </c>
      <c r="D3469" s="90" t="s">
        <v>3765</v>
      </c>
      <c r="E3469" s="89" t="s">
        <v>961</v>
      </c>
      <c r="F3469" s="89" t="s">
        <v>3798</v>
      </c>
    </row>
    <row r="3470" spans="3:6" x14ac:dyDescent="0.55000000000000004">
      <c r="C3470" s="90" t="s">
        <v>3766</v>
      </c>
      <c r="D3470" s="90" t="s">
        <v>3766</v>
      </c>
      <c r="E3470" s="89" t="s">
        <v>961</v>
      </c>
      <c r="F3470" s="89" t="s">
        <v>3798</v>
      </c>
    </row>
    <row r="3471" spans="3:6" x14ac:dyDescent="0.55000000000000004">
      <c r="C3471" s="90" t="s">
        <v>3767</v>
      </c>
      <c r="D3471" s="90" t="s">
        <v>3767</v>
      </c>
      <c r="E3471" s="89" t="s">
        <v>961</v>
      </c>
      <c r="F3471" s="89" t="s">
        <v>3798</v>
      </c>
    </row>
    <row r="3472" spans="3:6" x14ac:dyDescent="0.55000000000000004">
      <c r="C3472" s="90" t="s">
        <v>3768</v>
      </c>
      <c r="D3472" s="90" t="s">
        <v>3768</v>
      </c>
      <c r="E3472" s="89" t="s">
        <v>961</v>
      </c>
      <c r="F3472" s="89" t="s">
        <v>3798</v>
      </c>
    </row>
    <row r="3473" spans="3:6" x14ac:dyDescent="0.55000000000000004">
      <c r="C3473" s="90" t="s">
        <v>3769</v>
      </c>
      <c r="D3473" s="90" t="s">
        <v>3769</v>
      </c>
      <c r="E3473" s="89" t="s">
        <v>961</v>
      </c>
      <c r="F3473" s="89" t="s">
        <v>3798</v>
      </c>
    </row>
    <row r="3474" spans="3:6" x14ac:dyDescent="0.55000000000000004">
      <c r="C3474" s="90" t="s">
        <v>3770</v>
      </c>
      <c r="D3474" s="90" t="s">
        <v>3770</v>
      </c>
      <c r="E3474" s="89" t="s">
        <v>961</v>
      </c>
      <c r="F3474" s="89" t="s">
        <v>3798</v>
      </c>
    </row>
    <row r="3475" spans="3:6" x14ac:dyDescent="0.55000000000000004">
      <c r="C3475" s="90" t="s">
        <v>3771</v>
      </c>
      <c r="D3475" s="90" t="s">
        <v>3771</v>
      </c>
      <c r="E3475" s="89" t="s">
        <v>961</v>
      </c>
      <c r="F3475" s="89" t="s">
        <v>3798</v>
      </c>
    </row>
    <row r="3476" spans="3:6" x14ac:dyDescent="0.55000000000000004">
      <c r="C3476" s="90" t="s">
        <v>3772</v>
      </c>
      <c r="D3476" s="90" t="s">
        <v>3772</v>
      </c>
      <c r="E3476" s="89" t="s">
        <v>961</v>
      </c>
      <c r="F3476" s="89" t="s">
        <v>3798</v>
      </c>
    </row>
    <row r="3477" spans="3:6" x14ac:dyDescent="0.55000000000000004">
      <c r="C3477" s="90" t="s">
        <v>3773</v>
      </c>
      <c r="D3477" s="90" t="s">
        <v>3773</v>
      </c>
      <c r="E3477" s="89" t="s">
        <v>961</v>
      </c>
      <c r="F3477" s="89" t="s">
        <v>3798</v>
      </c>
    </row>
    <row r="3478" spans="3:6" x14ac:dyDescent="0.55000000000000004">
      <c r="C3478" s="90" t="s">
        <v>3774</v>
      </c>
      <c r="D3478" s="90" t="s">
        <v>3774</v>
      </c>
      <c r="E3478" s="89" t="s">
        <v>961</v>
      </c>
      <c r="F3478" s="89" t="s">
        <v>3798</v>
      </c>
    </row>
    <row r="3479" spans="3:6" ht="38.700000000000003" x14ac:dyDescent="0.55000000000000004">
      <c r="C3479" s="90" t="s">
        <v>3775</v>
      </c>
      <c r="D3479" s="90" t="s">
        <v>3775</v>
      </c>
      <c r="E3479" s="89" t="s">
        <v>3824</v>
      </c>
      <c r="F3479" s="89" t="s">
        <v>650</v>
      </c>
    </row>
    <row r="3480" spans="3:6" x14ac:dyDescent="0.55000000000000004">
      <c r="C3480" s="90" t="s">
        <v>3776</v>
      </c>
      <c r="D3480" s="90" t="s">
        <v>3776</v>
      </c>
      <c r="E3480" s="89" t="s">
        <v>3825</v>
      </c>
      <c r="F3480" s="89" t="s">
        <v>650</v>
      </c>
    </row>
    <row r="3481" spans="3:6" x14ac:dyDescent="0.55000000000000004">
      <c r="C3481" s="90" t="s">
        <v>3776</v>
      </c>
      <c r="D3481" s="90" t="s">
        <v>3776</v>
      </c>
      <c r="E3481" s="89" t="s">
        <v>3825</v>
      </c>
      <c r="F3481" s="89" t="s">
        <v>3798</v>
      </c>
    </row>
    <row r="3482" spans="3:6" x14ac:dyDescent="0.55000000000000004">
      <c r="C3482" s="90" t="s">
        <v>3776</v>
      </c>
      <c r="D3482" s="90" t="s">
        <v>3776</v>
      </c>
      <c r="E3482" s="89" t="s">
        <v>3825</v>
      </c>
      <c r="F3482" s="89" t="s">
        <v>3798</v>
      </c>
    </row>
    <row r="3483" spans="3:6" x14ac:dyDescent="0.55000000000000004">
      <c r="C3483" s="90" t="s">
        <v>3776</v>
      </c>
      <c r="D3483" s="90" t="s">
        <v>3776</v>
      </c>
      <c r="E3483" s="89" t="s">
        <v>3825</v>
      </c>
      <c r="F3483" s="89" t="s">
        <v>3798</v>
      </c>
    </row>
    <row r="3484" spans="3:6" x14ac:dyDescent="0.55000000000000004">
      <c r="C3484" s="90" t="s">
        <v>3777</v>
      </c>
      <c r="D3484" s="90" t="s">
        <v>3777</v>
      </c>
      <c r="E3484" s="89" t="s">
        <v>3826</v>
      </c>
      <c r="F3484" s="89" t="s">
        <v>650</v>
      </c>
    </row>
    <row r="3485" spans="3:6" ht="51.6" x14ac:dyDescent="0.55000000000000004">
      <c r="C3485" s="90" t="s">
        <v>3778</v>
      </c>
      <c r="D3485" s="90" t="s">
        <v>3778</v>
      </c>
      <c r="E3485" s="89" t="s">
        <v>3827</v>
      </c>
      <c r="F3485" s="89" t="s">
        <v>650</v>
      </c>
    </row>
    <row r="3486" spans="3:6" x14ac:dyDescent="0.55000000000000004">
      <c r="C3486" s="90" t="s">
        <v>3779</v>
      </c>
      <c r="D3486" s="90" t="s">
        <v>3779</v>
      </c>
      <c r="E3486" s="89" t="s">
        <v>3828</v>
      </c>
      <c r="F3486" s="89" t="s">
        <v>650</v>
      </c>
    </row>
    <row r="3487" spans="3:6" x14ac:dyDescent="0.55000000000000004">
      <c r="C3487" s="90" t="s">
        <v>3779</v>
      </c>
      <c r="D3487" s="90" t="s">
        <v>3779</v>
      </c>
      <c r="E3487" s="89" t="s">
        <v>3828</v>
      </c>
      <c r="F3487" s="89" t="s">
        <v>650</v>
      </c>
    </row>
    <row r="3488" spans="3:6" x14ac:dyDescent="0.55000000000000004">
      <c r="C3488" s="90" t="s">
        <v>3780</v>
      </c>
      <c r="D3488" s="90" t="s">
        <v>3780</v>
      </c>
      <c r="E3488" s="89" t="s">
        <v>3825</v>
      </c>
      <c r="F3488" s="89" t="s">
        <v>3798</v>
      </c>
    </row>
    <row r="3489" spans="3:6" x14ac:dyDescent="0.55000000000000004">
      <c r="C3489" s="90" t="s">
        <v>3781</v>
      </c>
      <c r="D3489" s="90" t="s">
        <v>3781</v>
      </c>
      <c r="E3489" s="89" t="s">
        <v>961</v>
      </c>
      <c r="F3489" s="89" t="s">
        <v>3798</v>
      </c>
    </row>
    <row r="3490" spans="3:6" x14ac:dyDescent="0.55000000000000004">
      <c r="C3490" s="90" t="s">
        <v>3782</v>
      </c>
      <c r="D3490" s="90" t="s">
        <v>3782</v>
      </c>
      <c r="E3490" s="89" t="s">
        <v>961</v>
      </c>
      <c r="F3490" s="89" t="s">
        <v>3798</v>
      </c>
    </row>
    <row r="3491" spans="3:6" x14ac:dyDescent="0.55000000000000004">
      <c r="C3491" s="90" t="s">
        <v>3783</v>
      </c>
      <c r="D3491" s="90" t="s">
        <v>3783</v>
      </c>
      <c r="E3491" s="89" t="s">
        <v>961</v>
      </c>
      <c r="F3491" s="89" t="s">
        <v>3798</v>
      </c>
    </row>
    <row r="3492" spans="3:6" x14ac:dyDescent="0.55000000000000004">
      <c r="C3492" s="90" t="s">
        <v>3784</v>
      </c>
      <c r="D3492" s="90" t="s">
        <v>3784</v>
      </c>
      <c r="E3492" s="89" t="s">
        <v>3829</v>
      </c>
      <c r="F3492" s="89" t="s">
        <v>650</v>
      </c>
    </row>
    <row r="3493" spans="3:6" x14ac:dyDescent="0.55000000000000004">
      <c r="C3493" s="90" t="s">
        <v>3785</v>
      </c>
      <c r="D3493" s="90" t="s">
        <v>3785</v>
      </c>
      <c r="E3493" s="89" t="s">
        <v>3829</v>
      </c>
      <c r="F3493" s="89" t="s">
        <v>650</v>
      </c>
    </row>
    <row r="3494" spans="3:6" ht="25.8" x14ac:dyDescent="0.55000000000000004">
      <c r="C3494" s="90" t="s">
        <v>3786</v>
      </c>
      <c r="D3494" s="90" t="s">
        <v>3786</v>
      </c>
      <c r="E3494" s="89" t="s">
        <v>3829</v>
      </c>
      <c r="F3494" s="89" t="s">
        <v>3807</v>
      </c>
    </row>
    <row r="3495" spans="3:6" ht="25.8" x14ac:dyDescent="0.55000000000000004">
      <c r="C3495" s="90" t="s">
        <v>3787</v>
      </c>
      <c r="D3495" s="90" t="s">
        <v>3787</v>
      </c>
      <c r="E3495" s="89" t="s">
        <v>3830</v>
      </c>
      <c r="F3495" s="89" t="s">
        <v>650</v>
      </c>
    </row>
    <row r="3496" spans="3:6" ht="25.8" x14ac:dyDescent="0.55000000000000004">
      <c r="C3496" s="90" t="s">
        <v>3788</v>
      </c>
      <c r="D3496" s="90" t="s">
        <v>3788</v>
      </c>
      <c r="E3496" s="89" t="s">
        <v>3831</v>
      </c>
      <c r="F3496" s="89" t="s">
        <v>3807</v>
      </c>
    </row>
    <row r="3497" spans="3:6" x14ac:dyDescent="0.55000000000000004">
      <c r="C3497" s="90" t="s">
        <v>3789</v>
      </c>
      <c r="D3497" s="90" t="s">
        <v>3789</v>
      </c>
      <c r="E3497" s="89" t="s">
        <v>961</v>
      </c>
      <c r="F3497" s="89" t="s">
        <v>3798</v>
      </c>
    </row>
    <row r="3498" spans="3:6" x14ac:dyDescent="0.55000000000000004">
      <c r="C3498" s="90" t="s">
        <v>3790</v>
      </c>
      <c r="D3498" s="90" t="s">
        <v>3790</v>
      </c>
      <c r="E3498" s="89" t="s">
        <v>961</v>
      </c>
      <c r="F3498" s="89" t="s">
        <v>3798</v>
      </c>
    </row>
    <row r="3499" spans="3:6" x14ac:dyDescent="0.55000000000000004">
      <c r="C3499" s="90" t="s">
        <v>3791</v>
      </c>
      <c r="D3499" s="90" t="s">
        <v>3791</v>
      </c>
      <c r="E3499" s="89" t="s">
        <v>961</v>
      </c>
      <c r="F3499" s="89" t="s">
        <v>3798</v>
      </c>
    </row>
    <row r="3500" spans="3:6" x14ac:dyDescent="0.55000000000000004">
      <c r="C3500" s="90" t="s">
        <v>3792</v>
      </c>
      <c r="D3500" s="90" t="s">
        <v>3792</v>
      </c>
      <c r="E3500" s="89" t="s">
        <v>961</v>
      </c>
      <c r="F3500" s="89" t="s">
        <v>3798</v>
      </c>
    </row>
    <row r="3501" spans="3:6" x14ac:dyDescent="0.55000000000000004">
      <c r="C3501" s="90" t="s">
        <v>3793</v>
      </c>
      <c r="D3501" s="90" t="s">
        <v>3793</v>
      </c>
      <c r="E3501" s="89" t="s">
        <v>961</v>
      </c>
      <c r="F3501" s="89" t="s">
        <v>3798</v>
      </c>
    </row>
    <row r="3502" spans="3:6" x14ac:dyDescent="0.55000000000000004">
      <c r="C3502" s="90" t="s">
        <v>3794</v>
      </c>
      <c r="D3502" s="90" t="s">
        <v>3794</v>
      </c>
      <c r="E3502" s="89" t="s">
        <v>961</v>
      </c>
      <c r="F3502" s="89" t="s">
        <v>3798</v>
      </c>
    </row>
    <row r="3503" spans="3:6" x14ac:dyDescent="0.55000000000000004">
      <c r="C3503" s="90" t="s">
        <v>3795</v>
      </c>
      <c r="D3503" s="90" t="s">
        <v>3795</v>
      </c>
      <c r="E3503" s="89" t="s">
        <v>961</v>
      </c>
      <c r="F3503" s="89" t="s">
        <v>3798</v>
      </c>
    </row>
    <row r="3504" spans="3:6" x14ac:dyDescent="0.55000000000000004">
      <c r="C3504" s="90" t="s">
        <v>3796</v>
      </c>
      <c r="D3504" s="90" t="s">
        <v>3796</v>
      </c>
      <c r="E3504" s="89" t="s">
        <v>961</v>
      </c>
      <c r="F3504" s="89" t="s">
        <v>3798</v>
      </c>
    </row>
    <row r="3505" spans="3:6" x14ac:dyDescent="0.55000000000000004">
      <c r="C3505" s="90" t="s">
        <v>3797</v>
      </c>
      <c r="D3505" s="90" t="s">
        <v>3797</v>
      </c>
      <c r="E3505" s="89" t="s">
        <v>961</v>
      </c>
      <c r="F3505" s="89" t="s">
        <v>3798</v>
      </c>
    </row>
  </sheetData>
  <sheetProtection algorithmName="SHA-512" hashValue="v79jtcQogXdihgbJUjX9lfQpa5x5zPGW13ooPUrVMuqqr8m2mOIsqlYQ+WHhwoR1Ks88z4FKepnKppB7Ri7xfw==" saltValue="vB47Y5p+9nPhAH4z+ucY1Q==" spinCount="100000" sheet="1" autoFilter="0"/>
  <mergeCells count="1">
    <mergeCell ref="A6:A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97365-EA62-42CA-B28D-D9DBF7510D1B}">
  <sheetPr codeName="Sheet12">
    <tabColor theme="7" tint="0.79998168889431442"/>
  </sheetPr>
  <dimension ref="A1:M1108"/>
  <sheetViews>
    <sheetView workbookViewId="0">
      <pane ySplit="1" topLeftCell="A2" activePane="bottomLeft" state="frozen"/>
      <selection activeCell="E519" sqref="E519"/>
      <selection pane="bottomLeft" activeCell="E7" sqref="E7"/>
    </sheetView>
  </sheetViews>
  <sheetFormatPr defaultRowHeight="14.4" x14ac:dyDescent="0.55000000000000004"/>
  <cols>
    <col min="1" max="1" width="74.578125" bestFit="1" customWidth="1"/>
    <col min="2" max="2" width="23.41796875" customWidth="1"/>
    <col min="3" max="3" width="5.578125" style="6" customWidth="1"/>
    <col min="4" max="4" width="7.41796875" style="6" customWidth="1"/>
    <col min="5" max="5" width="74.578125" style="110" bestFit="1" customWidth="1"/>
    <col min="6" max="6" width="23.41796875" style="119" customWidth="1"/>
  </cols>
  <sheetData>
    <row r="1" spans="1:13" s="114" customFormat="1" x14ac:dyDescent="0.55000000000000004">
      <c r="A1" s="541" t="s">
        <v>790</v>
      </c>
      <c r="B1" s="541"/>
      <c r="C1" s="6"/>
      <c r="D1" s="6"/>
      <c r="E1" s="542" t="s">
        <v>791</v>
      </c>
      <c r="F1" s="542"/>
      <c r="G1" s="116"/>
      <c r="H1" s="116"/>
      <c r="I1" s="116"/>
      <c r="J1" s="116"/>
      <c r="K1" s="116"/>
      <c r="L1" s="116"/>
      <c r="M1" s="116"/>
    </row>
    <row r="2" spans="1:13" x14ac:dyDescent="0.55000000000000004">
      <c r="A2" s="298" t="s">
        <v>3257</v>
      </c>
      <c r="B2" s="298" t="s">
        <v>3449</v>
      </c>
      <c r="E2" s="298" t="s">
        <v>3257</v>
      </c>
      <c r="F2" s="298" t="s">
        <v>3449</v>
      </c>
    </row>
    <row r="3" spans="1:13" x14ac:dyDescent="0.55000000000000004">
      <c r="A3" t="s">
        <v>3269</v>
      </c>
      <c r="B3" s="111">
        <v>8.9700000000000001E-4</v>
      </c>
      <c r="E3" t="s">
        <v>3269</v>
      </c>
      <c r="F3" s="111">
        <v>8.9700000000000001E-4</v>
      </c>
    </row>
    <row r="4" spans="1:13" x14ac:dyDescent="0.55000000000000004">
      <c r="A4" t="s">
        <v>3270</v>
      </c>
      <c r="B4" s="111">
        <v>1.9110000000000001E-4</v>
      </c>
      <c r="E4" t="s">
        <v>3270</v>
      </c>
      <c r="F4" s="111">
        <v>1.9110000000000001E-4</v>
      </c>
    </row>
    <row r="5" spans="1:13" x14ac:dyDescent="0.55000000000000004">
      <c r="A5" t="s">
        <v>3271</v>
      </c>
      <c r="B5" s="111">
        <v>1.085E-3</v>
      </c>
      <c r="E5" t="s">
        <v>3271</v>
      </c>
      <c r="F5" s="111">
        <v>1.085E-3</v>
      </c>
    </row>
    <row r="6" spans="1:13" x14ac:dyDescent="0.55000000000000004">
      <c r="A6" t="s">
        <v>3272</v>
      </c>
      <c r="B6" s="111">
        <v>1.668E-3</v>
      </c>
      <c r="E6" t="s">
        <v>3272</v>
      </c>
      <c r="F6" s="111">
        <v>1.668E-3</v>
      </c>
    </row>
    <row r="7" spans="1:13" x14ac:dyDescent="0.55000000000000004">
      <c r="A7" t="s">
        <v>3273</v>
      </c>
      <c r="B7" s="111">
        <v>1.779E-3</v>
      </c>
      <c r="E7" t="s">
        <v>3273</v>
      </c>
      <c r="F7" s="111">
        <v>1.779E-3</v>
      </c>
    </row>
    <row r="8" spans="1:13" x14ac:dyDescent="0.55000000000000004">
      <c r="A8" t="s">
        <v>3274</v>
      </c>
      <c r="B8" s="111">
        <v>9.0030000000000004E-4</v>
      </c>
      <c r="E8" t="s">
        <v>3274</v>
      </c>
      <c r="F8" s="111">
        <v>9.0030000000000004E-4</v>
      </c>
    </row>
    <row r="9" spans="1:13" x14ac:dyDescent="0.55000000000000004">
      <c r="A9" t="s">
        <v>3275</v>
      </c>
      <c r="B9" s="111">
        <v>1.2019999999999999E-3</v>
      </c>
      <c r="E9" t="s">
        <v>3275</v>
      </c>
      <c r="F9" s="111">
        <v>1.2019999999999999E-3</v>
      </c>
    </row>
    <row r="10" spans="1:13" x14ac:dyDescent="0.55000000000000004">
      <c r="A10" t="s">
        <v>3276</v>
      </c>
      <c r="B10" s="111">
        <v>9.0479999999999998E-4</v>
      </c>
      <c r="E10" t="s">
        <v>3276</v>
      </c>
      <c r="F10" s="111">
        <v>9.0479999999999998E-4</v>
      </c>
    </row>
    <row r="11" spans="1:13" x14ac:dyDescent="0.55000000000000004">
      <c r="A11" t="s">
        <v>3277</v>
      </c>
      <c r="B11" s="111">
        <v>1.3910000000000001E-3</v>
      </c>
      <c r="E11" t="s">
        <v>3277</v>
      </c>
      <c r="F11" s="111">
        <v>1.3910000000000001E-3</v>
      </c>
    </row>
    <row r="12" spans="1:13" x14ac:dyDescent="0.55000000000000004">
      <c r="A12" t="s">
        <v>3278</v>
      </c>
      <c r="B12" s="111">
        <v>4.3790000000000002E-4</v>
      </c>
      <c r="E12" t="s">
        <v>3278</v>
      </c>
      <c r="F12" s="111">
        <v>4.3790000000000002E-4</v>
      </c>
    </row>
    <row r="13" spans="1:13" x14ac:dyDescent="0.55000000000000004">
      <c r="A13" t="s">
        <v>3279</v>
      </c>
      <c r="B13" s="111">
        <v>1.91E-3</v>
      </c>
      <c r="E13" t="s">
        <v>3279</v>
      </c>
      <c r="F13" s="111">
        <v>1.91E-3</v>
      </c>
    </row>
    <row r="14" spans="1:13" x14ac:dyDescent="0.55000000000000004">
      <c r="A14" t="s">
        <v>3280</v>
      </c>
      <c r="B14" s="111">
        <v>7.0450000000000005E-4</v>
      </c>
      <c r="E14" t="s">
        <v>3280</v>
      </c>
      <c r="F14" s="111">
        <v>7.0450000000000005E-4</v>
      </c>
    </row>
    <row r="15" spans="1:13" x14ac:dyDescent="0.55000000000000004">
      <c r="A15" t="s">
        <v>3281</v>
      </c>
      <c r="B15" s="111">
        <v>1.56E-3</v>
      </c>
      <c r="E15" t="s">
        <v>3281</v>
      </c>
      <c r="F15" s="111">
        <v>1.56E-3</v>
      </c>
    </row>
    <row r="16" spans="1:13" x14ac:dyDescent="0.55000000000000004">
      <c r="A16" t="s">
        <v>3282</v>
      </c>
      <c r="B16" s="111">
        <v>1.101E-3</v>
      </c>
      <c r="E16" t="s">
        <v>3282</v>
      </c>
      <c r="F16" s="111">
        <v>1.101E-3</v>
      </c>
    </row>
    <row r="17" spans="1:6" x14ac:dyDescent="0.55000000000000004">
      <c r="A17" t="s">
        <v>3283</v>
      </c>
      <c r="B17" s="111">
        <v>3.065E-3</v>
      </c>
      <c r="E17" t="s">
        <v>3283</v>
      </c>
      <c r="F17" s="111">
        <v>3.065E-3</v>
      </c>
    </row>
    <row r="18" spans="1:6" x14ac:dyDescent="0.55000000000000004">
      <c r="A18" t="s">
        <v>3284</v>
      </c>
      <c r="B18" s="111">
        <v>2.4600000000000002E-4</v>
      </c>
      <c r="E18" t="s">
        <v>3284</v>
      </c>
      <c r="F18" s="111">
        <v>2.4600000000000002E-4</v>
      </c>
    </row>
    <row r="19" spans="1:6" x14ac:dyDescent="0.55000000000000004">
      <c r="A19" t="s">
        <v>3285</v>
      </c>
      <c r="B19" s="111">
        <v>2.496E-3</v>
      </c>
      <c r="E19" t="s">
        <v>3285</v>
      </c>
      <c r="F19" s="111">
        <v>2.496E-3</v>
      </c>
    </row>
    <row r="20" spans="1:6" x14ac:dyDescent="0.55000000000000004">
      <c r="A20" t="s">
        <v>3286</v>
      </c>
      <c r="B20" s="111">
        <v>2.279E-5</v>
      </c>
      <c r="E20" t="s">
        <v>3286</v>
      </c>
      <c r="F20" s="111">
        <v>2.279E-5</v>
      </c>
    </row>
    <row r="21" spans="1:6" x14ac:dyDescent="0.55000000000000004">
      <c r="A21" t="s">
        <v>3287</v>
      </c>
      <c r="B21" s="111">
        <v>4.086E-2</v>
      </c>
      <c r="E21" t="s">
        <v>3287</v>
      </c>
      <c r="F21" s="111">
        <v>4.086E-2</v>
      </c>
    </row>
    <row r="22" spans="1:6" x14ac:dyDescent="0.55000000000000004">
      <c r="A22" t="s">
        <v>3288</v>
      </c>
      <c r="B22" s="111">
        <v>4.1950000000000003E-5</v>
      </c>
      <c r="E22" t="s">
        <v>3288</v>
      </c>
      <c r="F22" s="111">
        <v>4.1950000000000003E-5</v>
      </c>
    </row>
    <row r="23" spans="1:6" x14ac:dyDescent="0.55000000000000004">
      <c r="A23" t="s">
        <v>3289</v>
      </c>
      <c r="B23" s="111">
        <v>1.232E-6</v>
      </c>
      <c r="E23" t="s">
        <v>3289</v>
      </c>
      <c r="F23" s="111">
        <v>1.232E-6</v>
      </c>
    </row>
    <row r="24" spans="1:6" x14ac:dyDescent="0.55000000000000004">
      <c r="A24" t="s">
        <v>3329</v>
      </c>
      <c r="B24" s="111">
        <v>4.8730000000000002E-2</v>
      </c>
      <c r="E24" t="s">
        <v>3290</v>
      </c>
      <c r="F24" s="111">
        <v>8.9700000000000001E-4</v>
      </c>
    </row>
    <row r="25" spans="1:6" x14ac:dyDescent="0.55000000000000004">
      <c r="A25" t="s">
        <v>3330</v>
      </c>
      <c r="B25" s="111">
        <v>4.8660000000000002E-2</v>
      </c>
      <c r="E25" t="s">
        <v>3291</v>
      </c>
      <c r="F25" s="111">
        <v>1.9110000000000001E-4</v>
      </c>
    </row>
    <row r="26" spans="1:6" x14ac:dyDescent="0.55000000000000004">
      <c r="A26" t="s">
        <v>3331</v>
      </c>
      <c r="B26" s="111">
        <v>4.8660000000000002E-2</v>
      </c>
      <c r="E26" t="s">
        <v>3292</v>
      </c>
      <c r="F26" s="111">
        <v>1.085E-3</v>
      </c>
    </row>
    <row r="27" spans="1:6" x14ac:dyDescent="0.55000000000000004">
      <c r="A27" t="s">
        <v>3332</v>
      </c>
      <c r="B27" s="111">
        <v>4.8340000000000001E-2</v>
      </c>
      <c r="E27" t="s">
        <v>3293</v>
      </c>
      <c r="F27" s="111">
        <v>1.668E-3</v>
      </c>
    </row>
    <row r="28" spans="1:6" x14ac:dyDescent="0.55000000000000004">
      <c r="A28" t="s">
        <v>3333</v>
      </c>
      <c r="B28" s="111">
        <v>4.8520000000000001E-2</v>
      </c>
      <c r="E28" t="s">
        <v>3294</v>
      </c>
      <c r="F28" s="111">
        <v>1.779E-3</v>
      </c>
    </row>
    <row r="29" spans="1:6" x14ac:dyDescent="0.55000000000000004">
      <c r="A29" t="s">
        <v>3334</v>
      </c>
      <c r="B29" s="111">
        <v>4.863E-2</v>
      </c>
      <c r="E29" t="s">
        <v>3295</v>
      </c>
      <c r="F29" s="111">
        <v>9.0030000000000004E-4</v>
      </c>
    </row>
    <row r="30" spans="1:6" x14ac:dyDescent="0.55000000000000004">
      <c r="A30" t="s">
        <v>3335</v>
      </c>
      <c r="B30" s="111">
        <v>4.8489999999999998E-2</v>
      </c>
      <c r="E30" t="s">
        <v>3296</v>
      </c>
      <c r="F30" s="111">
        <v>1.2019999999999999E-3</v>
      </c>
    </row>
    <row r="31" spans="1:6" x14ac:dyDescent="0.55000000000000004">
      <c r="A31" t="s">
        <v>3336</v>
      </c>
      <c r="B31" s="111">
        <v>4.8640000000000003E-2</v>
      </c>
      <c r="E31" t="s">
        <v>3297</v>
      </c>
      <c r="F31" s="111">
        <v>9.0479999999999998E-4</v>
      </c>
    </row>
    <row r="32" spans="1:6" x14ac:dyDescent="0.55000000000000004">
      <c r="A32" t="s">
        <v>3337</v>
      </c>
      <c r="B32" s="111">
        <v>4.8739999999999999E-2</v>
      </c>
      <c r="E32" t="s">
        <v>3298</v>
      </c>
      <c r="F32" s="111">
        <v>1.3910000000000001E-3</v>
      </c>
    </row>
    <row r="33" spans="1:6" x14ac:dyDescent="0.55000000000000004">
      <c r="A33" t="s">
        <v>3338</v>
      </c>
      <c r="B33" s="111">
        <v>4.8570000000000002E-2</v>
      </c>
      <c r="E33" t="s">
        <v>3299</v>
      </c>
      <c r="F33" s="111">
        <v>4.3790000000000002E-4</v>
      </c>
    </row>
    <row r="34" spans="1:6" x14ac:dyDescent="0.55000000000000004">
      <c r="A34" t="s">
        <v>3339</v>
      </c>
      <c r="B34" s="111">
        <v>4.895E-2</v>
      </c>
      <c r="E34" t="s">
        <v>3300</v>
      </c>
      <c r="F34" s="111">
        <v>1.91E-3</v>
      </c>
    </row>
    <row r="35" spans="1:6" x14ac:dyDescent="0.55000000000000004">
      <c r="A35" t="s">
        <v>3340</v>
      </c>
      <c r="B35" s="111">
        <v>4.87E-2</v>
      </c>
      <c r="E35" t="s">
        <v>3301</v>
      </c>
      <c r="F35" s="111">
        <v>7.0450000000000005E-4</v>
      </c>
    </row>
    <row r="36" spans="1:6" x14ac:dyDescent="0.55000000000000004">
      <c r="A36" t="s">
        <v>3341</v>
      </c>
      <c r="B36" s="111">
        <v>4.8770000000000001E-2</v>
      </c>
      <c r="E36" t="s">
        <v>3302</v>
      </c>
      <c r="F36" s="111">
        <v>1.56E-3</v>
      </c>
    </row>
    <row r="37" spans="1:6" x14ac:dyDescent="0.55000000000000004">
      <c r="A37" t="s">
        <v>3342</v>
      </c>
      <c r="B37" s="111">
        <v>4.8590000000000001E-2</v>
      </c>
      <c r="E37" t="s">
        <v>3303</v>
      </c>
      <c r="F37" s="111">
        <v>1.101E-3</v>
      </c>
    </row>
    <row r="38" spans="1:6" x14ac:dyDescent="0.55000000000000004">
      <c r="A38" t="s">
        <v>3343</v>
      </c>
      <c r="B38" s="111">
        <v>4.8430000000000001E-2</v>
      </c>
      <c r="E38" t="s">
        <v>3304</v>
      </c>
      <c r="F38" s="111">
        <v>3.065E-3</v>
      </c>
    </row>
    <row r="39" spans="1:6" x14ac:dyDescent="0.55000000000000004">
      <c r="A39" t="s">
        <v>3344</v>
      </c>
      <c r="B39" s="111">
        <v>4.7620000000000003E-2</v>
      </c>
      <c r="E39" t="s">
        <v>3305</v>
      </c>
      <c r="F39" s="111">
        <v>2.4600000000000002E-4</v>
      </c>
    </row>
    <row r="40" spans="1:6" x14ac:dyDescent="0.55000000000000004">
      <c r="A40" t="s">
        <v>3345</v>
      </c>
      <c r="B40" s="111">
        <v>4.8989999999999999E-2</v>
      </c>
      <c r="E40" t="s">
        <v>3306</v>
      </c>
      <c r="F40" s="111">
        <v>2.496E-3</v>
      </c>
    </row>
    <row r="41" spans="1:6" x14ac:dyDescent="0.55000000000000004">
      <c r="A41" t="s">
        <v>3346</v>
      </c>
      <c r="B41" s="111">
        <v>4.795E-2</v>
      </c>
      <c r="E41" t="s">
        <v>3307</v>
      </c>
      <c r="F41" s="111">
        <v>2.279E-5</v>
      </c>
    </row>
    <row r="42" spans="1:6" x14ac:dyDescent="0.55000000000000004">
      <c r="A42" t="s">
        <v>3347</v>
      </c>
      <c r="B42" s="111">
        <v>7.0980000000000001E-2</v>
      </c>
      <c r="E42" t="s">
        <v>3308</v>
      </c>
      <c r="F42" s="111">
        <v>4.086E-2</v>
      </c>
    </row>
    <row r="43" spans="1:6" x14ac:dyDescent="0.55000000000000004">
      <c r="A43" t="s">
        <v>3348</v>
      </c>
      <c r="B43" s="111">
        <v>4.8860000000000001E-2</v>
      </c>
      <c r="E43" t="s">
        <v>3309</v>
      </c>
      <c r="F43" s="111">
        <v>4.1950000000000003E-5</v>
      </c>
    </row>
    <row r="44" spans="1:6" x14ac:dyDescent="0.55000000000000004">
      <c r="A44" t="s">
        <v>3349</v>
      </c>
      <c r="B44" s="111">
        <v>4.829E-2</v>
      </c>
      <c r="E44" t="s">
        <v>3310</v>
      </c>
      <c r="F44" s="111">
        <v>1.232E-6</v>
      </c>
    </row>
    <row r="45" spans="1:6" x14ac:dyDescent="0.55000000000000004">
      <c r="A45" t="s">
        <v>3350</v>
      </c>
      <c r="B45" s="111">
        <v>2.164E-2</v>
      </c>
      <c r="E45" t="s">
        <v>3311</v>
      </c>
      <c r="F45" s="111">
        <v>6.6E-4</v>
      </c>
    </row>
    <row r="46" spans="1:6" x14ac:dyDescent="0.55000000000000004">
      <c r="A46" t="s">
        <v>3351</v>
      </c>
      <c r="B46" s="111">
        <v>2.1610000000000001E-2</v>
      </c>
      <c r="E46" t="s">
        <v>3312</v>
      </c>
      <c r="F46" s="111">
        <v>2.5049999999999998E-3</v>
      </c>
    </row>
    <row r="47" spans="1:6" x14ac:dyDescent="0.55000000000000004">
      <c r="A47" t="s">
        <v>3352</v>
      </c>
      <c r="B47" s="111">
        <v>2.1610000000000001E-2</v>
      </c>
      <c r="E47" t="s">
        <v>3313</v>
      </c>
      <c r="F47" s="111">
        <v>2.1059999999999998E-3</v>
      </c>
    </row>
    <row r="48" spans="1:6" x14ac:dyDescent="0.55000000000000004">
      <c r="A48" t="s">
        <v>3353</v>
      </c>
      <c r="B48" s="111">
        <v>2.146E-2</v>
      </c>
      <c r="E48" t="s">
        <v>3314</v>
      </c>
      <c r="F48" s="111">
        <v>4.5820000000000001E-3</v>
      </c>
    </row>
    <row r="49" spans="1:6" x14ac:dyDescent="0.55000000000000004">
      <c r="A49" t="s">
        <v>3354</v>
      </c>
      <c r="B49" s="111">
        <v>2.154E-2</v>
      </c>
      <c r="E49" t="s">
        <v>3315</v>
      </c>
      <c r="F49" s="111">
        <v>3.0790000000000001E-3</v>
      </c>
    </row>
    <row r="50" spans="1:6" x14ac:dyDescent="0.55000000000000004">
      <c r="A50" t="s">
        <v>3355</v>
      </c>
      <c r="B50" s="111">
        <v>2.1590000000000002E-2</v>
      </c>
      <c r="E50" t="s">
        <v>3316</v>
      </c>
      <c r="F50" s="111">
        <v>1.2049999999999999E-3</v>
      </c>
    </row>
    <row r="51" spans="1:6" x14ac:dyDescent="0.55000000000000004">
      <c r="A51" t="s">
        <v>3356</v>
      </c>
      <c r="B51" s="111">
        <v>2.1530000000000001E-2</v>
      </c>
      <c r="E51" t="s">
        <v>3317</v>
      </c>
      <c r="F51" s="111">
        <v>1.944E-3</v>
      </c>
    </row>
    <row r="52" spans="1:6" x14ac:dyDescent="0.55000000000000004">
      <c r="A52" t="s">
        <v>3357</v>
      </c>
      <c r="B52" s="111">
        <v>2.1590000000000002E-2</v>
      </c>
      <c r="E52" t="s">
        <v>3318</v>
      </c>
      <c r="F52" s="111">
        <v>1.279E-3</v>
      </c>
    </row>
    <row r="53" spans="1:6" x14ac:dyDescent="0.55000000000000004">
      <c r="A53" t="s">
        <v>3358</v>
      </c>
      <c r="B53" s="111">
        <v>2.164E-2</v>
      </c>
      <c r="E53" t="s">
        <v>3319</v>
      </c>
      <c r="F53" s="111">
        <v>3.6410000000000001E-3</v>
      </c>
    </row>
    <row r="54" spans="1:6" x14ac:dyDescent="0.55000000000000004">
      <c r="A54" t="s">
        <v>3359</v>
      </c>
      <c r="B54" s="111">
        <v>2.1559999999999999E-2</v>
      </c>
      <c r="E54" t="s">
        <v>3320</v>
      </c>
      <c r="F54" s="111">
        <v>1.7060000000000001E-3</v>
      </c>
    </row>
    <row r="55" spans="1:6" x14ac:dyDescent="0.55000000000000004">
      <c r="A55" t="s">
        <v>3360</v>
      </c>
      <c r="B55" s="111">
        <v>2.1729999999999999E-2</v>
      </c>
      <c r="E55" t="s">
        <v>3321</v>
      </c>
      <c r="F55" s="111">
        <v>1.691E-3</v>
      </c>
    </row>
    <row r="56" spans="1:6" x14ac:dyDescent="0.55000000000000004">
      <c r="A56" t="s">
        <v>3361</v>
      </c>
      <c r="B56" s="111">
        <v>2.162E-2</v>
      </c>
      <c r="E56" t="s">
        <v>3322</v>
      </c>
      <c r="F56" s="111">
        <v>2.5530000000000001E-3</v>
      </c>
    </row>
    <row r="57" spans="1:6" x14ac:dyDescent="0.55000000000000004">
      <c r="A57" t="s">
        <v>3362</v>
      </c>
      <c r="B57" s="111">
        <v>2.1649999999999999E-2</v>
      </c>
      <c r="E57" t="s">
        <v>3323</v>
      </c>
      <c r="F57" s="111">
        <v>1.745E-3</v>
      </c>
    </row>
    <row r="58" spans="1:6" x14ac:dyDescent="0.55000000000000004">
      <c r="A58" t="s">
        <v>3363</v>
      </c>
      <c r="B58" s="111">
        <v>2.1569999999999999E-2</v>
      </c>
      <c r="E58" t="s">
        <v>3324</v>
      </c>
      <c r="F58" s="111">
        <v>2.2439999999999999E-3</v>
      </c>
    </row>
    <row r="59" spans="1:6" x14ac:dyDescent="0.55000000000000004">
      <c r="A59" t="s">
        <v>3364</v>
      </c>
      <c r="B59" s="111">
        <v>2.1499999999999998E-2</v>
      </c>
      <c r="E59" t="s">
        <v>3325</v>
      </c>
      <c r="F59" s="111">
        <v>6.2189999999999997E-3</v>
      </c>
    </row>
    <row r="60" spans="1:6" x14ac:dyDescent="0.55000000000000004">
      <c r="A60" t="s">
        <v>3365</v>
      </c>
      <c r="B60" s="111">
        <v>2.1139999999999999E-2</v>
      </c>
      <c r="E60" t="s">
        <v>3326</v>
      </c>
      <c r="F60" s="111">
        <v>4.1079999999999997E-3</v>
      </c>
    </row>
    <row r="61" spans="1:6" x14ac:dyDescent="0.55000000000000004">
      <c r="A61" t="s">
        <v>3366</v>
      </c>
      <c r="B61" s="111">
        <v>2.1749999999999999E-2</v>
      </c>
      <c r="E61" t="s">
        <v>3327</v>
      </c>
      <c r="F61" s="111">
        <v>2.882E-3</v>
      </c>
    </row>
    <row r="62" spans="1:6" x14ac:dyDescent="0.55000000000000004">
      <c r="A62" t="s">
        <v>3367</v>
      </c>
      <c r="B62" s="111">
        <v>2.129E-2</v>
      </c>
      <c r="E62" t="s">
        <v>3328</v>
      </c>
      <c r="F62" s="111">
        <v>1.323E-3</v>
      </c>
    </row>
    <row r="63" spans="1:6" x14ac:dyDescent="0.55000000000000004">
      <c r="A63" t="s">
        <v>3368</v>
      </c>
      <c r="B63" s="111">
        <v>5.3760000000000002E-2</v>
      </c>
      <c r="E63" t="s">
        <v>3872</v>
      </c>
      <c r="F63" s="111">
        <v>3.8769999999999999E-2</v>
      </c>
    </row>
    <row r="64" spans="1:6" x14ac:dyDescent="0.55000000000000004">
      <c r="A64" t="s">
        <v>3369</v>
      </c>
      <c r="B64" s="111">
        <v>2.1690000000000001E-2</v>
      </c>
      <c r="E64" t="s">
        <v>3873</v>
      </c>
      <c r="F64" s="111">
        <v>4.394E-2</v>
      </c>
    </row>
    <row r="65" spans="1:6" x14ac:dyDescent="0.55000000000000004">
      <c r="A65" t="s">
        <v>3370</v>
      </c>
      <c r="B65" s="111">
        <v>2.1440000000000001E-2</v>
      </c>
      <c r="E65" t="s">
        <v>3874</v>
      </c>
      <c r="F65" s="111">
        <v>2.1360000000000001E-2</v>
      </c>
    </row>
    <row r="66" spans="1:6" x14ac:dyDescent="0.55000000000000004">
      <c r="A66" t="s">
        <v>3371</v>
      </c>
      <c r="B66" s="111">
        <v>6.13E-2</v>
      </c>
      <c r="E66" t="s">
        <v>3875</v>
      </c>
      <c r="F66" s="111">
        <v>1.027E-2</v>
      </c>
    </row>
    <row r="67" spans="1:6" x14ac:dyDescent="0.55000000000000004">
      <c r="A67" t="s">
        <v>3372</v>
      </c>
      <c r="B67" s="111">
        <v>6.1210000000000001E-2</v>
      </c>
      <c r="E67" t="s">
        <v>3876</v>
      </c>
      <c r="F67" s="111">
        <v>9.5309999999999995E-3</v>
      </c>
    </row>
    <row r="68" spans="1:6" x14ac:dyDescent="0.55000000000000004">
      <c r="A68" t="s">
        <v>3373</v>
      </c>
      <c r="B68" s="111">
        <v>6.1210000000000001E-2</v>
      </c>
      <c r="E68" t="s">
        <v>3877</v>
      </c>
      <c r="F68" s="111">
        <v>1.523E-2</v>
      </c>
    </row>
    <row r="69" spans="1:6" x14ac:dyDescent="0.55000000000000004">
      <c r="A69" t="s">
        <v>3374</v>
      </c>
      <c r="B69" s="111">
        <v>6.0810000000000003E-2</v>
      </c>
      <c r="E69" t="s">
        <v>3878</v>
      </c>
      <c r="F69" s="111">
        <v>1.247E-2</v>
      </c>
    </row>
    <row r="70" spans="1:6" x14ac:dyDescent="0.55000000000000004">
      <c r="A70" t="s">
        <v>3375</v>
      </c>
      <c r="B70" s="111">
        <v>6.1030000000000001E-2</v>
      </c>
      <c r="E70" t="s">
        <v>3879</v>
      </c>
      <c r="F70" s="111">
        <v>5.2810000000000001E-3</v>
      </c>
    </row>
    <row r="71" spans="1:6" x14ac:dyDescent="0.55000000000000004">
      <c r="A71" t="s">
        <v>3376</v>
      </c>
      <c r="B71" s="111">
        <v>6.1170000000000002E-2</v>
      </c>
      <c r="E71" t="s">
        <v>3880</v>
      </c>
      <c r="F71" s="111">
        <v>3.3140000000000003E-2</v>
      </c>
    </row>
    <row r="72" spans="1:6" x14ac:dyDescent="0.55000000000000004">
      <c r="A72" t="s">
        <v>3377</v>
      </c>
      <c r="B72" s="111">
        <v>6.0990000000000003E-2</v>
      </c>
      <c r="E72" t="s">
        <v>3881</v>
      </c>
      <c r="F72" s="111">
        <v>2.145E-2</v>
      </c>
    </row>
    <row r="73" spans="1:6" x14ac:dyDescent="0.55000000000000004">
      <c r="A73" t="s">
        <v>3378</v>
      </c>
      <c r="B73" s="111">
        <v>6.1179999999999998E-2</v>
      </c>
      <c r="E73" t="s">
        <v>3882</v>
      </c>
      <c r="F73" s="111">
        <v>1.379E-2</v>
      </c>
    </row>
    <row r="74" spans="1:6" x14ac:dyDescent="0.55000000000000004">
      <c r="A74" t="s">
        <v>3379</v>
      </c>
      <c r="B74" s="111">
        <v>6.1310000000000003E-2</v>
      </c>
      <c r="E74" t="s">
        <v>3883</v>
      </c>
      <c r="F74" s="111">
        <v>3.6380000000000003E-2</v>
      </c>
    </row>
    <row r="75" spans="1:6" x14ac:dyDescent="0.55000000000000004">
      <c r="A75" t="s">
        <v>3380</v>
      </c>
      <c r="B75" s="111">
        <v>6.1100000000000002E-2</v>
      </c>
      <c r="E75" t="s">
        <v>3884</v>
      </c>
      <c r="F75" s="111">
        <v>1.379E-2</v>
      </c>
    </row>
    <row r="76" spans="1:6" x14ac:dyDescent="0.55000000000000004">
      <c r="A76" t="s">
        <v>3381</v>
      </c>
      <c r="B76" s="111">
        <v>6.1580000000000003E-2</v>
      </c>
      <c r="E76" t="s">
        <v>3885</v>
      </c>
      <c r="F76" s="111">
        <v>5.185E-2</v>
      </c>
    </row>
    <row r="77" spans="1:6" x14ac:dyDescent="0.55000000000000004">
      <c r="A77" t="s">
        <v>3382</v>
      </c>
      <c r="B77" s="111">
        <v>6.1260000000000002E-2</v>
      </c>
      <c r="E77" t="s">
        <v>3886</v>
      </c>
      <c r="F77" s="111">
        <v>6.3689999999999997E-2</v>
      </c>
    </row>
    <row r="78" spans="1:6" x14ac:dyDescent="0.55000000000000004">
      <c r="A78" t="s">
        <v>3383</v>
      </c>
      <c r="B78" s="111">
        <v>6.1339999999999999E-2</v>
      </c>
      <c r="E78" t="s">
        <v>3887</v>
      </c>
      <c r="F78" s="111">
        <v>1.7690000000000001E-2</v>
      </c>
    </row>
    <row r="79" spans="1:6" x14ac:dyDescent="0.55000000000000004">
      <c r="A79" t="s">
        <v>3384</v>
      </c>
      <c r="B79" s="111">
        <v>6.1120000000000001E-2</v>
      </c>
      <c r="E79" t="s">
        <v>3888</v>
      </c>
      <c r="F79" s="111">
        <v>2.1749999999999999E-3</v>
      </c>
    </row>
    <row r="80" spans="1:6" x14ac:dyDescent="0.55000000000000004">
      <c r="A80" t="s">
        <v>3385</v>
      </c>
      <c r="B80" s="111">
        <v>6.0909999999999999E-2</v>
      </c>
      <c r="E80" t="s">
        <v>3889</v>
      </c>
      <c r="F80" s="111">
        <v>9.4830000000000001E-3</v>
      </c>
    </row>
    <row r="81" spans="1:6" x14ac:dyDescent="0.55000000000000004">
      <c r="A81" t="s">
        <v>3386</v>
      </c>
      <c r="B81" s="111">
        <v>5.9900000000000002E-2</v>
      </c>
      <c r="E81" t="s">
        <v>3890</v>
      </c>
      <c r="F81" s="111">
        <v>7.0530000000000002E-3</v>
      </c>
    </row>
    <row r="82" spans="1:6" x14ac:dyDescent="0.55000000000000004">
      <c r="A82" t="s">
        <v>3387</v>
      </c>
      <c r="B82" s="111">
        <v>6.1620000000000001E-2</v>
      </c>
      <c r="E82" t="s">
        <v>3891</v>
      </c>
      <c r="F82" s="111">
        <v>3.9910000000000001E-2</v>
      </c>
    </row>
    <row r="83" spans="1:6" x14ac:dyDescent="0.55000000000000004">
      <c r="A83" t="s">
        <v>3388</v>
      </c>
      <c r="B83" s="111">
        <v>6.0319999999999999E-2</v>
      </c>
      <c r="E83" t="s">
        <v>3892</v>
      </c>
      <c r="F83" s="111">
        <v>2.462E-2</v>
      </c>
    </row>
    <row r="84" spans="1:6" x14ac:dyDescent="0.55000000000000004">
      <c r="A84" t="s">
        <v>3389</v>
      </c>
      <c r="B84" s="111">
        <v>8.072E-2</v>
      </c>
      <c r="E84" t="s">
        <v>3893</v>
      </c>
      <c r="F84" s="111">
        <v>5.5559999999999998E-2</v>
      </c>
    </row>
    <row r="85" spans="1:6" x14ac:dyDescent="0.55000000000000004">
      <c r="A85" t="s">
        <v>3390</v>
      </c>
      <c r="B85" s="111">
        <v>6.1460000000000001E-2</v>
      </c>
      <c r="E85" t="s">
        <v>3894</v>
      </c>
      <c r="F85" s="111">
        <v>8.3860000000000004E-2</v>
      </c>
    </row>
    <row r="86" spans="1:6" x14ac:dyDescent="0.55000000000000004">
      <c r="A86" t="s">
        <v>3391</v>
      </c>
      <c r="B86" s="111">
        <v>6.0740000000000002E-2</v>
      </c>
      <c r="E86" t="s">
        <v>3895</v>
      </c>
      <c r="F86" s="111">
        <v>5.0909999999999997E-2</v>
      </c>
    </row>
    <row r="87" spans="1:6" x14ac:dyDescent="0.55000000000000004">
      <c r="A87" t="s">
        <v>3392</v>
      </c>
      <c r="B87">
        <v>0.16170000000000001</v>
      </c>
      <c r="E87" t="s">
        <v>3896</v>
      </c>
      <c r="F87" s="111">
        <v>6.9540000000000005E-2</v>
      </c>
    </row>
    <row r="88" spans="1:6" x14ac:dyDescent="0.55000000000000004">
      <c r="A88" t="s">
        <v>3393</v>
      </c>
      <c r="B88">
        <v>0.14069999999999999</v>
      </c>
      <c r="E88" t="s">
        <v>3897</v>
      </c>
      <c r="F88" s="111">
        <v>3.3000000000000002E-2</v>
      </c>
    </row>
    <row r="89" spans="1:6" x14ac:dyDescent="0.55000000000000004">
      <c r="A89" t="s">
        <v>3394</v>
      </c>
      <c r="B89">
        <v>0.12640000000000001</v>
      </c>
      <c r="E89" t="s">
        <v>3898</v>
      </c>
      <c r="F89" s="111">
        <v>2.9579999999999999E-2</v>
      </c>
    </row>
    <row r="90" spans="1:6" x14ac:dyDescent="0.55000000000000004">
      <c r="A90" t="s">
        <v>3395</v>
      </c>
      <c r="B90">
        <v>0.13270000000000001</v>
      </c>
      <c r="E90" t="s">
        <v>3899</v>
      </c>
      <c r="F90">
        <v>0.12859999999999999</v>
      </c>
    </row>
    <row r="91" spans="1:6" x14ac:dyDescent="0.55000000000000004">
      <c r="A91" t="s">
        <v>3396</v>
      </c>
      <c r="B91">
        <v>0.13869999999999999</v>
      </c>
      <c r="E91" t="s">
        <v>3900</v>
      </c>
      <c r="F91" s="111">
        <v>6.7729999999999999E-2</v>
      </c>
    </row>
    <row r="92" spans="1:6" x14ac:dyDescent="0.55000000000000004">
      <c r="A92" t="s">
        <v>3397</v>
      </c>
      <c r="B92">
        <v>0.16450000000000001</v>
      </c>
      <c r="E92" t="s">
        <v>3901</v>
      </c>
      <c r="F92" s="111">
        <v>8.6709999999999999E-3</v>
      </c>
    </row>
    <row r="93" spans="1:6" x14ac:dyDescent="0.55000000000000004">
      <c r="A93" t="s">
        <v>3398</v>
      </c>
      <c r="B93">
        <v>0.15409999999999999</v>
      </c>
      <c r="E93" t="s">
        <v>3902</v>
      </c>
      <c r="F93" s="111">
        <v>1.9870000000000001E-3</v>
      </c>
    </row>
    <row r="94" spans="1:6" x14ac:dyDescent="0.55000000000000004">
      <c r="A94" t="s">
        <v>3399</v>
      </c>
      <c r="B94">
        <v>0.13800000000000001</v>
      </c>
      <c r="E94" t="s">
        <v>3903</v>
      </c>
      <c r="F94" s="111">
        <v>1.95E-2</v>
      </c>
    </row>
    <row r="95" spans="1:6" x14ac:dyDescent="0.55000000000000004">
      <c r="A95" t="s">
        <v>3400</v>
      </c>
      <c r="B95">
        <v>0.1636</v>
      </c>
      <c r="E95" t="s">
        <v>3904</v>
      </c>
      <c r="F95" s="111">
        <v>4.0899999999999999E-2</v>
      </c>
    </row>
    <row r="96" spans="1:6" x14ac:dyDescent="0.55000000000000004">
      <c r="A96" t="s">
        <v>3401</v>
      </c>
      <c r="B96">
        <v>0.13769999999999999</v>
      </c>
      <c r="E96" t="s">
        <v>3905</v>
      </c>
      <c r="F96" s="111">
        <v>4.82E-2</v>
      </c>
    </row>
    <row r="97" spans="1:6" x14ac:dyDescent="0.55000000000000004">
      <c r="A97" t="s">
        <v>3402</v>
      </c>
      <c r="B97">
        <v>0.17319999999999999</v>
      </c>
      <c r="E97" t="s">
        <v>3906</v>
      </c>
      <c r="F97" s="111">
        <v>1.6910000000000001E-2</v>
      </c>
    </row>
    <row r="98" spans="1:6" x14ac:dyDescent="0.55000000000000004">
      <c r="A98" t="s">
        <v>3403</v>
      </c>
      <c r="B98">
        <v>0.15590000000000001</v>
      </c>
      <c r="E98" t="s">
        <v>3907</v>
      </c>
      <c r="F98" s="111">
        <v>3.107E-2</v>
      </c>
    </row>
    <row r="99" spans="1:6" x14ac:dyDescent="0.55000000000000004">
      <c r="A99" t="s">
        <v>3404</v>
      </c>
      <c r="B99">
        <v>0.16919999999999999</v>
      </c>
      <c r="E99" t="s">
        <v>3908</v>
      </c>
      <c r="F99" s="111">
        <v>3.571E-3</v>
      </c>
    </row>
    <row r="100" spans="1:6" x14ac:dyDescent="0.55000000000000004">
      <c r="A100" t="s">
        <v>3405</v>
      </c>
      <c r="B100">
        <v>0.13339999999999999</v>
      </c>
      <c r="E100" t="s">
        <v>3909</v>
      </c>
      <c r="F100" s="111">
        <v>1.0560000000000001E-3</v>
      </c>
    </row>
    <row r="101" spans="1:6" x14ac:dyDescent="0.55000000000000004">
      <c r="A101" t="s">
        <v>3406</v>
      </c>
      <c r="B101">
        <v>0.13109999999999999</v>
      </c>
      <c r="E101" t="s">
        <v>3910</v>
      </c>
      <c r="F101" s="111">
        <v>1.4450000000000001E-3</v>
      </c>
    </row>
    <row r="102" spans="1:6" x14ac:dyDescent="0.55000000000000004">
      <c r="A102" t="s">
        <v>3407</v>
      </c>
      <c r="B102">
        <v>0.12659999999999999</v>
      </c>
      <c r="E102" t="s">
        <v>3911</v>
      </c>
      <c r="F102" s="111">
        <v>7.2389999999999998E-3</v>
      </c>
    </row>
    <row r="103" spans="1:6" x14ac:dyDescent="0.55000000000000004">
      <c r="A103" t="s">
        <v>3408</v>
      </c>
      <c r="B103">
        <v>0.1832</v>
      </c>
      <c r="E103" t="s">
        <v>3912</v>
      </c>
      <c r="F103" s="111">
        <v>5.855E-5</v>
      </c>
    </row>
    <row r="104" spans="1:6" x14ac:dyDescent="0.55000000000000004">
      <c r="A104" t="s">
        <v>3409</v>
      </c>
      <c r="B104">
        <v>0.19350000000000001</v>
      </c>
      <c r="E104" t="s">
        <v>3913</v>
      </c>
      <c r="F104" s="111">
        <v>6.8979999999999996E-4</v>
      </c>
    </row>
    <row r="105" spans="1:6" x14ac:dyDescent="0.55000000000000004">
      <c r="A105" t="s">
        <v>3410</v>
      </c>
      <c r="B105">
        <v>0.23050000000000001</v>
      </c>
      <c r="E105" t="s">
        <v>3914</v>
      </c>
      <c r="F105" s="111">
        <v>7.7979999999999998E-4</v>
      </c>
    </row>
    <row r="106" spans="1:6" x14ac:dyDescent="0.55000000000000004">
      <c r="A106" t="s">
        <v>3411</v>
      </c>
      <c r="B106">
        <v>0.20050000000000001</v>
      </c>
      <c r="E106" t="s">
        <v>3915</v>
      </c>
      <c r="F106" s="111">
        <v>2.1510000000000001E-3</v>
      </c>
    </row>
    <row r="107" spans="1:6" x14ac:dyDescent="0.55000000000000004">
      <c r="A107" t="s">
        <v>3412</v>
      </c>
      <c r="B107">
        <v>0.18010000000000001</v>
      </c>
      <c r="E107" t="s">
        <v>3916</v>
      </c>
      <c r="F107" s="111">
        <v>7.5480000000000002E-4</v>
      </c>
    </row>
    <row r="108" spans="1:6" x14ac:dyDescent="0.55000000000000004">
      <c r="A108" t="s">
        <v>3413</v>
      </c>
      <c r="B108">
        <v>0.18909999999999999</v>
      </c>
      <c r="E108" t="s">
        <v>3917</v>
      </c>
      <c r="F108" s="111">
        <v>4.191E-4</v>
      </c>
    </row>
    <row r="109" spans="1:6" x14ac:dyDescent="0.55000000000000004">
      <c r="A109" t="s">
        <v>3414</v>
      </c>
      <c r="B109">
        <v>0.1976</v>
      </c>
      <c r="E109" t="s">
        <v>3918</v>
      </c>
      <c r="F109" s="111">
        <v>6.2200000000000005E-4</v>
      </c>
    </row>
    <row r="110" spans="1:6" x14ac:dyDescent="0.55000000000000004">
      <c r="A110" t="s">
        <v>3415</v>
      </c>
      <c r="B110">
        <v>0.2344</v>
      </c>
      <c r="E110" t="s">
        <v>3919</v>
      </c>
      <c r="F110" s="111">
        <v>3.7970000000000001E-4</v>
      </c>
    </row>
    <row r="111" spans="1:6" x14ac:dyDescent="0.55000000000000004">
      <c r="A111" t="s">
        <v>3416</v>
      </c>
      <c r="B111">
        <v>0.21970000000000001</v>
      </c>
      <c r="E111" t="s">
        <v>3920</v>
      </c>
      <c r="F111" s="111">
        <v>1.072E-3</v>
      </c>
    </row>
    <row r="112" spans="1:6" x14ac:dyDescent="0.55000000000000004">
      <c r="A112" t="s">
        <v>3417</v>
      </c>
      <c r="B112">
        <v>0.1966</v>
      </c>
      <c r="E112" t="s">
        <v>3921</v>
      </c>
      <c r="F112" s="111">
        <v>7.852E-4</v>
      </c>
    </row>
    <row r="113" spans="1:6" x14ac:dyDescent="0.55000000000000004">
      <c r="A113" t="s">
        <v>3418</v>
      </c>
      <c r="B113">
        <v>0.2331</v>
      </c>
      <c r="E113" t="s">
        <v>3922</v>
      </c>
      <c r="F113" s="111">
        <v>9.1169999999999999E-4</v>
      </c>
    </row>
    <row r="114" spans="1:6" x14ac:dyDescent="0.55000000000000004">
      <c r="A114" t="s">
        <v>3419</v>
      </c>
      <c r="B114">
        <v>0.19620000000000001</v>
      </c>
      <c r="E114" t="s">
        <v>3923</v>
      </c>
      <c r="F114" s="111">
        <v>7.1730000000000003E-4</v>
      </c>
    </row>
    <row r="115" spans="1:6" x14ac:dyDescent="0.55000000000000004">
      <c r="A115" t="s">
        <v>3420</v>
      </c>
      <c r="B115">
        <v>0.24690000000000001</v>
      </c>
      <c r="E115" t="s">
        <v>3924</v>
      </c>
      <c r="F115" s="111">
        <v>4.2709999999999997E-4</v>
      </c>
    </row>
    <row r="116" spans="1:6" x14ac:dyDescent="0.55000000000000004">
      <c r="A116" t="s">
        <v>3421</v>
      </c>
      <c r="B116">
        <v>0.22220000000000001</v>
      </c>
      <c r="E116" t="s">
        <v>3925</v>
      </c>
      <c r="F116" s="111">
        <v>3.0800000000000001E-4</v>
      </c>
    </row>
    <row r="117" spans="1:6" x14ac:dyDescent="0.55000000000000004">
      <c r="A117" t="s">
        <v>3422</v>
      </c>
      <c r="B117">
        <v>0.24110000000000001</v>
      </c>
      <c r="E117" t="s">
        <v>3926</v>
      </c>
      <c r="F117" s="111">
        <v>4.573E-4</v>
      </c>
    </row>
    <row r="118" spans="1:6" x14ac:dyDescent="0.55000000000000004">
      <c r="A118" t="s">
        <v>3423</v>
      </c>
      <c r="B118">
        <v>0.19009999999999999</v>
      </c>
      <c r="E118" t="s">
        <v>3927</v>
      </c>
      <c r="F118" s="111">
        <v>5.3350000000000003E-5</v>
      </c>
    </row>
    <row r="119" spans="1:6" x14ac:dyDescent="0.55000000000000004">
      <c r="A119" t="s">
        <v>3424</v>
      </c>
      <c r="B119">
        <v>0.18679999999999999</v>
      </c>
      <c r="E119" t="s">
        <v>3928</v>
      </c>
      <c r="F119" s="111">
        <v>7.4839999999999998E-4</v>
      </c>
    </row>
    <row r="120" spans="1:6" x14ac:dyDescent="0.55000000000000004">
      <c r="A120" t="s">
        <v>3425</v>
      </c>
      <c r="B120">
        <v>0.1804</v>
      </c>
      <c r="E120" t="s">
        <v>3929</v>
      </c>
      <c r="F120" s="111">
        <v>1.738E-4</v>
      </c>
    </row>
    <row r="121" spans="1:6" x14ac:dyDescent="0.55000000000000004">
      <c r="A121" t="s">
        <v>3426</v>
      </c>
      <c r="B121">
        <v>0.2611</v>
      </c>
      <c r="E121" t="s">
        <v>3930</v>
      </c>
      <c r="F121" s="111">
        <v>2.103E-2</v>
      </c>
    </row>
    <row r="122" spans="1:6" x14ac:dyDescent="0.55000000000000004">
      <c r="A122" t="s">
        <v>3427</v>
      </c>
      <c r="B122">
        <v>0.27579999999999999</v>
      </c>
      <c r="E122" t="s">
        <v>3931</v>
      </c>
      <c r="F122" s="111">
        <v>4.6640000000000001E-5</v>
      </c>
    </row>
    <row r="123" spans="1:6" x14ac:dyDescent="0.55000000000000004">
      <c r="A123" t="s">
        <v>3428</v>
      </c>
      <c r="B123">
        <v>0.1013</v>
      </c>
      <c r="E123" t="s">
        <v>3932</v>
      </c>
      <c r="F123" s="111">
        <v>7.3700000000000002E-4</v>
      </c>
    </row>
    <row r="124" spans="1:6" x14ac:dyDescent="0.55000000000000004">
      <c r="A124" t="s">
        <v>3429</v>
      </c>
      <c r="B124">
        <v>0.1014</v>
      </c>
      <c r="E124" t="s">
        <v>3933</v>
      </c>
      <c r="F124" s="111">
        <v>2.9280000000000001E-5</v>
      </c>
    </row>
    <row r="125" spans="1:6" x14ac:dyDescent="0.55000000000000004">
      <c r="A125" t="s">
        <v>3430</v>
      </c>
      <c r="B125">
        <v>0.1002</v>
      </c>
      <c r="E125" t="s">
        <v>3934</v>
      </c>
      <c r="F125" s="111">
        <v>3.4489999999999998E-4</v>
      </c>
    </row>
    <row r="126" spans="1:6" x14ac:dyDescent="0.55000000000000004">
      <c r="A126" t="s">
        <v>3431</v>
      </c>
      <c r="B126" s="111">
        <v>9.9629999999999996E-2</v>
      </c>
      <c r="E126" t="s">
        <v>3935</v>
      </c>
      <c r="F126" s="111">
        <v>3.8989999999999999E-4</v>
      </c>
    </row>
    <row r="127" spans="1:6" x14ac:dyDescent="0.55000000000000004">
      <c r="A127" t="s">
        <v>3432</v>
      </c>
      <c r="B127">
        <v>0.1011</v>
      </c>
      <c r="E127" t="s">
        <v>3936</v>
      </c>
      <c r="F127" s="111">
        <v>1.075E-3</v>
      </c>
    </row>
    <row r="128" spans="1:6" x14ac:dyDescent="0.55000000000000004">
      <c r="A128" t="s">
        <v>3433</v>
      </c>
      <c r="B128">
        <v>0.10150000000000001</v>
      </c>
      <c r="E128" t="s">
        <v>3937</v>
      </c>
      <c r="F128" s="111">
        <v>3.7740000000000001E-4</v>
      </c>
    </row>
    <row r="129" spans="1:6" x14ac:dyDescent="0.55000000000000004">
      <c r="A129" t="s">
        <v>3434</v>
      </c>
      <c r="B129">
        <v>0.1016</v>
      </c>
      <c r="E129" t="s">
        <v>3938</v>
      </c>
      <c r="F129" s="111">
        <v>2.096E-4</v>
      </c>
    </row>
    <row r="130" spans="1:6" x14ac:dyDescent="0.55000000000000004">
      <c r="A130" t="s">
        <v>3435</v>
      </c>
      <c r="B130">
        <v>0.1013</v>
      </c>
      <c r="E130" t="s">
        <v>3939</v>
      </c>
      <c r="F130" s="111">
        <v>3.1100000000000002E-4</v>
      </c>
    </row>
    <row r="131" spans="1:6" x14ac:dyDescent="0.55000000000000004">
      <c r="A131" t="s">
        <v>3436</v>
      </c>
      <c r="B131">
        <v>0.1014</v>
      </c>
      <c r="E131" t="s">
        <v>3940</v>
      </c>
      <c r="F131" s="111">
        <v>1.8990000000000001E-4</v>
      </c>
    </row>
    <row r="132" spans="1:6" x14ac:dyDescent="0.55000000000000004">
      <c r="A132" t="s">
        <v>3437</v>
      </c>
      <c r="B132">
        <v>0.10059999999999999</v>
      </c>
      <c r="E132" t="s">
        <v>3941</v>
      </c>
      <c r="F132" s="111">
        <v>5.3580000000000001E-4</v>
      </c>
    </row>
    <row r="133" spans="1:6" x14ac:dyDescent="0.55000000000000004">
      <c r="A133" t="s">
        <v>3438</v>
      </c>
      <c r="B133">
        <v>0.1018</v>
      </c>
      <c r="E133" t="s">
        <v>3942</v>
      </c>
      <c r="F133" s="111">
        <v>3.926E-4</v>
      </c>
    </row>
    <row r="134" spans="1:6" x14ac:dyDescent="0.55000000000000004">
      <c r="A134" t="s">
        <v>3439</v>
      </c>
      <c r="B134">
        <v>0.1004</v>
      </c>
      <c r="E134" t="s">
        <v>3943</v>
      </c>
      <c r="F134" s="111">
        <v>4.5580000000000002E-4</v>
      </c>
    </row>
    <row r="135" spans="1:6" x14ac:dyDescent="0.55000000000000004">
      <c r="A135" t="s">
        <v>3440</v>
      </c>
      <c r="B135">
        <v>0.10199999999999999</v>
      </c>
      <c r="E135" t="s">
        <v>3944</v>
      </c>
      <c r="F135" s="111">
        <v>3.5859999999999999E-4</v>
      </c>
    </row>
    <row r="136" spans="1:6" x14ac:dyDescent="0.55000000000000004">
      <c r="A136" t="s">
        <v>3441</v>
      </c>
      <c r="B136">
        <v>0.1002</v>
      </c>
      <c r="E136" t="s">
        <v>3945</v>
      </c>
      <c r="F136" s="111">
        <v>2.1359999999999999E-4</v>
      </c>
    </row>
    <row r="137" spans="1:6" x14ac:dyDescent="0.55000000000000004">
      <c r="A137" t="s">
        <v>3442</v>
      </c>
      <c r="B137">
        <v>0.10059999999999999</v>
      </c>
      <c r="E137" t="s">
        <v>3946</v>
      </c>
      <c r="F137" s="111">
        <v>1.54E-4</v>
      </c>
    </row>
    <row r="138" spans="1:6" x14ac:dyDescent="0.55000000000000004">
      <c r="A138" t="s">
        <v>3443</v>
      </c>
      <c r="B138">
        <v>0.1004</v>
      </c>
      <c r="E138" t="s">
        <v>3947</v>
      </c>
      <c r="F138" s="111">
        <v>2.286E-4</v>
      </c>
    </row>
    <row r="139" spans="1:6" x14ac:dyDescent="0.55000000000000004">
      <c r="A139" t="s">
        <v>3444</v>
      </c>
      <c r="B139">
        <v>0.1023</v>
      </c>
      <c r="E139" t="s">
        <v>3948</v>
      </c>
      <c r="F139" s="111">
        <v>2.6679999999999999E-5</v>
      </c>
    </row>
    <row r="140" spans="1:6" x14ac:dyDescent="0.55000000000000004">
      <c r="A140" t="s">
        <v>3445</v>
      </c>
      <c r="B140">
        <v>0.1012</v>
      </c>
      <c r="E140" t="s">
        <v>3949</v>
      </c>
      <c r="F140" s="111">
        <v>3.7419999999999999E-4</v>
      </c>
    </row>
    <row r="141" spans="1:6" x14ac:dyDescent="0.55000000000000004">
      <c r="A141" t="s">
        <v>3446</v>
      </c>
      <c r="B141">
        <v>0.10199999999999999</v>
      </c>
      <c r="E141" t="s">
        <v>3950</v>
      </c>
      <c r="F141" s="111">
        <v>8.6879999999999995E-5</v>
      </c>
    </row>
    <row r="142" spans="1:6" x14ac:dyDescent="0.55000000000000004">
      <c r="A142" t="s">
        <v>3447</v>
      </c>
      <c r="B142">
        <v>0.10199999999999999</v>
      </c>
      <c r="E142" t="s">
        <v>3951</v>
      </c>
      <c r="F142" s="111">
        <v>1.051E-2</v>
      </c>
    </row>
    <row r="143" spans="1:6" x14ac:dyDescent="0.55000000000000004">
      <c r="A143" t="s">
        <v>3448</v>
      </c>
      <c r="B143">
        <v>0.1018</v>
      </c>
      <c r="E143" t="s">
        <v>3952</v>
      </c>
      <c r="F143" s="111">
        <v>2.332E-5</v>
      </c>
    </row>
    <row r="144" spans="1:6" x14ac:dyDescent="0.55000000000000004">
      <c r="A144" t="s">
        <v>4031</v>
      </c>
      <c r="B144" s="111">
        <v>4.8500000000000001E-2</v>
      </c>
      <c r="E144" t="s">
        <v>3953</v>
      </c>
      <c r="F144" s="111">
        <v>3.6850000000000001E-4</v>
      </c>
    </row>
    <row r="145" spans="1:6" x14ac:dyDescent="0.55000000000000004">
      <c r="A145" t="s">
        <v>4032</v>
      </c>
      <c r="B145" s="111">
        <v>4.8599999999999997E-2</v>
      </c>
      <c r="E145" t="s">
        <v>3954</v>
      </c>
      <c r="F145" s="111">
        <v>2.261E-3</v>
      </c>
    </row>
    <row r="146" spans="1:6" x14ac:dyDescent="0.55000000000000004">
      <c r="A146" t="s">
        <v>4033</v>
      </c>
      <c r="B146" s="111">
        <v>4.7960000000000003E-2</v>
      </c>
      <c r="E146" t="s">
        <v>3955</v>
      </c>
      <c r="F146">
        <v>0.20039999999999999</v>
      </c>
    </row>
    <row r="147" spans="1:6" x14ac:dyDescent="0.55000000000000004">
      <c r="A147" t="s">
        <v>4034</v>
      </c>
      <c r="B147" s="111">
        <v>4.7710000000000002E-2</v>
      </c>
      <c r="E147" t="s">
        <v>3956</v>
      </c>
      <c r="F147" s="111">
        <v>8.608E-4</v>
      </c>
    </row>
    <row r="148" spans="1:6" x14ac:dyDescent="0.55000000000000004">
      <c r="A148" t="s">
        <v>4035</v>
      </c>
      <c r="B148" s="111">
        <v>4.8410000000000002E-2</v>
      </c>
      <c r="E148" t="s">
        <v>3957</v>
      </c>
      <c r="F148" s="111">
        <v>3.8270000000000001E-3</v>
      </c>
    </row>
    <row r="149" spans="1:6" x14ac:dyDescent="0.55000000000000004">
      <c r="A149" t="s">
        <v>4036</v>
      </c>
      <c r="B149" s="111">
        <v>4.8590000000000001E-2</v>
      </c>
      <c r="E149" t="s">
        <v>3958</v>
      </c>
      <c r="F149" s="111">
        <v>2.5560000000000001E-3</v>
      </c>
    </row>
    <row r="150" spans="1:6" x14ac:dyDescent="0.55000000000000004">
      <c r="A150" t="s">
        <v>4037</v>
      </c>
      <c r="B150" s="111">
        <v>4.8640000000000003E-2</v>
      </c>
      <c r="E150" t="s">
        <v>3959</v>
      </c>
      <c r="F150" s="111">
        <v>1.629E-3</v>
      </c>
    </row>
    <row r="151" spans="1:6" x14ac:dyDescent="0.55000000000000004">
      <c r="A151" t="s">
        <v>4038</v>
      </c>
      <c r="B151" s="111">
        <v>4.8489999999999998E-2</v>
      </c>
      <c r="E151" t="s">
        <v>3960</v>
      </c>
      <c r="F151" s="111">
        <v>9.9479999999999989E-4</v>
      </c>
    </row>
    <row r="152" spans="1:6" x14ac:dyDescent="0.55000000000000004">
      <c r="A152" t="s">
        <v>4039</v>
      </c>
      <c r="B152" s="111">
        <v>4.8599999999999997E-2</v>
      </c>
      <c r="E152" t="s">
        <v>3961</v>
      </c>
      <c r="F152" s="111">
        <v>4.8079999999999998E-3</v>
      </c>
    </row>
    <row r="153" spans="1:6" x14ac:dyDescent="0.55000000000000004">
      <c r="A153" t="s">
        <v>4040</v>
      </c>
      <c r="B153" s="111">
        <v>4.8169999999999998E-2</v>
      </c>
      <c r="E153" t="s">
        <v>3962</v>
      </c>
      <c r="F153" s="111">
        <v>1.6169999999999999E-3</v>
      </c>
    </row>
    <row r="154" spans="1:6" x14ac:dyDescent="0.55000000000000004">
      <c r="A154" t="s">
        <v>4041</v>
      </c>
      <c r="B154" s="111">
        <v>4.8759999999999998E-2</v>
      </c>
      <c r="E154" t="s">
        <v>3963</v>
      </c>
      <c r="F154">
        <v>0.13739999999999999</v>
      </c>
    </row>
    <row r="155" spans="1:6" x14ac:dyDescent="0.55000000000000004">
      <c r="A155" t="s">
        <v>4042</v>
      </c>
      <c r="B155" s="111">
        <v>4.8079999999999998E-2</v>
      </c>
      <c r="E155" t="s">
        <v>3964</v>
      </c>
      <c r="F155" s="111">
        <v>1.353E-3</v>
      </c>
    </row>
    <row r="156" spans="1:6" x14ac:dyDescent="0.55000000000000004">
      <c r="A156" t="s">
        <v>4043</v>
      </c>
      <c r="B156" s="111">
        <v>4.8840000000000001E-2</v>
      </c>
      <c r="E156" t="s">
        <v>3965</v>
      </c>
      <c r="F156" s="111">
        <v>6.6199999999999995E-2</v>
      </c>
    </row>
    <row r="157" spans="1:6" x14ac:dyDescent="0.55000000000000004">
      <c r="A157" t="s">
        <v>4044</v>
      </c>
      <c r="B157" s="111">
        <v>5.2490000000000002E-2</v>
      </c>
      <c r="E157" t="s">
        <v>3966</v>
      </c>
      <c r="F157" s="111">
        <v>3.1579999999999997E-2</v>
      </c>
    </row>
    <row r="158" spans="1:6" x14ac:dyDescent="0.55000000000000004">
      <c r="A158" t="s">
        <v>4045</v>
      </c>
      <c r="B158" s="111">
        <v>6.5939999999999999E-2</v>
      </c>
      <c r="E158" t="s">
        <v>3967</v>
      </c>
      <c r="F158" s="111">
        <v>1.645E-3</v>
      </c>
    </row>
    <row r="159" spans="1:6" x14ac:dyDescent="0.55000000000000004">
      <c r="A159" t="s">
        <v>4046</v>
      </c>
      <c r="B159" s="111">
        <v>4.8079999999999998E-2</v>
      </c>
      <c r="E159" t="s">
        <v>3968</v>
      </c>
      <c r="F159" s="111">
        <v>1.7840000000000002E-2</v>
      </c>
    </row>
    <row r="160" spans="1:6" x14ac:dyDescent="0.55000000000000004">
      <c r="A160" t="s">
        <v>4047</v>
      </c>
      <c r="B160" s="111">
        <v>4.897E-2</v>
      </c>
      <c r="E160" t="s">
        <v>3969</v>
      </c>
      <c r="F160" s="111">
        <v>2.1729999999999999E-2</v>
      </c>
    </row>
    <row r="161" spans="1:6" x14ac:dyDescent="0.55000000000000004">
      <c r="A161" t="s">
        <v>4048</v>
      </c>
      <c r="B161" s="111">
        <v>4.845E-2</v>
      </c>
      <c r="E161" t="s">
        <v>3970</v>
      </c>
      <c r="F161" s="111">
        <v>5.5729999999999998E-3</v>
      </c>
    </row>
    <row r="162" spans="1:6" x14ac:dyDescent="0.55000000000000004">
      <c r="A162" t="s">
        <v>4049</v>
      </c>
      <c r="B162" s="111">
        <v>4.8869999999999997E-2</v>
      </c>
      <c r="E162" t="s">
        <v>3971</v>
      </c>
      <c r="F162" s="111">
        <v>2.9479999999999999E-2</v>
      </c>
    </row>
    <row r="163" spans="1:6" x14ac:dyDescent="0.55000000000000004">
      <c r="A163" t="s">
        <v>4050</v>
      </c>
      <c r="B163" s="111">
        <v>4.8849999999999998E-2</v>
      </c>
      <c r="E163" t="s">
        <v>3972</v>
      </c>
      <c r="F163" s="111">
        <v>6.0699999999999997E-2</v>
      </c>
    </row>
    <row r="164" spans="1:6" x14ac:dyDescent="0.55000000000000004">
      <c r="A164" t="s">
        <v>4051</v>
      </c>
      <c r="B164" s="111">
        <v>4.8770000000000001E-2</v>
      </c>
      <c r="E164" t="s">
        <v>3973</v>
      </c>
      <c r="F164" s="111">
        <v>2.5610000000000001E-2</v>
      </c>
    </row>
    <row r="165" spans="1:6" x14ac:dyDescent="0.55000000000000004">
      <c r="A165" t="s">
        <v>4052</v>
      </c>
      <c r="B165" s="111">
        <v>8.1519999999999995E-2</v>
      </c>
      <c r="E165" t="s">
        <v>3974</v>
      </c>
      <c r="F165" s="111">
        <v>3.4639999999999997E-2</v>
      </c>
    </row>
    <row r="166" spans="1:6" x14ac:dyDescent="0.55000000000000004">
      <c r="A166" t="s">
        <v>4053</v>
      </c>
      <c r="B166" s="111">
        <v>8.1610000000000002E-2</v>
      </c>
      <c r="E166" t="s">
        <v>3975</v>
      </c>
      <c r="F166" s="111">
        <v>3.848E-2</v>
      </c>
    </row>
    <row r="167" spans="1:6" x14ac:dyDescent="0.55000000000000004">
      <c r="A167" t="s">
        <v>4054</v>
      </c>
      <c r="B167" s="111">
        <v>8.0600000000000005E-2</v>
      </c>
      <c r="E167" t="s">
        <v>3976</v>
      </c>
      <c r="F167" s="111">
        <v>3.3689999999999998E-2</v>
      </c>
    </row>
    <row r="168" spans="1:6" x14ac:dyDescent="0.55000000000000004">
      <c r="A168" t="s">
        <v>4055</v>
      </c>
      <c r="B168" s="111">
        <v>8.0180000000000001E-2</v>
      </c>
      <c r="E168" t="s">
        <v>3977</v>
      </c>
      <c r="F168" s="111">
        <v>2.4719999999999999E-2</v>
      </c>
    </row>
    <row r="169" spans="1:6" x14ac:dyDescent="0.55000000000000004">
      <c r="A169" t="s">
        <v>4056</v>
      </c>
      <c r="B169" s="111">
        <v>8.1369999999999998E-2</v>
      </c>
      <c r="E169" t="s">
        <v>3978</v>
      </c>
      <c r="F169" s="111">
        <v>4.7879999999999999E-2</v>
      </c>
    </row>
    <row r="170" spans="1:6" x14ac:dyDescent="0.55000000000000004">
      <c r="A170" t="s">
        <v>4057</v>
      </c>
      <c r="B170" s="111">
        <v>8.1670000000000006E-2</v>
      </c>
      <c r="E170" t="s">
        <v>3979</v>
      </c>
      <c r="F170" s="111">
        <v>1.7940000000000001E-2</v>
      </c>
    </row>
    <row r="171" spans="1:6" x14ac:dyDescent="0.55000000000000004">
      <c r="A171" t="s">
        <v>4058</v>
      </c>
      <c r="B171" s="111">
        <v>8.1750000000000003E-2</v>
      </c>
      <c r="E171" t="s">
        <v>3980</v>
      </c>
      <c r="F171" s="111">
        <v>1.1339999999999999E-2</v>
      </c>
    </row>
    <row r="172" spans="1:6" x14ac:dyDescent="0.55000000000000004">
      <c r="A172" t="s">
        <v>4059</v>
      </c>
      <c r="B172" s="111">
        <v>8.1500000000000003E-2</v>
      </c>
      <c r="E172" t="s">
        <v>3981</v>
      </c>
      <c r="F172" s="111">
        <v>2.58E-2</v>
      </c>
    </row>
    <row r="173" spans="1:6" x14ac:dyDescent="0.55000000000000004">
      <c r="A173" t="s">
        <v>4060</v>
      </c>
      <c r="B173" s="111">
        <v>8.1629999999999994E-2</v>
      </c>
      <c r="E173" t="s">
        <v>3982</v>
      </c>
      <c r="F173" s="111">
        <v>2.7369999999999998E-2</v>
      </c>
    </row>
    <row r="174" spans="1:6" x14ac:dyDescent="0.55000000000000004">
      <c r="A174" t="s">
        <v>4061</v>
      </c>
      <c r="B174" s="111">
        <v>8.0960000000000004E-2</v>
      </c>
      <c r="E174" t="s">
        <v>3983</v>
      </c>
      <c r="F174" s="111">
        <v>2.3990000000000001E-2</v>
      </c>
    </row>
    <row r="175" spans="1:6" x14ac:dyDescent="0.55000000000000004">
      <c r="A175" t="s">
        <v>4062</v>
      </c>
      <c r="B175" s="111">
        <v>8.1960000000000005E-2</v>
      </c>
      <c r="E175" t="s">
        <v>3984</v>
      </c>
      <c r="F175" s="111">
        <v>1.2830000000000001E-3</v>
      </c>
    </row>
    <row r="176" spans="1:6" x14ac:dyDescent="0.55000000000000004">
      <c r="A176" t="s">
        <v>4063</v>
      </c>
      <c r="B176" s="111">
        <v>8.0790000000000001E-2</v>
      </c>
      <c r="E176" t="s">
        <v>3985</v>
      </c>
      <c r="F176" s="111">
        <v>4.1840000000000002E-2</v>
      </c>
    </row>
    <row r="177" spans="1:6" x14ac:dyDescent="0.55000000000000004">
      <c r="A177" t="s">
        <v>4064</v>
      </c>
      <c r="B177" s="111">
        <v>8.2070000000000004E-2</v>
      </c>
      <c r="E177" t="s">
        <v>3986</v>
      </c>
      <c r="F177" s="111">
        <v>1.532E-2</v>
      </c>
    </row>
    <row r="178" spans="1:6" x14ac:dyDescent="0.55000000000000004">
      <c r="A178" t="s">
        <v>4065</v>
      </c>
      <c r="B178" s="111">
        <v>8.0659999999999996E-2</v>
      </c>
      <c r="E178" t="s">
        <v>3987</v>
      </c>
      <c r="F178" s="111">
        <v>1.616E-3</v>
      </c>
    </row>
    <row r="179" spans="1:6" x14ac:dyDescent="0.55000000000000004">
      <c r="A179" t="s">
        <v>4066</v>
      </c>
      <c r="B179" s="111">
        <v>8.1009999999999999E-2</v>
      </c>
      <c r="E179" t="s">
        <v>3988</v>
      </c>
      <c r="F179" s="111">
        <v>2.3500000000000001E-3</v>
      </c>
    </row>
    <row r="180" spans="1:6" x14ac:dyDescent="0.55000000000000004">
      <c r="A180" t="s">
        <v>4067</v>
      </c>
      <c r="B180" s="111">
        <v>8.0810000000000007E-2</v>
      </c>
      <c r="E180" t="s">
        <v>3989</v>
      </c>
      <c r="F180">
        <v>0.11550000000000001</v>
      </c>
    </row>
    <row r="181" spans="1:6" x14ac:dyDescent="0.55000000000000004">
      <c r="A181" t="s">
        <v>4068</v>
      </c>
      <c r="B181" s="111">
        <v>8.2309999999999994E-2</v>
      </c>
      <c r="E181" t="s">
        <v>3990</v>
      </c>
      <c r="F181">
        <v>0.12790000000000001</v>
      </c>
    </row>
    <row r="182" spans="1:6" x14ac:dyDescent="0.55000000000000004">
      <c r="A182" t="s">
        <v>4069</v>
      </c>
      <c r="B182" s="111">
        <v>8.1430000000000002E-2</v>
      </c>
      <c r="E182" t="s">
        <v>3991</v>
      </c>
      <c r="F182" s="111">
        <v>6.5379999999999994E-2</v>
      </c>
    </row>
    <row r="183" spans="1:6" x14ac:dyDescent="0.55000000000000004">
      <c r="A183" t="s">
        <v>4070</v>
      </c>
      <c r="B183" s="111">
        <v>8.2129999999999995E-2</v>
      </c>
      <c r="E183" t="s">
        <v>3992</v>
      </c>
      <c r="F183" s="111">
        <v>4.1439999999999998E-2</v>
      </c>
    </row>
    <row r="184" spans="1:6" x14ac:dyDescent="0.55000000000000004">
      <c r="A184" t="s">
        <v>4071</v>
      </c>
      <c r="B184" s="111">
        <v>8.2059999999999994E-2</v>
      </c>
      <c r="E184" t="s">
        <v>3993</v>
      </c>
      <c r="F184" s="111">
        <v>3.3660000000000002E-2</v>
      </c>
    </row>
    <row r="185" spans="1:6" x14ac:dyDescent="0.55000000000000004">
      <c r="A185" t="s">
        <v>4072</v>
      </c>
      <c r="B185" s="111">
        <v>8.1939999999999999E-2</v>
      </c>
      <c r="E185" t="s">
        <v>3994</v>
      </c>
      <c r="F185" s="111">
        <v>5.398E-2</v>
      </c>
    </row>
    <row r="186" spans="1:6" x14ac:dyDescent="0.55000000000000004">
      <c r="A186" t="s">
        <v>4073</v>
      </c>
      <c r="B186" s="111">
        <v>7.6109999999999997E-2</v>
      </c>
      <c r="E186" t="s">
        <v>3995</v>
      </c>
      <c r="F186" s="111">
        <v>3.882E-2</v>
      </c>
    </row>
    <row r="187" spans="1:6" x14ac:dyDescent="0.55000000000000004">
      <c r="A187" t="s">
        <v>4074</v>
      </c>
      <c r="B187" s="111">
        <v>9.8269999999999996E-2</v>
      </c>
      <c r="E187" t="s">
        <v>3996</v>
      </c>
      <c r="F187" s="111">
        <v>1.4710000000000001E-2</v>
      </c>
    </row>
    <row r="188" spans="1:6" x14ac:dyDescent="0.55000000000000004">
      <c r="A188" t="s">
        <v>4075</v>
      </c>
      <c r="B188" s="111">
        <v>7.4550000000000005E-2</v>
      </c>
      <c r="E188" t="s">
        <v>3997</v>
      </c>
      <c r="F188">
        <v>0.1125</v>
      </c>
    </row>
    <row r="189" spans="1:6" x14ac:dyDescent="0.55000000000000004">
      <c r="A189" t="s">
        <v>4076</v>
      </c>
      <c r="B189" s="111">
        <v>8.6449999999999999E-2</v>
      </c>
      <c r="E189" t="s">
        <v>3998</v>
      </c>
      <c r="F189" s="111">
        <v>6.5699999999999995E-2</v>
      </c>
    </row>
    <row r="190" spans="1:6" x14ac:dyDescent="0.55000000000000004">
      <c r="A190" t="s">
        <v>4077</v>
      </c>
      <c r="B190" s="111">
        <v>5.6390000000000003E-2</v>
      </c>
      <c r="E190" t="s">
        <v>3999</v>
      </c>
      <c r="F190" s="111">
        <v>4.4490000000000002E-2</v>
      </c>
    </row>
    <row r="191" spans="1:6" x14ac:dyDescent="0.55000000000000004">
      <c r="A191" t="s">
        <v>4078</v>
      </c>
      <c r="B191" s="111">
        <v>5.944E-2</v>
      </c>
      <c r="E191" t="s">
        <v>4000</v>
      </c>
      <c r="F191" s="111">
        <v>9.5500000000000002E-2</v>
      </c>
    </row>
    <row r="192" spans="1:6" x14ac:dyDescent="0.55000000000000004">
      <c r="A192" t="s">
        <v>4079</v>
      </c>
      <c r="B192">
        <v>0.16239999999999999</v>
      </c>
      <c r="E192" t="s">
        <v>4001</v>
      </c>
      <c r="F192" s="111">
        <v>6.6930000000000003E-2</v>
      </c>
    </row>
    <row r="193" spans="1:6" x14ac:dyDescent="0.55000000000000004">
      <c r="A193" t="s">
        <v>4080</v>
      </c>
      <c r="B193" s="111">
        <v>9.7640000000000005E-2</v>
      </c>
      <c r="E193" t="s">
        <v>4002</v>
      </c>
      <c r="F193">
        <v>0.15959999999999999</v>
      </c>
    </row>
    <row r="194" spans="1:6" x14ac:dyDescent="0.55000000000000004">
      <c r="A194" t="s">
        <v>4081</v>
      </c>
      <c r="B194" s="111">
        <v>5.9200000000000003E-2</v>
      </c>
      <c r="E194" t="s">
        <v>4003</v>
      </c>
      <c r="F194">
        <v>0.1986</v>
      </c>
    </row>
    <row r="195" spans="1:6" x14ac:dyDescent="0.55000000000000004">
      <c r="A195" t="s">
        <v>4082</v>
      </c>
      <c r="B195" s="111">
        <v>9.1600000000000001E-2</v>
      </c>
      <c r="E195" t="s">
        <v>4004</v>
      </c>
      <c r="F195" s="111">
        <v>7.1690000000000004E-2</v>
      </c>
    </row>
    <row r="196" spans="1:6" x14ac:dyDescent="0.55000000000000004">
      <c r="A196" t="s">
        <v>4083</v>
      </c>
      <c r="B196" s="111">
        <v>5.7799999999999997E-2</v>
      </c>
      <c r="E196" t="s">
        <v>4005</v>
      </c>
      <c r="F196" s="111">
        <v>8.7240000000000009E-3</v>
      </c>
    </row>
    <row r="197" spans="1:6" x14ac:dyDescent="0.55000000000000004">
      <c r="A197" t="s">
        <v>4084</v>
      </c>
      <c r="B197" s="111">
        <v>7.6270000000000004E-2</v>
      </c>
      <c r="E197" t="s">
        <v>4006</v>
      </c>
      <c r="F197" s="111">
        <v>4.3929999999999997E-2</v>
      </c>
    </row>
    <row r="198" spans="1:6" x14ac:dyDescent="0.55000000000000004">
      <c r="A198" t="s">
        <v>4085</v>
      </c>
      <c r="B198" s="111">
        <v>4.02E-2</v>
      </c>
      <c r="E198" t="s">
        <v>4007</v>
      </c>
      <c r="F198" s="111">
        <v>2.8209999999999999E-2</v>
      </c>
    </row>
    <row r="199" spans="1:6" x14ac:dyDescent="0.55000000000000004">
      <c r="A199" t="s">
        <v>4086</v>
      </c>
      <c r="B199" s="111">
        <v>3.6999999999999998E-2</v>
      </c>
      <c r="E199" t="s">
        <v>4008</v>
      </c>
      <c r="F199">
        <v>0.13289999999999999</v>
      </c>
    </row>
    <row r="200" spans="1:6" x14ac:dyDescent="0.55000000000000004">
      <c r="A200" t="s">
        <v>4087</v>
      </c>
      <c r="B200">
        <v>0.14580000000000001</v>
      </c>
      <c r="E200" t="s">
        <v>4009</v>
      </c>
      <c r="F200" s="111">
        <v>9.2509999999999995E-2</v>
      </c>
    </row>
    <row r="201" spans="1:6" x14ac:dyDescent="0.55000000000000004">
      <c r="A201" t="s">
        <v>4088</v>
      </c>
      <c r="B201" s="111">
        <v>7.9680000000000001E-2</v>
      </c>
      <c r="E201" t="s">
        <v>4010</v>
      </c>
      <c r="F201">
        <v>0.1188</v>
      </c>
    </row>
    <row r="202" spans="1:6" x14ac:dyDescent="0.55000000000000004">
      <c r="A202" t="s">
        <v>4089</v>
      </c>
      <c r="B202" s="111">
        <v>2.896E-2</v>
      </c>
      <c r="E202" t="s">
        <v>4011</v>
      </c>
      <c r="F202">
        <v>0.1237</v>
      </c>
    </row>
    <row r="203" spans="1:6" x14ac:dyDescent="0.55000000000000004">
      <c r="A203" t="s">
        <v>4090</v>
      </c>
      <c r="B203" s="111">
        <v>2.8740000000000002E-2</v>
      </c>
      <c r="E203" t="s">
        <v>4012</v>
      </c>
      <c r="F203" s="111">
        <v>1.7139999999999999E-2</v>
      </c>
    </row>
    <row r="204" spans="1:6" x14ac:dyDescent="0.55000000000000004">
      <c r="A204" t="s">
        <v>4091</v>
      </c>
      <c r="B204" s="111">
        <v>2.8809999999999999E-2</v>
      </c>
      <c r="E204" t="s">
        <v>4013</v>
      </c>
      <c r="F204" s="111">
        <v>5.0279999999999998E-2</v>
      </c>
    </row>
    <row r="205" spans="1:6" x14ac:dyDescent="0.55000000000000004">
      <c r="A205" t="s">
        <v>4092</v>
      </c>
      <c r="B205" s="111">
        <v>4.6289999999999998E-2</v>
      </c>
      <c r="E205" t="s">
        <v>4014</v>
      </c>
      <c r="F205" s="111">
        <v>4.6559999999999997E-2</v>
      </c>
    </row>
    <row r="206" spans="1:6" x14ac:dyDescent="0.55000000000000004">
      <c r="A206" t="s">
        <v>4093</v>
      </c>
      <c r="B206" s="111">
        <v>5.2540000000000003E-2</v>
      </c>
      <c r="E206" t="s">
        <v>4015</v>
      </c>
      <c r="F206" s="111">
        <v>7.5719999999999996E-2</v>
      </c>
    </row>
    <row r="207" spans="1:6" x14ac:dyDescent="0.55000000000000004">
      <c r="A207" t="s">
        <v>4094</v>
      </c>
      <c r="B207" s="111">
        <v>2.8840000000000001E-2</v>
      </c>
      <c r="E207" t="s">
        <v>4016</v>
      </c>
      <c r="F207" s="111">
        <v>4.4909999999999999E-2</v>
      </c>
    </row>
    <row r="208" spans="1:6" x14ac:dyDescent="0.55000000000000004">
      <c r="A208" t="s">
        <v>4095</v>
      </c>
      <c r="B208" s="111">
        <v>3.288E-2</v>
      </c>
      <c r="E208" t="s">
        <v>4017</v>
      </c>
      <c r="F208" s="111">
        <v>9.4999999999999998E-3</v>
      </c>
    </row>
    <row r="209" spans="1:6" x14ac:dyDescent="0.55000000000000004">
      <c r="A209" t="s">
        <v>4096</v>
      </c>
      <c r="B209" s="111">
        <v>2.879E-2</v>
      </c>
      <c r="E209" t="s">
        <v>4018</v>
      </c>
      <c r="F209" s="111">
        <v>3.6990000000000002E-2</v>
      </c>
    </row>
    <row r="210" spans="1:6" x14ac:dyDescent="0.55000000000000004">
      <c r="A210" t="s">
        <v>4097</v>
      </c>
      <c r="B210" s="111">
        <v>2.8989999999999998E-2</v>
      </c>
      <c r="E210" t="s">
        <v>4019</v>
      </c>
      <c r="F210" s="111">
        <v>3.7789999999999997E-2</v>
      </c>
    </row>
    <row r="211" spans="1:6" x14ac:dyDescent="0.55000000000000004">
      <c r="A211" t="s">
        <v>4098</v>
      </c>
      <c r="B211" s="111">
        <v>2.8989999999999998E-2</v>
      </c>
      <c r="E211" t="s">
        <v>4020</v>
      </c>
      <c r="F211" s="111">
        <v>3.4380000000000001E-2</v>
      </c>
    </row>
    <row r="212" spans="1:6" x14ac:dyDescent="0.55000000000000004">
      <c r="A212" t="s">
        <v>4099</v>
      </c>
      <c r="B212" s="111">
        <v>2.886E-2</v>
      </c>
      <c r="E212" t="s">
        <v>4021</v>
      </c>
      <c r="F212" s="111">
        <v>1.8280000000000001E-2</v>
      </c>
    </row>
    <row r="213" spans="1:6" x14ac:dyDescent="0.55000000000000004">
      <c r="A213" t="s">
        <v>4100</v>
      </c>
      <c r="B213" s="111">
        <v>1.4420000000000001E-2</v>
      </c>
      <c r="E213" t="s">
        <v>4022</v>
      </c>
      <c r="F213" s="111">
        <v>1.9359999999999999E-2</v>
      </c>
    </row>
    <row r="214" spans="1:6" x14ac:dyDescent="0.55000000000000004">
      <c r="A214" t="s">
        <v>4101</v>
      </c>
      <c r="B214" s="111">
        <v>1.4319999999999999E-2</v>
      </c>
      <c r="E214" t="s">
        <v>4023</v>
      </c>
      <c r="F214" s="111">
        <v>1.082E-2</v>
      </c>
    </row>
    <row r="215" spans="1:6" x14ac:dyDescent="0.55000000000000004">
      <c r="A215" t="s">
        <v>4102</v>
      </c>
      <c r="B215" s="111">
        <v>1.41E-2</v>
      </c>
      <c r="E215" t="s">
        <v>4024</v>
      </c>
      <c r="F215" s="111">
        <v>2.9159999999999998E-2</v>
      </c>
    </row>
    <row r="216" spans="1:6" x14ac:dyDescent="0.55000000000000004">
      <c r="A216" t="s">
        <v>4103</v>
      </c>
      <c r="B216" s="111">
        <v>1.3939999999999999E-2</v>
      </c>
      <c r="E216" t="s">
        <v>4025</v>
      </c>
      <c r="F216" s="111">
        <v>1.5869999999999999E-2</v>
      </c>
    </row>
    <row r="217" spans="1:6" x14ac:dyDescent="0.55000000000000004">
      <c r="A217" t="s">
        <v>4104</v>
      </c>
      <c r="B217" s="111">
        <v>1.4200000000000001E-2</v>
      </c>
      <c r="E217" t="s">
        <v>4026</v>
      </c>
      <c r="F217" s="111">
        <v>4.7070000000000002E-3</v>
      </c>
    </row>
    <row r="218" spans="1:6" x14ac:dyDescent="0.55000000000000004">
      <c r="A218" t="s">
        <v>4105</v>
      </c>
      <c r="B218" s="111">
        <v>1.438E-2</v>
      </c>
      <c r="E218" t="s">
        <v>4027</v>
      </c>
      <c r="F218" s="111">
        <v>1.4970000000000001E-2</v>
      </c>
    </row>
    <row r="219" spans="1:6" x14ac:dyDescent="0.55000000000000004">
      <c r="A219" t="s">
        <v>4106</v>
      </c>
      <c r="B219" s="111">
        <v>1.4239999999999999E-2</v>
      </c>
      <c r="E219" t="s">
        <v>4028</v>
      </c>
      <c r="F219" s="111">
        <v>9.8230000000000001E-3</v>
      </c>
    </row>
    <row r="220" spans="1:6" x14ac:dyDescent="0.55000000000000004">
      <c r="A220" t="s">
        <v>4107</v>
      </c>
      <c r="B220" s="111">
        <v>1.404E-2</v>
      </c>
      <c r="E220" t="s">
        <v>4029</v>
      </c>
      <c r="F220" s="111">
        <v>4.176E-3</v>
      </c>
    </row>
    <row r="221" spans="1:6" x14ac:dyDescent="0.55000000000000004">
      <c r="A221" t="s">
        <v>4108</v>
      </c>
      <c r="B221" s="111">
        <v>1.44E-2</v>
      </c>
      <c r="E221" t="s">
        <v>4030</v>
      </c>
      <c r="F221" s="111">
        <v>4.5170000000000002E-3</v>
      </c>
    </row>
    <row r="222" spans="1:6" x14ac:dyDescent="0.55000000000000004">
      <c r="A222" t="s">
        <v>4109</v>
      </c>
      <c r="B222" s="111">
        <v>1.434E-2</v>
      </c>
      <c r="E222"/>
      <c r="F222" s="111"/>
    </row>
    <row r="223" spans="1:6" x14ac:dyDescent="0.55000000000000004">
      <c r="A223" t="s">
        <v>4110</v>
      </c>
      <c r="B223" s="111">
        <v>1.444E-2</v>
      </c>
      <c r="E223"/>
      <c r="F223" s="111"/>
    </row>
    <row r="224" spans="1:6" x14ac:dyDescent="0.55000000000000004">
      <c r="A224" t="s">
        <v>4111</v>
      </c>
      <c r="B224" s="111">
        <v>1.4500000000000001E-2</v>
      </c>
      <c r="E224"/>
      <c r="F224" s="111"/>
    </row>
    <row r="225" spans="1:6" x14ac:dyDescent="0.55000000000000004">
      <c r="A225" t="s">
        <v>4112</v>
      </c>
      <c r="B225" s="111">
        <v>1.4409999999999999E-2</v>
      </c>
      <c r="E225"/>
      <c r="F225" s="111"/>
    </row>
    <row r="226" spans="1:6" x14ac:dyDescent="0.55000000000000004">
      <c r="A226" t="s">
        <v>4113</v>
      </c>
      <c r="B226" s="111">
        <v>1.389E-2</v>
      </c>
      <c r="E226"/>
      <c r="F226" s="111"/>
    </row>
    <row r="227" spans="1:6" x14ac:dyDescent="0.55000000000000004">
      <c r="A227" t="s">
        <v>4114</v>
      </c>
      <c r="B227" s="111">
        <v>1.3990000000000001E-2</v>
      </c>
      <c r="E227"/>
      <c r="F227" s="111"/>
    </row>
    <row r="228" spans="1:6" x14ac:dyDescent="0.55000000000000004">
      <c r="A228" t="s">
        <v>4115</v>
      </c>
      <c r="B228" s="111">
        <v>1.427E-2</v>
      </c>
      <c r="E228"/>
      <c r="F228" s="111"/>
    </row>
    <row r="229" spans="1:6" x14ac:dyDescent="0.55000000000000004">
      <c r="A229" t="s">
        <v>4116</v>
      </c>
      <c r="B229" s="111">
        <v>1.4449999999999999E-2</v>
      </c>
      <c r="E229"/>
      <c r="F229" s="111"/>
    </row>
    <row r="230" spans="1:6" x14ac:dyDescent="0.55000000000000004">
      <c r="A230" t="s">
        <v>4117</v>
      </c>
      <c r="B230" s="111">
        <v>1.423E-2</v>
      </c>
      <c r="E230"/>
      <c r="F230" s="111"/>
    </row>
    <row r="231" spans="1:6" x14ac:dyDescent="0.55000000000000004">
      <c r="A231" t="s">
        <v>4118</v>
      </c>
      <c r="B231" s="111">
        <v>3.0949999999999998E-2</v>
      </c>
      <c r="E231"/>
      <c r="F231" s="111"/>
    </row>
    <row r="232" spans="1:6" x14ac:dyDescent="0.55000000000000004">
      <c r="A232" t="s">
        <v>4119</v>
      </c>
      <c r="B232" s="111">
        <v>1.4460000000000001E-2</v>
      </c>
      <c r="E232"/>
      <c r="F232" s="111"/>
    </row>
    <row r="233" spans="1:6" x14ac:dyDescent="0.55000000000000004">
      <c r="A233" t="s">
        <v>4120</v>
      </c>
      <c r="B233" s="111">
        <v>1.438E-2</v>
      </c>
      <c r="E233"/>
      <c r="F233" s="111"/>
    </row>
    <row r="234" spans="1:6" x14ac:dyDescent="0.55000000000000004">
      <c r="A234" t="s">
        <v>3933</v>
      </c>
      <c r="B234" s="111">
        <v>2.9280000000000001E-5</v>
      </c>
      <c r="E234"/>
      <c r="F234" s="111"/>
    </row>
    <row r="235" spans="1:6" x14ac:dyDescent="0.55000000000000004">
      <c r="A235" t="s">
        <v>3934</v>
      </c>
      <c r="B235" s="111">
        <v>3.4489999999999998E-4</v>
      </c>
      <c r="E235"/>
      <c r="F235" s="111"/>
    </row>
    <row r="236" spans="1:6" x14ac:dyDescent="0.55000000000000004">
      <c r="A236" t="s">
        <v>3935</v>
      </c>
      <c r="B236" s="111">
        <v>3.8989999999999999E-4</v>
      </c>
      <c r="E236"/>
      <c r="F236" s="111"/>
    </row>
    <row r="237" spans="1:6" x14ac:dyDescent="0.55000000000000004">
      <c r="A237" t="s">
        <v>3936</v>
      </c>
      <c r="B237" s="111">
        <v>1.075E-3</v>
      </c>
      <c r="E237"/>
      <c r="F237" s="111"/>
    </row>
    <row r="238" spans="1:6" x14ac:dyDescent="0.55000000000000004">
      <c r="A238" t="s">
        <v>3937</v>
      </c>
      <c r="B238" s="111">
        <v>3.7740000000000001E-4</v>
      </c>
      <c r="E238"/>
      <c r="F238" s="111"/>
    </row>
    <row r="239" spans="1:6" x14ac:dyDescent="0.55000000000000004">
      <c r="A239" t="s">
        <v>3938</v>
      </c>
      <c r="B239" s="111">
        <v>2.096E-4</v>
      </c>
      <c r="E239"/>
      <c r="F239" s="111"/>
    </row>
    <row r="240" spans="1:6" x14ac:dyDescent="0.55000000000000004">
      <c r="A240" t="s">
        <v>3939</v>
      </c>
      <c r="B240" s="111">
        <v>3.1100000000000002E-4</v>
      </c>
      <c r="E240"/>
      <c r="F240" s="111"/>
    </row>
    <row r="241" spans="1:6" x14ac:dyDescent="0.55000000000000004">
      <c r="A241" t="s">
        <v>3940</v>
      </c>
      <c r="B241" s="111">
        <v>1.8990000000000001E-4</v>
      </c>
      <c r="E241"/>
      <c r="F241" s="111"/>
    </row>
    <row r="242" spans="1:6" x14ac:dyDescent="0.55000000000000004">
      <c r="A242" t="s">
        <v>3941</v>
      </c>
      <c r="B242" s="111">
        <v>5.3580000000000001E-4</v>
      </c>
      <c r="E242"/>
      <c r="F242" s="111"/>
    </row>
    <row r="243" spans="1:6" x14ac:dyDescent="0.55000000000000004">
      <c r="A243" t="s">
        <v>3942</v>
      </c>
      <c r="B243" s="111">
        <v>3.926E-4</v>
      </c>
      <c r="E243"/>
      <c r="F243" s="111"/>
    </row>
    <row r="244" spans="1:6" x14ac:dyDescent="0.55000000000000004">
      <c r="A244" t="s">
        <v>3943</v>
      </c>
      <c r="B244" s="111">
        <v>4.5580000000000002E-4</v>
      </c>
      <c r="E244"/>
      <c r="F244" s="111"/>
    </row>
    <row r="245" spans="1:6" x14ac:dyDescent="0.55000000000000004">
      <c r="A245" t="s">
        <v>3944</v>
      </c>
      <c r="B245" s="111">
        <v>3.5859999999999999E-4</v>
      </c>
      <c r="E245"/>
      <c r="F245" s="111"/>
    </row>
    <row r="246" spans="1:6" x14ac:dyDescent="0.55000000000000004">
      <c r="A246" t="s">
        <v>3945</v>
      </c>
      <c r="B246" s="111">
        <v>2.1359999999999999E-4</v>
      </c>
      <c r="E246"/>
      <c r="F246" s="111"/>
    </row>
    <row r="247" spans="1:6" x14ac:dyDescent="0.55000000000000004">
      <c r="A247" t="s">
        <v>3946</v>
      </c>
      <c r="B247" s="111">
        <v>1.54E-4</v>
      </c>
      <c r="E247"/>
      <c r="F247" s="111"/>
    </row>
    <row r="248" spans="1:6" x14ac:dyDescent="0.55000000000000004">
      <c r="A248" t="s">
        <v>3947</v>
      </c>
      <c r="B248" s="111">
        <v>2.286E-4</v>
      </c>
      <c r="E248"/>
      <c r="F248" s="111"/>
    </row>
    <row r="249" spans="1:6" x14ac:dyDescent="0.55000000000000004">
      <c r="A249" t="s">
        <v>3948</v>
      </c>
      <c r="B249" s="111">
        <v>2.6679999999999999E-5</v>
      </c>
      <c r="E249"/>
      <c r="F249" s="111"/>
    </row>
    <row r="250" spans="1:6" x14ac:dyDescent="0.55000000000000004">
      <c r="A250" t="s">
        <v>3949</v>
      </c>
      <c r="B250" s="111">
        <v>3.7419999999999999E-4</v>
      </c>
      <c r="E250"/>
      <c r="F250" s="111"/>
    </row>
    <row r="251" spans="1:6" x14ac:dyDescent="0.55000000000000004">
      <c r="A251" t="s">
        <v>3950</v>
      </c>
      <c r="B251" s="111">
        <v>8.6879999999999995E-5</v>
      </c>
      <c r="E251"/>
      <c r="F251" s="111"/>
    </row>
    <row r="252" spans="1:6" x14ac:dyDescent="0.55000000000000004">
      <c r="A252" t="s">
        <v>3951</v>
      </c>
      <c r="B252" s="111">
        <v>1.051E-2</v>
      </c>
      <c r="E252"/>
      <c r="F252" s="111"/>
    </row>
    <row r="253" spans="1:6" x14ac:dyDescent="0.55000000000000004">
      <c r="A253" t="s">
        <v>3952</v>
      </c>
      <c r="B253" s="111">
        <v>2.332E-5</v>
      </c>
      <c r="E253"/>
      <c r="F253" s="111"/>
    </row>
    <row r="254" spans="1:6" x14ac:dyDescent="0.55000000000000004">
      <c r="A254" t="s">
        <v>3953</v>
      </c>
      <c r="B254" s="111">
        <v>3.6850000000000001E-4</v>
      </c>
      <c r="E254"/>
      <c r="F254" s="111"/>
    </row>
    <row r="255" spans="1:6" x14ac:dyDescent="0.55000000000000004">
      <c r="A255" t="s">
        <v>3954</v>
      </c>
      <c r="B255" s="111">
        <v>2.261E-3</v>
      </c>
      <c r="E255"/>
      <c r="F255" s="111"/>
    </row>
    <row r="256" spans="1:6" x14ac:dyDescent="0.55000000000000004">
      <c r="A256" t="s">
        <v>3955</v>
      </c>
      <c r="B256">
        <v>0.20039999999999999</v>
      </c>
      <c r="E256"/>
      <c r="F256" s="111"/>
    </row>
    <row r="257" spans="1:6" x14ac:dyDescent="0.55000000000000004">
      <c r="A257" t="s">
        <v>3956</v>
      </c>
      <c r="B257" s="111">
        <v>8.608E-4</v>
      </c>
      <c r="E257"/>
      <c r="F257" s="111"/>
    </row>
    <row r="258" spans="1:6" x14ac:dyDescent="0.55000000000000004">
      <c r="A258" t="s">
        <v>3957</v>
      </c>
      <c r="B258" s="111">
        <v>3.8270000000000001E-3</v>
      </c>
      <c r="E258"/>
      <c r="F258" s="111"/>
    </row>
    <row r="259" spans="1:6" x14ac:dyDescent="0.55000000000000004">
      <c r="A259" t="s">
        <v>3958</v>
      </c>
      <c r="B259" s="111">
        <v>2.5560000000000001E-3</v>
      </c>
      <c r="E259"/>
      <c r="F259" s="111"/>
    </row>
    <row r="260" spans="1:6" x14ac:dyDescent="0.55000000000000004">
      <c r="A260" t="s">
        <v>3959</v>
      </c>
      <c r="B260" s="111">
        <v>1.629E-3</v>
      </c>
      <c r="E260"/>
      <c r="F260" s="111"/>
    </row>
    <row r="261" spans="1:6" x14ac:dyDescent="0.55000000000000004">
      <c r="A261" t="s">
        <v>3960</v>
      </c>
      <c r="B261" s="111">
        <v>9.9479999999999989E-4</v>
      </c>
      <c r="E261"/>
      <c r="F261" s="111"/>
    </row>
    <row r="262" spans="1:6" x14ac:dyDescent="0.55000000000000004">
      <c r="A262" t="s">
        <v>3961</v>
      </c>
      <c r="B262" s="111">
        <v>4.8079999999999998E-3</v>
      </c>
      <c r="E262"/>
      <c r="F262" s="111"/>
    </row>
    <row r="263" spans="1:6" x14ac:dyDescent="0.55000000000000004">
      <c r="A263" t="s">
        <v>3962</v>
      </c>
      <c r="B263" s="111">
        <v>1.6169999999999999E-3</v>
      </c>
      <c r="E263"/>
      <c r="F263" s="111"/>
    </row>
    <row r="264" spans="1:6" x14ac:dyDescent="0.55000000000000004">
      <c r="A264" t="s">
        <v>3963</v>
      </c>
      <c r="B264">
        <v>0.13739999999999999</v>
      </c>
      <c r="E264"/>
      <c r="F264" s="111"/>
    </row>
    <row r="265" spans="1:6" x14ac:dyDescent="0.55000000000000004">
      <c r="A265" t="s">
        <v>3964</v>
      </c>
      <c r="B265" s="111">
        <v>1.353E-3</v>
      </c>
      <c r="E265"/>
      <c r="F265" s="111"/>
    </row>
    <row r="266" spans="1:6" x14ac:dyDescent="0.55000000000000004">
      <c r="A266" t="s">
        <v>3965</v>
      </c>
      <c r="B266" s="111">
        <v>6.6199999999999995E-2</v>
      </c>
      <c r="E266"/>
      <c r="F266" s="111"/>
    </row>
    <row r="267" spans="1:6" x14ac:dyDescent="0.55000000000000004">
      <c r="A267" t="s">
        <v>3966</v>
      </c>
      <c r="B267" s="111">
        <v>3.1579999999999997E-2</v>
      </c>
      <c r="E267"/>
      <c r="F267" s="111"/>
    </row>
    <row r="268" spans="1:6" x14ac:dyDescent="0.55000000000000004">
      <c r="A268" t="s">
        <v>3967</v>
      </c>
      <c r="B268" s="111">
        <v>1.645E-3</v>
      </c>
      <c r="E268"/>
      <c r="F268" s="111"/>
    </row>
    <row r="269" spans="1:6" x14ac:dyDescent="0.55000000000000004">
      <c r="A269" t="s">
        <v>4121</v>
      </c>
      <c r="B269" s="111">
        <v>7.7539999999999998E-2</v>
      </c>
      <c r="E269"/>
      <c r="F269" s="111"/>
    </row>
    <row r="270" spans="1:6" x14ac:dyDescent="0.55000000000000004">
      <c r="A270" t="s">
        <v>4122</v>
      </c>
      <c r="B270" s="111">
        <v>8.3140000000000006E-2</v>
      </c>
      <c r="E270"/>
      <c r="F270" s="111"/>
    </row>
    <row r="271" spans="1:6" x14ac:dyDescent="0.55000000000000004">
      <c r="A271" t="s">
        <v>4123</v>
      </c>
      <c r="B271" s="111">
        <v>8.2989999999999994E-2</v>
      </c>
      <c r="E271"/>
      <c r="F271" s="111"/>
    </row>
    <row r="272" spans="1:6" x14ac:dyDescent="0.55000000000000004">
      <c r="A272" t="s">
        <v>4124</v>
      </c>
      <c r="B272" s="111">
        <v>7.9089999999999994E-2</v>
      </c>
      <c r="E272"/>
      <c r="F272" s="111"/>
    </row>
    <row r="273" spans="1:6" x14ac:dyDescent="0.55000000000000004">
      <c r="A273" t="s">
        <v>4125</v>
      </c>
      <c r="B273" s="111">
        <v>7.9450000000000007E-2</v>
      </c>
      <c r="E273"/>
      <c r="F273" s="111"/>
    </row>
    <row r="274" spans="1:6" x14ac:dyDescent="0.55000000000000004">
      <c r="A274" t="s">
        <v>4126</v>
      </c>
      <c r="B274" s="111">
        <v>7.8719999999999998E-2</v>
      </c>
      <c r="E274"/>
      <c r="F274" s="111"/>
    </row>
    <row r="275" spans="1:6" x14ac:dyDescent="0.55000000000000004">
      <c r="A275" t="s">
        <v>4127</v>
      </c>
      <c r="B275" s="111">
        <v>7.8990000000000005E-2</v>
      </c>
      <c r="E275"/>
      <c r="F275" s="111"/>
    </row>
    <row r="276" spans="1:6" x14ac:dyDescent="0.55000000000000004">
      <c r="A276" t="s">
        <v>4128</v>
      </c>
      <c r="B276" s="111">
        <v>7.9450000000000007E-2</v>
      </c>
      <c r="E276"/>
      <c r="F276" s="111"/>
    </row>
    <row r="277" spans="1:6" x14ac:dyDescent="0.55000000000000004">
      <c r="A277" t="s">
        <v>4129</v>
      </c>
      <c r="B277" s="111">
        <v>9.2950000000000005E-2</v>
      </c>
      <c r="E277"/>
      <c r="F277" s="111"/>
    </row>
    <row r="278" spans="1:6" x14ac:dyDescent="0.55000000000000004">
      <c r="A278" t="s">
        <v>4130</v>
      </c>
      <c r="B278" s="111">
        <v>7.5859999999999997E-2</v>
      </c>
      <c r="E278"/>
      <c r="F278" s="111"/>
    </row>
    <row r="279" spans="1:6" x14ac:dyDescent="0.55000000000000004">
      <c r="A279" t="s">
        <v>4131</v>
      </c>
      <c r="B279" s="111">
        <v>9.5149999999999998E-2</v>
      </c>
      <c r="E279"/>
      <c r="F279" s="111"/>
    </row>
    <row r="280" spans="1:6" x14ac:dyDescent="0.55000000000000004">
      <c r="A280" t="s">
        <v>4132</v>
      </c>
      <c r="B280" s="111">
        <v>8.3540000000000003E-2</v>
      </c>
      <c r="E280"/>
      <c r="F280" s="111"/>
    </row>
    <row r="281" spans="1:6" x14ac:dyDescent="0.55000000000000004">
      <c r="A281" t="s">
        <v>4133</v>
      </c>
      <c r="B281" s="111">
        <v>8.4059999999999996E-2</v>
      </c>
      <c r="E281"/>
      <c r="F281" s="111"/>
    </row>
    <row r="282" spans="1:6" x14ac:dyDescent="0.55000000000000004">
      <c r="A282" t="s">
        <v>4134</v>
      </c>
      <c r="B282" s="111">
        <v>7.9820000000000002E-2</v>
      </c>
      <c r="E282"/>
      <c r="F282" s="111"/>
    </row>
    <row r="283" spans="1:6" x14ac:dyDescent="0.55000000000000004">
      <c r="A283" t="s">
        <v>4135</v>
      </c>
      <c r="B283" s="111">
        <v>6.9599999999999995E-2</v>
      </c>
      <c r="E283"/>
      <c r="F283" s="111"/>
    </row>
    <row r="284" spans="1:6" x14ac:dyDescent="0.55000000000000004">
      <c r="A284" t="s">
        <v>4136</v>
      </c>
      <c r="B284" s="111">
        <v>8.4779999999999994E-2</v>
      </c>
      <c r="E284"/>
      <c r="F284" s="111"/>
    </row>
    <row r="285" spans="1:6" x14ac:dyDescent="0.55000000000000004">
      <c r="A285" t="s">
        <v>4137</v>
      </c>
      <c r="B285" s="111">
        <v>9.6170000000000005E-2</v>
      </c>
      <c r="E285"/>
      <c r="F285" s="111"/>
    </row>
    <row r="286" spans="1:6" x14ac:dyDescent="0.55000000000000004">
      <c r="A286" t="s">
        <v>4138</v>
      </c>
      <c r="B286" s="111">
        <v>7.9530000000000003E-2</v>
      </c>
      <c r="E286"/>
      <c r="F286" s="111"/>
    </row>
    <row r="287" spans="1:6" x14ac:dyDescent="0.55000000000000004">
      <c r="A287" t="s">
        <v>4139</v>
      </c>
      <c r="B287" s="111">
        <v>9.554E-2</v>
      </c>
      <c r="E287"/>
      <c r="F287" s="111"/>
    </row>
    <row r="288" spans="1:6" x14ac:dyDescent="0.55000000000000004">
      <c r="A288" t="s">
        <v>4140</v>
      </c>
      <c r="B288" s="111">
        <v>9.0090000000000003E-2</v>
      </c>
      <c r="E288"/>
      <c r="F288" s="111"/>
    </row>
    <row r="289" spans="1:6" x14ac:dyDescent="0.55000000000000004">
      <c r="A289" t="s">
        <v>4141</v>
      </c>
      <c r="B289" s="111">
        <v>9.5000000000000001E-2</v>
      </c>
      <c r="E289"/>
      <c r="F289" s="111"/>
    </row>
    <row r="290" spans="1:6" x14ac:dyDescent="0.55000000000000004">
      <c r="A290" t="s">
        <v>4142</v>
      </c>
      <c r="B290" s="111">
        <v>3.6560000000000002E-2</v>
      </c>
      <c r="E290"/>
      <c r="F290" s="111"/>
    </row>
    <row r="291" spans="1:6" x14ac:dyDescent="0.55000000000000004">
      <c r="A291" t="s">
        <v>4143</v>
      </c>
      <c r="B291" s="111">
        <v>3.7490000000000002E-2</v>
      </c>
      <c r="E291"/>
      <c r="F291" s="111"/>
    </row>
    <row r="292" spans="1:6" x14ac:dyDescent="0.55000000000000004">
      <c r="A292" t="s">
        <v>4144</v>
      </c>
      <c r="B292" s="111">
        <v>3.6839999999999998E-2</v>
      </c>
      <c r="E292"/>
      <c r="F292" s="111"/>
    </row>
    <row r="293" spans="1:6" x14ac:dyDescent="0.55000000000000004">
      <c r="A293" t="s">
        <v>4145</v>
      </c>
      <c r="B293" s="111">
        <v>3.8730000000000001E-2</v>
      </c>
      <c r="E293"/>
      <c r="F293" s="111"/>
    </row>
    <row r="294" spans="1:6" x14ac:dyDescent="0.55000000000000004">
      <c r="A294" t="s">
        <v>4146</v>
      </c>
      <c r="B294" s="111">
        <v>6.318E-2</v>
      </c>
      <c r="E294"/>
      <c r="F294" s="111"/>
    </row>
    <row r="295" spans="1:6" x14ac:dyDescent="0.55000000000000004">
      <c r="A295" t="s">
        <v>4147</v>
      </c>
      <c r="B295" s="111">
        <v>3.619E-2</v>
      </c>
      <c r="E295"/>
      <c r="F295" s="111"/>
    </row>
    <row r="296" spans="1:6" x14ac:dyDescent="0.55000000000000004">
      <c r="A296" t="s">
        <v>4148</v>
      </c>
      <c r="B296" s="111">
        <v>4.1590000000000002E-2</v>
      </c>
      <c r="E296"/>
      <c r="F296" s="111"/>
    </row>
    <row r="297" spans="1:6" x14ac:dyDescent="0.55000000000000004">
      <c r="A297" t="s">
        <v>4149</v>
      </c>
      <c r="B297" s="111">
        <v>4.4920000000000002E-2</v>
      </c>
      <c r="E297"/>
      <c r="F297" s="111"/>
    </row>
    <row r="298" spans="1:6" x14ac:dyDescent="0.55000000000000004">
      <c r="A298" t="s">
        <v>4150</v>
      </c>
      <c r="B298" s="111">
        <v>4.4699999999999997E-2</v>
      </c>
      <c r="E298"/>
      <c r="F298" s="111"/>
    </row>
    <row r="299" spans="1:6" x14ac:dyDescent="0.55000000000000004">
      <c r="A299" t="s">
        <v>4151</v>
      </c>
      <c r="B299" s="111">
        <v>3.5299999999999998E-2</v>
      </c>
      <c r="E299"/>
      <c r="F299" s="111"/>
    </row>
    <row r="300" spans="1:6" x14ac:dyDescent="0.55000000000000004">
      <c r="A300" t="s">
        <v>4152</v>
      </c>
      <c r="B300" s="111">
        <v>5.636E-2</v>
      </c>
      <c r="E300"/>
      <c r="F300" s="111"/>
    </row>
    <row r="301" spans="1:6" x14ac:dyDescent="0.55000000000000004">
      <c r="A301" t="s">
        <v>4153</v>
      </c>
      <c r="B301" s="111">
        <v>3.7280000000000001E-2</v>
      </c>
      <c r="E301"/>
      <c r="F301" s="111"/>
    </row>
    <row r="302" spans="1:6" x14ac:dyDescent="0.55000000000000004">
      <c r="A302" t="s">
        <v>4154</v>
      </c>
      <c r="B302" s="111">
        <v>3.7440000000000001E-2</v>
      </c>
      <c r="E302"/>
      <c r="F302" s="111"/>
    </row>
    <row r="303" spans="1:6" x14ac:dyDescent="0.55000000000000004">
      <c r="A303" t="s">
        <v>4155</v>
      </c>
      <c r="B303" s="111">
        <v>3.7719999999999997E-2</v>
      </c>
      <c r="E303"/>
      <c r="F303" s="111"/>
    </row>
    <row r="304" spans="1:6" x14ac:dyDescent="0.55000000000000004">
      <c r="A304" t="s">
        <v>4156</v>
      </c>
      <c r="B304" s="111">
        <v>3.3570000000000003E-2</v>
      </c>
      <c r="E304"/>
      <c r="F304" s="111"/>
    </row>
    <row r="305" spans="1:6" x14ac:dyDescent="0.55000000000000004">
      <c r="A305" t="s">
        <v>4157</v>
      </c>
      <c r="B305" s="111">
        <v>3.771E-2</v>
      </c>
      <c r="E305"/>
      <c r="F305" s="111"/>
    </row>
    <row r="306" spans="1:6" x14ac:dyDescent="0.55000000000000004">
      <c r="A306" t="s">
        <v>4158</v>
      </c>
      <c r="B306" s="111">
        <v>4.2700000000000002E-2</v>
      </c>
      <c r="E306"/>
      <c r="F306" s="111"/>
    </row>
    <row r="307" spans="1:6" x14ac:dyDescent="0.55000000000000004">
      <c r="A307" t="s">
        <v>4159</v>
      </c>
      <c r="B307" s="111">
        <v>4.1770000000000002E-2</v>
      </c>
      <c r="E307"/>
      <c r="F307" s="111"/>
    </row>
    <row r="308" spans="1:6" x14ac:dyDescent="0.55000000000000004">
      <c r="A308" t="s">
        <v>4160</v>
      </c>
      <c r="B308" s="111">
        <v>4.2939999999999999E-2</v>
      </c>
      <c r="E308"/>
      <c r="F308" s="111"/>
    </row>
    <row r="309" spans="1:6" x14ac:dyDescent="0.55000000000000004">
      <c r="A309" t="s">
        <v>4161</v>
      </c>
      <c r="B309" s="111">
        <v>0.04</v>
      </c>
      <c r="E309"/>
      <c r="F309" s="111"/>
    </row>
    <row r="310" spans="1:6" x14ac:dyDescent="0.55000000000000004">
      <c r="A310" t="s">
        <v>4162</v>
      </c>
      <c r="B310" s="111">
        <v>4.2220000000000001E-2</v>
      </c>
      <c r="E310"/>
      <c r="F310" s="111"/>
    </row>
    <row r="311" spans="1:6" x14ac:dyDescent="0.55000000000000004">
      <c r="A311" t="s">
        <v>4163</v>
      </c>
      <c r="B311">
        <v>0.34560000000000002</v>
      </c>
      <c r="E311"/>
      <c r="F311" s="111"/>
    </row>
    <row r="312" spans="1:6" x14ac:dyDescent="0.55000000000000004">
      <c r="A312" t="s">
        <v>4164</v>
      </c>
      <c r="B312">
        <v>0.34960000000000002</v>
      </c>
      <c r="E312"/>
      <c r="F312" s="111"/>
    </row>
    <row r="313" spans="1:6" x14ac:dyDescent="0.55000000000000004">
      <c r="A313" t="s">
        <v>4165</v>
      </c>
      <c r="B313">
        <v>0.31130000000000002</v>
      </c>
      <c r="E313"/>
      <c r="F313" s="111"/>
    </row>
    <row r="314" spans="1:6" x14ac:dyDescent="0.55000000000000004">
      <c r="A314" t="s">
        <v>4166</v>
      </c>
      <c r="B314">
        <v>0.29949999999999999</v>
      </c>
      <c r="E314"/>
      <c r="F314" s="111"/>
    </row>
    <row r="315" spans="1:6" x14ac:dyDescent="0.55000000000000004">
      <c r="A315" t="s">
        <v>4167</v>
      </c>
      <c r="B315">
        <v>0.34060000000000001</v>
      </c>
      <c r="E315"/>
      <c r="F315" s="111"/>
    </row>
    <row r="316" spans="1:6" x14ac:dyDescent="0.55000000000000004">
      <c r="A316" t="s">
        <v>4168</v>
      </c>
      <c r="B316">
        <v>0.35210000000000002</v>
      </c>
      <c r="E316"/>
      <c r="F316" s="111"/>
    </row>
    <row r="317" spans="1:6" x14ac:dyDescent="0.55000000000000004">
      <c r="A317" t="s">
        <v>4169</v>
      </c>
      <c r="B317">
        <v>0.35599999999999998</v>
      </c>
      <c r="E317"/>
      <c r="F317" s="111"/>
    </row>
    <row r="318" spans="1:6" x14ac:dyDescent="0.55000000000000004">
      <c r="A318" t="s">
        <v>4170</v>
      </c>
      <c r="B318">
        <v>0.34429999999999999</v>
      </c>
      <c r="E318"/>
      <c r="F318" s="111"/>
    </row>
    <row r="319" spans="1:6" x14ac:dyDescent="0.55000000000000004">
      <c r="A319" t="s">
        <v>4171</v>
      </c>
      <c r="B319">
        <v>0.34820000000000001</v>
      </c>
      <c r="E319"/>
      <c r="F319" s="111"/>
    </row>
    <row r="320" spans="1:6" x14ac:dyDescent="0.55000000000000004">
      <c r="A320" t="s">
        <v>4172</v>
      </c>
      <c r="B320">
        <v>0.32040000000000002</v>
      </c>
      <c r="E320"/>
      <c r="F320" s="111"/>
    </row>
    <row r="321" spans="1:6" x14ac:dyDescent="0.55000000000000004">
      <c r="A321" t="s">
        <v>4173</v>
      </c>
      <c r="B321">
        <v>0.36509999999999998</v>
      </c>
      <c r="E321"/>
      <c r="F321" s="111"/>
    </row>
    <row r="322" spans="1:6" x14ac:dyDescent="0.55000000000000004">
      <c r="A322" t="s">
        <v>4174</v>
      </c>
      <c r="B322">
        <v>0.31380000000000002</v>
      </c>
      <c r="E322"/>
      <c r="F322" s="111"/>
    </row>
    <row r="323" spans="1:6" x14ac:dyDescent="0.55000000000000004">
      <c r="A323" t="s">
        <v>4175</v>
      </c>
      <c r="B323">
        <v>0.36909999999999998</v>
      </c>
      <c r="E323"/>
      <c r="F323" s="111"/>
    </row>
    <row r="324" spans="1:6" x14ac:dyDescent="0.55000000000000004">
      <c r="A324" t="s">
        <v>4176</v>
      </c>
      <c r="B324">
        <v>0.31009999999999999</v>
      </c>
      <c r="E324"/>
      <c r="F324" s="111"/>
    </row>
    <row r="325" spans="1:6" x14ac:dyDescent="0.55000000000000004">
      <c r="A325" t="s">
        <v>4177</v>
      </c>
      <c r="B325">
        <v>0.32050000000000001</v>
      </c>
      <c r="E325"/>
      <c r="F325" s="111"/>
    </row>
    <row r="326" spans="1:6" x14ac:dyDescent="0.55000000000000004">
      <c r="A326" t="s">
        <v>4178</v>
      </c>
      <c r="B326">
        <v>0.31929999999999997</v>
      </c>
      <c r="E326"/>
      <c r="F326" s="111"/>
    </row>
    <row r="327" spans="1:6" x14ac:dyDescent="0.55000000000000004">
      <c r="A327" t="s">
        <v>4179</v>
      </c>
      <c r="B327">
        <v>0.38300000000000001</v>
      </c>
      <c r="E327"/>
      <c r="F327" s="111"/>
    </row>
    <row r="328" spans="1:6" x14ac:dyDescent="0.55000000000000004">
      <c r="A328" t="s">
        <v>4180</v>
      </c>
      <c r="B328">
        <v>0.34160000000000001</v>
      </c>
      <c r="E328"/>
      <c r="F328" s="111"/>
    </row>
    <row r="329" spans="1:6" x14ac:dyDescent="0.55000000000000004">
      <c r="A329" t="s">
        <v>4181</v>
      </c>
      <c r="B329">
        <v>0.37380000000000002</v>
      </c>
      <c r="E329"/>
      <c r="F329" s="111"/>
    </row>
    <row r="330" spans="1:6" x14ac:dyDescent="0.55000000000000004">
      <c r="A330" t="s">
        <v>4182</v>
      </c>
      <c r="B330">
        <v>0.37080000000000002</v>
      </c>
      <c r="E330"/>
      <c r="F330" s="111"/>
    </row>
    <row r="331" spans="1:6" x14ac:dyDescent="0.55000000000000004">
      <c r="A331" t="s">
        <v>4183</v>
      </c>
      <c r="B331">
        <v>0.36470000000000002</v>
      </c>
      <c r="E331"/>
      <c r="F331" s="111"/>
    </row>
    <row r="332" spans="1:6" x14ac:dyDescent="0.55000000000000004">
      <c r="A332" t="s">
        <v>4184</v>
      </c>
      <c r="B332">
        <v>0.12740000000000001</v>
      </c>
      <c r="E332"/>
      <c r="F332" s="111"/>
    </row>
    <row r="333" spans="1:6" x14ac:dyDescent="0.55000000000000004">
      <c r="A333" t="s">
        <v>4185</v>
      </c>
      <c r="B333">
        <v>0.13769999999999999</v>
      </c>
      <c r="E333"/>
      <c r="F333" s="111"/>
    </row>
    <row r="334" spans="1:6" x14ac:dyDescent="0.55000000000000004">
      <c r="A334" t="s">
        <v>4186</v>
      </c>
      <c r="B334" s="111">
        <v>8.8529999999999998E-2</v>
      </c>
      <c r="E334"/>
      <c r="F334" s="111"/>
    </row>
    <row r="335" spans="1:6" x14ac:dyDescent="0.55000000000000004">
      <c r="A335" t="s">
        <v>4187</v>
      </c>
      <c r="B335" s="111">
        <v>8.5440000000000002E-2</v>
      </c>
      <c r="E335"/>
      <c r="F335" s="111"/>
    </row>
    <row r="336" spans="1:6" x14ac:dyDescent="0.55000000000000004">
      <c r="A336" t="s">
        <v>4188</v>
      </c>
      <c r="B336" s="111">
        <v>9.6860000000000002E-2</v>
      </c>
      <c r="E336"/>
      <c r="F336" s="111"/>
    </row>
    <row r="337" spans="1:6" x14ac:dyDescent="0.55000000000000004">
      <c r="A337" t="s">
        <v>4189</v>
      </c>
      <c r="B337">
        <v>0.1</v>
      </c>
      <c r="E337"/>
      <c r="F337" s="111"/>
    </row>
    <row r="338" spans="1:6" x14ac:dyDescent="0.55000000000000004">
      <c r="A338" t="s">
        <v>4190</v>
      </c>
      <c r="B338">
        <v>0.1011</v>
      </c>
      <c r="E338"/>
      <c r="F338" s="111"/>
    </row>
    <row r="339" spans="1:6" x14ac:dyDescent="0.55000000000000004">
      <c r="A339" t="s">
        <v>4191</v>
      </c>
      <c r="B339" s="111">
        <v>9.7809999999999994E-2</v>
      </c>
      <c r="E339"/>
      <c r="F339" s="111"/>
    </row>
    <row r="340" spans="1:6" x14ac:dyDescent="0.55000000000000004">
      <c r="A340" t="s">
        <v>4192</v>
      </c>
      <c r="B340">
        <v>0.1217</v>
      </c>
      <c r="E340"/>
      <c r="F340" s="111"/>
    </row>
    <row r="341" spans="1:6" x14ac:dyDescent="0.55000000000000004">
      <c r="A341" t="s">
        <v>4193</v>
      </c>
      <c r="B341" s="111">
        <v>9.1060000000000002E-2</v>
      </c>
      <c r="E341"/>
      <c r="F341" s="111"/>
    </row>
    <row r="342" spans="1:6" x14ac:dyDescent="0.55000000000000004">
      <c r="A342" t="s">
        <v>4194</v>
      </c>
      <c r="B342">
        <v>0.1037</v>
      </c>
      <c r="E342"/>
      <c r="F342" s="111"/>
    </row>
    <row r="343" spans="1:6" x14ac:dyDescent="0.55000000000000004">
      <c r="A343" t="s">
        <v>4195</v>
      </c>
      <c r="B343" s="111">
        <v>9.7720000000000001E-2</v>
      </c>
      <c r="E343"/>
      <c r="F343" s="111"/>
    </row>
    <row r="344" spans="1:6" x14ac:dyDescent="0.55000000000000004">
      <c r="A344" t="s">
        <v>4196</v>
      </c>
      <c r="B344">
        <v>0.1051</v>
      </c>
      <c r="E344"/>
      <c r="F344" s="111"/>
    </row>
    <row r="345" spans="1:6" x14ac:dyDescent="0.55000000000000004">
      <c r="A345" t="s">
        <v>4197</v>
      </c>
      <c r="B345">
        <v>0.16719999999999999</v>
      </c>
      <c r="E345"/>
      <c r="F345" s="111"/>
    </row>
    <row r="346" spans="1:6" x14ac:dyDescent="0.55000000000000004">
      <c r="A346" t="s">
        <v>4198</v>
      </c>
      <c r="B346">
        <v>0.20749999999999999</v>
      </c>
      <c r="E346"/>
      <c r="F346" s="111"/>
    </row>
    <row r="347" spans="1:6" x14ac:dyDescent="0.55000000000000004">
      <c r="A347" t="s">
        <v>4199</v>
      </c>
      <c r="B347" s="111">
        <v>9.1469999999999996E-2</v>
      </c>
      <c r="E347"/>
      <c r="F347" s="111"/>
    </row>
    <row r="348" spans="1:6" x14ac:dyDescent="0.55000000000000004">
      <c r="A348" t="s">
        <v>4200</v>
      </c>
      <c r="B348">
        <v>0.10879999999999999</v>
      </c>
      <c r="E348"/>
      <c r="F348" s="111"/>
    </row>
    <row r="349" spans="1:6" x14ac:dyDescent="0.55000000000000004">
      <c r="A349" t="s">
        <v>4201</v>
      </c>
      <c r="B349" s="111">
        <v>9.7030000000000005E-2</v>
      </c>
      <c r="E349"/>
      <c r="F349" s="111"/>
    </row>
    <row r="350" spans="1:6" x14ac:dyDescent="0.55000000000000004">
      <c r="A350" t="s">
        <v>4202</v>
      </c>
      <c r="B350">
        <v>0.1062</v>
      </c>
      <c r="E350"/>
      <c r="F350" s="111"/>
    </row>
    <row r="351" spans="1:6" x14ac:dyDescent="0.55000000000000004">
      <c r="A351" t="s">
        <v>4203</v>
      </c>
      <c r="B351">
        <v>0.15060000000000001</v>
      </c>
      <c r="E351"/>
      <c r="F351" s="111"/>
    </row>
    <row r="352" spans="1:6" x14ac:dyDescent="0.55000000000000004">
      <c r="A352" t="s">
        <v>4204</v>
      </c>
      <c r="B352">
        <v>0.1065</v>
      </c>
      <c r="E352"/>
      <c r="F352" s="111"/>
    </row>
    <row r="353" spans="1:6" x14ac:dyDescent="0.55000000000000004">
      <c r="A353" t="s">
        <v>4205</v>
      </c>
      <c r="B353">
        <v>0.27810000000000001</v>
      </c>
      <c r="E353"/>
      <c r="F353" s="111"/>
    </row>
    <row r="354" spans="1:6" x14ac:dyDescent="0.55000000000000004">
      <c r="A354" t="s">
        <v>4206</v>
      </c>
      <c r="B354">
        <v>0.28139999999999998</v>
      </c>
      <c r="E354"/>
      <c r="F354" s="111"/>
    </row>
    <row r="355" spans="1:6" x14ac:dyDescent="0.55000000000000004">
      <c r="A355" t="s">
        <v>4207</v>
      </c>
      <c r="B355">
        <v>0.2505</v>
      </c>
      <c r="E355"/>
      <c r="F355" s="111"/>
    </row>
    <row r="356" spans="1:6" x14ac:dyDescent="0.55000000000000004">
      <c r="A356" t="s">
        <v>4208</v>
      </c>
      <c r="B356">
        <v>0.24099999999999999</v>
      </c>
      <c r="E356"/>
      <c r="F356" s="111"/>
    </row>
    <row r="357" spans="1:6" x14ac:dyDescent="0.55000000000000004">
      <c r="A357" t="s">
        <v>4209</v>
      </c>
      <c r="B357">
        <v>0.27410000000000001</v>
      </c>
      <c r="E357"/>
      <c r="F357" s="111"/>
    </row>
    <row r="358" spans="1:6" x14ac:dyDescent="0.55000000000000004">
      <c r="A358" t="s">
        <v>4210</v>
      </c>
      <c r="B358">
        <v>0.28339999999999999</v>
      </c>
      <c r="E358"/>
      <c r="F358" s="111"/>
    </row>
    <row r="359" spans="1:6" x14ac:dyDescent="0.55000000000000004">
      <c r="A359" t="s">
        <v>4211</v>
      </c>
      <c r="B359">
        <v>0.28649999999999998</v>
      </c>
      <c r="E359"/>
      <c r="F359" s="111"/>
    </row>
    <row r="360" spans="1:6" x14ac:dyDescent="0.55000000000000004">
      <c r="A360" t="s">
        <v>4212</v>
      </c>
      <c r="B360">
        <v>0.27710000000000001</v>
      </c>
      <c r="E360"/>
      <c r="F360" s="111"/>
    </row>
    <row r="361" spans="1:6" x14ac:dyDescent="0.55000000000000004">
      <c r="A361" t="s">
        <v>4213</v>
      </c>
      <c r="B361">
        <v>0.2802</v>
      </c>
      <c r="E361"/>
      <c r="F361" s="111"/>
    </row>
    <row r="362" spans="1:6" x14ac:dyDescent="0.55000000000000004">
      <c r="A362" t="s">
        <v>4214</v>
      </c>
      <c r="B362">
        <v>0.25779999999999997</v>
      </c>
      <c r="E362"/>
      <c r="F362" s="111"/>
    </row>
    <row r="363" spans="1:6" x14ac:dyDescent="0.55000000000000004">
      <c r="A363" t="s">
        <v>4215</v>
      </c>
      <c r="B363">
        <v>0.29380000000000001</v>
      </c>
      <c r="E363"/>
      <c r="F363" s="111"/>
    </row>
    <row r="364" spans="1:6" x14ac:dyDescent="0.55000000000000004">
      <c r="A364" t="s">
        <v>4216</v>
      </c>
      <c r="B364">
        <v>0.2525</v>
      </c>
      <c r="E364"/>
      <c r="F364" s="111"/>
    </row>
    <row r="365" spans="1:6" x14ac:dyDescent="0.55000000000000004">
      <c r="A365" t="s">
        <v>4217</v>
      </c>
      <c r="B365">
        <v>0.29709999999999998</v>
      </c>
      <c r="E365"/>
      <c r="F365" s="111"/>
    </row>
    <row r="366" spans="1:6" x14ac:dyDescent="0.55000000000000004">
      <c r="A366" t="s">
        <v>4218</v>
      </c>
      <c r="B366">
        <v>0.25</v>
      </c>
      <c r="E366"/>
      <c r="F366" s="111"/>
    </row>
    <row r="367" spans="1:6" x14ac:dyDescent="0.55000000000000004">
      <c r="A367" t="s">
        <v>4219</v>
      </c>
      <c r="B367">
        <v>0.25819999999999999</v>
      </c>
      <c r="E367"/>
      <c r="F367" s="111"/>
    </row>
    <row r="368" spans="1:6" x14ac:dyDescent="0.55000000000000004">
      <c r="A368" t="s">
        <v>4220</v>
      </c>
      <c r="B368">
        <v>0.25700000000000001</v>
      </c>
      <c r="E368"/>
      <c r="F368" s="111"/>
    </row>
    <row r="369" spans="1:6" x14ac:dyDescent="0.55000000000000004">
      <c r="A369" t="s">
        <v>4221</v>
      </c>
      <c r="B369">
        <v>0.30819999999999997</v>
      </c>
      <c r="E369"/>
      <c r="F369" s="111"/>
    </row>
    <row r="370" spans="1:6" x14ac:dyDescent="0.55000000000000004">
      <c r="A370" t="s">
        <v>4222</v>
      </c>
      <c r="B370">
        <v>0.27489999999999998</v>
      </c>
      <c r="E370"/>
      <c r="F370" s="111"/>
    </row>
    <row r="371" spans="1:6" x14ac:dyDescent="0.55000000000000004">
      <c r="A371" t="s">
        <v>4223</v>
      </c>
      <c r="B371">
        <v>0.30080000000000001</v>
      </c>
      <c r="E371"/>
      <c r="F371" s="111"/>
    </row>
    <row r="372" spans="1:6" x14ac:dyDescent="0.55000000000000004">
      <c r="A372" t="s">
        <v>4224</v>
      </c>
      <c r="B372">
        <v>0.2984</v>
      </c>
      <c r="E372"/>
      <c r="F372" s="111"/>
    </row>
    <row r="373" spans="1:6" x14ac:dyDescent="0.55000000000000004">
      <c r="A373" t="s">
        <v>4225</v>
      </c>
      <c r="B373">
        <v>0.29349999999999998</v>
      </c>
      <c r="E373"/>
      <c r="F373" s="111"/>
    </row>
    <row r="374" spans="1:6" x14ac:dyDescent="0.55000000000000004">
      <c r="A374" t="s">
        <v>4226</v>
      </c>
      <c r="B374">
        <v>0.17929999999999999</v>
      </c>
      <c r="E374"/>
      <c r="F374" s="111"/>
    </row>
    <row r="375" spans="1:6" x14ac:dyDescent="0.55000000000000004">
      <c r="A375" t="s">
        <v>4227</v>
      </c>
      <c r="B375">
        <v>0.159</v>
      </c>
      <c r="E375"/>
      <c r="F375" s="111"/>
    </row>
    <row r="376" spans="1:6" x14ac:dyDescent="0.55000000000000004">
      <c r="A376" t="s">
        <v>4228</v>
      </c>
      <c r="B376">
        <v>0.1021</v>
      </c>
      <c r="E376"/>
      <c r="F376" s="111"/>
    </row>
    <row r="377" spans="1:6" x14ac:dyDescent="0.55000000000000004">
      <c r="A377" t="s">
        <v>4229</v>
      </c>
      <c r="B377">
        <v>0.10059999999999999</v>
      </c>
      <c r="E377"/>
      <c r="F377" s="111"/>
    </row>
    <row r="378" spans="1:6" x14ac:dyDescent="0.55000000000000004">
      <c r="A378" t="s">
        <v>4230</v>
      </c>
      <c r="B378">
        <v>0.1016</v>
      </c>
      <c r="E378"/>
      <c r="F378" s="111"/>
    </row>
    <row r="379" spans="1:6" x14ac:dyDescent="0.55000000000000004">
      <c r="A379" t="s">
        <v>4231</v>
      </c>
      <c r="B379">
        <v>0.13850000000000001</v>
      </c>
      <c r="E379"/>
      <c r="F379" s="111"/>
    </row>
    <row r="380" spans="1:6" x14ac:dyDescent="0.55000000000000004">
      <c r="A380" t="s">
        <v>4232</v>
      </c>
      <c r="B380">
        <v>0.1022</v>
      </c>
      <c r="E380"/>
      <c r="F380" s="111"/>
    </row>
    <row r="381" spans="1:6" x14ac:dyDescent="0.55000000000000004">
      <c r="A381" t="s">
        <v>4233</v>
      </c>
      <c r="B381">
        <v>0.10199999999999999</v>
      </c>
      <c r="E381"/>
      <c r="F381" s="111"/>
    </row>
    <row r="382" spans="1:6" x14ac:dyDescent="0.55000000000000004">
      <c r="A382" t="s">
        <v>4234</v>
      </c>
      <c r="B382">
        <v>0.1024</v>
      </c>
      <c r="E382"/>
      <c r="F382" s="111"/>
    </row>
    <row r="383" spans="1:6" x14ac:dyDescent="0.55000000000000004">
      <c r="A383" t="s">
        <v>4235</v>
      </c>
      <c r="B383">
        <v>0.1012</v>
      </c>
      <c r="E383"/>
      <c r="F383" s="111"/>
    </row>
    <row r="384" spans="1:6" x14ac:dyDescent="0.55000000000000004">
      <c r="A384" t="s">
        <v>4236</v>
      </c>
      <c r="B384">
        <v>0.1026</v>
      </c>
      <c r="E384"/>
      <c r="F384" s="111"/>
    </row>
    <row r="385" spans="1:6" x14ac:dyDescent="0.55000000000000004">
      <c r="A385" t="s">
        <v>4237</v>
      </c>
      <c r="B385">
        <v>0.1023</v>
      </c>
      <c r="E385"/>
      <c r="F385" s="111"/>
    </row>
    <row r="386" spans="1:6" x14ac:dyDescent="0.55000000000000004">
      <c r="A386" t="s">
        <v>4238</v>
      </c>
      <c r="B386">
        <v>0.10249999999999999</v>
      </c>
      <c r="E386"/>
      <c r="F386" s="111"/>
    </row>
    <row r="387" spans="1:6" x14ac:dyDescent="0.55000000000000004">
      <c r="A387" t="s">
        <v>4239</v>
      </c>
      <c r="B387">
        <v>0.1018</v>
      </c>
      <c r="E387"/>
      <c r="F387" s="111"/>
    </row>
    <row r="388" spans="1:6" x14ac:dyDescent="0.55000000000000004">
      <c r="A388" t="s">
        <v>4240</v>
      </c>
      <c r="B388">
        <v>0.10150000000000001</v>
      </c>
      <c r="E388"/>
      <c r="F388" s="111"/>
    </row>
    <row r="389" spans="1:6" x14ac:dyDescent="0.55000000000000004">
      <c r="A389" t="s">
        <v>4241</v>
      </c>
      <c r="B389">
        <v>0.1014</v>
      </c>
      <c r="E389"/>
      <c r="F389" s="111"/>
    </row>
    <row r="390" spans="1:6" x14ac:dyDescent="0.55000000000000004">
      <c r="A390" t="s">
        <v>4242</v>
      </c>
      <c r="B390">
        <v>0.1024</v>
      </c>
      <c r="E390"/>
      <c r="F390" s="111"/>
    </row>
    <row r="391" spans="1:6" x14ac:dyDescent="0.55000000000000004">
      <c r="A391" t="s">
        <v>4243</v>
      </c>
      <c r="B391">
        <v>0.10199999999999999</v>
      </c>
      <c r="E391"/>
      <c r="F391" s="111"/>
    </row>
    <row r="392" spans="1:6" x14ac:dyDescent="0.55000000000000004">
      <c r="A392" t="s">
        <v>4244</v>
      </c>
      <c r="B392">
        <v>0.1027</v>
      </c>
      <c r="E392"/>
      <c r="F392" s="111"/>
    </row>
    <row r="393" spans="1:6" x14ac:dyDescent="0.55000000000000004">
      <c r="A393" t="s">
        <v>4245</v>
      </c>
      <c r="B393">
        <v>0.1023</v>
      </c>
      <c r="E393"/>
      <c r="F393" s="111"/>
    </row>
    <row r="394" spans="1:6" x14ac:dyDescent="0.55000000000000004">
      <c r="A394" t="s">
        <v>4246</v>
      </c>
      <c r="B394">
        <v>0.1018</v>
      </c>
      <c r="E394"/>
      <c r="F394" s="111"/>
    </row>
    <row r="395" spans="1:6" x14ac:dyDescent="0.55000000000000004">
      <c r="A395" t="s">
        <v>4247</v>
      </c>
      <c r="B395">
        <v>0.13900000000000001</v>
      </c>
      <c r="E395"/>
      <c r="F395" s="111"/>
    </row>
    <row r="396" spans="1:6" x14ac:dyDescent="0.55000000000000004">
      <c r="A396" t="s">
        <v>4248</v>
      </c>
      <c r="B396">
        <v>0.1376</v>
      </c>
      <c r="E396"/>
      <c r="F396" s="111"/>
    </row>
    <row r="397" spans="1:6" x14ac:dyDescent="0.55000000000000004">
      <c r="A397" t="s">
        <v>4249</v>
      </c>
      <c r="B397" s="111">
        <v>2.9049999999999999E-2</v>
      </c>
      <c r="E397"/>
      <c r="F397" s="111"/>
    </row>
    <row r="398" spans="1:6" x14ac:dyDescent="0.55000000000000004">
      <c r="A398" t="s">
        <v>4250</v>
      </c>
      <c r="B398" s="111">
        <v>5.3879999999999997E-2</v>
      </c>
      <c r="E398"/>
      <c r="F398" s="111"/>
    </row>
    <row r="399" spans="1:6" x14ac:dyDescent="0.55000000000000004">
      <c r="A399" t="s">
        <v>4251</v>
      </c>
      <c r="B399" s="111">
        <v>4.9509999999999998E-2</v>
      </c>
      <c r="E399"/>
      <c r="F399" s="111"/>
    </row>
    <row r="400" spans="1:6" x14ac:dyDescent="0.55000000000000004">
      <c r="A400" t="s">
        <v>4252</v>
      </c>
      <c r="B400" s="111">
        <v>9.3140000000000001E-2</v>
      </c>
      <c r="E400"/>
      <c r="F400" s="111"/>
    </row>
    <row r="401" spans="1:6" x14ac:dyDescent="0.55000000000000004">
      <c r="A401" t="s">
        <v>4253</v>
      </c>
      <c r="B401" s="111">
        <v>5.1909999999999998E-2</v>
      </c>
      <c r="E401"/>
      <c r="F401" s="111"/>
    </row>
    <row r="402" spans="1:6" x14ac:dyDescent="0.55000000000000004">
      <c r="A402" t="s">
        <v>4254</v>
      </c>
      <c r="B402" s="111">
        <v>2.8979999999999999E-2</v>
      </c>
      <c r="E402"/>
      <c r="F402" s="111"/>
    </row>
    <row r="403" spans="1:6" x14ac:dyDescent="0.55000000000000004">
      <c r="A403" t="s">
        <v>4255</v>
      </c>
      <c r="B403" s="111">
        <v>4.2099999999999999E-2</v>
      </c>
      <c r="E403"/>
      <c r="F403" s="111"/>
    </row>
    <row r="404" spans="1:6" x14ac:dyDescent="0.55000000000000004">
      <c r="A404" t="s">
        <v>4256</v>
      </c>
      <c r="B404" s="111">
        <v>3.8019999999999998E-2</v>
      </c>
      <c r="E404"/>
      <c r="F404" s="111"/>
    </row>
    <row r="405" spans="1:6" x14ac:dyDescent="0.55000000000000004">
      <c r="A405" t="s">
        <v>4257</v>
      </c>
      <c r="B405" s="111">
        <v>4.2909999999999997E-2</v>
      </c>
      <c r="E405"/>
      <c r="F405" s="111"/>
    </row>
    <row r="406" spans="1:6" x14ac:dyDescent="0.55000000000000004">
      <c r="A406" t="s">
        <v>4258</v>
      </c>
      <c r="B406" s="111">
        <v>2.9080000000000002E-2</v>
      </c>
      <c r="E406"/>
      <c r="F406" s="111"/>
    </row>
    <row r="407" spans="1:6" x14ac:dyDescent="0.55000000000000004">
      <c r="A407" t="s">
        <v>4259</v>
      </c>
      <c r="B407" s="111">
        <v>2.972E-2</v>
      </c>
      <c r="E407"/>
      <c r="F407" s="111"/>
    </row>
    <row r="408" spans="1:6" x14ac:dyDescent="0.55000000000000004">
      <c r="A408" t="s">
        <v>4260</v>
      </c>
      <c r="B408" s="111">
        <v>2.8920000000000001E-2</v>
      </c>
      <c r="E408"/>
      <c r="F408" s="111"/>
    </row>
    <row r="409" spans="1:6" x14ac:dyDescent="0.55000000000000004">
      <c r="A409" t="s">
        <v>4261</v>
      </c>
      <c r="B409" s="111">
        <v>3.1289999999999998E-2</v>
      </c>
      <c r="E409"/>
      <c r="F409" s="111"/>
    </row>
    <row r="410" spans="1:6" x14ac:dyDescent="0.55000000000000004">
      <c r="A410" t="s">
        <v>4262</v>
      </c>
      <c r="B410" s="111">
        <v>2.8830000000000001E-2</v>
      </c>
      <c r="E410"/>
      <c r="F410" s="111"/>
    </row>
    <row r="411" spans="1:6" x14ac:dyDescent="0.55000000000000004">
      <c r="A411" t="s">
        <v>4263</v>
      </c>
      <c r="B411" s="111">
        <v>2.9100000000000001E-2</v>
      </c>
      <c r="E411"/>
      <c r="F411" s="111"/>
    </row>
    <row r="412" spans="1:6" x14ac:dyDescent="0.55000000000000004">
      <c r="A412" t="s">
        <v>4264</v>
      </c>
      <c r="B412" s="111">
        <v>2.8989999999999998E-2</v>
      </c>
      <c r="E412"/>
      <c r="F412" s="111"/>
    </row>
    <row r="413" spans="1:6" x14ac:dyDescent="0.55000000000000004">
      <c r="A413" t="s">
        <v>4265</v>
      </c>
      <c r="B413" s="111">
        <v>2.955E-2</v>
      </c>
      <c r="E413"/>
      <c r="F413" s="111"/>
    </row>
    <row r="414" spans="1:6" x14ac:dyDescent="0.55000000000000004">
      <c r="A414" t="s">
        <v>4266</v>
      </c>
      <c r="B414" s="111">
        <v>2.9049999999999999E-2</v>
      </c>
      <c r="E414"/>
      <c r="F414" s="111"/>
    </row>
    <row r="415" spans="1:6" x14ac:dyDescent="0.55000000000000004">
      <c r="A415" t="s">
        <v>4267</v>
      </c>
      <c r="B415" s="111">
        <v>2.8920000000000001E-2</v>
      </c>
      <c r="E415"/>
      <c r="F415" s="111"/>
    </row>
    <row r="416" spans="1:6" x14ac:dyDescent="0.55000000000000004">
      <c r="E416"/>
      <c r="F416" s="111"/>
    </row>
    <row r="417" spans="5:6" x14ac:dyDescent="0.55000000000000004">
      <c r="E417"/>
      <c r="F417" s="111"/>
    </row>
    <row r="418" spans="5:6" x14ac:dyDescent="0.55000000000000004">
      <c r="E418"/>
      <c r="F418" s="111"/>
    </row>
    <row r="419" spans="5:6" x14ac:dyDescent="0.55000000000000004">
      <c r="E419"/>
      <c r="F419" s="111"/>
    </row>
    <row r="420" spans="5:6" x14ac:dyDescent="0.55000000000000004">
      <c r="E420"/>
      <c r="F420" s="111"/>
    </row>
    <row r="421" spans="5:6" x14ac:dyDescent="0.55000000000000004">
      <c r="E421"/>
      <c r="F421" s="111"/>
    </row>
    <row r="422" spans="5:6" x14ac:dyDescent="0.55000000000000004">
      <c r="E422"/>
      <c r="F422" s="111"/>
    </row>
    <row r="423" spans="5:6" x14ac:dyDescent="0.55000000000000004">
      <c r="E423"/>
      <c r="F423" s="111"/>
    </row>
    <row r="424" spans="5:6" x14ac:dyDescent="0.55000000000000004">
      <c r="E424"/>
      <c r="F424" s="111"/>
    </row>
    <row r="425" spans="5:6" x14ac:dyDescent="0.55000000000000004">
      <c r="E425"/>
      <c r="F425" s="111"/>
    </row>
    <row r="426" spans="5:6" x14ac:dyDescent="0.55000000000000004">
      <c r="E426"/>
      <c r="F426" s="111"/>
    </row>
    <row r="427" spans="5:6" x14ac:dyDescent="0.55000000000000004">
      <c r="E427"/>
      <c r="F427" s="111"/>
    </row>
    <row r="428" spans="5:6" x14ac:dyDescent="0.55000000000000004">
      <c r="E428"/>
      <c r="F428" s="111"/>
    </row>
    <row r="429" spans="5:6" x14ac:dyDescent="0.55000000000000004">
      <c r="E429"/>
      <c r="F429" s="111"/>
    </row>
    <row r="430" spans="5:6" x14ac:dyDescent="0.55000000000000004">
      <c r="E430"/>
      <c r="F430" s="111"/>
    </row>
    <row r="431" spans="5:6" x14ac:dyDescent="0.55000000000000004">
      <c r="E431"/>
      <c r="F431" s="111"/>
    </row>
    <row r="432" spans="5:6" x14ac:dyDescent="0.55000000000000004">
      <c r="E432"/>
      <c r="F432" s="111"/>
    </row>
    <row r="433" spans="5:6" x14ac:dyDescent="0.55000000000000004">
      <c r="E433"/>
      <c r="F433" s="111"/>
    </row>
    <row r="434" spans="5:6" x14ac:dyDescent="0.55000000000000004">
      <c r="E434"/>
      <c r="F434" s="111"/>
    </row>
    <row r="435" spans="5:6" x14ac:dyDescent="0.55000000000000004">
      <c r="E435"/>
      <c r="F435" s="111"/>
    </row>
    <row r="436" spans="5:6" x14ac:dyDescent="0.55000000000000004">
      <c r="E436"/>
      <c r="F436" s="111"/>
    </row>
    <row r="437" spans="5:6" x14ac:dyDescent="0.55000000000000004">
      <c r="E437"/>
      <c r="F437" s="111"/>
    </row>
    <row r="438" spans="5:6" x14ac:dyDescent="0.55000000000000004">
      <c r="E438"/>
      <c r="F438" s="111"/>
    </row>
    <row r="439" spans="5:6" x14ac:dyDescent="0.55000000000000004">
      <c r="E439"/>
      <c r="F439" s="111"/>
    </row>
    <row r="440" spans="5:6" x14ac:dyDescent="0.55000000000000004">
      <c r="E440"/>
      <c r="F440" s="111"/>
    </row>
    <row r="441" spans="5:6" x14ac:dyDescent="0.55000000000000004">
      <c r="E441"/>
      <c r="F441" s="111"/>
    </row>
    <row r="442" spans="5:6" x14ac:dyDescent="0.55000000000000004">
      <c r="E442"/>
      <c r="F442" s="111"/>
    </row>
    <row r="443" spans="5:6" x14ac:dyDescent="0.55000000000000004">
      <c r="E443"/>
      <c r="F443" s="111"/>
    </row>
    <row r="444" spans="5:6" x14ac:dyDescent="0.55000000000000004">
      <c r="E444"/>
      <c r="F444" s="111"/>
    </row>
    <row r="445" spans="5:6" x14ac:dyDescent="0.55000000000000004">
      <c r="E445"/>
      <c r="F445" s="111"/>
    </row>
    <row r="446" spans="5:6" x14ac:dyDescent="0.55000000000000004">
      <c r="E446"/>
      <c r="F446" s="111"/>
    </row>
    <row r="447" spans="5:6" x14ac:dyDescent="0.55000000000000004">
      <c r="E447"/>
      <c r="F447" s="111"/>
    </row>
    <row r="448" spans="5:6" x14ac:dyDescent="0.55000000000000004">
      <c r="E448"/>
      <c r="F448" s="111"/>
    </row>
    <row r="449" spans="5:6" x14ac:dyDescent="0.55000000000000004">
      <c r="E449"/>
      <c r="F449" s="111"/>
    </row>
    <row r="450" spans="5:6" x14ac:dyDescent="0.55000000000000004">
      <c r="E450"/>
      <c r="F450" s="111"/>
    </row>
    <row r="451" spans="5:6" x14ac:dyDescent="0.55000000000000004">
      <c r="E451"/>
      <c r="F451" s="111"/>
    </row>
    <row r="452" spans="5:6" x14ac:dyDescent="0.55000000000000004">
      <c r="E452"/>
      <c r="F452" s="111"/>
    </row>
    <row r="453" spans="5:6" x14ac:dyDescent="0.55000000000000004">
      <c r="E453"/>
      <c r="F453" s="111"/>
    </row>
    <row r="454" spans="5:6" x14ac:dyDescent="0.55000000000000004">
      <c r="E454"/>
      <c r="F454" s="111"/>
    </row>
    <row r="455" spans="5:6" x14ac:dyDescent="0.55000000000000004">
      <c r="E455"/>
      <c r="F455" s="111"/>
    </row>
    <row r="456" spans="5:6" x14ac:dyDescent="0.55000000000000004">
      <c r="E456"/>
      <c r="F456" s="111"/>
    </row>
    <row r="457" spans="5:6" x14ac:dyDescent="0.55000000000000004">
      <c r="E457"/>
      <c r="F457" s="111"/>
    </row>
    <row r="458" spans="5:6" x14ac:dyDescent="0.55000000000000004">
      <c r="E458"/>
      <c r="F458" s="111"/>
    </row>
    <row r="459" spans="5:6" x14ac:dyDescent="0.55000000000000004">
      <c r="E459"/>
      <c r="F459" s="111"/>
    </row>
    <row r="460" spans="5:6" x14ac:dyDescent="0.55000000000000004">
      <c r="E460"/>
      <c r="F460" s="111"/>
    </row>
    <row r="461" spans="5:6" x14ac:dyDescent="0.55000000000000004">
      <c r="E461"/>
      <c r="F461" s="111"/>
    </row>
    <row r="462" spans="5:6" x14ac:dyDescent="0.55000000000000004">
      <c r="E462"/>
      <c r="F462" s="111"/>
    </row>
    <row r="463" spans="5:6" x14ac:dyDescent="0.55000000000000004">
      <c r="E463"/>
      <c r="F463" s="111"/>
    </row>
    <row r="464" spans="5:6" x14ac:dyDescent="0.55000000000000004">
      <c r="E464"/>
      <c r="F464" s="111"/>
    </row>
    <row r="465" spans="5:6" x14ac:dyDescent="0.55000000000000004">
      <c r="E465"/>
      <c r="F465" s="111"/>
    </row>
    <row r="466" spans="5:6" x14ac:dyDescent="0.55000000000000004">
      <c r="E466"/>
      <c r="F466" s="111"/>
    </row>
    <row r="467" spans="5:6" x14ac:dyDescent="0.55000000000000004">
      <c r="E467"/>
      <c r="F467" s="111"/>
    </row>
    <row r="468" spans="5:6" x14ac:dyDescent="0.55000000000000004">
      <c r="E468"/>
      <c r="F468" s="111"/>
    </row>
    <row r="469" spans="5:6" x14ac:dyDescent="0.55000000000000004">
      <c r="E469"/>
      <c r="F469" s="111"/>
    </row>
    <row r="470" spans="5:6" x14ac:dyDescent="0.55000000000000004">
      <c r="E470"/>
      <c r="F470" s="111"/>
    </row>
    <row r="471" spans="5:6" x14ac:dyDescent="0.55000000000000004">
      <c r="E471"/>
      <c r="F471" s="111"/>
    </row>
    <row r="472" spans="5:6" x14ac:dyDescent="0.55000000000000004">
      <c r="E472"/>
      <c r="F472" s="111"/>
    </row>
    <row r="473" spans="5:6" x14ac:dyDescent="0.55000000000000004">
      <c r="E473"/>
      <c r="F473" s="111"/>
    </row>
    <row r="474" spans="5:6" x14ac:dyDescent="0.55000000000000004">
      <c r="E474"/>
      <c r="F474" s="111"/>
    </row>
    <row r="475" spans="5:6" x14ac:dyDescent="0.55000000000000004">
      <c r="E475"/>
      <c r="F475" s="111"/>
    </row>
    <row r="476" spans="5:6" x14ac:dyDescent="0.55000000000000004">
      <c r="E476"/>
      <c r="F476" s="111"/>
    </row>
    <row r="477" spans="5:6" x14ac:dyDescent="0.55000000000000004">
      <c r="E477"/>
      <c r="F477" s="111"/>
    </row>
    <row r="478" spans="5:6" x14ac:dyDescent="0.55000000000000004">
      <c r="E478"/>
      <c r="F478" s="111"/>
    </row>
    <row r="479" spans="5:6" x14ac:dyDescent="0.55000000000000004">
      <c r="E479"/>
      <c r="F479" s="111"/>
    </row>
    <row r="480" spans="5:6" x14ac:dyDescent="0.55000000000000004">
      <c r="E480"/>
      <c r="F480" s="111"/>
    </row>
    <row r="481" spans="5:6" x14ac:dyDescent="0.55000000000000004">
      <c r="E481"/>
      <c r="F481" s="111"/>
    </row>
    <row r="482" spans="5:6" x14ac:dyDescent="0.55000000000000004">
      <c r="E482"/>
      <c r="F482" s="111"/>
    </row>
    <row r="483" spans="5:6" x14ac:dyDescent="0.55000000000000004">
      <c r="E483"/>
      <c r="F483" s="111"/>
    </row>
    <row r="484" spans="5:6" x14ac:dyDescent="0.55000000000000004">
      <c r="E484"/>
      <c r="F484" s="111"/>
    </row>
    <row r="485" spans="5:6" x14ac:dyDescent="0.55000000000000004">
      <c r="E485"/>
      <c r="F485" s="111"/>
    </row>
    <row r="486" spans="5:6" x14ac:dyDescent="0.55000000000000004">
      <c r="E486"/>
      <c r="F486" s="111"/>
    </row>
    <row r="487" spans="5:6" x14ac:dyDescent="0.55000000000000004">
      <c r="E487"/>
      <c r="F487" s="111"/>
    </row>
    <row r="488" spans="5:6" x14ac:dyDescent="0.55000000000000004">
      <c r="E488"/>
      <c r="F488" s="111"/>
    </row>
    <row r="489" spans="5:6" x14ac:dyDescent="0.55000000000000004">
      <c r="E489"/>
      <c r="F489" s="111"/>
    </row>
    <row r="490" spans="5:6" x14ac:dyDescent="0.55000000000000004">
      <c r="E490"/>
      <c r="F490" s="111"/>
    </row>
    <row r="491" spans="5:6" x14ac:dyDescent="0.55000000000000004">
      <c r="E491"/>
      <c r="F491" s="111"/>
    </row>
    <row r="492" spans="5:6" x14ac:dyDescent="0.55000000000000004">
      <c r="E492"/>
      <c r="F492" s="111"/>
    </row>
    <row r="493" spans="5:6" x14ac:dyDescent="0.55000000000000004">
      <c r="E493"/>
      <c r="F493" s="111"/>
    </row>
    <row r="494" spans="5:6" x14ac:dyDescent="0.55000000000000004">
      <c r="E494"/>
      <c r="F494" s="111"/>
    </row>
    <row r="495" spans="5:6" x14ac:dyDescent="0.55000000000000004">
      <c r="E495"/>
      <c r="F495" s="111"/>
    </row>
    <row r="496" spans="5:6" x14ac:dyDescent="0.55000000000000004">
      <c r="E496"/>
      <c r="F496" s="111"/>
    </row>
    <row r="497" spans="5:6" x14ac:dyDescent="0.55000000000000004">
      <c r="E497"/>
      <c r="F497" s="111"/>
    </row>
    <row r="498" spans="5:6" x14ac:dyDescent="0.55000000000000004">
      <c r="E498"/>
      <c r="F498" s="111"/>
    </row>
    <row r="499" spans="5:6" x14ac:dyDescent="0.55000000000000004">
      <c r="E499"/>
      <c r="F499" s="111"/>
    </row>
    <row r="500" spans="5:6" x14ac:dyDescent="0.55000000000000004">
      <c r="E500"/>
      <c r="F500" s="111"/>
    </row>
    <row r="501" spans="5:6" x14ac:dyDescent="0.55000000000000004">
      <c r="E501"/>
      <c r="F501" s="111"/>
    </row>
    <row r="502" spans="5:6" x14ac:dyDescent="0.55000000000000004">
      <c r="E502"/>
      <c r="F502" s="111"/>
    </row>
    <row r="503" spans="5:6" x14ac:dyDescent="0.55000000000000004">
      <c r="E503"/>
      <c r="F503" s="111"/>
    </row>
    <row r="504" spans="5:6" x14ac:dyDescent="0.55000000000000004">
      <c r="E504"/>
      <c r="F504" s="111"/>
    </row>
    <row r="505" spans="5:6" x14ac:dyDescent="0.55000000000000004">
      <c r="E505"/>
      <c r="F505" s="111"/>
    </row>
    <row r="506" spans="5:6" x14ac:dyDescent="0.55000000000000004">
      <c r="E506"/>
      <c r="F506" s="111"/>
    </row>
    <row r="507" spans="5:6" x14ac:dyDescent="0.55000000000000004">
      <c r="E507"/>
      <c r="F507" s="111"/>
    </row>
    <row r="508" spans="5:6" x14ac:dyDescent="0.55000000000000004">
      <c r="E508"/>
      <c r="F508" s="111"/>
    </row>
    <row r="509" spans="5:6" x14ac:dyDescent="0.55000000000000004">
      <c r="E509"/>
      <c r="F509" s="111"/>
    </row>
    <row r="510" spans="5:6" x14ac:dyDescent="0.55000000000000004">
      <c r="E510"/>
      <c r="F510" s="111"/>
    </row>
    <row r="511" spans="5:6" x14ac:dyDescent="0.55000000000000004">
      <c r="E511"/>
      <c r="F511" s="111"/>
    </row>
    <row r="512" spans="5:6" x14ac:dyDescent="0.55000000000000004">
      <c r="E512"/>
      <c r="F512" s="111"/>
    </row>
    <row r="513" spans="5:6" x14ac:dyDescent="0.55000000000000004">
      <c r="E513"/>
      <c r="F513" s="111"/>
    </row>
    <row r="514" spans="5:6" x14ac:dyDescent="0.55000000000000004">
      <c r="E514"/>
      <c r="F514" s="111"/>
    </row>
    <row r="515" spans="5:6" x14ac:dyDescent="0.55000000000000004">
      <c r="E515"/>
      <c r="F515" s="111"/>
    </row>
    <row r="516" spans="5:6" x14ac:dyDescent="0.55000000000000004">
      <c r="E516"/>
      <c r="F516" s="111"/>
    </row>
    <row r="517" spans="5:6" x14ac:dyDescent="0.55000000000000004">
      <c r="E517"/>
      <c r="F517" s="111"/>
    </row>
    <row r="518" spans="5:6" x14ac:dyDescent="0.55000000000000004">
      <c r="E518"/>
      <c r="F518" s="111"/>
    </row>
    <row r="519" spans="5:6" x14ac:dyDescent="0.55000000000000004">
      <c r="E519"/>
      <c r="F519" s="111"/>
    </row>
    <row r="520" spans="5:6" x14ac:dyDescent="0.55000000000000004">
      <c r="E520"/>
      <c r="F520" s="111"/>
    </row>
    <row r="521" spans="5:6" x14ac:dyDescent="0.55000000000000004">
      <c r="E521"/>
      <c r="F521" s="111"/>
    </row>
    <row r="522" spans="5:6" x14ac:dyDescent="0.55000000000000004">
      <c r="E522"/>
      <c r="F522" s="111"/>
    </row>
    <row r="523" spans="5:6" x14ac:dyDescent="0.55000000000000004">
      <c r="E523"/>
      <c r="F523" s="111"/>
    </row>
    <row r="524" spans="5:6" x14ac:dyDescent="0.55000000000000004">
      <c r="E524"/>
      <c r="F524" s="111"/>
    </row>
    <row r="525" spans="5:6" x14ac:dyDescent="0.55000000000000004">
      <c r="E525"/>
      <c r="F525" s="111"/>
    </row>
    <row r="526" spans="5:6" x14ac:dyDescent="0.55000000000000004">
      <c r="E526"/>
      <c r="F526" s="111"/>
    </row>
    <row r="527" spans="5:6" x14ac:dyDescent="0.55000000000000004">
      <c r="E527"/>
      <c r="F527" s="111"/>
    </row>
    <row r="528" spans="5:6" x14ac:dyDescent="0.55000000000000004">
      <c r="E528"/>
      <c r="F528" s="111"/>
    </row>
    <row r="529" spans="5:6" x14ac:dyDescent="0.55000000000000004">
      <c r="E529"/>
      <c r="F529" s="111"/>
    </row>
    <row r="530" spans="5:6" x14ac:dyDescent="0.55000000000000004">
      <c r="E530"/>
      <c r="F530" s="111"/>
    </row>
    <row r="531" spans="5:6" x14ac:dyDescent="0.55000000000000004">
      <c r="E531"/>
      <c r="F531" s="111"/>
    </row>
    <row r="532" spans="5:6" x14ac:dyDescent="0.55000000000000004">
      <c r="E532"/>
      <c r="F532" s="111"/>
    </row>
    <row r="533" spans="5:6" x14ac:dyDescent="0.55000000000000004">
      <c r="E533"/>
      <c r="F533" s="111"/>
    </row>
    <row r="534" spans="5:6" x14ac:dyDescent="0.55000000000000004">
      <c r="E534"/>
      <c r="F534" s="111"/>
    </row>
    <row r="535" spans="5:6" x14ac:dyDescent="0.55000000000000004">
      <c r="E535"/>
      <c r="F535" s="111"/>
    </row>
    <row r="536" spans="5:6" x14ac:dyDescent="0.55000000000000004">
      <c r="E536"/>
      <c r="F536" s="111"/>
    </row>
    <row r="537" spans="5:6" x14ac:dyDescent="0.55000000000000004">
      <c r="E537"/>
      <c r="F537" s="111"/>
    </row>
    <row r="538" spans="5:6" x14ac:dyDescent="0.55000000000000004">
      <c r="E538"/>
      <c r="F538" s="111"/>
    </row>
    <row r="539" spans="5:6" x14ac:dyDescent="0.55000000000000004">
      <c r="E539"/>
      <c r="F539" s="111"/>
    </row>
    <row r="540" spans="5:6" x14ac:dyDescent="0.55000000000000004">
      <c r="E540"/>
      <c r="F540" s="111"/>
    </row>
    <row r="541" spans="5:6" x14ac:dyDescent="0.55000000000000004">
      <c r="E541"/>
      <c r="F541" s="111"/>
    </row>
    <row r="542" spans="5:6" x14ac:dyDescent="0.55000000000000004">
      <c r="E542"/>
      <c r="F542" s="111"/>
    </row>
    <row r="543" spans="5:6" x14ac:dyDescent="0.55000000000000004">
      <c r="E543"/>
      <c r="F543" s="111"/>
    </row>
    <row r="544" spans="5:6" x14ac:dyDescent="0.55000000000000004">
      <c r="E544"/>
      <c r="F544" s="111"/>
    </row>
    <row r="545" spans="5:6" x14ac:dyDescent="0.55000000000000004">
      <c r="E545"/>
      <c r="F545" s="111"/>
    </row>
    <row r="546" spans="5:6" x14ac:dyDescent="0.55000000000000004">
      <c r="E546"/>
      <c r="F546" s="111"/>
    </row>
    <row r="547" spans="5:6" x14ac:dyDescent="0.55000000000000004">
      <c r="E547"/>
      <c r="F547" s="111"/>
    </row>
    <row r="548" spans="5:6" x14ac:dyDescent="0.55000000000000004">
      <c r="E548"/>
      <c r="F548" s="111"/>
    </row>
    <row r="549" spans="5:6" x14ac:dyDescent="0.55000000000000004">
      <c r="E549"/>
      <c r="F549" s="111"/>
    </row>
    <row r="550" spans="5:6" x14ac:dyDescent="0.55000000000000004">
      <c r="E550"/>
      <c r="F550" s="111"/>
    </row>
    <row r="551" spans="5:6" x14ac:dyDescent="0.55000000000000004">
      <c r="E551"/>
      <c r="F551" s="111"/>
    </row>
    <row r="552" spans="5:6" x14ac:dyDescent="0.55000000000000004">
      <c r="E552"/>
      <c r="F552" s="111"/>
    </row>
    <row r="553" spans="5:6" x14ac:dyDescent="0.55000000000000004">
      <c r="E553"/>
      <c r="F553" s="111"/>
    </row>
    <row r="554" spans="5:6" x14ac:dyDescent="0.55000000000000004">
      <c r="E554"/>
      <c r="F554" s="111"/>
    </row>
    <row r="555" spans="5:6" x14ac:dyDescent="0.55000000000000004">
      <c r="E555"/>
      <c r="F555" s="111"/>
    </row>
    <row r="556" spans="5:6" x14ac:dyDescent="0.55000000000000004">
      <c r="E556"/>
      <c r="F556" s="111"/>
    </row>
    <row r="557" spans="5:6" x14ac:dyDescent="0.55000000000000004">
      <c r="E557"/>
      <c r="F557" s="111"/>
    </row>
    <row r="558" spans="5:6" x14ac:dyDescent="0.55000000000000004">
      <c r="E558"/>
      <c r="F558" s="111"/>
    </row>
    <row r="559" spans="5:6" x14ac:dyDescent="0.55000000000000004">
      <c r="E559"/>
      <c r="F559" s="111"/>
    </row>
    <row r="560" spans="5:6" x14ac:dyDescent="0.55000000000000004">
      <c r="E560"/>
      <c r="F560" s="111"/>
    </row>
    <row r="561" spans="5:6" x14ac:dyDescent="0.55000000000000004">
      <c r="E561"/>
      <c r="F561" s="111"/>
    </row>
    <row r="562" spans="5:6" x14ac:dyDescent="0.55000000000000004">
      <c r="E562"/>
      <c r="F562" s="111"/>
    </row>
    <row r="563" spans="5:6" x14ac:dyDescent="0.55000000000000004">
      <c r="E563"/>
      <c r="F563" s="111"/>
    </row>
    <row r="564" spans="5:6" x14ac:dyDescent="0.55000000000000004">
      <c r="E564"/>
      <c r="F564" s="111"/>
    </row>
    <row r="565" spans="5:6" x14ac:dyDescent="0.55000000000000004">
      <c r="E565"/>
      <c r="F565" s="111"/>
    </row>
    <row r="566" spans="5:6" x14ac:dyDescent="0.55000000000000004">
      <c r="E566"/>
      <c r="F566" s="111"/>
    </row>
    <row r="567" spans="5:6" x14ac:dyDescent="0.55000000000000004">
      <c r="E567"/>
      <c r="F567" s="111"/>
    </row>
    <row r="568" spans="5:6" x14ac:dyDescent="0.55000000000000004">
      <c r="E568"/>
      <c r="F568" s="111"/>
    </row>
    <row r="569" spans="5:6" x14ac:dyDescent="0.55000000000000004">
      <c r="E569"/>
      <c r="F569" s="111"/>
    </row>
    <row r="570" spans="5:6" x14ac:dyDescent="0.55000000000000004">
      <c r="E570"/>
      <c r="F570" s="111"/>
    </row>
    <row r="571" spans="5:6" x14ac:dyDescent="0.55000000000000004">
      <c r="E571"/>
      <c r="F571" s="111"/>
    </row>
    <row r="572" spans="5:6" x14ac:dyDescent="0.55000000000000004">
      <c r="E572"/>
      <c r="F572" s="111"/>
    </row>
    <row r="573" spans="5:6" x14ac:dyDescent="0.55000000000000004">
      <c r="E573"/>
      <c r="F573" s="111"/>
    </row>
    <row r="574" spans="5:6" x14ac:dyDescent="0.55000000000000004">
      <c r="E574"/>
      <c r="F574" s="111"/>
    </row>
    <row r="575" spans="5:6" x14ac:dyDescent="0.55000000000000004">
      <c r="E575"/>
      <c r="F575" s="111"/>
    </row>
    <row r="576" spans="5:6" x14ac:dyDescent="0.55000000000000004">
      <c r="E576"/>
      <c r="F576" s="111"/>
    </row>
    <row r="577" spans="5:6" x14ac:dyDescent="0.55000000000000004">
      <c r="E577"/>
      <c r="F577" s="111"/>
    </row>
    <row r="578" spans="5:6" x14ac:dyDescent="0.55000000000000004">
      <c r="E578"/>
      <c r="F578" s="111"/>
    </row>
    <row r="579" spans="5:6" x14ac:dyDescent="0.55000000000000004">
      <c r="E579"/>
      <c r="F579" s="111"/>
    </row>
    <row r="580" spans="5:6" x14ac:dyDescent="0.55000000000000004">
      <c r="E580"/>
      <c r="F580" s="111"/>
    </row>
    <row r="581" spans="5:6" x14ac:dyDescent="0.55000000000000004">
      <c r="E581"/>
      <c r="F581" s="111"/>
    </row>
    <row r="582" spans="5:6" x14ac:dyDescent="0.55000000000000004">
      <c r="E582"/>
      <c r="F582" s="111"/>
    </row>
    <row r="583" spans="5:6" x14ac:dyDescent="0.55000000000000004">
      <c r="E583"/>
      <c r="F583" s="111"/>
    </row>
    <row r="584" spans="5:6" x14ac:dyDescent="0.55000000000000004">
      <c r="E584"/>
      <c r="F584" s="111"/>
    </row>
    <row r="585" spans="5:6" x14ac:dyDescent="0.55000000000000004">
      <c r="E585"/>
      <c r="F585" s="111"/>
    </row>
    <row r="586" spans="5:6" x14ac:dyDescent="0.55000000000000004">
      <c r="E586"/>
      <c r="F586" s="111"/>
    </row>
    <row r="587" spans="5:6" x14ac:dyDescent="0.55000000000000004">
      <c r="E587"/>
      <c r="F587" s="111"/>
    </row>
    <row r="588" spans="5:6" x14ac:dyDescent="0.55000000000000004">
      <c r="E588"/>
      <c r="F588" s="111"/>
    </row>
    <row r="589" spans="5:6" x14ac:dyDescent="0.55000000000000004">
      <c r="E589"/>
      <c r="F589" s="111"/>
    </row>
    <row r="590" spans="5:6" x14ac:dyDescent="0.55000000000000004">
      <c r="E590"/>
      <c r="F590" s="111"/>
    </row>
    <row r="591" spans="5:6" x14ac:dyDescent="0.55000000000000004">
      <c r="E591"/>
      <c r="F591" s="111"/>
    </row>
    <row r="592" spans="5:6" x14ac:dyDescent="0.55000000000000004">
      <c r="E592"/>
      <c r="F592" s="111"/>
    </row>
    <row r="593" spans="5:6" x14ac:dyDescent="0.55000000000000004">
      <c r="E593"/>
      <c r="F593" s="111"/>
    </row>
    <row r="594" spans="5:6" x14ac:dyDescent="0.55000000000000004">
      <c r="E594"/>
      <c r="F594" s="111"/>
    </row>
    <row r="595" spans="5:6" x14ac:dyDescent="0.55000000000000004">
      <c r="E595"/>
      <c r="F595" s="111"/>
    </row>
    <row r="596" spans="5:6" x14ac:dyDescent="0.55000000000000004">
      <c r="E596"/>
      <c r="F596" s="111"/>
    </row>
    <row r="597" spans="5:6" x14ac:dyDescent="0.55000000000000004">
      <c r="E597"/>
      <c r="F597" s="111"/>
    </row>
    <row r="598" spans="5:6" x14ac:dyDescent="0.55000000000000004">
      <c r="E598"/>
      <c r="F598" s="111"/>
    </row>
    <row r="599" spans="5:6" x14ac:dyDescent="0.55000000000000004">
      <c r="E599"/>
      <c r="F599" s="111"/>
    </row>
    <row r="600" spans="5:6" x14ac:dyDescent="0.55000000000000004">
      <c r="E600"/>
      <c r="F600" s="111"/>
    </row>
    <row r="601" spans="5:6" x14ac:dyDescent="0.55000000000000004">
      <c r="E601"/>
      <c r="F601" s="111"/>
    </row>
    <row r="602" spans="5:6" x14ac:dyDescent="0.55000000000000004">
      <c r="E602"/>
      <c r="F602" s="111"/>
    </row>
    <row r="603" spans="5:6" x14ac:dyDescent="0.55000000000000004">
      <c r="E603"/>
      <c r="F603" s="111"/>
    </row>
    <row r="604" spans="5:6" x14ac:dyDescent="0.55000000000000004">
      <c r="E604"/>
      <c r="F604" s="111"/>
    </row>
    <row r="605" spans="5:6" x14ac:dyDescent="0.55000000000000004">
      <c r="E605"/>
      <c r="F605" s="111"/>
    </row>
    <row r="606" spans="5:6" x14ac:dyDescent="0.55000000000000004">
      <c r="E606"/>
      <c r="F606" s="111"/>
    </row>
    <row r="607" spans="5:6" x14ac:dyDescent="0.55000000000000004">
      <c r="E607"/>
      <c r="F607" s="111"/>
    </row>
    <row r="608" spans="5:6" x14ac:dyDescent="0.55000000000000004">
      <c r="E608"/>
      <c r="F608" s="111"/>
    </row>
    <row r="609" spans="5:6" x14ac:dyDescent="0.55000000000000004">
      <c r="E609"/>
      <c r="F609" s="111"/>
    </row>
    <row r="610" spans="5:6" x14ac:dyDescent="0.55000000000000004">
      <c r="E610"/>
      <c r="F610" s="111"/>
    </row>
    <row r="611" spans="5:6" x14ac:dyDescent="0.55000000000000004">
      <c r="E611"/>
      <c r="F611" s="111"/>
    </row>
    <row r="612" spans="5:6" x14ac:dyDescent="0.55000000000000004">
      <c r="E612"/>
      <c r="F612" s="111"/>
    </row>
    <row r="613" spans="5:6" x14ac:dyDescent="0.55000000000000004">
      <c r="E613"/>
      <c r="F613" s="111"/>
    </row>
    <row r="614" spans="5:6" x14ac:dyDescent="0.55000000000000004">
      <c r="E614"/>
      <c r="F614" s="111"/>
    </row>
    <row r="615" spans="5:6" x14ac:dyDescent="0.55000000000000004">
      <c r="E615"/>
      <c r="F615" s="111"/>
    </row>
    <row r="616" spans="5:6" x14ac:dyDescent="0.55000000000000004">
      <c r="E616"/>
      <c r="F616" s="111"/>
    </row>
    <row r="617" spans="5:6" x14ac:dyDescent="0.55000000000000004">
      <c r="E617"/>
      <c r="F617" s="111"/>
    </row>
    <row r="618" spans="5:6" x14ac:dyDescent="0.55000000000000004">
      <c r="E618"/>
      <c r="F618" s="111"/>
    </row>
    <row r="619" spans="5:6" x14ac:dyDescent="0.55000000000000004">
      <c r="E619"/>
      <c r="F619" s="111"/>
    </row>
    <row r="620" spans="5:6" x14ac:dyDescent="0.55000000000000004">
      <c r="E620"/>
      <c r="F620" s="111"/>
    </row>
    <row r="621" spans="5:6" x14ac:dyDescent="0.55000000000000004">
      <c r="E621"/>
      <c r="F621" s="120"/>
    </row>
    <row r="622" spans="5:6" x14ac:dyDescent="0.55000000000000004">
      <c r="E622"/>
      <c r="F622" s="120"/>
    </row>
    <row r="623" spans="5:6" x14ac:dyDescent="0.55000000000000004">
      <c r="E623"/>
      <c r="F623" s="120"/>
    </row>
    <row r="624" spans="5:6" x14ac:dyDescent="0.55000000000000004">
      <c r="E624"/>
      <c r="F624" s="120"/>
    </row>
    <row r="625" spans="5:6" x14ac:dyDescent="0.55000000000000004">
      <c r="E625"/>
      <c r="F625" s="120"/>
    </row>
    <row r="626" spans="5:6" x14ac:dyDescent="0.55000000000000004">
      <c r="E626"/>
      <c r="F626" s="120"/>
    </row>
    <row r="627" spans="5:6" x14ac:dyDescent="0.55000000000000004">
      <c r="E627"/>
      <c r="F627" s="120"/>
    </row>
    <row r="628" spans="5:6" x14ac:dyDescent="0.55000000000000004">
      <c r="E628"/>
      <c r="F628" s="120"/>
    </row>
    <row r="629" spans="5:6" x14ac:dyDescent="0.55000000000000004">
      <c r="E629"/>
      <c r="F629" s="120"/>
    </row>
    <row r="630" spans="5:6" x14ac:dyDescent="0.55000000000000004">
      <c r="E630"/>
      <c r="F630" s="120"/>
    </row>
    <row r="631" spans="5:6" x14ac:dyDescent="0.55000000000000004">
      <c r="E631"/>
      <c r="F631" s="120"/>
    </row>
    <row r="632" spans="5:6" x14ac:dyDescent="0.55000000000000004">
      <c r="E632"/>
      <c r="F632" s="120"/>
    </row>
    <row r="633" spans="5:6" x14ac:dyDescent="0.55000000000000004">
      <c r="E633"/>
      <c r="F633" s="120"/>
    </row>
    <row r="634" spans="5:6" x14ac:dyDescent="0.55000000000000004">
      <c r="E634"/>
      <c r="F634" s="120"/>
    </row>
    <row r="635" spans="5:6" x14ac:dyDescent="0.55000000000000004">
      <c r="E635"/>
      <c r="F635" s="120"/>
    </row>
    <row r="636" spans="5:6" x14ac:dyDescent="0.55000000000000004">
      <c r="E636"/>
      <c r="F636" s="120"/>
    </row>
    <row r="637" spans="5:6" x14ac:dyDescent="0.55000000000000004">
      <c r="E637"/>
      <c r="F637" s="120"/>
    </row>
    <row r="638" spans="5:6" x14ac:dyDescent="0.55000000000000004">
      <c r="E638"/>
      <c r="F638" s="120"/>
    </row>
    <row r="639" spans="5:6" x14ac:dyDescent="0.55000000000000004">
      <c r="E639"/>
      <c r="F639" s="120"/>
    </row>
    <row r="640" spans="5:6" x14ac:dyDescent="0.55000000000000004">
      <c r="E640"/>
      <c r="F640" s="120"/>
    </row>
    <row r="641" spans="5:6" x14ac:dyDescent="0.55000000000000004">
      <c r="E641"/>
      <c r="F641" s="120"/>
    </row>
    <row r="642" spans="5:6" x14ac:dyDescent="0.55000000000000004">
      <c r="E642"/>
      <c r="F642" s="120"/>
    </row>
    <row r="643" spans="5:6" x14ac:dyDescent="0.55000000000000004">
      <c r="E643"/>
      <c r="F643" s="120"/>
    </row>
    <row r="644" spans="5:6" x14ac:dyDescent="0.55000000000000004">
      <c r="E644"/>
      <c r="F644" s="120"/>
    </row>
    <row r="645" spans="5:6" x14ac:dyDescent="0.55000000000000004">
      <c r="E645"/>
      <c r="F645" s="120"/>
    </row>
    <row r="646" spans="5:6" x14ac:dyDescent="0.55000000000000004">
      <c r="E646"/>
      <c r="F646" s="120"/>
    </row>
    <row r="647" spans="5:6" x14ac:dyDescent="0.55000000000000004">
      <c r="E647"/>
      <c r="F647" s="120"/>
    </row>
    <row r="648" spans="5:6" x14ac:dyDescent="0.55000000000000004">
      <c r="E648"/>
      <c r="F648" s="120"/>
    </row>
    <row r="649" spans="5:6" x14ac:dyDescent="0.55000000000000004">
      <c r="E649"/>
      <c r="F649" s="120"/>
    </row>
    <row r="650" spans="5:6" x14ac:dyDescent="0.55000000000000004">
      <c r="E650"/>
      <c r="F650" s="120"/>
    </row>
    <row r="651" spans="5:6" x14ac:dyDescent="0.55000000000000004">
      <c r="E651"/>
      <c r="F651" s="120"/>
    </row>
    <row r="652" spans="5:6" x14ac:dyDescent="0.55000000000000004">
      <c r="E652"/>
      <c r="F652" s="120"/>
    </row>
    <row r="653" spans="5:6" x14ac:dyDescent="0.55000000000000004">
      <c r="E653"/>
      <c r="F653" s="120"/>
    </row>
    <row r="654" spans="5:6" x14ac:dyDescent="0.55000000000000004">
      <c r="E654"/>
      <c r="F654" s="120"/>
    </row>
    <row r="655" spans="5:6" x14ac:dyDescent="0.55000000000000004">
      <c r="E655"/>
      <c r="F655" s="120"/>
    </row>
    <row r="656" spans="5:6" x14ac:dyDescent="0.55000000000000004">
      <c r="E656"/>
      <c r="F656" s="120"/>
    </row>
    <row r="657" spans="5:6" x14ac:dyDescent="0.55000000000000004">
      <c r="E657"/>
      <c r="F657" s="120"/>
    </row>
    <row r="658" spans="5:6" x14ac:dyDescent="0.55000000000000004">
      <c r="E658"/>
      <c r="F658" s="120"/>
    </row>
    <row r="659" spans="5:6" x14ac:dyDescent="0.55000000000000004">
      <c r="E659"/>
      <c r="F659" s="120"/>
    </row>
    <row r="660" spans="5:6" x14ac:dyDescent="0.55000000000000004">
      <c r="E660"/>
      <c r="F660" s="120"/>
    </row>
    <row r="661" spans="5:6" x14ac:dyDescent="0.55000000000000004">
      <c r="E661"/>
      <c r="F661" s="120"/>
    </row>
    <row r="662" spans="5:6" x14ac:dyDescent="0.55000000000000004">
      <c r="E662"/>
      <c r="F662" s="120"/>
    </row>
    <row r="663" spans="5:6" x14ac:dyDescent="0.55000000000000004">
      <c r="E663"/>
      <c r="F663" s="120"/>
    </row>
    <row r="664" spans="5:6" x14ac:dyDescent="0.55000000000000004">
      <c r="E664"/>
      <c r="F664" s="120"/>
    </row>
    <row r="665" spans="5:6" x14ac:dyDescent="0.55000000000000004">
      <c r="E665"/>
      <c r="F665" s="120"/>
    </row>
    <row r="666" spans="5:6" x14ac:dyDescent="0.55000000000000004">
      <c r="E666"/>
      <c r="F666" s="120"/>
    </row>
    <row r="667" spans="5:6" x14ac:dyDescent="0.55000000000000004">
      <c r="E667"/>
      <c r="F667" s="120"/>
    </row>
    <row r="668" spans="5:6" x14ac:dyDescent="0.55000000000000004">
      <c r="E668"/>
      <c r="F668" s="120"/>
    </row>
    <row r="669" spans="5:6" x14ac:dyDescent="0.55000000000000004">
      <c r="E669"/>
      <c r="F669" s="120"/>
    </row>
    <row r="670" spans="5:6" x14ac:dyDescent="0.55000000000000004">
      <c r="E670"/>
      <c r="F670" s="120"/>
    </row>
    <row r="671" spans="5:6" x14ac:dyDescent="0.55000000000000004">
      <c r="E671"/>
      <c r="F671" s="120"/>
    </row>
    <row r="672" spans="5:6" x14ac:dyDescent="0.55000000000000004">
      <c r="E672"/>
      <c r="F672" s="120"/>
    </row>
    <row r="673" spans="5:6" x14ac:dyDescent="0.55000000000000004">
      <c r="E673"/>
      <c r="F673" s="120"/>
    </row>
    <row r="674" spans="5:6" x14ac:dyDescent="0.55000000000000004">
      <c r="E674"/>
      <c r="F674" s="120"/>
    </row>
    <row r="675" spans="5:6" x14ac:dyDescent="0.55000000000000004">
      <c r="E675"/>
      <c r="F675" s="120"/>
    </row>
    <row r="676" spans="5:6" x14ac:dyDescent="0.55000000000000004">
      <c r="E676"/>
      <c r="F676" s="120"/>
    </row>
    <row r="677" spans="5:6" x14ac:dyDescent="0.55000000000000004">
      <c r="E677"/>
      <c r="F677" s="120"/>
    </row>
    <row r="678" spans="5:6" x14ac:dyDescent="0.55000000000000004">
      <c r="E678"/>
      <c r="F678" s="120"/>
    </row>
    <row r="679" spans="5:6" x14ac:dyDescent="0.55000000000000004">
      <c r="E679"/>
      <c r="F679" s="120"/>
    </row>
    <row r="680" spans="5:6" x14ac:dyDescent="0.55000000000000004">
      <c r="E680"/>
      <c r="F680" s="120"/>
    </row>
    <row r="681" spans="5:6" x14ac:dyDescent="0.55000000000000004">
      <c r="E681"/>
      <c r="F681" s="120"/>
    </row>
    <row r="682" spans="5:6" x14ac:dyDescent="0.55000000000000004">
      <c r="E682"/>
      <c r="F682" s="120"/>
    </row>
    <row r="683" spans="5:6" x14ac:dyDescent="0.55000000000000004">
      <c r="E683"/>
      <c r="F683" s="120"/>
    </row>
    <row r="684" spans="5:6" x14ac:dyDescent="0.55000000000000004">
      <c r="E684"/>
      <c r="F684" s="120"/>
    </row>
    <row r="685" spans="5:6" x14ac:dyDescent="0.55000000000000004">
      <c r="E685"/>
      <c r="F685" s="120"/>
    </row>
    <row r="686" spans="5:6" x14ac:dyDescent="0.55000000000000004">
      <c r="E686"/>
      <c r="F686" s="120"/>
    </row>
    <row r="687" spans="5:6" x14ac:dyDescent="0.55000000000000004">
      <c r="E687"/>
      <c r="F687" s="120"/>
    </row>
    <row r="688" spans="5:6" x14ac:dyDescent="0.55000000000000004">
      <c r="E688"/>
      <c r="F688" s="120"/>
    </row>
    <row r="689" spans="5:6" x14ac:dyDescent="0.55000000000000004">
      <c r="E689"/>
      <c r="F689" s="120"/>
    </row>
    <row r="690" spans="5:6" x14ac:dyDescent="0.55000000000000004">
      <c r="E690"/>
      <c r="F690" s="120"/>
    </row>
    <row r="691" spans="5:6" x14ac:dyDescent="0.55000000000000004">
      <c r="E691"/>
      <c r="F691" s="120"/>
    </row>
    <row r="692" spans="5:6" x14ac:dyDescent="0.55000000000000004">
      <c r="E692"/>
      <c r="F692" s="120"/>
    </row>
    <row r="693" spans="5:6" x14ac:dyDescent="0.55000000000000004">
      <c r="E693"/>
      <c r="F693" s="120"/>
    </row>
    <row r="694" spans="5:6" x14ac:dyDescent="0.55000000000000004">
      <c r="E694"/>
      <c r="F694" s="120"/>
    </row>
    <row r="695" spans="5:6" x14ac:dyDescent="0.55000000000000004">
      <c r="E695"/>
      <c r="F695" s="120"/>
    </row>
    <row r="696" spans="5:6" x14ac:dyDescent="0.55000000000000004">
      <c r="E696"/>
      <c r="F696" s="120"/>
    </row>
    <row r="697" spans="5:6" x14ac:dyDescent="0.55000000000000004">
      <c r="E697"/>
      <c r="F697" s="120"/>
    </row>
    <row r="698" spans="5:6" x14ac:dyDescent="0.55000000000000004">
      <c r="E698"/>
      <c r="F698" s="120"/>
    </row>
    <row r="699" spans="5:6" x14ac:dyDescent="0.55000000000000004">
      <c r="E699"/>
      <c r="F699" s="120"/>
    </row>
    <row r="700" spans="5:6" x14ac:dyDescent="0.55000000000000004">
      <c r="E700"/>
      <c r="F700" s="120"/>
    </row>
    <row r="701" spans="5:6" x14ac:dyDescent="0.55000000000000004">
      <c r="E701"/>
      <c r="F701" s="120"/>
    </row>
    <row r="702" spans="5:6" x14ac:dyDescent="0.55000000000000004">
      <c r="E702"/>
      <c r="F702" s="120"/>
    </row>
    <row r="703" spans="5:6" x14ac:dyDescent="0.55000000000000004">
      <c r="E703"/>
      <c r="F703" s="120"/>
    </row>
    <row r="704" spans="5:6" x14ac:dyDescent="0.55000000000000004">
      <c r="E704"/>
      <c r="F704" s="120"/>
    </row>
    <row r="705" spans="5:6" x14ac:dyDescent="0.55000000000000004">
      <c r="E705"/>
      <c r="F705" s="120"/>
    </row>
    <row r="706" spans="5:6" x14ac:dyDescent="0.55000000000000004">
      <c r="E706"/>
      <c r="F706" s="120"/>
    </row>
    <row r="707" spans="5:6" x14ac:dyDescent="0.55000000000000004">
      <c r="E707"/>
      <c r="F707" s="120"/>
    </row>
    <row r="708" spans="5:6" x14ac:dyDescent="0.55000000000000004">
      <c r="E708"/>
      <c r="F708" s="120"/>
    </row>
    <row r="709" spans="5:6" x14ac:dyDescent="0.55000000000000004">
      <c r="E709"/>
      <c r="F709" s="120"/>
    </row>
    <row r="710" spans="5:6" x14ac:dyDescent="0.55000000000000004">
      <c r="E710"/>
      <c r="F710" s="120"/>
    </row>
    <row r="711" spans="5:6" x14ac:dyDescent="0.55000000000000004">
      <c r="E711"/>
      <c r="F711" s="120"/>
    </row>
    <row r="712" spans="5:6" x14ac:dyDescent="0.55000000000000004">
      <c r="E712"/>
      <c r="F712" s="120"/>
    </row>
    <row r="713" spans="5:6" x14ac:dyDescent="0.55000000000000004">
      <c r="E713"/>
      <c r="F713" s="120"/>
    </row>
    <row r="714" spans="5:6" x14ac:dyDescent="0.55000000000000004">
      <c r="E714"/>
      <c r="F714" s="120"/>
    </row>
    <row r="715" spans="5:6" x14ac:dyDescent="0.55000000000000004">
      <c r="E715"/>
      <c r="F715" s="120"/>
    </row>
    <row r="716" spans="5:6" x14ac:dyDescent="0.55000000000000004">
      <c r="E716"/>
      <c r="F716" s="120"/>
    </row>
    <row r="717" spans="5:6" x14ac:dyDescent="0.55000000000000004">
      <c r="E717"/>
      <c r="F717" s="120"/>
    </row>
    <row r="718" spans="5:6" x14ac:dyDescent="0.55000000000000004">
      <c r="E718"/>
      <c r="F718" s="120"/>
    </row>
    <row r="719" spans="5:6" x14ac:dyDescent="0.55000000000000004">
      <c r="E719"/>
      <c r="F719" s="120"/>
    </row>
    <row r="720" spans="5:6" x14ac:dyDescent="0.55000000000000004">
      <c r="E720"/>
      <c r="F720" s="120"/>
    </row>
    <row r="721" spans="5:6" x14ac:dyDescent="0.55000000000000004">
      <c r="E721"/>
      <c r="F721" s="120"/>
    </row>
    <row r="722" spans="5:6" x14ac:dyDescent="0.55000000000000004">
      <c r="E722"/>
      <c r="F722" s="120"/>
    </row>
    <row r="723" spans="5:6" x14ac:dyDescent="0.55000000000000004">
      <c r="E723"/>
      <c r="F723" s="120"/>
    </row>
    <row r="724" spans="5:6" x14ac:dyDescent="0.55000000000000004">
      <c r="E724"/>
      <c r="F724" s="120"/>
    </row>
    <row r="725" spans="5:6" x14ac:dyDescent="0.55000000000000004">
      <c r="E725"/>
      <c r="F725" s="120"/>
    </row>
    <row r="726" spans="5:6" x14ac:dyDescent="0.55000000000000004">
      <c r="E726"/>
      <c r="F726" s="120"/>
    </row>
    <row r="727" spans="5:6" x14ac:dyDescent="0.55000000000000004">
      <c r="E727"/>
      <c r="F727" s="120"/>
    </row>
    <row r="728" spans="5:6" x14ac:dyDescent="0.55000000000000004">
      <c r="E728"/>
      <c r="F728" s="120"/>
    </row>
    <row r="729" spans="5:6" x14ac:dyDescent="0.55000000000000004">
      <c r="E729"/>
      <c r="F729" s="120"/>
    </row>
    <row r="730" spans="5:6" x14ac:dyDescent="0.55000000000000004">
      <c r="E730"/>
      <c r="F730" s="120"/>
    </row>
    <row r="731" spans="5:6" x14ac:dyDescent="0.55000000000000004">
      <c r="E731"/>
      <c r="F731" s="120"/>
    </row>
    <row r="732" spans="5:6" x14ac:dyDescent="0.55000000000000004">
      <c r="E732"/>
      <c r="F732" s="120"/>
    </row>
    <row r="733" spans="5:6" x14ac:dyDescent="0.55000000000000004">
      <c r="E733"/>
      <c r="F733" s="120"/>
    </row>
    <row r="734" spans="5:6" x14ac:dyDescent="0.55000000000000004">
      <c r="E734"/>
      <c r="F734" s="120"/>
    </row>
    <row r="735" spans="5:6" x14ac:dyDescent="0.55000000000000004">
      <c r="E735"/>
      <c r="F735" s="120"/>
    </row>
    <row r="736" spans="5:6" x14ac:dyDescent="0.55000000000000004">
      <c r="E736"/>
      <c r="F736" s="120"/>
    </row>
    <row r="737" spans="5:6" x14ac:dyDescent="0.55000000000000004">
      <c r="E737"/>
      <c r="F737" s="120"/>
    </row>
    <row r="738" spans="5:6" x14ac:dyDescent="0.55000000000000004">
      <c r="E738"/>
      <c r="F738" s="120"/>
    </row>
    <row r="739" spans="5:6" x14ac:dyDescent="0.55000000000000004">
      <c r="E739"/>
      <c r="F739" s="120"/>
    </row>
    <row r="740" spans="5:6" x14ac:dyDescent="0.55000000000000004">
      <c r="E740"/>
      <c r="F740" s="120"/>
    </row>
    <row r="741" spans="5:6" x14ac:dyDescent="0.55000000000000004">
      <c r="E741"/>
      <c r="F741" s="120"/>
    </row>
    <row r="742" spans="5:6" x14ac:dyDescent="0.55000000000000004">
      <c r="E742"/>
      <c r="F742" s="120"/>
    </row>
    <row r="743" spans="5:6" x14ac:dyDescent="0.55000000000000004">
      <c r="E743"/>
      <c r="F743" s="120"/>
    </row>
    <row r="744" spans="5:6" x14ac:dyDescent="0.55000000000000004">
      <c r="E744"/>
      <c r="F744" s="120"/>
    </row>
    <row r="745" spans="5:6" x14ac:dyDescent="0.55000000000000004">
      <c r="E745"/>
      <c r="F745" s="120"/>
    </row>
    <row r="746" spans="5:6" x14ac:dyDescent="0.55000000000000004">
      <c r="E746"/>
      <c r="F746" s="120"/>
    </row>
    <row r="747" spans="5:6" x14ac:dyDescent="0.55000000000000004">
      <c r="E747"/>
      <c r="F747" s="120"/>
    </row>
    <row r="748" spans="5:6" x14ac:dyDescent="0.55000000000000004">
      <c r="E748"/>
      <c r="F748" s="120"/>
    </row>
    <row r="749" spans="5:6" x14ac:dyDescent="0.55000000000000004">
      <c r="E749"/>
      <c r="F749" s="120"/>
    </row>
    <row r="750" spans="5:6" x14ac:dyDescent="0.55000000000000004">
      <c r="E750"/>
      <c r="F750" s="120"/>
    </row>
    <row r="751" spans="5:6" x14ac:dyDescent="0.55000000000000004">
      <c r="E751"/>
      <c r="F751" s="120"/>
    </row>
    <row r="752" spans="5:6" x14ac:dyDescent="0.55000000000000004">
      <c r="E752"/>
      <c r="F752" s="120"/>
    </row>
    <row r="753" spans="5:6" x14ac:dyDescent="0.55000000000000004">
      <c r="E753"/>
      <c r="F753" s="120"/>
    </row>
    <row r="754" spans="5:6" x14ac:dyDescent="0.55000000000000004">
      <c r="E754"/>
      <c r="F754" s="120"/>
    </row>
    <row r="755" spans="5:6" x14ac:dyDescent="0.55000000000000004">
      <c r="E755"/>
      <c r="F755" s="120"/>
    </row>
    <row r="756" spans="5:6" x14ac:dyDescent="0.55000000000000004">
      <c r="E756"/>
      <c r="F756" s="120"/>
    </row>
    <row r="757" spans="5:6" x14ac:dyDescent="0.55000000000000004">
      <c r="E757"/>
      <c r="F757" s="120"/>
    </row>
    <row r="758" spans="5:6" x14ac:dyDescent="0.55000000000000004">
      <c r="E758"/>
      <c r="F758" s="120"/>
    </row>
    <row r="759" spans="5:6" x14ac:dyDescent="0.55000000000000004">
      <c r="E759"/>
      <c r="F759" s="120"/>
    </row>
    <row r="760" spans="5:6" x14ac:dyDescent="0.55000000000000004">
      <c r="E760"/>
      <c r="F760" s="120"/>
    </row>
    <row r="761" spans="5:6" x14ac:dyDescent="0.55000000000000004">
      <c r="E761"/>
      <c r="F761" s="120"/>
    </row>
    <row r="762" spans="5:6" x14ac:dyDescent="0.55000000000000004">
      <c r="E762"/>
      <c r="F762" s="120"/>
    </row>
    <row r="763" spans="5:6" x14ac:dyDescent="0.55000000000000004">
      <c r="E763"/>
      <c r="F763" s="120"/>
    </row>
    <row r="764" spans="5:6" x14ac:dyDescent="0.55000000000000004">
      <c r="E764"/>
      <c r="F764" s="120"/>
    </row>
    <row r="765" spans="5:6" x14ac:dyDescent="0.55000000000000004">
      <c r="E765"/>
      <c r="F765" s="120"/>
    </row>
    <row r="766" spans="5:6" x14ac:dyDescent="0.55000000000000004">
      <c r="E766"/>
      <c r="F766" s="120"/>
    </row>
    <row r="767" spans="5:6" x14ac:dyDescent="0.55000000000000004">
      <c r="E767"/>
      <c r="F767" s="120"/>
    </row>
    <row r="768" spans="5:6" x14ac:dyDescent="0.55000000000000004">
      <c r="E768"/>
      <c r="F768" s="120"/>
    </row>
    <row r="769" spans="5:6" x14ac:dyDescent="0.55000000000000004">
      <c r="E769"/>
      <c r="F769" s="120"/>
    </row>
    <row r="770" spans="5:6" x14ac:dyDescent="0.55000000000000004">
      <c r="E770"/>
      <c r="F770" s="120"/>
    </row>
    <row r="771" spans="5:6" x14ac:dyDescent="0.55000000000000004">
      <c r="E771"/>
      <c r="F771" s="120"/>
    </row>
    <row r="772" spans="5:6" x14ac:dyDescent="0.55000000000000004">
      <c r="E772"/>
      <c r="F772" s="120"/>
    </row>
    <row r="773" spans="5:6" x14ac:dyDescent="0.55000000000000004">
      <c r="E773"/>
      <c r="F773" s="120"/>
    </row>
    <row r="774" spans="5:6" x14ac:dyDescent="0.55000000000000004">
      <c r="E774"/>
      <c r="F774" s="120"/>
    </row>
    <row r="775" spans="5:6" x14ac:dyDescent="0.55000000000000004">
      <c r="E775"/>
      <c r="F775" s="120"/>
    </row>
    <row r="776" spans="5:6" x14ac:dyDescent="0.55000000000000004">
      <c r="E776"/>
      <c r="F776" s="120"/>
    </row>
    <row r="777" spans="5:6" x14ac:dyDescent="0.55000000000000004">
      <c r="E777"/>
      <c r="F777" s="120"/>
    </row>
    <row r="778" spans="5:6" x14ac:dyDescent="0.55000000000000004">
      <c r="E778"/>
      <c r="F778" s="120"/>
    </row>
    <row r="779" spans="5:6" x14ac:dyDescent="0.55000000000000004">
      <c r="E779"/>
      <c r="F779" s="120"/>
    </row>
    <row r="780" spans="5:6" x14ac:dyDescent="0.55000000000000004">
      <c r="E780"/>
      <c r="F780" s="120"/>
    </row>
    <row r="781" spans="5:6" x14ac:dyDescent="0.55000000000000004">
      <c r="E781"/>
      <c r="F781" s="120"/>
    </row>
    <row r="782" spans="5:6" x14ac:dyDescent="0.55000000000000004">
      <c r="E782"/>
      <c r="F782" s="120"/>
    </row>
    <row r="783" spans="5:6" x14ac:dyDescent="0.55000000000000004">
      <c r="E783"/>
      <c r="F783" s="120"/>
    </row>
    <row r="784" spans="5:6" x14ac:dyDescent="0.55000000000000004">
      <c r="E784"/>
      <c r="F784" s="120"/>
    </row>
    <row r="785" spans="5:6" x14ac:dyDescent="0.55000000000000004">
      <c r="E785"/>
      <c r="F785" s="120"/>
    </row>
    <row r="786" spans="5:6" x14ac:dyDescent="0.55000000000000004">
      <c r="E786"/>
      <c r="F786" s="120"/>
    </row>
    <row r="787" spans="5:6" x14ac:dyDescent="0.55000000000000004">
      <c r="E787"/>
      <c r="F787" s="120"/>
    </row>
    <row r="788" spans="5:6" x14ac:dyDescent="0.55000000000000004">
      <c r="E788"/>
      <c r="F788" s="120"/>
    </row>
    <row r="789" spans="5:6" x14ac:dyDescent="0.55000000000000004">
      <c r="E789"/>
      <c r="F789" s="120"/>
    </row>
    <row r="790" spans="5:6" x14ac:dyDescent="0.55000000000000004">
      <c r="E790"/>
      <c r="F790" s="120"/>
    </row>
    <row r="791" spans="5:6" x14ac:dyDescent="0.55000000000000004">
      <c r="E791"/>
      <c r="F791" s="120"/>
    </row>
    <row r="792" spans="5:6" x14ac:dyDescent="0.55000000000000004">
      <c r="E792"/>
      <c r="F792" s="120"/>
    </row>
    <row r="793" spans="5:6" x14ac:dyDescent="0.55000000000000004">
      <c r="E793"/>
      <c r="F793" s="120"/>
    </row>
    <row r="794" spans="5:6" x14ac:dyDescent="0.55000000000000004">
      <c r="E794"/>
      <c r="F794" s="120"/>
    </row>
    <row r="795" spans="5:6" x14ac:dyDescent="0.55000000000000004">
      <c r="E795"/>
      <c r="F795" s="120"/>
    </row>
    <row r="796" spans="5:6" x14ac:dyDescent="0.55000000000000004">
      <c r="E796"/>
      <c r="F796" s="120"/>
    </row>
    <row r="797" spans="5:6" x14ac:dyDescent="0.55000000000000004">
      <c r="E797"/>
      <c r="F797" s="120"/>
    </row>
    <row r="798" spans="5:6" x14ac:dyDescent="0.55000000000000004">
      <c r="E798"/>
      <c r="F798" s="120"/>
    </row>
    <row r="799" spans="5:6" x14ac:dyDescent="0.55000000000000004">
      <c r="E799"/>
      <c r="F799" s="120"/>
    </row>
    <row r="800" spans="5:6" x14ac:dyDescent="0.55000000000000004">
      <c r="E800"/>
      <c r="F800" s="120"/>
    </row>
    <row r="801" spans="5:6" x14ac:dyDescent="0.55000000000000004">
      <c r="E801"/>
      <c r="F801" s="120"/>
    </row>
    <row r="802" spans="5:6" x14ac:dyDescent="0.55000000000000004">
      <c r="E802"/>
      <c r="F802" s="120"/>
    </row>
    <row r="803" spans="5:6" x14ac:dyDescent="0.55000000000000004">
      <c r="E803"/>
      <c r="F803" s="120"/>
    </row>
    <row r="804" spans="5:6" x14ac:dyDescent="0.55000000000000004">
      <c r="E804"/>
      <c r="F804" s="120"/>
    </row>
    <row r="805" spans="5:6" x14ac:dyDescent="0.55000000000000004">
      <c r="E805"/>
      <c r="F805" s="120"/>
    </row>
    <row r="806" spans="5:6" x14ac:dyDescent="0.55000000000000004">
      <c r="E806"/>
      <c r="F806" s="120"/>
    </row>
    <row r="807" spans="5:6" x14ac:dyDescent="0.55000000000000004">
      <c r="E807"/>
      <c r="F807" s="120"/>
    </row>
    <row r="808" spans="5:6" x14ac:dyDescent="0.55000000000000004">
      <c r="E808"/>
      <c r="F808" s="120"/>
    </row>
    <row r="809" spans="5:6" x14ac:dyDescent="0.55000000000000004">
      <c r="E809"/>
      <c r="F809" s="120"/>
    </row>
    <row r="810" spans="5:6" x14ac:dyDescent="0.55000000000000004">
      <c r="E810"/>
      <c r="F810" s="120"/>
    </row>
    <row r="811" spans="5:6" x14ac:dyDescent="0.55000000000000004">
      <c r="E811"/>
      <c r="F811" s="120"/>
    </row>
    <row r="812" spans="5:6" x14ac:dyDescent="0.55000000000000004">
      <c r="E812"/>
      <c r="F812" s="120"/>
    </row>
    <row r="813" spans="5:6" x14ac:dyDescent="0.55000000000000004">
      <c r="E813"/>
      <c r="F813" s="120"/>
    </row>
    <row r="814" spans="5:6" x14ac:dyDescent="0.55000000000000004">
      <c r="E814"/>
      <c r="F814" s="120"/>
    </row>
    <row r="815" spans="5:6" x14ac:dyDescent="0.55000000000000004">
      <c r="E815"/>
      <c r="F815" s="120"/>
    </row>
    <row r="816" spans="5:6" x14ac:dyDescent="0.55000000000000004">
      <c r="E816"/>
      <c r="F816" s="120"/>
    </row>
    <row r="817" spans="5:6" x14ac:dyDescent="0.55000000000000004">
      <c r="E817"/>
      <c r="F817" s="120"/>
    </row>
    <row r="818" spans="5:6" x14ac:dyDescent="0.55000000000000004">
      <c r="E818"/>
      <c r="F818" s="120"/>
    </row>
    <row r="819" spans="5:6" x14ac:dyDescent="0.55000000000000004">
      <c r="E819"/>
      <c r="F819" s="120"/>
    </row>
    <row r="820" spans="5:6" x14ac:dyDescent="0.55000000000000004">
      <c r="E820"/>
      <c r="F820" s="120"/>
    </row>
    <row r="821" spans="5:6" x14ac:dyDescent="0.55000000000000004">
      <c r="E821"/>
      <c r="F821" s="120"/>
    </row>
    <row r="822" spans="5:6" x14ac:dyDescent="0.55000000000000004">
      <c r="E822"/>
      <c r="F822" s="120"/>
    </row>
    <row r="823" spans="5:6" x14ac:dyDescent="0.55000000000000004">
      <c r="E823"/>
      <c r="F823" s="120"/>
    </row>
    <row r="824" spans="5:6" x14ac:dyDescent="0.55000000000000004">
      <c r="E824"/>
      <c r="F824" s="120"/>
    </row>
    <row r="825" spans="5:6" x14ac:dyDescent="0.55000000000000004">
      <c r="E825"/>
      <c r="F825" s="120"/>
    </row>
    <row r="826" spans="5:6" x14ac:dyDescent="0.55000000000000004">
      <c r="E826"/>
      <c r="F826" s="120"/>
    </row>
    <row r="827" spans="5:6" x14ac:dyDescent="0.55000000000000004">
      <c r="E827"/>
      <c r="F827" s="120"/>
    </row>
    <row r="828" spans="5:6" x14ac:dyDescent="0.55000000000000004">
      <c r="E828"/>
      <c r="F828" s="120"/>
    </row>
    <row r="829" spans="5:6" x14ac:dyDescent="0.55000000000000004">
      <c r="E829"/>
      <c r="F829" s="120"/>
    </row>
    <row r="830" spans="5:6" x14ac:dyDescent="0.55000000000000004">
      <c r="E830"/>
      <c r="F830" s="120"/>
    </row>
    <row r="831" spans="5:6" x14ac:dyDescent="0.55000000000000004">
      <c r="E831"/>
      <c r="F831" s="120"/>
    </row>
    <row r="832" spans="5:6" x14ac:dyDescent="0.55000000000000004">
      <c r="E832"/>
      <c r="F832" s="120"/>
    </row>
    <row r="833" spans="5:6" x14ac:dyDescent="0.55000000000000004">
      <c r="E833"/>
      <c r="F833" s="120"/>
    </row>
    <row r="834" spans="5:6" x14ac:dyDescent="0.55000000000000004">
      <c r="E834"/>
      <c r="F834" s="120"/>
    </row>
    <row r="835" spans="5:6" x14ac:dyDescent="0.55000000000000004">
      <c r="E835"/>
      <c r="F835" s="120"/>
    </row>
    <row r="836" spans="5:6" x14ac:dyDescent="0.55000000000000004">
      <c r="E836"/>
      <c r="F836" s="120"/>
    </row>
    <row r="837" spans="5:6" x14ac:dyDescent="0.55000000000000004">
      <c r="E837"/>
      <c r="F837" s="120"/>
    </row>
    <row r="838" spans="5:6" x14ac:dyDescent="0.55000000000000004">
      <c r="E838"/>
      <c r="F838" s="120"/>
    </row>
    <row r="839" spans="5:6" x14ac:dyDescent="0.55000000000000004">
      <c r="E839"/>
      <c r="F839" s="120"/>
    </row>
    <row r="840" spans="5:6" x14ac:dyDescent="0.55000000000000004">
      <c r="E840"/>
      <c r="F840" s="120"/>
    </row>
    <row r="841" spans="5:6" x14ac:dyDescent="0.55000000000000004">
      <c r="E841"/>
      <c r="F841" s="120"/>
    </row>
    <row r="842" spans="5:6" x14ac:dyDescent="0.55000000000000004">
      <c r="E842"/>
      <c r="F842" s="120"/>
    </row>
    <row r="843" spans="5:6" x14ac:dyDescent="0.55000000000000004">
      <c r="E843"/>
      <c r="F843" s="120"/>
    </row>
    <row r="844" spans="5:6" x14ac:dyDescent="0.55000000000000004">
      <c r="E844"/>
      <c r="F844" s="120"/>
    </row>
    <row r="845" spans="5:6" x14ac:dyDescent="0.55000000000000004">
      <c r="E845"/>
      <c r="F845" s="120"/>
    </row>
    <row r="846" spans="5:6" x14ac:dyDescent="0.55000000000000004">
      <c r="E846"/>
      <c r="F846" s="120"/>
    </row>
    <row r="847" spans="5:6" x14ac:dyDescent="0.55000000000000004">
      <c r="E847"/>
      <c r="F847" s="120"/>
    </row>
    <row r="848" spans="5:6" x14ac:dyDescent="0.55000000000000004">
      <c r="E848"/>
      <c r="F848" s="120"/>
    </row>
    <row r="849" spans="5:6" x14ac:dyDescent="0.55000000000000004">
      <c r="E849"/>
      <c r="F849" s="120"/>
    </row>
    <row r="850" spans="5:6" x14ac:dyDescent="0.55000000000000004">
      <c r="E850"/>
      <c r="F850" s="120"/>
    </row>
    <row r="851" spans="5:6" x14ac:dyDescent="0.55000000000000004">
      <c r="E851"/>
      <c r="F851" s="120"/>
    </row>
    <row r="852" spans="5:6" x14ac:dyDescent="0.55000000000000004">
      <c r="E852"/>
      <c r="F852" s="120"/>
    </row>
    <row r="853" spans="5:6" x14ac:dyDescent="0.55000000000000004">
      <c r="E853"/>
      <c r="F853" s="120"/>
    </row>
    <row r="854" spans="5:6" x14ac:dyDescent="0.55000000000000004">
      <c r="E854"/>
      <c r="F854" s="120"/>
    </row>
    <row r="855" spans="5:6" x14ac:dyDescent="0.55000000000000004">
      <c r="E855"/>
      <c r="F855" s="120"/>
    </row>
    <row r="856" spans="5:6" x14ac:dyDescent="0.55000000000000004">
      <c r="E856"/>
      <c r="F856" s="120"/>
    </row>
    <row r="857" spans="5:6" x14ac:dyDescent="0.55000000000000004">
      <c r="E857"/>
      <c r="F857" s="120"/>
    </row>
    <row r="858" spans="5:6" x14ac:dyDescent="0.55000000000000004">
      <c r="E858"/>
      <c r="F858" s="120"/>
    </row>
    <row r="859" spans="5:6" x14ac:dyDescent="0.55000000000000004">
      <c r="E859"/>
      <c r="F859" s="120"/>
    </row>
    <row r="860" spans="5:6" x14ac:dyDescent="0.55000000000000004">
      <c r="E860"/>
      <c r="F860" s="120"/>
    </row>
    <row r="861" spans="5:6" x14ac:dyDescent="0.55000000000000004">
      <c r="E861"/>
      <c r="F861" s="120"/>
    </row>
    <row r="862" spans="5:6" x14ac:dyDescent="0.55000000000000004">
      <c r="E862"/>
      <c r="F862" s="120"/>
    </row>
    <row r="863" spans="5:6" x14ac:dyDescent="0.55000000000000004">
      <c r="E863"/>
      <c r="F863" s="120"/>
    </row>
    <row r="864" spans="5:6" x14ac:dyDescent="0.55000000000000004">
      <c r="E864"/>
      <c r="F864" s="120"/>
    </row>
    <row r="865" spans="5:6" x14ac:dyDescent="0.55000000000000004">
      <c r="E865"/>
      <c r="F865" s="120"/>
    </row>
    <row r="866" spans="5:6" x14ac:dyDescent="0.55000000000000004">
      <c r="E866"/>
      <c r="F866" s="120"/>
    </row>
    <row r="867" spans="5:6" x14ac:dyDescent="0.55000000000000004">
      <c r="E867"/>
      <c r="F867" s="120"/>
    </row>
    <row r="868" spans="5:6" x14ac:dyDescent="0.55000000000000004">
      <c r="E868"/>
      <c r="F868" s="120"/>
    </row>
    <row r="869" spans="5:6" x14ac:dyDescent="0.55000000000000004">
      <c r="E869"/>
      <c r="F869" s="120"/>
    </row>
    <row r="870" spans="5:6" x14ac:dyDescent="0.55000000000000004">
      <c r="E870"/>
      <c r="F870" s="120"/>
    </row>
    <row r="871" spans="5:6" x14ac:dyDescent="0.55000000000000004">
      <c r="E871"/>
      <c r="F871" s="120"/>
    </row>
    <row r="872" spans="5:6" x14ac:dyDescent="0.55000000000000004">
      <c r="E872"/>
      <c r="F872" s="120"/>
    </row>
    <row r="873" spans="5:6" x14ac:dyDescent="0.55000000000000004">
      <c r="E873"/>
      <c r="F873" s="120"/>
    </row>
    <row r="874" spans="5:6" x14ac:dyDescent="0.55000000000000004">
      <c r="E874"/>
      <c r="F874" s="120"/>
    </row>
    <row r="875" spans="5:6" x14ac:dyDescent="0.55000000000000004">
      <c r="E875"/>
      <c r="F875" s="120"/>
    </row>
    <row r="876" spans="5:6" x14ac:dyDescent="0.55000000000000004">
      <c r="E876"/>
      <c r="F876" s="120"/>
    </row>
    <row r="877" spans="5:6" x14ac:dyDescent="0.55000000000000004">
      <c r="E877"/>
      <c r="F877" s="120"/>
    </row>
    <row r="878" spans="5:6" x14ac:dyDescent="0.55000000000000004">
      <c r="E878"/>
      <c r="F878" s="120"/>
    </row>
    <row r="879" spans="5:6" x14ac:dyDescent="0.55000000000000004">
      <c r="E879"/>
      <c r="F879" s="120"/>
    </row>
    <row r="880" spans="5:6" x14ac:dyDescent="0.55000000000000004">
      <c r="E880"/>
      <c r="F880" s="120"/>
    </row>
    <row r="881" spans="5:6" x14ac:dyDescent="0.55000000000000004">
      <c r="E881"/>
      <c r="F881" s="120"/>
    </row>
    <row r="882" spans="5:6" x14ac:dyDescent="0.55000000000000004">
      <c r="E882"/>
      <c r="F882" s="120"/>
    </row>
    <row r="883" spans="5:6" x14ac:dyDescent="0.55000000000000004">
      <c r="E883"/>
      <c r="F883" s="120"/>
    </row>
    <row r="884" spans="5:6" x14ac:dyDescent="0.55000000000000004">
      <c r="E884"/>
      <c r="F884" s="120"/>
    </row>
    <row r="885" spans="5:6" x14ac:dyDescent="0.55000000000000004">
      <c r="E885"/>
      <c r="F885" s="120"/>
    </row>
    <row r="886" spans="5:6" x14ac:dyDescent="0.55000000000000004">
      <c r="E886"/>
      <c r="F886" s="120"/>
    </row>
    <row r="887" spans="5:6" x14ac:dyDescent="0.55000000000000004">
      <c r="E887"/>
      <c r="F887" s="120"/>
    </row>
    <row r="888" spans="5:6" x14ac:dyDescent="0.55000000000000004">
      <c r="E888"/>
      <c r="F888" s="120"/>
    </row>
    <row r="889" spans="5:6" x14ac:dyDescent="0.55000000000000004">
      <c r="E889"/>
      <c r="F889" s="120"/>
    </row>
    <row r="890" spans="5:6" x14ac:dyDescent="0.55000000000000004">
      <c r="E890"/>
      <c r="F890" s="120"/>
    </row>
    <row r="891" spans="5:6" x14ac:dyDescent="0.55000000000000004">
      <c r="E891"/>
      <c r="F891" s="120"/>
    </row>
    <row r="892" spans="5:6" x14ac:dyDescent="0.55000000000000004">
      <c r="E892"/>
      <c r="F892" s="120"/>
    </row>
    <row r="893" spans="5:6" x14ac:dyDescent="0.55000000000000004">
      <c r="E893"/>
      <c r="F893" s="120"/>
    </row>
    <row r="894" spans="5:6" x14ac:dyDescent="0.55000000000000004">
      <c r="E894"/>
      <c r="F894" s="120"/>
    </row>
    <row r="895" spans="5:6" x14ac:dyDescent="0.55000000000000004">
      <c r="E895"/>
      <c r="F895" s="120"/>
    </row>
    <row r="896" spans="5:6" x14ac:dyDescent="0.55000000000000004">
      <c r="E896"/>
      <c r="F896" s="120"/>
    </row>
    <row r="897" spans="5:6" x14ac:dyDescent="0.55000000000000004">
      <c r="E897"/>
      <c r="F897" s="120"/>
    </row>
    <row r="898" spans="5:6" x14ac:dyDescent="0.55000000000000004">
      <c r="E898"/>
      <c r="F898" s="120"/>
    </row>
    <row r="899" spans="5:6" x14ac:dyDescent="0.55000000000000004">
      <c r="E899"/>
      <c r="F899" s="120"/>
    </row>
    <row r="900" spans="5:6" x14ac:dyDescent="0.55000000000000004">
      <c r="E900"/>
      <c r="F900" s="120"/>
    </row>
    <row r="901" spans="5:6" x14ac:dyDescent="0.55000000000000004">
      <c r="E901"/>
      <c r="F901" s="120"/>
    </row>
    <row r="902" spans="5:6" x14ac:dyDescent="0.55000000000000004">
      <c r="E902"/>
      <c r="F902" s="120"/>
    </row>
    <row r="903" spans="5:6" x14ac:dyDescent="0.55000000000000004">
      <c r="E903"/>
      <c r="F903" s="120"/>
    </row>
    <row r="904" spans="5:6" x14ac:dyDescent="0.55000000000000004">
      <c r="E904"/>
      <c r="F904" s="120"/>
    </row>
    <row r="905" spans="5:6" x14ac:dyDescent="0.55000000000000004">
      <c r="E905"/>
      <c r="F905" s="120"/>
    </row>
    <row r="906" spans="5:6" x14ac:dyDescent="0.55000000000000004">
      <c r="E906"/>
      <c r="F906" s="120"/>
    </row>
    <row r="907" spans="5:6" x14ac:dyDescent="0.55000000000000004">
      <c r="E907"/>
      <c r="F907" s="120"/>
    </row>
    <row r="908" spans="5:6" x14ac:dyDescent="0.55000000000000004">
      <c r="E908"/>
      <c r="F908" s="120"/>
    </row>
    <row r="909" spans="5:6" x14ac:dyDescent="0.55000000000000004">
      <c r="E909"/>
      <c r="F909" s="120"/>
    </row>
    <row r="910" spans="5:6" x14ac:dyDescent="0.55000000000000004">
      <c r="E910"/>
      <c r="F910" s="120"/>
    </row>
    <row r="911" spans="5:6" x14ac:dyDescent="0.55000000000000004">
      <c r="E911"/>
      <c r="F911" s="120"/>
    </row>
    <row r="912" spans="5:6" x14ac:dyDescent="0.55000000000000004">
      <c r="E912"/>
      <c r="F912" s="120"/>
    </row>
    <row r="913" spans="5:6" x14ac:dyDescent="0.55000000000000004">
      <c r="E913"/>
      <c r="F913" s="120"/>
    </row>
    <row r="914" spans="5:6" x14ac:dyDescent="0.55000000000000004">
      <c r="E914"/>
      <c r="F914" s="120"/>
    </row>
    <row r="915" spans="5:6" x14ac:dyDescent="0.55000000000000004">
      <c r="E915"/>
      <c r="F915" s="120"/>
    </row>
    <row r="916" spans="5:6" x14ac:dyDescent="0.55000000000000004">
      <c r="E916"/>
      <c r="F916" s="120"/>
    </row>
    <row r="917" spans="5:6" x14ac:dyDescent="0.55000000000000004">
      <c r="E917"/>
      <c r="F917" s="120"/>
    </row>
    <row r="918" spans="5:6" x14ac:dyDescent="0.55000000000000004">
      <c r="E918"/>
      <c r="F918" s="120"/>
    </row>
    <row r="919" spans="5:6" x14ac:dyDescent="0.55000000000000004">
      <c r="E919"/>
      <c r="F919" s="120"/>
    </row>
    <row r="920" spans="5:6" x14ac:dyDescent="0.55000000000000004">
      <c r="E920"/>
      <c r="F920" s="120"/>
    </row>
    <row r="921" spans="5:6" x14ac:dyDescent="0.55000000000000004">
      <c r="E921"/>
      <c r="F921" s="120"/>
    </row>
    <row r="922" spans="5:6" x14ac:dyDescent="0.55000000000000004">
      <c r="E922"/>
      <c r="F922" s="120"/>
    </row>
    <row r="923" spans="5:6" x14ac:dyDescent="0.55000000000000004">
      <c r="E923"/>
      <c r="F923" s="120"/>
    </row>
    <row r="924" spans="5:6" x14ac:dyDescent="0.55000000000000004">
      <c r="E924"/>
      <c r="F924" s="120"/>
    </row>
    <row r="925" spans="5:6" x14ac:dyDescent="0.55000000000000004">
      <c r="E925"/>
      <c r="F925" s="120"/>
    </row>
    <row r="926" spans="5:6" x14ac:dyDescent="0.55000000000000004">
      <c r="E926"/>
      <c r="F926" s="120"/>
    </row>
    <row r="927" spans="5:6" x14ac:dyDescent="0.55000000000000004">
      <c r="E927"/>
      <c r="F927" s="120"/>
    </row>
    <row r="928" spans="5:6" x14ac:dyDescent="0.55000000000000004">
      <c r="E928"/>
      <c r="F928" s="120"/>
    </row>
    <row r="929" spans="5:6" x14ac:dyDescent="0.55000000000000004">
      <c r="E929"/>
      <c r="F929" s="120"/>
    </row>
    <row r="930" spans="5:6" x14ac:dyDescent="0.55000000000000004">
      <c r="E930"/>
      <c r="F930" s="120"/>
    </row>
    <row r="931" spans="5:6" x14ac:dyDescent="0.55000000000000004">
      <c r="E931"/>
      <c r="F931" s="120"/>
    </row>
    <row r="932" spans="5:6" x14ac:dyDescent="0.55000000000000004">
      <c r="E932"/>
      <c r="F932" s="120"/>
    </row>
    <row r="933" spans="5:6" x14ac:dyDescent="0.55000000000000004">
      <c r="E933"/>
      <c r="F933" s="120"/>
    </row>
    <row r="934" spans="5:6" x14ac:dyDescent="0.55000000000000004">
      <c r="E934"/>
      <c r="F934" s="120"/>
    </row>
    <row r="935" spans="5:6" x14ac:dyDescent="0.55000000000000004">
      <c r="E935"/>
      <c r="F935" s="120"/>
    </row>
    <row r="936" spans="5:6" x14ac:dyDescent="0.55000000000000004">
      <c r="E936"/>
      <c r="F936" s="120"/>
    </row>
    <row r="937" spans="5:6" x14ac:dyDescent="0.55000000000000004">
      <c r="E937"/>
      <c r="F937" s="120"/>
    </row>
    <row r="938" spans="5:6" x14ac:dyDescent="0.55000000000000004">
      <c r="E938"/>
      <c r="F938" s="120"/>
    </row>
    <row r="939" spans="5:6" x14ac:dyDescent="0.55000000000000004">
      <c r="E939"/>
      <c r="F939" s="120"/>
    </row>
    <row r="940" spans="5:6" x14ac:dyDescent="0.55000000000000004">
      <c r="E940"/>
      <c r="F940" s="120"/>
    </row>
    <row r="941" spans="5:6" x14ac:dyDescent="0.55000000000000004">
      <c r="E941"/>
      <c r="F941" s="120"/>
    </row>
    <row r="942" spans="5:6" x14ac:dyDescent="0.55000000000000004">
      <c r="E942"/>
      <c r="F942" s="120"/>
    </row>
    <row r="943" spans="5:6" x14ac:dyDescent="0.55000000000000004">
      <c r="E943"/>
      <c r="F943" s="120"/>
    </row>
    <row r="944" spans="5:6" x14ac:dyDescent="0.55000000000000004">
      <c r="E944"/>
      <c r="F944" s="120"/>
    </row>
    <row r="945" spans="5:6" x14ac:dyDescent="0.55000000000000004">
      <c r="E945"/>
      <c r="F945" s="120"/>
    </row>
    <row r="946" spans="5:6" x14ac:dyDescent="0.55000000000000004">
      <c r="E946"/>
      <c r="F946" s="120"/>
    </row>
    <row r="947" spans="5:6" x14ac:dyDescent="0.55000000000000004">
      <c r="E947"/>
      <c r="F947" s="120"/>
    </row>
    <row r="948" spans="5:6" x14ac:dyDescent="0.55000000000000004">
      <c r="E948"/>
      <c r="F948" s="120"/>
    </row>
    <row r="949" spans="5:6" x14ac:dyDescent="0.55000000000000004">
      <c r="E949"/>
      <c r="F949" s="120"/>
    </row>
    <row r="950" spans="5:6" x14ac:dyDescent="0.55000000000000004">
      <c r="E950"/>
      <c r="F950" s="120"/>
    </row>
    <row r="951" spans="5:6" x14ac:dyDescent="0.55000000000000004">
      <c r="E951"/>
      <c r="F951" s="120"/>
    </row>
    <row r="952" spans="5:6" x14ac:dyDescent="0.55000000000000004">
      <c r="E952"/>
      <c r="F952" s="120"/>
    </row>
    <row r="953" spans="5:6" x14ac:dyDescent="0.55000000000000004">
      <c r="E953"/>
      <c r="F953" s="120"/>
    </row>
    <row r="954" spans="5:6" x14ac:dyDescent="0.55000000000000004">
      <c r="E954"/>
      <c r="F954" s="120"/>
    </row>
    <row r="955" spans="5:6" x14ac:dyDescent="0.55000000000000004">
      <c r="E955"/>
      <c r="F955" s="120"/>
    </row>
    <row r="956" spans="5:6" x14ac:dyDescent="0.55000000000000004">
      <c r="E956"/>
      <c r="F956" s="120"/>
    </row>
    <row r="957" spans="5:6" x14ac:dyDescent="0.55000000000000004">
      <c r="E957"/>
      <c r="F957" s="120"/>
    </row>
    <row r="958" spans="5:6" x14ac:dyDescent="0.55000000000000004">
      <c r="E958"/>
      <c r="F958" s="120"/>
    </row>
    <row r="959" spans="5:6" x14ac:dyDescent="0.55000000000000004">
      <c r="E959"/>
      <c r="F959" s="120"/>
    </row>
    <row r="960" spans="5:6" x14ac:dyDescent="0.55000000000000004">
      <c r="E960"/>
      <c r="F960" s="120"/>
    </row>
    <row r="961" spans="5:6" x14ac:dyDescent="0.55000000000000004">
      <c r="E961"/>
      <c r="F961" s="120"/>
    </row>
    <row r="962" spans="5:6" x14ac:dyDescent="0.55000000000000004">
      <c r="E962"/>
      <c r="F962" s="120"/>
    </row>
    <row r="963" spans="5:6" x14ac:dyDescent="0.55000000000000004">
      <c r="E963"/>
      <c r="F963" s="120"/>
    </row>
    <row r="964" spans="5:6" x14ac:dyDescent="0.55000000000000004">
      <c r="E964"/>
      <c r="F964" s="120"/>
    </row>
    <row r="965" spans="5:6" x14ac:dyDescent="0.55000000000000004">
      <c r="E965"/>
      <c r="F965" s="120"/>
    </row>
    <row r="966" spans="5:6" x14ac:dyDescent="0.55000000000000004">
      <c r="E966"/>
      <c r="F966" s="120"/>
    </row>
    <row r="967" spans="5:6" x14ac:dyDescent="0.55000000000000004">
      <c r="E967"/>
      <c r="F967" s="120"/>
    </row>
    <row r="968" spans="5:6" x14ac:dyDescent="0.55000000000000004">
      <c r="E968"/>
      <c r="F968" s="120"/>
    </row>
    <row r="969" spans="5:6" x14ac:dyDescent="0.55000000000000004">
      <c r="E969"/>
      <c r="F969" s="120"/>
    </row>
    <row r="970" spans="5:6" x14ac:dyDescent="0.55000000000000004">
      <c r="E970"/>
      <c r="F970" s="120"/>
    </row>
    <row r="971" spans="5:6" x14ac:dyDescent="0.55000000000000004">
      <c r="E971"/>
      <c r="F971" s="120"/>
    </row>
    <row r="972" spans="5:6" x14ac:dyDescent="0.55000000000000004">
      <c r="E972"/>
      <c r="F972" s="120"/>
    </row>
    <row r="973" spans="5:6" x14ac:dyDescent="0.55000000000000004">
      <c r="E973"/>
      <c r="F973" s="120"/>
    </row>
    <row r="974" spans="5:6" x14ac:dyDescent="0.55000000000000004">
      <c r="E974"/>
      <c r="F974" s="120"/>
    </row>
    <row r="975" spans="5:6" x14ac:dyDescent="0.55000000000000004">
      <c r="E975"/>
      <c r="F975" s="120"/>
    </row>
    <row r="976" spans="5:6" x14ac:dyDescent="0.55000000000000004">
      <c r="E976"/>
      <c r="F976" s="120"/>
    </row>
    <row r="977" spans="5:6" x14ac:dyDescent="0.55000000000000004">
      <c r="E977"/>
      <c r="F977" s="120"/>
    </row>
    <row r="978" spans="5:6" x14ac:dyDescent="0.55000000000000004">
      <c r="E978"/>
      <c r="F978" s="120"/>
    </row>
    <row r="979" spans="5:6" x14ac:dyDescent="0.55000000000000004">
      <c r="E979"/>
      <c r="F979" s="120"/>
    </row>
    <row r="980" spans="5:6" x14ac:dyDescent="0.55000000000000004">
      <c r="E980"/>
      <c r="F980" s="120"/>
    </row>
    <row r="981" spans="5:6" x14ac:dyDescent="0.55000000000000004">
      <c r="E981"/>
      <c r="F981" s="120"/>
    </row>
    <row r="982" spans="5:6" x14ac:dyDescent="0.55000000000000004">
      <c r="E982"/>
      <c r="F982" s="120"/>
    </row>
    <row r="983" spans="5:6" x14ac:dyDescent="0.55000000000000004">
      <c r="E983"/>
      <c r="F983" s="120"/>
    </row>
    <row r="984" spans="5:6" x14ac:dyDescent="0.55000000000000004">
      <c r="E984"/>
      <c r="F984" s="120"/>
    </row>
    <row r="985" spans="5:6" x14ac:dyDescent="0.55000000000000004">
      <c r="E985"/>
      <c r="F985" s="120"/>
    </row>
    <row r="986" spans="5:6" x14ac:dyDescent="0.55000000000000004">
      <c r="E986"/>
      <c r="F986" s="120"/>
    </row>
    <row r="987" spans="5:6" x14ac:dyDescent="0.55000000000000004">
      <c r="E987"/>
      <c r="F987" s="120"/>
    </row>
    <row r="988" spans="5:6" x14ac:dyDescent="0.55000000000000004">
      <c r="E988"/>
      <c r="F988" s="120"/>
    </row>
    <row r="989" spans="5:6" x14ac:dyDescent="0.55000000000000004">
      <c r="E989"/>
      <c r="F989" s="120"/>
    </row>
    <row r="990" spans="5:6" x14ac:dyDescent="0.55000000000000004">
      <c r="E990"/>
      <c r="F990" s="120"/>
    </row>
    <row r="991" spans="5:6" x14ac:dyDescent="0.55000000000000004">
      <c r="E991"/>
      <c r="F991" s="120"/>
    </row>
    <row r="992" spans="5:6" x14ac:dyDescent="0.55000000000000004">
      <c r="E992"/>
      <c r="F992" s="120"/>
    </row>
    <row r="993" spans="5:6" x14ac:dyDescent="0.55000000000000004">
      <c r="E993"/>
      <c r="F993" s="120"/>
    </row>
    <row r="994" spans="5:6" x14ac:dyDescent="0.55000000000000004">
      <c r="E994"/>
      <c r="F994" s="120"/>
    </row>
    <row r="995" spans="5:6" x14ac:dyDescent="0.55000000000000004">
      <c r="E995"/>
      <c r="F995" s="120"/>
    </row>
    <row r="996" spans="5:6" x14ac:dyDescent="0.55000000000000004">
      <c r="E996"/>
      <c r="F996" s="120"/>
    </row>
    <row r="997" spans="5:6" x14ac:dyDescent="0.55000000000000004">
      <c r="E997"/>
      <c r="F997" s="120"/>
    </row>
    <row r="998" spans="5:6" x14ac:dyDescent="0.55000000000000004">
      <c r="E998"/>
      <c r="F998" s="120"/>
    </row>
    <row r="999" spans="5:6" x14ac:dyDescent="0.55000000000000004">
      <c r="E999"/>
      <c r="F999" s="120"/>
    </row>
    <row r="1000" spans="5:6" x14ac:dyDescent="0.55000000000000004">
      <c r="E1000"/>
      <c r="F1000" s="120"/>
    </row>
    <row r="1001" spans="5:6" x14ac:dyDescent="0.55000000000000004">
      <c r="E1001"/>
      <c r="F1001" s="120"/>
    </row>
    <row r="1002" spans="5:6" x14ac:dyDescent="0.55000000000000004">
      <c r="E1002"/>
      <c r="F1002" s="120"/>
    </row>
    <row r="1003" spans="5:6" x14ac:dyDescent="0.55000000000000004">
      <c r="E1003"/>
      <c r="F1003" s="120"/>
    </row>
    <row r="1004" spans="5:6" x14ac:dyDescent="0.55000000000000004">
      <c r="E1004"/>
      <c r="F1004" s="120"/>
    </row>
    <row r="1005" spans="5:6" x14ac:dyDescent="0.55000000000000004">
      <c r="E1005"/>
      <c r="F1005" s="120"/>
    </row>
    <row r="1006" spans="5:6" x14ac:dyDescent="0.55000000000000004">
      <c r="E1006"/>
      <c r="F1006" s="120"/>
    </row>
    <row r="1007" spans="5:6" x14ac:dyDescent="0.55000000000000004">
      <c r="E1007"/>
      <c r="F1007" s="120"/>
    </row>
    <row r="1008" spans="5:6" x14ac:dyDescent="0.55000000000000004">
      <c r="E1008"/>
      <c r="F1008" s="120"/>
    </row>
    <row r="1009" spans="5:6" x14ac:dyDescent="0.55000000000000004">
      <c r="E1009"/>
      <c r="F1009" s="120"/>
    </row>
    <row r="1010" spans="5:6" x14ac:dyDescent="0.55000000000000004">
      <c r="E1010"/>
      <c r="F1010" s="120"/>
    </row>
    <row r="1011" spans="5:6" x14ac:dyDescent="0.55000000000000004">
      <c r="E1011"/>
      <c r="F1011" s="120"/>
    </row>
    <row r="1012" spans="5:6" x14ac:dyDescent="0.55000000000000004">
      <c r="E1012"/>
      <c r="F1012" s="120"/>
    </row>
    <row r="1013" spans="5:6" x14ac:dyDescent="0.55000000000000004">
      <c r="E1013"/>
      <c r="F1013" s="120"/>
    </row>
    <row r="1014" spans="5:6" x14ac:dyDescent="0.55000000000000004">
      <c r="E1014"/>
      <c r="F1014" s="120"/>
    </row>
    <row r="1015" spans="5:6" x14ac:dyDescent="0.55000000000000004">
      <c r="E1015"/>
      <c r="F1015" s="120"/>
    </row>
    <row r="1016" spans="5:6" x14ac:dyDescent="0.55000000000000004">
      <c r="E1016"/>
      <c r="F1016" s="120"/>
    </row>
    <row r="1017" spans="5:6" x14ac:dyDescent="0.55000000000000004">
      <c r="E1017"/>
      <c r="F1017" s="120"/>
    </row>
    <row r="1018" spans="5:6" x14ac:dyDescent="0.55000000000000004">
      <c r="E1018"/>
      <c r="F1018" s="120"/>
    </row>
    <row r="1019" spans="5:6" x14ac:dyDescent="0.55000000000000004">
      <c r="E1019"/>
      <c r="F1019" s="120"/>
    </row>
    <row r="1020" spans="5:6" x14ac:dyDescent="0.55000000000000004">
      <c r="E1020"/>
      <c r="F1020" s="120"/>
    </row>
    <row r="1021" spans="5:6" x14ac:dyDescent="0.55000000000000004">
      <c r="E1021"/>
      <c r="F1021" s="120"/>
    </row>
    <row r="1022" spans="5:6" x14ac:dyDescent="0.55000000000000004">
      <c r="E1022"/>
      <c r="F1022" s="120"/>
    </row>
    <row r="1023" spans="5:6" x14ac:dyDescent="0.55000000000000004">
      <c r="E1023"/>
      <c r="F1023" s="120"/>
    </row>
    <row r="1024" spans="5:6" x14ac:dyDescent="0.55000000000000004">
      <c r="E1024"/>
      <c r="F1024" s="120"/>
    </row>
    <row r="1025" spans="5:6" x14ac:dyDescent="0.55000000000000004">
      <c r="E1025"/>
      <c r="F1025" s="120"/>
    </row>
    <row r="1026" spans="5:6" x14ac:dyDescent="0.55000000000000004">
      <c r="E1026"/>
      <c r="F1026" s="120"/>
    </row>
    <row r="1027" spans="5:6" x14ac:dyDescent="0.55000000000000004">
      <c r="E1027"/>
      <c r="F1027" s="120"/>
    </row>
    <row r="1028" spans="5:6" x14ac:dyDescent="0.55000000000000004">
      <c r="E1028"/>
      <c r="F1028" s="120"/>
    </row>
    <row r="1029" spans="5:6" x14ac:dyDescent="0.55000000000000004">
      <c r="E1029"/>
      <c r="F1029" s="120"/>
    </row>
    <row r="1030" spans="5:6" x14ac:dyDescent="0.55000000000000004">
      <c r="E1030"/>
      <c r="F1030" s="120"/>
    </row>
    <row r="1031" spans="5:6" x14ac:dyDescent="0.55000000000000004">
      <c r="E1031"/>
      <c r="F1031" s="120"/>
    </row>
    <row r="1032" spans="5:6" x14ac:dyDescent="0.55000000000000004">
      <c r="E1032"/>
      <c r="F1032" s="120"/>
    </row>
    <row r="1033" spans="5:6" x14ac:dyDescent="0.55000000000000004">
      <c r="E1033"/>
      <c r="F1033" s="120"/>
    </row>
    <row r="1034" spans="5:6" x14ac:dyDescent="0.55000000000000004">
      <c r="E1034"/>
      <c r="F1034" s="120"/>
    </row>
    <row r="1035" spans="5:6" x14ac:dyDescent="0.55000000000000004">
      <c r="E1035"/>
      <c r="F1035" s="120"/>
    </row>
    <row r="1036" spans="5:6" x14ac:dyDescent="0.55000000000000004">
      <c r="E1036"/>
      <c r="F1036" s="120"/>
    </row>
    <row r="1037" spans="5:6" x14ac:dyDescent="0.55000000000000004">
      <c r="E1037"/>
      <c r="F1037" s="120"/>
    </row>
    <row r="1038" spans="5:6" x14ac:dyDescent="0.55000000000000004">
      <c r="E1038"/>
      <c r="F1038" s="120"/>
    </row>
    <row r="1039" spans="5:6" x14ac:dyDescent="0.55000000000000004">
      <c r="E1039"/>
      <c r="F1039" s="120"/>
    </row>
    <row r="1040" spans="5:6" x14ac:dyDescent="0.55000000000000004">
      <c r="E1040"/>
      <c r="F1040" s="120"/>
    </row>
    <row r="1041" spans="5:6" x14ac:dyDescent="0.55000000000000004">
      <c r="E1041"/>
      <c r="F1041" s="120"/>
    </row>
    <row r="1042" spans="5:6" x14ac:dyDescent="0.55000000000000004">
      <c r="E1042"/>
      <c r="F1042" s="120"/>
    </row>
    <row r="1043" spans="5:6" x14ac:dyDescent="0.55000000000000004">
      <c r="E1043"/>
      <c r="F1043" s="120"/>
    </row>
    <row r="1044" spans="5:6" x14ac:dyDescent="0.55000000000000004">
      <c r="E1044"/>
      <c r="F1044" s="120"/>
    </row>
    <row r="1045" spans="5:6" x14ac:dyDescent="0.55000000000000004">
      <c r="E1045"/>
      <c r="F1045" s="120"/>
    </row>
    <row r="1046" spans="5:6" x14ac:dyDescent="0.55000000000000004">
      <c r="E1046"/>
      <c r="F1046" s="120"/>
    </row>
    <row r="1047" spans="5:6" x14ac:dyDescent="0.55000000000000004">
      <c r="E1047"/>
      <c r="F1047" s="120"/>
    </row>
    <row r="1048" spans="5:6" x14ac:dyDescent="0.55000000000000004">
      <c r="E1048"/>
      <c r="F1048" s="120"/>
    </row>
    <row r="1049" spans="5:6" x14ac:dyDescent="0.55000000000000004">
      <c r="E1049"/>
      <c r="F1049" s="120"/>
    </row>
    <row r="1050" spans="5:6" x14ac:dyDescent="0.55000000000000004">
      <c r="E1050"/>
      <c r="F1050" s="120"/>
    </row>
    <row r="1051" spans="5:6" x14ac:dyDescent="0.55000000000000004">
      <c r="E1051"/>
      <c r="F1051" s="120"/>
    </row>
    <row r="1052" spans="5:6" x14ac:dyDescent="0.55000000000000004">
      <c r="E1052"/>
      <c r="F1052" s="120"/>
    </row>
    <row r="1053" spans="5:6" x14ac:dyDescent="0.55000000000000004">
      <c r="E1053"/>
      <c r="F1053" s="120"/>
    </row>
    <row r="1054" spans="5:6" x14ac:dyDescent="0.55000000000000004">
      <c r="E1054"/>
      <c r="F1054" s="120"/>
    </row>
    <row r="1055" spans="5:6" x14ac:dyDescent="0.55000000000000004">
      <c r="E1055"/>
      <c r="F1055" s="120"/>
    </row>
    <row r="1056" spans="5:6" x14ac:dyDescent="0.55000000000000004">
      <c r="E1056"/>
      <c r="F1056" s="120"/>
    </row>
    <row r="1057" spans="5:6" x14ac:dyDescent="0.55000000000000004">
      <c r="E1057"/>
      <c r="F1057" s="120"/>
    </row>
    <row r="1058" spans="5:6" x14ac:dyDescent="0.55000000000000004">
      <c r="E1058"/>
      <c r="F1058" s="120"/>
    </row>
    <row r="1059" spans="5:6" x14ac:dyDescent="0.55000000000000004">
      <c r="E1059"/>
      <c r="F1059" s="120"/>
    </row>
    <row r="1060" spans="5:6" x14ac:dyDescent="0.55000000000000004">
      <c r="E1060"/>
      <c r="F1060" s="120"/>
    </row>
    <row r="1061" spans="5:6" x14ac:dyDescent="0.55000000000000004">
      <c r="E1061"/>
      <c r="F1061" s="120"/>
    </row>
    <row r="1062" spans="5:6" x14ac:dyDescent="0.55000000000000004">
      <c r="E1062"/>
      <c r="F1062" s="120"/>
    </row>
    <row r="1063" spans="5:6" x14ac:dyDescent="0.55000000000000004">
      <c r="E1063"/>
      <c r="F1063" s="120"/>
    </row>
    <row r="1064" spans="5:6" x14ac:dyDescent="0.55000000000000004">
      <c r="E1064"/>
      <c r="F1064" s="120"/>
    </row>
    <row r="1065" spans="5:6" x14ac:dyDescent="0.55000000000000004">
      <c r="E1065"/>
      <c r="F1065" s="120"/>
    </row>
    <row r="1066" spans="5:6" x14ac:dyDescent="0.55000000000000004">
      <c r="E1066"/>
      <c r="F1066" s="120"/>
    </row>
    <row r="1067" spans="5:6" x14ac:dyDescent="0.55000000000000004">
      <c r="E1067"/>
      <c r="F1067" s="120"/>
    </row>
    <row r="1068" spans="5:6" x14ac:dyDescent="0.55000000000000004">
      <c r="E1068"/>
      <c r="F1068" s="120"/>
    </row>
    <row r="1069" spans="5:6" x14ac:dyDescent="0.55000000000000004">
      <c r="E1069"/>
      <c r="F1069" s="120"/>
    </row>
    <row r="1070" spans="5:6" x14ac:dyDescent="0.55000000000000004">
      <c r="E1070"/>
      <c r="F1070" s="120"/>
    </row>
    <row r="1071" spans="5:6" x14ac:dyDescent="0.55000000000000004">
      <c r="E1071"/>
      <c r="F1071" s="120"/>
    </row>
    <row r="1072" spans="5:6" x14ac:dyDescent="0.55000000000000004">
      <c r="E1072"/>
      <c r="F1072" s="120"/>
    </row>
    <row r="1073" spans="5:6" x14ac:dyDescent="0.55000000000000004">
      <c r="E1073"/>
      <c r="F1073" s="120"/>
    </row>
    <row r="1074" spans="5:6" x14ac:dyDescent="0.55000000000000004">
      <c r="E1074"/>
      <c r="F1074" s="120"/>
    </row>
    <row r="1075" spans="5:6" x14ac:dyDescent="0.55000000000000004">
      <c r="E1075"/>
      <c r="F1075" s="120"/>
    </row>
    <row r="1076" spans="5:6" x14ac:dyDescent="0.55000000000000004">
      <c r="E1076"/>
      <c r="F1076" s="120"/>
    </row>
    <row r="1077" spans="5:6" x14ac:dyDescent="0.55000000000000004">
      <c r="E1077"/>
      <c r="F1077" s="120"/>
    </row>
    <row r="1078" spans="5:6" x14ac:dyDescent="0.55000000000000004">
      <c r="E1078"/>
      <c r="F1078" s="120"/>
    </row>
    <row r="1079" spans="5:6" x14ac:dyDescent="0.55000000000000004">
      <c r="E1079"/>
      <c r="F1079" s="120"/>
    </row>
    <row r="1080" spans="5:6" x14ac:dyDescent="0.55000000000000004">
      <c r="E1080"/>
      <c r="F1080" s="120"/>
    </row>
    <row r="1081" spans="5:6" x14ac:dyDescent="0.55000000000000004">
      <c r="E1081"/>
      <c r="F1081" s="120"/>
    </row>
    <row r="1082" spans="5:6" x14ac:dyDescent="0.55000000000000004">
      <c r="E1082"/>
      <c r="F1082" s="120"/>
    </row>
    <row r="1083" spans="5:6" x14ac:dyDescent="0.55000000000000004">
      <c r="E1083"/>
      <c r="F1083" s="120"/>
    </row>
    <row r="1084" spans="5:6" x14ac:dyDescent="0.55000000000000004">
      <c r="E1084"/>
      <c r="F1084" s="120"/>
    </row>
    <row r="1085" spans="5:6" x14ac:dyDescent="0.55000000000000004">
      <c r="E1085"/>
      <c r="F1085" s="120"/>
    </row>
    <row r="1086" spans="5:6" x14ac:dyDescent="0.55000000000000004">
      <c r="E1086"/>
      <c r="F1086" s="120"/>
    </row>
    <row r="1087" spans="5:6" x14ac:dyDescent="0.55000000000000004">
      <c r="E1087"/>
      <c r="F1087" s="120"/>
    </row>
    <row r="1088" spans="5:6" x14ac:dyDescent="0.55000000000000004">
      <c r="E1088"/>
      <c r="F1088" s="120"/>
    </row>
    <row r="1089" spans="5:6" x14ac:dyDescent="0.55000000000000004">
      <c r="E1089"/>
      <c r="F1089" s="120"/>
    </row>
    <row r="1090" spans="5:6" x14ac:dyDescent="0.55000000000000004">
      <c r="E1090"/>
      <c r="F1090" s="120"/>
    </row>
    <row r="1091" spans="5:6" x14ac:dyDescent="0.55000000000000004">
      <c r="E1091"/>
      <c r="F1091" s="120"/>
    </row>
    <row r="1092" spans="5:6" x14ac:dyDescent="0.55000000000000004">
      <c r="E1092"/>
      <c r="F1092" s="120"/>
    </row>
    <row r="1093" spans="5:6" x14ac:dyDescent="0.55000000000000004">
      <c r="E1093"/>
      <c r="F1093" s="120"/>
    </row>
    <row r="1094" spans="5:6" x14ac:dyDescent="0.55000000000000004">
      <c r="E1094"/>
      <c r="F1094" s="120"/>
    </row>
    <row r="1095" spans="5:6" x14ac:dyDescent="0.55000000000000004">
      <c r="E1095"/>
      <c r="F1095" s="120"/>
    </row>
    <row r="1096" spans="5:6" x14ac:dyDescent="0.55000000000000004">
      <c r="E1096"/>
      <c r="F1096" s="120"/>
    </row>
    <row r="1097" spans="5:6" x14ac:dyDescent="0.55000000000000004">
      <c r="E1097"/>
      <c r="F1097" s="120"/>
    </row>
    <row r="1098" spans="5:6" x14ac:dyDescent="0.55000000000000004">
      <c r="E1098"/>
      <c r="F1098" s="120"/>
    </row>
    <row r="1099" spans="5:6" x14ac:dyDescent="0.55000000000000004">
      <c r="E1099"/>
      <c r="F1099" s="120"/>
    </row>
    <row r="1100" spans="5:6" x14ac:dyDescent="0.55000000000000004">
      <c r="E1100"/>
      <c r="F1100" s="120"/>
    </row>
    <row r="1101" spans="5:6" x14ac:dyDescent="0.55000000000000004">
      <c r="E1101"/>
      <c r="F1101" s="120"/>
    </row>
    <row r="1102" spans="5:6" x14ac:dyDescent="0.55000000000000004">
      <c r="E1102"/>
      <c r="F1102" s="120"/>
    </row>
    <row r="1103" spans="5:6" x14ac:dyDescent="0.55000000000000004">
      <c r="E1103"/>
      <c r="F1103" s="120"/>
    </row>
    <row r="1104" spans="5:6" x14ac:dyDescent="0.55000000000000004">
      <c r="E1104"/>
      <c r="F1104" s="120"/>
    </row>
    <row r="1105" spans="5:6" x14ac:dyDescent="0.55000000000000004">
      <c r="E1105"/>
      <c r="F1105" s="120"/>
    </row>
    <row r="1106" spans="5:6" x14ac:dyDescent="0.55000000000000004">
      <c r="E1106"/>
      <c r="F1106" s="120"/>
    </row>
    <row r="1107" spans="5:6" x14ac:dyDescent="0.55000000000000004">
      <c r="E1107"/>
      <c r="F1107" s="120"/>
    </row>
    <row r="1108" spans="5:6" x14ac:dyDescent="0.55000000000000004">
      <c r="E1108"/>
      <c r="F1108" s="120"/>
    </row>
  </sheetData>
  <mergeCells count="2">
    <mergeCell ref="A1:B1"/>
    <mergeCell ref="E1:F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B95B2-F6C4-4D01-BCFC-929136947423}">
  <sheetPr codeName="Sheet10">
    <tabColor theme="7" tint="0.79998168889431442"/>
  </sheetPr>
  <dimension ref="A1:CU1130"/>
  <sheetViews>
    <sheetView zoomScale="85" zoomScaleNormal="85" workbookViewId="0">
      <selection activeCell="A4" sqref="A4:L416"/>
    </sheetView>
  </sheetViews>
  <sheetFormatPr defaultRowHeight="14.4" x14ac:dyDescent="0.55000000000000004"/>
  <cols>
    <col min="1" max="1" width="82.1015625" style="110" bestFit="1" customWidth="1"/>
    <col min="2" max="2" width="13.578125" style="110" customWidth="1"/>
    <col min="3" max="6" width="8.83984375" bestFit="1" customWidth="1"/>
    <col min="7" max="7" width="8.578125" customWidth="1"/>
    <col min="8" max="8" width="14.26171875" customWidth="1"/>
    <col min="9" max="9" width="13.83984375" customWidth="1"/>
    <col min="10" max="11" width="8.83984375" bestFit="1" customWidth="1"/>
    <col min="12" max="12" width="11.578125" bestFit="1" customWidth="1"/>
    <col min="13" max="13" width="8.734375" style="6" customWidth="1"/>
    <col min="14" max="14" width="7.83984375" style="6" customWidth="1"/>
    <col min="15" max="15" width="103.578125" bestFit="1" customWidth="1"/>
    <col min="26" max="26" width="11" customWidth="1"/>
    <col min="29" max="29" width="12.83984375" customWidth="1"/>
    <col min="30" max="31" width="8.83984375" customWidth="1"/>
    <col min="32" max="32" width="73.26171875" bestFit="1" customWidth="1"/>
  </cols>
  <sheetData>
    <row r="1" spans="1:99" x14ac:dyDescent="0.55000000000000004">
      <c r="A1" s="116" t="s">
        <v>792</v>
      </c>
      <c r="B1" s="116"/>
      <c r="C1" s="116"/>
      <c r="D1" s="116"/>
      <c r="E1" s="116"/>
      <c r="F1" s="116"/>
      <c r="G1" s="116"/>
      <c r="H1" s="116"/>
      <c r="I1" s="116"/>
      <c r="J1" s="116"/>
      <c r="K1" s="116"/>
      <c r="L1" s="116"/>
      <c r="M1" s="117"/>
      <c r="N1" s="117"/>
      <c r="O1" s="116" t="s">
        <v>793</v>
      </c>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R1" s="543" t="s">
        <v>794</v>
      </c>
      <c r="AS1" s="543"/>
      <c r="AT1" s="543"/>
      <c r="AU1" s="543"/>
      <c r="AV1" s="543"/>
      <c r="AW1" s="543"/>
      <c r="AX1" s="543"/>
      <c r="AY1" s="543"/>
      <c r="AZ1" s="543"/>
      <c r="BA1" s="543"/>
      <c r="BB1" s="543"/>
      <c r="BC1" s="543"/>
      <c r="BD1" s="543"/>
      <c r="BE1" s="543"/>
      <c r="BF1" s="543"/>
      <c r="BG1" s="543"/>
      <c r="BH1" s="543"/>
      <c r="BI1" s="543"/>
      <c r="BJ1" s="543"/>
      <c r="BK1" s="543"/>
      <c r="BL1" s="543"/>
      <c r="BM1" s="543"/>
      <c r="BN1" s="543"/>
      <c r="BO1" s="543"/>
      <c r="BP1" s="543"/>
      <c r="BQ1" s="543"/>
      <c r="BR1" s="543"/>
      <c r="BU1" s="543" t="s">
        <v>795</v>
      </c>
      <c r="BV1" s="543"/>
      <c r="BW1" s="543"/>
      <c r="BX1" s="543"/>
      <c r="BY1" s="543"/>
      <c r="BZ1" s="543"/>
      <c r="CA1" s="543"/>
      <c r="CB1" s="543"/>
      <c r="CC1" s="543"/>
      <c r="CD1" s="543"/>
      <c r="CE1" s="543"/>
      <c r="CF1" s="543"/>
      <c r="CG1" s="543"/>
      <c r="CH1" s="543"/>
      <c r="CI1" s="543"/>
      <c r="CJ1" s="543"/>
      <c r="CK1" s="543"/>
      <c r="CL1" s="543"/>
      <c r="CM1" s="543"/>
      <c r="CN1" s="543"/>
      <c r="CO1" s="543"/>
      <c r="CP1" s="543"/>
      <c r="CQ1" s="543"/>
      <c r="CR1" s="543"/>
      <c r="CS1" s="543"/>
      <c r="CT1" s="543"/>
      <c r="CU1" s="543"/>
    </row>
    <row r="2" spans="1:99" s="3" customFormat="1" x14ac:dyDescent="0.55000000000000004">
      <c r="A2" s="3" t="s">
        <v>796</v>
      </c>
      <c r="B2" s="3" t="s">
        <v>797</v>
      </c>
      <c r="C2" s="3" t="s">
        <v>798</v>
      </c>
      <c r="M2" s="6"/>
      <c r="N2" s="6"/>
      <c r="O2" s="3" t="s">
        <v>799</v>
      </c>
      <c r="P2" s="3" t="s">
        <v>797</v>
      </c>
      <c r="Q2" s="3" t="s">
        <v>798</v>
      </c>
      <c r="AL2" s="115"/>
      <c r="BO2" s="115"/>
    </row>
    <row r="3" spans="1:99" s="3" customFormat="1" x14ac:dyDescent="0.55000000000000004">
      <c r="A3" s="298" t="s">
        <v>3257</v>
      </c>
      <c r="B3" s="298" t="s">
        <v>3258</v>
      </c>
      <c r="C3" s="298" t="s">
        <v>3259</v>
      </c>
      <c r="D3" s="298" t="s">
        <v>3260</v>
      </c>
      <c r="E3" s="298" t="s">
        <v>3261</v>
      </c>
      <c r="F3" s="298" t="s">
        <v>3262</v>
      </c>
      <c r="G3" s="298" t="s">
        <v>3263</v>
      </c>
      <c r="H3" s="298" t="s">
        <v>3264</v>
      </c>
      <c r="I3" s="298" t="s">
        <v>3265</v>
      </c>
      <c r="J3" s="298" t="s">
        <v>3266</v>
      </c>
      <c r="K3" s="298" t="s">
        <v>3267</v>
      </c>
      <c r="L3" s="298" t="s">
        <v>3268</v>
      </c>
      <c r="M3" s="6"/>
      <c r="N3" s="6"/>
      <c r="O3" s="298" t="s">
        <v>3257</v>
      </c>
      <c r="P3" s="298" t="s">
        <v>3258</v>
      </c>
      <c r="Q3" s="298" t="s">
        <v>3259</v>
      </c>
      <c r="R3" s="298" t="s">
        <v>3260</v>
      </c>
      <c r="S3" s="298" t="s">
        <v>3261</v>
      </c>
      <c r="T3" s="298" t="s">
        <v>3262</v>
      </c>
      <c r="U3" s="298" t="s">
        <v>3263</v>
      </c>
      <c r="V3" s="298" t="s">
        <v>3264</v>
      </c>
      <c r="W3" s="298" t="s">
        <v>3265</v>
      </c>
      <c r="X3" s="298" t="s">
        <v>3266</v>
      </c>
      <c r="Y3" s="298" t="s">
        <v>3267</v>
      </c>
      <c r="Z3" s="298" t="s">
        <v>3268</v>
      </c>
    </row>
    <row r="4" spans="1:99" x14ac:dyDescent="0.55000000000000004">
      <c r="A4" t="s">
        <v>3269</v>
      </c>
      <c r="B4">
        <v>17.13</v>
      </c>
      <c r="C4">
        <v>5.5190000000000001</v>
      </c>
      <c r="D4">
        <v>2.6160000000000001</v>
      </c>
      <c r="E4">
        <v>16.98</v>
      </c>
      <c r="F4">
        <v>16.11</v>
      </c>
      <c r="G4">
        <v>13.9</v>
      </c>
      <c r="H4">
        <v>9.0259999999999998</v>
      </c>
      <c r="I4">
        <v>8.9879999999999995</v>
      </c>
      <c r="J4" t="s">
        <v>3871</v>
      </c>
      <c r="K4">
        <v>0.59119999999999995</v>
      </c>
      <c r="L4" s="111">
        <v>1.168E-7</v>
      </c>
      <c r="M4" s="118"/>
      <c r="N4" s="118"/>
      <c r="O4" t="s">
        <v>3269</v>
      </c>
      <c r="P4">
        <v>17.13</v>
      </c>
      <c r="Q4">
        <v>5.5190000000000001</v>
      </c>
      <c r="R4">
        <v>2.6160000000000001</v>
      </c>
      <c r="S4">
        <v>16.98</v>
      </c>
      <c r="T4">
        <v>16.11</v>
      </c>
      <c r="U4">
        <v>13.9</v>
      </c>
      <c r="V4">
        <v>9.0259999999999998</v>
      </c>
      <c r="W4">
        <v>8.9879999999999995</v>
      </c>
      <c r="X4" t="s">
        <v>3871</v>
      </c>
      <c r="Y4">
        <v>0.59119999999999995</v>
      </c>
      <c r="Z4" s="111">
        <v>1.168E-7</v>
      </c>
      <c r="AA4" s="111"/>
      <c r="AB4" s="111"/>
      <c r="AC4" s="111"/>
      <c r="AD4" s="111"/>
      <c r="AE4" s="111"/>
      <c r="AF4" s="111"/>
      <c r="AG4" s="111"/>
      <c r="AH4" s="111"/>
      <c r="AI4" s="111"/>
      <c r="AJ4" s="111"/>
      <c r="AK4" s="111"/>
      <c r="AL4" s="111"/>
      <c r="AN4" s="111"/>
      <c r="AO4" s="111"/>
    </row>
    <row r="5" spans="1:99" x14ac:dyDescent="0.55000000000000004">
      <c r="A5" t="s">
        <v>3270</v>
      </c>
      <c r="B5">
        <v>8.7149999999999999</v>
      </c>
      <c r="C5">
        <v>3.15</v>
      </c>
      <c r="D5">
        <v>1.179</v>
      </c>
      <c r="E5">
        <v>8.641</v>
      </c>
      <c r="F5">
        <v>8.1720000000000006</v>
      </c>
      <c r="G5">
        <v>8.0679999999999996</v>
      </c>
      <c r="H5">
        <v>5.468</v>
      </c>
      <c r="I5">
        <v>5.4560000000000004</v>
      </c>
      <c r="J5" s="111">
        <v>4.3769999999999998E-6</v>
      </c>
      <c r="K5">
        <v>1.329</v>
      </c>
      <c r="L5" s="111">
        <v>4.6670000000000004E-6</v>
      </c>
      <c r="O5" t="s">
        <v>3270</v>
      </c>
      <c r="P5">
        <v>8.7149999999999999</v>
      </c>
      <c r="Q5">
        <v>3.15</v>
      </c>
      <c r="R5">
        <v>1.179</v>
      </c>
      <c r="S5">
        <v>8.641</v>
      </c>
      <c r="T5">
        <v>8.1720000000000006</v>
      </c>
      <c r="U5">
        <v>8.0679999999999996</v>
      </c>
      <c r="V5">
        <v>5.468</v>
      </c>
      <c r="W5">
        <v>5.4560000000000004</v>
      </c>
      <c r="X5" s="111">
        <v>4.3769999999999998E-6</v>
      </c>
      <c r="Y5">
        <v>1.329</v>
      </c>
      <c r="Z5" s="111">
        <v>4.6670000000000004E-6</v>
      </c>
      <c r="AA5" s="111"/>
      <c r="AB5" s="111"/>
      <c r="AC5" s="111"/>
      <c r="AD5" s="111"/>
      <c r="AE5" s="111"/>
      <c r="AF5" s="111"/>
      <c r="AG5" s="111"/>
      <c r="AH5" s="111"/>
      <c r="AI5" s="111"/>
      <c r="AJ5" s="111"/>
      <c r="AK5" s="111"/>
      <c r="AL5" s="111"/>
      <c r="AN5" s="111"/>
      <c r="AO5" s="111"/>
    </row>
    <row r="6" spans="1:99" x14ac:dyDescent="0.55000000000000004">
      <c r="A6" t="s">
        <v>3271</v>
      </c>
      <c r="B6">
        <v>8.2309999999999999</v>
      </c>
      <c r="C6">
        <v>2.1669999999999998</v>
      </c>
      <c r="D6">
        <v>0.75929999999999997</v>
      </c>
      <c r="E6">
        <v>8.1449999999999996</v>
      </c>
      <c r="F6">
        <v>7.7060000000000004</v>
      </c>
      <c r="G6">
        <v>6.7050000000000001</v>
      </c>
      <c r="H6">
        <v>4.1449999999999996</v>
      </c>
      <c r="I6">
        <v>4.1269999999999998</v>
      </c>
      <c r="J6" s="111">
        <v>1.2160000000000001E-6</v>
      </c>
      <c r="K6">
        <v>1.212</v>
      </c>
      <c r="L6" s="111">
        <v>1.3629999999999999E-6</v>
      </c>
      <c r="O6" t="s">
        <v>3271</v>
      </c>
      <c r="P6">
        <v>8.2309999999999999</v>
      </c>
      <c r="Q6">
        <v>2.1669999999999998</v>
      </c>
      <c r="R6">
        <v>0.75929999999999997</v>
      </c>
      <c r="S6">
        <v>8.1449999999999996</v>
      </c>
      <c r="T6">
        <v>7.7060000000000004</v>
      </c>
      <c r="U6">
        <v>6.7050000000000001</v>
      </c>
      <c r="V6">
        <v>4.1449999999999996</v>
      </c>
      <c r="W6">
        <v>4.1269999999999998</v>
      </c>
      <c r="X6" s="111">
        <v>1.2160000000000001E-6</v>
      </c>
      <c r="Y6">
        <v>1.212</v>
      </c>
      <c r="Z6" s="111">
        <v>1.3629999999999999E-6</v>
      </c>
      <c r="AA6" s="111"/>
      <c r="AB6" s="111"/>
      <c r="AC6" s="111"/>
      <c r="AD6" s="111"/>
      <c r="AE6" s="111"/>
      <c r="AF6" s="111"/>
      <c r="AG6" s="111"/>
      <c r="AH6" s="111"/>
      <c r="AI6" s="111"/>
      <c r="AJ6" s="111"/>
      <c r="AK6" s="111"/>
      <c r="AL6" s="111"/>
      <c r="AN6" s="111"/>
      <c r="AO6" s="111"/>
    </row>
    <row r="7" spans="1:99" x14ac:dyDescent="0.55000000000000004">
      <c r="A7" t="s">
        <v>3272</v>
      </c>
      <c r="B7">
        <v>9.6560000000000006</v>
      </c>
      <c r="C7">
        <v>2.036</v>
      </c>
      <c r="D7">
        <v>0.70399999999999996</v>
      </c>
      <c r="E7">
        <v>9.5489999999999995</v>
      </c>
      <c r="F7">
        <v>8.8889999999999993</v>
      </c>
      <c r="G7">
        <v>7.23</v>
      </c>
      <c r="H7">
        <v>4.2270000000000003</v>
      </c>
      <c r="I7">
        <v>4.2030000000000003</v>
      </c>
      <c r="J7" s="111">
        <v>1.049E-6</v>
      </c>
      <c r="K7">
        <v>1.611</v>
      </c>
      <c r="L7" s="111">
        <v>1.978E-6</v>
      </c>
      <c r="O7" t="s">
        <v>3272</v>
      </c>
      <c r="P7">
        <v>9.6560000000000006</v>
      </c>
      <c r="Q7">
        <v>2.036</v>
      </c>
      <c r="R7">
        <v>0.70399999999999996</v>
      </c>
      <c r="S7">
        <v>9.5489999999999995</v>
      </c>
      <c r="T7">
        <v>8.8889999999999993</v>
      </c>
      <c r="U7">
        <v>7.23</v>
      </c>
      <c r="V7">
        <v>4.2270000000000003</v>
      </c>
      <c r="W7">
        <v>4.2030000000000003</v>
      </c>
      <c r="X7" s="111">
        <v>1.049E-6</v>
      </c>
      <c r="Y7">
        <v>1.611</v>
      </c>
      <c r="Z7" s="111">
        <v>1.978E-6</v>
      </c>
      <c r="AA7" s="111"/>
      <c r="AB7" s="111"/>
      <c r="AC7" s="111"/>
      <c r="AD7" s="111"/>
      <c r="AE7" s="111"/>
      <c r="AF7" s="111"/>
      <c r="AG7" s="111"/>
      <c r="AH7" s="111"/>
      <c r="AI7" s="111"/>
      <c r="AJ7" s="111"/>
      <c r="AK7" s="111"/>
      <c r="AL7" s="111"/>
      <c r="AN7" s="111"/>
      <c r="AO7" s="111"/>
    </row>
    <row r="8" spans="1:99" x14ac:dyDescent="0.55000000000000004">
      <c r="A8" t="s">
        <v>3273</v>
      </c>
      <c r="B8">
        <v>18.48</v>
      </c>
      <c r="C8">
        <v>4.2649999999999997</v>
      </c>
      <c r="D8">
        <v>1.742</v>
      </c>
      <c r="E8">
        <v>18.22</v>
      </c>
      <c r="F8">
        <v>17.43</v>
      </c>
      <c r="G8">
        <v>14.75</v>
      </c>
      <c r="H8">
        <v>8.8550000000000004</v>
      </c>
      <c r="I8">
        <v>8.8079999999999998</v>
      </c>
      <c r="J8" s="111">
        <v>2.0849999999999999E-5</v>
      </c>
      <c r="K8">
        <v>2.0099999999999998</v>
      </c>
      <c r="L8" s="111">
        <v>4.0009999999999998E-5</v>
      </c>
      <c r="M8" s="118"/>
      <c r="N8" s="118"/>
      <c r="O8" t="s">
        <v>3273</v>
      </c>
      <c r="P8">
        <v>18.48</v>
      </c>
      <c r="Q8">
        <v>4.2649999999999997</v>
      </c>
      <c r="R8">
        <v>1.742</v>
      </c>
      <c r="S8">
        <v>18.22</v>
      </c>
      <c r="T8">
        <v>17.43</v>
      </c>
      <c r="U8">
        <v>14.75</v>
      </c>
      <c r="V8">
        <v>8.8550000000000004</v>
      </c>
      <c r="W8">
        <v>8.8079999999999998</v>
      </c>
      <c r="X8" s="111">
        <v>2.0849999999999999E-5</v>
      </c>
      <c r="Y8">
        <v>2.0099999999999998</v>
      </c>
      <c r="Z8" s="111">
        <v>4.0009999999999998E-5</v>
      </c>
      <c r="AA8" s="111"/>
      <c r="AB8" s="111"/>
      <c r="AC8" s="111"/>
      <c r="AD8" s="111"/>
      <c r="AE8" s="111"/>
      <c r="AF8" s="111"/>
      <c r="AG8" s="111"/>
      <c r="AH8" s="111"/>
      <c r="AI8" s="111"/>
      <c r="AJ8" s="111"/>
      <c r="AK8" s="111"/>
      <c r="AL8" s="111"/>
      <c r="AN8" s="111"/>
      <c r="AO8" s="111"/>
    </row>
    <row r="9" spans="1:99" x14ac:dyDescent="0.55000000000000004">
      <c r="A9" t="s">
        <v>3274</v>
      </c>
      <c r="B9">
        <v>15.19</v>
      </c>
      <c r="C9">
        <v>4.2519999999999998</v>
      </c>
      <c r="D9">
        <v>1.964</v>
      </c>
      <c r="E9">
        <v>15.07</v>
      </c>
      <c r="F9">
        <v>14.31</v>
      </c>
      <c r="G9">
        <v>12.36</v>
      </c>
      <c r="H9">
        <v>7.7549999999999999</v>
      </c>
      <c r="I9">
        <v>7.7220000000000004</v>
      </c>
      <c r="J9" t="s">
        <v>3871</v>
      </c>
      <c r="K9">
        <v>0.46479999999999999</v>
      </c>
      <c r="L9" s="111">
        <v>1.194E-9</v>
      </c>
      <c r="M9" s="118"/>
      <c r="N9" s="118"/>
      <c r="O9" t="s">
        <v>3274</v>
      </c>
      <c r="P9">
        <v>15.19</v>
      </c>
      <c r="Q9">
        <v>4.2519999999999998</v>
      </c>
      <c r="R9">
        <v>1.964</v>
      </c>
      <c r="S9">
        <v>15.07</v>
      </c>
      <c r="T9">
        <v>14.31</v>
      </c>
      <c r="U9">
        <v>12.36</v>
      </c>
      <c r="V9">
        <v>7.7549999999999999</v>
      </c>
      <c r="W9">
        <v>7.7220000000000004</v>
      </c>
      <c r="X9" t="s">
        <v>3871</v>
      </c>
      <c r="Y9">
        <v>0.46479999999999999</v>
      </c>
      <c r="Z9" s="111">
        <v>1.194E-9</v>
      </c>
      <c r="AA9" s="111"/>
      <c r="AB9" s="111"/>
      <c r="AC9" s="111"/>
      <c r="AD9" s="111"/>
      <c r="AE9" s="111"/>
      <c r="AF9" s="111"/>
      <c r="AG9" s="111"/>
      <c r="AH9" s="111"/>
      <c r="AI9" s="111"/>
      <c r="AJ9" s="111"/>
      <c r="AK9" s="111"/>
      <c r="AL9" s="111"/>
      <c r="AN9" s="111"/>
      <c r="AO9" s="111"/>
    </row>
    <row r="10" spans="1:99" x14ac:dyDescent="0.55000000000000004">
      <c r="A10" t="s">
        <v>3275</v>
      </c>
      <c r="B10">
        <v>6.1159999999999997</v>
      </c>
      <c r="C10">
        <v>1.5269999999999999</v>
      </c>
      <c r="D10">
        <v>0.63890000000000002</v>
      </c>
      <c r="E10">
        <v>6.05</v>
      </c>
      <c r="F10">
        <v>5.6420000000000003</v>
      </c>
      <c r="G10">
        <v>4.7249999999999996</v>
      </c>
      <c r="H10">
        <v>2.855</v>
      </c>
      <c r="I10">
        <v>2.8740000000000001</v>
      </c>
      <c r="J10" t="s">
        <v>3871</v>
      </c>
      <c r="K10">
        <v>0.94910000000000005</v>
      </c>
      <c r="L10" s="111">
        <v>4.488E-7</v>
      </c>
      <c r="O10" t="s">
        <v>3275</v>
      </c>
      <c r="P10">
        <v>6.1159999999999997</v>
      </c>
      <c r="Q10">
        <v>1.5269999999999999</v>
      </c>
      <c r="R10">
        <v>0.63890000000000002</v>
      </c>
      <c r="S10">
        <v>6.05</v>
      </c>
      <c r="T10">
        <v>5.6420000000000003</v>
      </c>
      <c r="U10">
        <v>4.7249999999999996</v>
      </c>
      <c r="V10">
        <v>2.855</v>
      </c>
      <c r="W10">
        <v>2.8740000000000001</v>
      </c>
      <c r="X10" t="s">
        <v>3871</v>
      </c>
      <c r="Y10">
        <v>0.94910000000000005</v>
      </c>
      <c r="Z10" s="111">
        <v>4.488E-7</v>
      </c>
      <c r="AA10" s="111"/>
      <c r="AB10" s="111"/>
      <c r="AC10" s="111"/>
      <c r="AD10" s="111"/>
      <c r="AE10" s="111"/>
      <c r="AF10" s="111"/>
      <c r="AG10" s="111"/>
      <c r="AH10" s="111"/>
      <c r="AI10" s="111"/>
      <c r="AJ10" s="111"/>
      <c r="AK10" s="111"/>
      <c r="AL10" s="111"/>
      <c r="AN10" s="111"/>
      <c r="AO10" s="111"/>
    </row>
    <row r="11" spans="1:99" x14ac:dyDescent="0.55000000000000004">
      <c r="A11" t="s">
        <v>3276</v>
      </c>
      <c r="B11">
        <v>13.78</v>
      </c>
      <c r="C11">
        <v>3.681</v>
      </c>
      <c r="D11">
        <v>1.3169999999999999</v>
      </c>
      <c r="E11">
        <v>13.66</v>
      </c>
      <c r="F11">
        <v>13.22</v>
      </c>
      <c r="G11">
        <v>11.25</v>
      </c>
      <c r="H11">
        <v>7.01</v>
      </c>
      <c r="I11">
        <v>6.9710000000000001</v>
      </c>
      <c r="J11" s="111">
        <v>1.5880000000000001E-6</v>
      </c>
      <c r="K11">
        <v>2.109</v>
      </c>
      <c r="L11" s="111">
        <v>2.8770000000000002E-6</v>
      </c>
      <c r="M11" s="118"/>
      <c r="N11" s="118"/>
      <c r="O11" t="s">
        <v>3276</v>
      </c>
      <c r="P11">
        <v>13.78</v>
      </c>
      <c r="Q11">
        <v>3.681</v>
      </c>
      <c r="R11">
        <v>1.3169999999999999</v>
      </c>
      <c r="S11">
        <v>13.66</v>
      </c>
      <c r="T11">
        <v>13.22</v>
      </c>
      <c r="U11">
        <v>11.25</v>
      </c>
      <c r="V11">
        <v>7.01</v>
      </c>
      <c r="W11">
        <v>6.9710000000000001</v>
      </c>
      <c r="X11" s="111">
        <v>1.5880000000000001E-6</v>
      </c>
      <c r="Y11">
        <v>2.109</v>
      </c>
      <c r="Z11" s="111">
        <v>2.8770000000000002E-6</v>
      </c>
      <c r="AA11" s="111"/>
      <c r="AB11" s="111"/>
      <c r="AC11" s="111"/>
      <c r="AD11" s="111"/>
      <c r="AE11" s="111"/>
      <c r="AF11" s="111"/>
      <c r="AG11" s="111"/>
      <c r="AH11" s="111"/>
      <c r="AI11" s="111"/>
      <c r="AJ11" s="111"/>
      <c r="AK11" s="111"/>
      <c r="AL11" s="111"/>
      <c r="AN11" s="111"/>
      <c r="AO11" s="111"/>
    </row>
    <row r="12" spans="1:99" x14ac:dyDescent="0.55000000000000004">
      <c r="A12" t="s">
        <v>3277</v>
      </c>
      <c r="B12">
        <v>6.7960000000000003</v>
      </c>
      <c r="C12">
        <v>1.9830000000000001</v>
      </c>
      <c r="D12">
        <v>0.83709999999999996</v>
      </c>
      <c r="E12">
        <v>6.7670000000000003</v>
      </c>
      <c r="F12">
        <v>6.5039999999999996</v>
      </c>
      <c r="G12">
        <v>5.72</v>
      </c>
      <c r="H12">
        <v>3.6259999999999999</v>
      </c>
      <c r="I12">
        <v>3.6669999999999998</v>
      </c>
      <c r="J12" t="s">
        <v>3871</v>
      </c>
      <c r="K12">
        <v>0.51200000000000001</v>
      </c>
      <c r="L12" s="111">
        <v>3.784E-7</v>
      </c>
      <c r="M12" s="118"/>
      <c r="N12" s="118"/>
      <c r="O12" t="s">
        <v>3277</v>
      </c>
      <c r="P12">
        <v>6.7960000000000003</v>
      </c>
      <c r="Q12">
        <v>1.9830000000000001</v>
      </c>
      <c r="R12">
        <v>0.83709999999999996</v>
      </c>
      <c r="S12">
        <v>6.7670000000000003</v>
      </c>
      <c r="T12">
        <v>6.5039999999999996</v>
      </c>
      <c r="U12">
        <v>5.72</v>
      </c>
      <c r="V12">
        <v>3.6259999999999999</v>
      </c>
      <c r="W12">
        <v>3.6669999999999998</v>
      </c>
      <c r="X12" t="s">
        <v>3871</v>
      </c>
      <c r="Y12">
        <v>0.51200000000000001</v>
      </c>
      <c r="Z12" s="111">
        <v>3.784E-7</v>
      </c>
      <c r="AA12" s="111"/>
      <c r="AB12" s="111"/>
      <c r="AC12" s="111"/>
      <c r="AD12" s="111"/>
      <c r="AE12" s="111"/>
      <c r="AF12" s="111"/>
      <c r="AG12" s="111"/>
      <c r="AH12" s="111"/>
      <c r="AI12" s="111"/>
      <c r="AJ12" s="111"/>
      <c r="AK12" s="111"/>
      <c r="AL12" s="111"/>
      <c r="AN12" s="111"/>
      <c r="AO12" s="111"/>
    </row>
    <row r="13" spans="1:99" x14ac:dyDescent="0.55000000000000004">
      <c r="A13" t="s">
        <v>3278</v>
      </c>
      <c r="B13">
        <v>18.7</v>
      </c>
      <c r="C13">
        <v>4.5140000000000002</v>
      </c>
      <c r="D13">
        <v>1.83</v>
      </c>
      <c r="E13">
        <v>18.5</v>
      </c>
      <c r="F13">
        <v>17.68</v>
      </c>
      <c r="G13">
        <v>15.11</v>
      </c>
      <c r="H13">
        <v>9.44</v>
      </c>
      <c r="I13">
        <v>9.3940000000000001</v>
      </c>
      <c r="J13" s="111">
        <v>3.8160000000000004E-6</v>
      </c>
      <c r="K13">
        <v>1.125</v>
      </c>
      <c r="L13" s="111">
        <v>5.4450000000000004E-6</v>
      </c>
      <c r="O13" t="s">
        <v>3278</v>
      </c>
      <c r="P13">
        <v>18.7</v>
      </c>
      <c r="Q13">
        <v>4.5140000000000002</v>
      </c>
      <c r="R13">
        <v>1.83</v>
      </c>
      <c r="S13">
        <v>18.5</v>
      </c>
      <c r="T13">
        <v>17.68</v>
      </c>
      <c r="U13">
        <v>15.11</v>
      </c>
      <c r="V13">
        <v>9.44</v>
      </c>
      <c r="W13">
        <v>9.3940000000000001</v>
      </c>
      <c r="X13" s="111">
        <v>3.8160000000000004E-6</v>
      </c>
      <c r="Y13">
        <v>1.125</v>
      </c>
      <c r="Z13" s="111">
        <v>5.4450000000000004E-6</v>
      </c>
      <c r="AA13" s="111"/>
      <c r="AB13" s="111"/>
      <c r="AC13" s="111"/>
      <c r="AD13" s="111"/>
      <c r="AE13" s="111"/>
      <c r="AF13" s="111"/>
      <c r="AG13" s="111"/>
      <c r="AH13" s="111"/>
      <c r="AI13" s="111"/>
      <c r="AJ13" s="111"/>
      <c r="AK13" s="111"/>
      <c r="AL13" s="111"/>
      <c r="AN13" s="111"/>
      <c r="AO13" s="111"/>
    </row>
    <row r="14" spans="1:99" x14ac:dyDescent="0.55000000000000004">
      <c r="A14" t="s">
        <v>3279</v>
      </c>
      <c r="B14">
        <v>6.8659999999999997</v>
      </c>
      <c r="C14">
        <v>2.1019999999999999</v>
      </c>
      <c r="D14">
        <v>0.75149999999999995</v>
      </c>
      <c r="E14">
        <v>6.8120000000000003</v>
      </c>
      <c r="F14">
        <v>6.4820000000000002</v>
      </c>
      <c r="G14">
        <v>5.6760000000000002</v>
      </c>
      <c r="H14">
        <v>3.5750000000000002</v>
      </c>
      <c r="I14">
        <v>3.5609999999999999</v>
      </c>
      <c r="J14" t="s">
        <v>3871</v>
      </c>
      <c r="K14">
        <v>0.2369</v>
      </c>
      <c r="L14" s="111">
        <v>4.6149999999999997E-11</v>
      </c>
      <c r="M14" s="118"/>
      <c r="N14" s="118"/>
      <c r="O14" t="s">
        <v>3279</v>
      </c>
      <c r="P14">
        <v>6.8659999999999997</v>
      </c>
      <c r="Q14">
        <v>2.1019999999999999</v>
      </c>
      <c r="R14">
        <v>0.75149999999999995</v>
      </c>
      <c r="S14">
        <v>6.8120000000000003</v>
      </c>
      <c r="T14">
        <v>6.4820000000000002</v>
      </c>
      <c r="U14">
        <v>5.6760000000000002</v>
      </c>
      <c r="V14">
        <v>3.5750000000000002</v>
      </c>
      <c r="W14">
        <v>3.5609999999999999</v>
      </c>
      <c r="X14" t="s">
        <v>3871</v>
      </c>
      <c r="Y14">
        <v>0.2369</v>
      </c>
      <c r="Z14" s="111">
        <v>4.6149999999999997E-11</v>
      </c>
      <c r="AA14" s="111"/>
      <c r="AB14" s="111"/>
      <c r="AC14" s="111"/>
      <c r="AD14" s="111"/>
      <c r="AE14" s="111"/>
      <c r="AF14" s="111"/>
      <c r="AG14" s="111"/>
      <c r="AH14" s="111"/>
      <c r="AI14" s="111"/>
      <c r="AJ14" s="111"/>
      <c r="AK14" s="111"/>
      <c r="AL14" s="111"/>
      <c r="AN14" s="111"/>
      <c r="AO14" s="111"/>
    </row>
    <row r="15" spans="1:99" x14ac:dyDescent="0.55000000000000004">
      <c r="A15" t="s">
        <v>3280</v>
      </c>
      <c r="B15">
        <v>9.3369999999999997</v>
      </c>
      <c r="C15">
        <v>2.4239999999999999</v>
      </c>
      <c r="D15">
        <v>0.8901</v>
      </c>
      <c r="E15">
        <v>9.2279999999999998</v>
      </c>
      <c r="F15">
        <v>8.7370000000000001</v>
      </c>
      <c r="G15">
        <v>7.452</v>
      </c>
      <c r="H15">
        <v>4.6920000000000002</v>
      </c>
      <c r="I15">
        <v>4.6669999999999998</v>
      </c>
      <c r="J15" t="s">
        <v>3871</v>
      </c>
      <c r="K15">
        <v>0.3861</v>
      </c>
      <c r="L15" s="111">
        <v>2.7660000000000001E-8</v>
      </c>
      <c r="O15" t="s">
        <v>3280</v>
      </c>
      <c r="P15">
        <v>9.3369999999999997</v>
      </c>
      <c r="Q15">
        <v>2.4239999999999999</v>
      </c>
      <c r="R15">
        <v>0.8901</v>
      </c>
      <c r="S15">
        <v>9.2279999999999998</v>
      </c>
      <c r="T15">
        <v>8.7370000000000001</v>
      </c>
      <c r="U15">
        <v>7.452</v>
      </c>
      <c r="V15">
        <v>4.6920000000000002</v>
      </c>
      <c r="W15">
        <v>4.6669999999999998</v>
      </c>
      <c r="X15" t="s">
        <v>3871</v>
      </c>
      <c r="Y15">
        <v>0.3861</v>
      </c>
      <c r="Z15" s="111">
        <v>2.7660000000000001E-8</v>
      </c>
      <c r="AA15" s="111"/>
      <c r="AB15" s="111"/>
      <c r="AC15" s="111"/>
      <c r="AD15" s="111"/>
      <c r="AE15" s="111"/>
      <c r="AF15" s="111"/>
      <c r="AG15" s="111"/>
      <c r="AH15" s="111"/>
      <c r="AI15" s="111"/>
      <c r="AJ15" s="111"/>
      <c r="AK15" s="111"/>
      <c r="AL15" s="111"/>
      <c r="AN15" s="111"/>
      <c r="AO15" s="111"/>
    </row>
    <row r="16" spans="1:99" x14ac:dyDescent="0.55000000000000004">
      <c r="A16" t="s">
        <v>3281</v>
      </c>
      <c r="B16">
        <v>5.976</v>
      </c>
      <c r="C16">
        <v>1.748</v>
      </c>
      <c r="D16">
        <v>0.53080000000000005</v>
      </c>
      <c r="E16">
        <v>5.9189999999999996</v>
      </c>
      <c r="F16">
        <v>5.6180000000000003</v>
      </c>
      <c r="G16">
        <v>4.7949999999999999</v>
      </c>
      <c r="H16">
        <v>3.1589999999999998</v>
      </c>
      <c r="I16">
        <v>3.1850000000000001</v>
      </c>
      <c r="J16" t="s">
        <v>3871</v>
      </c>
      <c r="K16" s="111">
        <v>4.4940000000000001E-2</v>
      </c>
      <c r="L16" s="111">
        <v>6.0209999999999996E-21</v>
      </c>
      <c r="O16" t="s">
        <v>3281</v>
      </c>
      <c r="P16">
        <v>5.976</v>
      </c>
      <c r="Q16">
        <v>1.748</v>
      </c>
      <c r="R16">
        <v>0.53080000000000005</v>
      </c>
      <c r="S16">
        <v>5.9189999999999996</v>
      </c>
      <c r="T16">
        <v>5.6180000000000003</v>
      </c>
      <c r="U16">
        <v>4.7949999999999999</v>
      </c>
      <c r="V16">
        <v>3.1589999999999998</v>
      </c>
      <c r="W16">
        <v>3.1850000000000001</v>
      </c>
      <c r="X16" t="s">
        <v>3871</v>
      </c>
      <c r="Y16" s="111">
        <v>4.4940000000000001E-2</v>
      </c>
      <c r="Z16" s="111">
        <v>6.0209999999999996E-21</v>
      </c>
      <c r="AA16" s="111"/>
      <c r="AB16" s="111"/>
      <c r="AC16" s="111"/>
      <c r="AD16" s="111"/>
      <c r="AE16" s="111"/>
      <c r="AF16" s="111"/>
      <c r="AG16" s="111"/>
      <c r="AH16" s="111"/>
      <c r="AI16" s="111"/>
      <c r="AJ16" s="111"/>
      <c r="AK16" s="111"/>
      <c r="AL16" s="111"/>
      <c r="AN16" s="111"/>
      <c r="AO16" s="111"/>
    </row>
    <row r="17" spans="1:41" x14ac:dyDescent="0.55000000000000004">
      <c r="A17" t="s">
        <v>3282</v>
      </c>
      <c r="B17">
        <v>5.0460000000000003</v>
      </c>
      <c r="C17">
        <v>1.1639999999999999</v>
      </c>
      <c r="D17">
        <v>0.3795</v>
      </c>
      <c r="E17">
        <v>4.9930000000000003</v>
      </c>
      <c r="F17">
        <v>4.7709999999999999</v>
      </c>
      <c r="G17">
        <v>4.01</v>
      </c>
      <c r="H17">
        <v>2.38</v>
      </c>
      <c r="I17">
        <v>2.3660000000000001</v>
      </c>
      <c r="J17" t="s">
        <v>3871</v>
      </c>
      <c r="K17" s="111">
        <v>4.9430000000000003E-3</v>
      </c>
      <c r="L17" s="111">
        <v>7.7330000000000002E-30</v>
      </c>
      <c r="M17" s="118"/>
      <c r="N17" s="118"/>
      <c r="O17" t="s">
        <v>3282</v>
      </c>
      <c r="P17">
        <v>5.0460000000000003</v>
      </c>
      <c r="Q17">
        <v>1.1639999999999999</v>
      </c>
      <c r="R17">
        <v>0.3795</v>
      </c>
      <c r="S17">
        <v>4.9930000000000003</v>
      </c>
      <c r="T17">
        <v>4.7709999999999999</v>
      </c>
      <c r="U17">
        <v>4.01</v>
      </c>
      <c r="V17">
        <v>2.38</v>
      </c>
      <c r="W17">
        <v>2.3660000000000001</v>
      </c>
      <c r="X17" t="s">
        <v>3871</v>
      </c>
      <c r="Y17" s="111">
        <v>4.9430000000000003E-3</v>
      </c>
      <c r="Z17" s="111">
        <v>7.7330000000000002E-30</v>
      </c>
      <c r="AA17" s="111"/>
      <c r="AB17" s="111"/>
      <c r="AC17" s="111"/>
      <c r="AD17" s="111"/>
      <c r="AE17" s="111"/>
      <c r="AF17" s="111"/>
      <c r="AG17" s="111"/>
      <c r="AH17" s="111"/>
      <c r="AI17" s="111"/>
      <c r="AJ17" s="111"/>
      <c r="AK17" s="111"/>
      <c r="AL17" s="111"/>
      <c r="AN17" s="111"/>
      <c r="AO17" s="111"/>
    </row>
    <row r="18" spans="1:41" x14ac:dyDescent="0.55000000000000004">
      <c r="A18" t="s">
        <v>3283</v>
      </c>
      <c r="B18">
        <v>7.0119999999999996</v>
      </c>
      <c r="C18">
        <v>1.429</v>
      </c>
      <c r="D18">
        <v>0.5272</v>
      </c>
      <c r="E18">
        <v>6.9130000000000003</v>
      </c>
      <c r="F18">
        <v>6.3970000000000002</v>
      </c>
      <c r="G18">
        <v>5.3090000000000002</v>
      </c>
      <c r="H18">
        <v>3.1190000000000002</v>
      </c>
      <c r="I18">
        <v>3.1019999999999999</v>
      </c>
      <c r="J18" t="s">
        <v>3871</v>
      </c>
      <c r="K18">
        <v>0.3569</v>
      </c>
      <c r="L18" s="111">
        <v>2.1159999999999999E-8</v>
      </c>
      <c r="O18" t="s">
        <v>3283</v>
      </c>
      <c r="P18">
        <v>7.0119999999999996</v>
      </c>
      <c r="Q18">
        <v>1.429</v>
      </c>
      <c r="R18">
        <v>0.5272</v>
      </c>
      <c r="S18">
        <v>6.9130000000000003</v>
      </c>
      <c r="T18">
        <v>6.3970000000000002</v>
      </c>
      <c r="U18">
        <v>5.3090000000000002</v>
      </c>
      <c r="V18">
        <v>3.1190000000000002</v>
      </c>
      <c r="W18">
        <v>3.1019999999999999</v>
      </c>
      <c r="X18" t="s">
        <v>3871</v>
      </c>
      <c r="Y18">
        <v>0.3569</v>
      </c>
      <c r="Z18" s="111">
        <v>2.1159999999999999E-8</v>
      </c>
      <c r="AA18" s="111"/>
      <c r="AB18" s="111"/>
      <c r="AC18" s="111"/>
      <c r="AD18" s="111"/>
      <c r="AE18" s="111"/>
      <c r="AF18" s="111"/>
      <c r="AG18" s="111"/>
      <c r="AH18" s="111"/>
      <c r="AI18" s="111"/>
      <c r="AJ18" s="111"/>
      <c r="AK18" s="111"/>
      <c r="AL18" s="111"/>
      <c r="AN18" s="111"/>
      <c r="AO18" s="111"/>
    </row>
    <row r="19" spans="1:41" x14ac:dyDescent="0.55000000000000004">
      <c r="A19" t="s">
        <v>3284</v>
      </c>
      <c r="B19">
        <v>0.25330000000000003</v>
      </c>
      <c r="C19" s="111">
        <v>7.6230000000000006E-2</v>
      </c>
      <c r="D19" s="111">
        <v>3.8620000000000002E-2</v>
      </c>
      <c r="E19">
        <v>0.2472</v>
      </c>
      <c r="F19">
        <v>0.2316</v>
      </c>
      <c r="G19">
        <v>0.24340000000000001</v>
      </c>
      <c r="H19">
        <v>0.2195</v>
      </c>
      <c r="I19">
        <v>0.23169999999999999</v>
      </c>
      <c r="J19" t="s">
        <v>3871</v>
      </c>
      <c r="K19" s="111">
        <v>7.1529999999999996E-3</v>
      </c>
      <c r="L19" s="111">
        <v>4.1510000000000001E-38</v>
      </c>
      <c r="M19" s="118"/>
      <c r="N19" s="118"/>
      <c r="O19" t="s">
        <v>3284</v>
      </c>
      <c r="P19">
        <v>0.25330000000000003</v>
      </c>
      <c r="Q19" s="111">
        <v>7.6230000000000006E-2</v>
      </c>
      <c r="R19" s="111">
        <v>3.8620000000000002E-2</v>
      </c>
      <c r="S19">
        <v>0.2472</v>
      </c>
      <c r="T19">
        <v>0.2316</v>
      </c>
      <c r="U19">
        <v>0.24340000000000001</v>
      </c>
      <c r="V19">
        <v>0.2195</v>
      </c>
      <c r="W19">
        <v>0.23169999999999999</v>
      </c>
      <c r="X19" t="s">
        <v>3871</v>
      </c>
      <c r="Y19" s="111">
        <v>7.1529999999999996E-3</v>
      </c>
      <c r="Z19" s="111">
        <v>4.1510000000000001E-38</v>
      </c>
      <c r="AA19" s="111"/>
      <c r="AB19" s="111"/>
      <c r="AC19" s="111"/>
      <c r="AD19" s="111"/>
      <c r="AE19" s="111"/>
      <c r="AF19" s="111"/>
      <c r="AG19" s="111"/>
      <c r="AH19" s="111"/>
      <c r="AI19" s="111"/>
      <c r="AJ19" s="111"/>
      <c r="AK19" s="111"/>
      <c r="AL19" s="111"/>
      <c r="AN19" s="111"/>
      <c r="AO19" s="111"/>
    </row>
    <row r="20" spans="1:41" x14ac:dyDescent="0.55000000000000004">
      <c r="A20" t="s">
        <v>3285</v>
      </c>
      <c r="B20">
        <v>2.5019999999999998</v>
      </c>
      <c r="C20">
        <v>0.97070000000000001</v>
      </c>
      <c r="D20">
        <v>0.2878</v>
      </c>
      <c r="E20">
        <v>2.492</v>
      </c>
      <c r="F20">
        <v>2.3969999999999998</v>
      </c>
      <c r="G20">
        <v>2.1419999999999999</v>
      </c>
      <c r="H20">
        <v>1.8620000000000001</v>
      </c>
      <c r="I20">
        <v>1.861</v>
      </c>
      <c r="J20" t="s">
        <v>3871</v>
      </c>
      <c r="K20" s="111">
        <v>1.01E-2</v>
      </c>
      <c r="L20" s="111">
        <v>6.3340000000000006E-33</v>
      </c>
      <c r="M20" s="118"/>
      <c r="N20" s="118"/>
      <c r="O20" t="s">
        <v>3285</v>
      </c>
      <c r="P20">
        <v>2.5019999999999998</v>
      </c>
      <c r="Q20">
        <v>0.97070000000000001</v>
      </c>
      <c r="R20">
        <v>0.2878</v>
      </c>
      <c r="S20">
        <v>2.492</v>
      </c>
      <c r="T20">
        <v>2.3969999999999998</v>
      </c>
      <c r="U20">
        <v>2.1419999999999999</v>
      </c>
      <c r="V20">
        <v>1.8620000000000001</v>
      </c>
      <c r="W20">
        <v>1.861</v>
      </c>
      <c r="X20" t="s">
        <v>3871</v>
      </c>
      <c r="Y20" s="111">
        <v>1.01E-2</v>
      </c>
      <c r="Z20" s="111">
        <v>6.3340000000000006E-33</v>
      </c>
      <c r="AA20" s="111"/>
      <c r="AB20" s="111"/>
      <c r="AC20" s="111"/>
      <c r="AD20" s="111"/>
      <c r="AE20" s="111"/>
      <c r="AF20" s="111"/>
      <c r="AG20" s="111"/>
      <c r="AH20" s="111"/>
      <c r="AI20" s="111"/>
      <c r="AJ20" s="111"/>
      <c r="AK20" s="111"/>
      <c r="AL20" s="111"/>
      <c r="AN20" s="111"/>
      <c r="AO20" s="111"/>
    </row>
    <row r="21" spans="1:41" x14ac:dyDescent="0.55000000000000004">
      <c r="A21" t="s">
        <v>3286</v>
      </c>
      <c r="B21" s="111">
        <v>9.7519999999999996E-2</v>
      </c>
      <c r="C21" s="111">
        <v>3.2300000000000002E-2</v>
      </c>
      <c r="D21" s="111">
        <v>1.4109999999999999E-2</v>
      </c>
      <c r="E21" s="111">
        <v>9.8220000000000002E-2</v>
      </c>
      <c r="F21">
        <v>0.10100000000000001</v>
      </c>
      <c r="G21">
        <v>0.1135</v>
      </c>
      <c r="H21">
        <v>0.1091</v>
      </c>
      <c r="I21">
        <v>0.1159</v>
      </c>
      <c r="J21" t="s">
        <v>3871</v>
      </c>
      <c r="K21" s="111">
        <v>1.072E-3</v>
      </c>
      <c r="L21" s="111">
        <v>3.3710000000000001E-81</v>
      </c>
      <c r="O21" t="s">
        <v>3286</v>
      </c>
      <c r="P21" s="111">
        <v>9.7519999999999996E-2</v>
      </c>
      <c r="Q21" s="111">
        <v>3.2300000000000002E-2</v>
      </c>
      <c r="R21" s="111">
        <v>1.4109999999999999E-2</v>
      </c>
      <c r="S21" s="111">
        <v>9.8220000000000002E-2</v>
      </c>
      <c r="T21">
        <v>0.10100000000000001</v>
      </c>
      <c r="U21">
        <v>0.1135</v>
      </c>
      <c r="V21">
        <v>0.1091</v>
      </c>
      <c r="W21">
        <v>0.1159</v>
      </c>
      <c r="X21" t="s">
        <v>3871</v>
      </c>
      <c r="Y21" s="111">
        <v>1.072E-3</v>
      </c>
      <c r="Z21" s="111">
        <v>3.3710000000000001E-81</v>
      </c>
      <c r="AA21" s="111"/>
      <c r="AB21" s="111"/>
      <c r="AC21" s="111"/>
      <c r="AD21" s="111"/>
      <c r="AE21" s="111"/>
      <c r="AF21" s="111"/>
      <c r="AG21" s="111"/>
      <c r="AH21" s="111"/>
      <c r="AI21" s="111"/>
      <c r="AJ21" s="111"/>
      <c r="AK21" s="111"/>
      <c r="AL21" s="111"/>
      <c r="AN21" s="111"/>
      <c r="AO21" s="111"/>
    </row>
    <row r="22" spans="1:41" x14ac:dyDescent="0.55000000000000004">
      <c r="A22" t="s">
        <v>3287</v>
      </c>
      <c r="B22">
        <v>9.2639999999999993</v>
      </c>
      <c r="C22">
        <v>3.121</v>
      </c>
      <c r="D22">
        <v>0.99880000000000002</v>
      </c>
      <c r="E22">
        <v>9.2219999999999995</v>
      </c>
      <c r="F22">
        <v>8.9250000000000007</v>
      </c>
      <c r="G22">
        <v>8.1319999999999997</v>
      </c>
      <c r="H22">
        <v>5.3680000000000003</v>
      </c>
      <c r="I22">
        <v>5.3460000000000001</v>
      </c>
      <c r="J22" t="s">
        <v>3871</v>
      </c>
      <c r="K22" s="111">
        <v>8.7120000000000003E-2</v>
      </c>
      <c r="L22" s="111">
        <v>4.8170000000000001E-19</v>
      </c>
      <c r="M22" s="118"/>
      <c r="N22" s="118"/>
      <c r="O22" t="s">
        <v>3287</v>
      </c>
      <c r="P22">
        <v>9.2639999999999993</v>
      </c>
      <c r="Q22">
        <v>3.121</v>
      </c>
      <c r="R22">
        <v>0.99880000000000002</v>
      </c>
      <c r="S22">
        <v>9.2219999999999995</v>
      </c>
      <c r="T22">
        <v>8.9250000000000007</v>
      </c>
      <c r="U22">
        <v>8.1319999999999997</v>
      </c>
      <c r="V22">
        <v>5.3680000000000003</v>
      </c>
      <c r="W22">
        <v>5.3460000000000001</v>
      </c>
      <c r="X22" t="s">
        <v>3871</v>
      </c>
      <c r="Y22" s="111">
        <v>8.7120000000000003E-2</v>
      </c>
      <c r="Z22" s="111">
        <v>4.8170000000000001E-19</v>
      </c>
      <c r="AA22" s="111"/>
      <c r="AB22" s="111"/>
      <c r="AC22" s="111"/>
      <c r="AD22" s="111"/>
      <c r="AE22" s="111"/>
      <c r="AF22" s="111"/>
      <c r="AG22" s="111"/>
      <c r="AH22" s="111"/>
      <c r="AI22" s="111"/>
      <c r="AJ22" s="111"/>
      <c r="AK22" s="111"/>
      <c r="AL22" s="111"/>
      <c r="AN22" s="111"/>
      <c r="AO22" s="111"/>
    </row>
    <row r="23" spans="1:41" x14ac:dyDescent="0.55000000000000004">
      <c r="A23" t="s">
        <v>3288</v>
      </c>
      <c r="B23">
        <v>0.3009</v>
      </c>
      <c r="C23">
        <v>0.1198</v>
      </c>
      <c r="D23" s="111">
        <v>4.0340000000000001E-2</v>
      </c>
      <c r="E23">
        <v>0.29799999999999999</v>
      </c>
      <c r="F23">
        <v>0.28220000000000001</v>
      </c>
      <c r="G23">
        <v>0.25169999999999998</v>
      </c>
      <c r="H23">
        <v>0.24399999999999999</v>
      </c>
      <c r="I23">
        <v>0.24840000000000001</v>
      </c>
      <c r="J23" t="s">
        <v>3871</v>
      </c>
      <c r="K23" s="111">
        <v>5.4149999999999997E-3</v>
      </c>
      <c r="L23" s="111">
        <v>1.475E-38</v>
      </c>
      <c r="O23" t="s">
        <v>3288</v>
      </c>
      <c r="P23">
        <v>0.3009</v>
      </c>
      <c r="Q23">
        <v>0.1198</v>
      </c>
      <c r="R23" s="111">
        <v>4.0340000000000001E-2</v>
      </c>
      <c r="S23">
        <v>0.29799999999999999</v>
      </c>
      <c r="T23">
        <v>0.28220000000000001</v>
      </c>
      <c r="U23">
        <v>0.25169999999999998</v>
      </c>
      <c r="V23">
        <v>0.24399999999999999</v>
      </c>
      <c r="W23">
        <v>0.24840000000000001</v>
      </c>
      <c r="X23" t="s">
        <v>3871</v>
      </c>
      <c r="Y23" s="111">
        <v>5.4149999999999997E-3</v>
      </c>
      <c r="Z23" s="111">
        <v>1.475E-38</v>
      </c>
      <c r="AA23" s="111"/>
      <c r="AB23" s="111"/>
      <c r="AC23" s="111"/>
      <c r="AD23" s="111"/>
      <c r="AE23" s="111"/>
      <c r="AF23" s="111"/>
      <c r="AG23" s="111"/>
      <c r="AH23" s="111"/>
      <c r="AI23" s="111"/>
      <c r="AJ23" s="111"/>
      <c r="AK23" s="111"/>
      <c r="AL23" s="111"/>
      <c r="AN23" s="111"/>
      <c r="AO23" s="111"/>
    </row>
    <row r="24" spans="1:41" x14ac:dyDescent="0.55000000000000004">
      <c r="A24" t="s">
        <v>3289</v>
      </c>
      <c r="B24" s="111">
        <v>8.0199999999999998E-5</v>
      </c>
      <c r="C24" s="111">
        <v>2.0950000000000001E-5</v>
      </c>
      <c r="D24" s="111">
        <v>1.465E-5</v>
      </c>
      <c r="E24" s="111">
        <v>7.8839999999999997E-5</v>
      </c>
      <c r="F24" s="111">
        <v>7.3159999999999997E-5</v>
      </c>
      <c r="G24" s="111">
        <v>5.7840000000000002E-5</v>
      </c>
      <c r="H24" s="111">
        <v>3.5639999999999998E-5</v>
      </c>
      <c r="I24" s="111">
        <v>3.6789999999999998E-5</v>
      </c>
      <c r="J24" t="s">
        <v>3871</v>
      </c>
      <c r="K24" s="111">
        <v>5.8050000000000003E-3</v>
      </c>
      <c r="L24" s="111">
        <v>4.3469999999999998E-42</v>
      </c>
      <c r="O24" t="s">
        <v>3289</v>
      </c>
      <c r="P24" s="111">
        <v>8.0199999999999998E-5</v>
      </c>
      <c r="Q24" s="111">
        <v>2.0950000000000001E-5</v>
      </c>
      <c r="R24" s="111">
        <v>1.465E-5</v>
      </c>
      <c r="S24" s="111">
        <v>7.8839999999999997E-5</v>
      </c>
      <c r="T24" s="111">
        <v>7.3159999999999997E-5</v>
      </c>
      <c r="U24" s="111">
        <v>5.7840000000000002E-5</v>
      </c>
      <c r="V24" s="111">
        <v>3.5639999999999998E-5</v>
      </c>
      <c r="W24" s="111">
        <v>3.6789999999999998E-5</v>
      </c>
      <c r="X24" t="s">
        <v>3871</v>
      </c>
      <c r="Y24" s="111">
        <v>5.8050000000000003E-3</v>
      </c>
      <c r="Z24" s="111">
        <v>4.3469999999999998E-42</v>
      </c>
      <c r="AA24" s="111"/>
      <c r="AB24" s="111"/>
      <c r="AC24" s="111"/>
      <c r="AD24" s="111"/>
      <c r="AE24" s="111"/>
      <c r="AF24" s="111"/>
      <c r="AG24" s="111"/>
      <c r="AH24" s="111"/>
      <c r="AI24" s="111"/>
      <c r="AJ24" s="111"/>
      <c r="AK24" s="111"/>
      <c r="AL24" s="111"/>
      <c r="AN24" s="111"/>
      <c r="AO24" s="111"/>
    </row>
    <row r="25" spans="1:41" x14ac:dyDescent="0.55000000000000004">
      <c r="A25" t="s">
        <v>3329</v>
      </c>
      <c r="B25">
        <v>19.059999999999999</v>
      </c>
      <c r="C25">
        <v>6.23</v>
      </c>
      <c r="D25">
        <v>3.3370000000000002</v>
      </c>
      <c r="E25">
        <v>18.899999999999999</v>
      </c>
      <c r="F25">
        <v>17.989999999999998</v>
      </c>
      <c r="G25">
        <v>15.52</v>
      </c>
      <c r="H25">
        <v>10.119999999999999</v>
      </c>
      <c r="I25">
        <v>10.08</v>
      </c>
      <c r="J25" t="s">
        <v>3871</v>
      </c>
      <c r="K25">
        <v>0.59119999999999995</v>
      </c>
      <c r="L25" s="111">
        <v>1.164E-7</v>
      </c>
      <c r="O25" t="s">
        <v>3290</v>
      </c>
      <c r="P25">
        <v>17.13</v>
      </c>
      <c r="Q25">
        <v>5.5190000000000001</v>
      </c>
      <c r="R25">
        <v>2.6160000000000001</v>
      </c>
      <c r="S25">
        <v>16.98</v>
      </c>
      <c r="T25">
        <v>16.11</v>
      </c>
      <c r="U25">
        <v>13.9</v>
      </c>
      <c r="V25">
        <v>9.0259999999999998</v>
      </c>
      <c r="W25">
        <v>8.9879999999999995</v>
      </c>
      <c r="X25" t="s">
        <v>3871</v>
      </c>
      <c r="Y25">
        <v>0.59119999999999995</v>
      </c>
      <c r="Z25" s="111">
        <v>1.168E-7</v>
      </c>
      <c r="AA25" s="111"/>
      <c r="AB25" s="111"/>
      <c r="AC25" s="111"/>
      <c r="AD25" s="111"/>
      <c r="AE25" s="111"/>
      <c r="AF25" s="111"/>
      <c r="AG25" s="111"/>
      <c r="AH25" s="111"/>
      <c r="AI25" s="111"/>
      <c r="AJ25" s="111"/>
      <c r="AK25" s="111"/>
      <c r="AL25" s="111"/>
      <c r="AN25" s="111"/>
      <c r="AO25" s="111"/>
    </row>
    <row r="26" spans="1:41" x14ac:dyDescent="0.55000000000000004">
      <c r="A26" t="s">
        <v>3330</v>
      </c>
      <c r="B26">
        <v>10.74</v>
      </c>
      <c r="C26">
        <v>3.823</v>
      </c>
      <c r="D26">
        <v>1.86</v>
      </c>
      <c r="E26">
        <v>10.65</v>
      </c>
      <c r="F26">
        <v>10.07</v>
      </c>
      <c r="G26">
        <v>8.7959999999999994</v>
      </c>
      <c r="H26">
        <v>6.4160000000000004</v>
      </c>
      <c r="I26">
        <v>6.44</v>
      </c>
      <c r="J26" s="111">
        <v>4.3579999999999996E-6</v>
      </c>
      <c r="K26">
        <v>1.329</v>
      </c>
      <c r="L26" s="111">
        <v>4.6480000000000002E-6</v>
      </c>
      <c r="M26" s="118"/>
      <c r="N26" s="118"/>
      <c r="O26" t="s">
        <v>3291</v>
      </c>
      <c r="P26">
        <v>8.7149999999999999</v>
      </c>
      <c r="Q26">
        <v>3.15</v>
      </c>
      <c r="R26">
        <v>1.179</v>
      </c>
      <c r="S26">
        <v>8.641</v>
      </c>
      <c r="T26">
        <v>8.1720000000000006</v>
      </c>
      <c r="U26">
        <v>8.0679999999999996</v>
      </c>
      <c r="V26">
        <v>5.468</v>
      </c>
      <c r="W26">
        <v>5.4560000000000004</v>
      </c>
      <c r="X26" s="111">
        <v>4.3769999999999998E-6</v>
      </c>
      <c r="Y26">
        <v>1.329</v>
      </c>
      <c r="Z26" s="111">
        <v>4.6670000000000004E-6</v>
      </c>
      <c r="AA26" s="111"/>
      <c r="AB26" s="111"/>
      <c r="AC26" s="111"/>
      <c r="AD26" s="111"/>
      <c r="AE26" s="111"/>
      <c r="AF26" s="111"/>
      <c r="AG26" s="111"/>
      <c r="AH26" s="111"/>
      <c r="AI26" s="111"/>
      <c r="AJ26" s="111"/>
      <c r="AK26" s="111"/>
      <c r="AL26" s="111"/>
      <c r="AN26" s="111"/>
      <c r="AO26" s="111"/>
    </row>
    <row r="27" spans="1:41" x14ac:dyDescent="0.55000000000000004">
      <c r="A27" t="s">
        <v>3331</v>
      </c>
      <c r="B27">
        <v>10.029999999999999</v>
      </c>
      <c r="C27">
        <v>2.657</v>
      </c>
      <c r="D27">
        <v>1.262</v>
      </c>
      <c r="E27">
        <v>9.9290000000000003</v>
      </c>
      <c r="F27">
        <v>9.3849999999999998</v>
      </c>
      <c r="G27">
        <v>8.1530000000000005</v>
      </c>
      <c r="H27">
        <v>5.0670000000000002</v>
      </c>
      <c r="I27">
        <v>5.0449999999999999</v>
      </c>
      <c r="J27" s="111">
        <v>1.2109999999999999E-6</v>
      </c>
      <c r="K27">
        <v>1.212</v>
      </c>
      <c r="L27" s="111">
        <v>1.358E-6</v>
      </c>
      <c r="M27" s="118"/>
      <c r="N27" s="118"/>
      <c r="O27" t="s">
        <v>3292</v>
      </c>
      <c r="P27">
        <v>8.2309999999999999</v>
      </c>
      <c r="Q27">
        <v>2.1669999999999998</v>
      </c>
      <c r="R27">
        <v>0.75929999999999997</v>
      </c>
      <c r="S27">
        <v>8.1449999999999996</v>
      </c>
      <c r="T27">
        <v>7.7060000000000004</v>
      </c>
      <c r="U27">
        <v>6.7050000000000001</v>
      </c>
      <c r="V27">
        <v>4.1449999999999996</v>
      </c>
      <c r="W27">
        <v>4.1269999999999998</v>
      </c>
      <c r="X27" s="111">
        <v>1.2160000000000001E-6</v>
      </c>
      <c r="Y27">
        <v>1.212</v>
      </c>
      <c r="Z27" s="111">
        <v>1.3629999999999999E-6</v>
      </c>
      <c r="AA27" s="111"/>
      <c r="AB27" s="111"/>
      <c r="AC27" s="111"/>
      <c r="AD27" s="111"/>
      <c r="AE27" s="111"/>
      <c r="AF27" s="111"/>
      <c r="AG27" s="111"/>
      <c r="AH27" s="111"/>
      <c r="AI27" s="111"/>
      <c r="AJ27" s="111"/>
      <c r="AK27" s="111"/>
      <c r="AL27" s="111"/>
      <c r="AN27" s="111"/>
      <c r="AO27" s="111"/>
    </row>
    <row r="28" spans="1:41" x14ac:dyDescent="0.55000000000000004">
      <c r="A28" t="s">
        <v>3332</v>
      </c>
      <c r="B28">
        <v>11.41</v>
      </c>
      <c r="C28">
        <v>2.4129999999999998</v>
      </c>
      <c r="D28">
        <v>1.0860000000000001</v>
      </c>
      <c r="E28">
        <v>11.26</v>
      </c>
      <c r="F28">
        <v>10.45</v>
      </c>
      <c r="G28">
        <v>8.4949999999999992</v>
      </c>
      <c r="H28">
        <v>5.016</v>
      </c>
      <c r="I28">
        <v>4.9870000000000001</v>
      </c>
      <c r="J28" s="111">
        <v>1.0440000000000001E-6</v>
      </c>
      <c r="K28">
        <v>1.611</v>
      </c>
      <c r="L28" s="111">
        <v>1.9690000000000001E-6</v>
      </c>
      <c r="O28" t="s">
        <v>3293</v>
      </c>
      <c r="P28">
        <v>9.6560000000000006</v>
      </c>
      <c r="Q28">
        <v>2.036</v>
      </c>
      <c r="R28">
        <v>0.70399999999999996</v>
      </c>
      <c r="S28">
        <v>9.5489999999999995</v>
      </c>
      <c r="T28">
        <v>8.8889999999999993</v>
      </c>
      <c r="U28">
        <v>7.23</v>
      </c>
      <c r="V28">
        <v>4.2270000000000003</v>
      </c>
      <c r="W28">
        <v>4.2030000000000003</v>
      </c>
      <c r="X28" s="111">
        <v>1.049E-6</v>
      </c>
      <c r="Y28">
        <v>1.611</v>
      </c>
      <c r="Z28" s="111">
        <v>1.978E-6</v>
      </c>
      <c r="AA28" s="111"/>
      <c r="AB28" s="111"/>
      <c r="AC28" s="111"/>
      <c r="AD28" s="111"/>
      <c r="AE28" s="111"/>
      <c r="AF28" s="111"/>
      <c r="AG28" s="111"/>
      <c r="AH28" s="111"/>
      <c r="AI28" s="111"/>
      <c r="AJ28" s="111"/>
      <c r="AK28" s="111"/>
      <c r="AL28" s="111"/>
      <c r="AN28" s="111"/>
      <c r="AO28" s="111"/>
    </row>
    <row r="29" spans="1:41" x14ac:dyDescent="0.55000000000000004">
      <c r="A29" t="s">
        <v>3333</v>
      </c>
      <c r="B29">
        <v>20.18</v>
      </c>
      <c r="C29">
        <v>4.6689999999999996</v>
      </c>
      <c r="D29">
        <v>2.16</v>
      </c>
      <c r="E29">
        <v>19.89</v>
      </c>
      <c r="F29">
        <v>18.98</v>
      </c>
      <c r="G29">
        <v>16.05</v>
      </c>
      <c r="H29">
        <v>9.6660000000000004</v>
      </c>
      <c r="I29">
        <v>9.6150000000000002</v>
      </c>
      <c r="J29" s="111">
        <v>2.0760000000000001E-5</v>
      </c>
      <c r="K29">
        <v>2.0099999999999998</v>
      </c>
      <c r="L29" s="111">
        <v>3.9839999999999998E-5</v>
      </c>
      <c r="O29" t="s">
        <v>3294</v>
      </c>
      <c r="P29">
        <v>18.48</v>
      </c>
      <c r="Q29">
        <v>4.2649999999999997</v>
      </c>
      <c r="R29">
        <v>1.742</v>
      </c>
      <c r="S29">
        <v>18.22</v>
      </c>
      <c r="T29">
        <v>17.43</v>
      </c>
      <c r="U29">
        <v>14.75</v>
      </c>
      <c r="V29">
        <v>8.8550000000000004</v>
      </c>
      <c r="W29">
        <v>8.8079999999999998</v>
      </c>
      <c r="X29" s="111">
        <v>2.0849999999999999E-5</v>
      </c>
      <c r="Y29">
        <v>2.0099999999999998</v>
      </c>
      <c r="Z29" s="111">
        <v>4.0009999999999998E-5</v>
      </c>
      <c r="AA29" s="111"/>
      <c r="AB29" s="111"/>
      <c r="AC29" s="111"/>
      <c r="AD29" s="111"/>
      <c r="AE29" s="111"/>
      <c r="AF29" s="111"/>
      <c r="AG29" s="111"/>
      <c r="AH29" s="111"/>
      <c r="AI29" s="111"/>
      <c r="AJ29" s="111"/>
      <c r="AK29" s="111"/>
      <c r="AL29" s="111"/>
      <c r="AN29" s="111"/>
      <c r="AO29" s="111"/>
    </row>
    <row r="30" spans="1:41" x14ac:dyDescent="0.55000000000000004">
      <c r="A30" t="s">
        <v>3334</v>
      </c>
      <c r="B30">
        <v>17</v>
      </c>
      <c r="C30">
        <v>4.7610000000000001</v>
      </c>
      <c r="D30">
        <v>2.5009999999999999</v>
      </c>
      <c r="E30">
        <v>16.809999999999999</v>
      </c>
      <c r="F30">
        <v>16.02</v>
      </c>
      <c r="G30">
        <v>13.83</v>
      </c>
      <c r="H30">
        <v>8.6880000000000006</v>
      </c>
      <c r="I30">
        <v>8.6509999999999998</v>
      </c>
      <c r="J30" t="s">
        <v>3871</v>
      </c>
      <c r="K30">
        <v>0.46479999999999999</v>
      </c>
      <c r="L30" s="111">
        <v>1.1889999999999999E-9</v>
      </c>
      <c r="O30" t="s">
        <v>3295</v>
      </c>
      <c r="P30">
        <v>15.19</v>
      </c>
      <c r="Q30">
        <v>4.2519999999999998</v>
      </c>
      <c r="R30">
        <v>1.964</v>
      </c>
      <c r="S30">
        <v>15.07</v>
      </c>
      <c r="T30">
        <v>14.31</v>
      </c>
      <c r="U30">
        <v>12.36</v>
      </c>
      <c r="V30">
        <v>7.7549999999999999</v>
      </c>
      <c r="W30">
        <v>7.7220000000000004</v>
      </c>
      <c r="X30" t="s">
        <v>3871</v>
      </c>
      <c r="Y30">
        <v>0.46479999999999999</v>
      </c>
      <c r="Z30" s="111">
        <v>1.194E-9</v>
      </c>
      <c r="AA30" s="111"/>
      <c r="AB30" s="111"/>
      <c r="AC30" s="111"/>
      <c r="AD30" s="111"/>
      <c r="AE30" s="111"/>
      <c r="AF30" s="111"/>
      <c r="AG30" s="111"/>
      <c r="AH30" s="111"/>
      <c r="AI30" s="111"/>
      <c r="AJ30" s="111"/>
      <c r="AK30" s="111"/>
      <c r="AL30" s="111"/>
      <c r="AN30" s="111"/>
      <c r="AO30" s="111"/>
    </row>
    <row r="31" spans="1:41" x14ac:dyDescent="0.55000000000000004">
      <c r="A31" t="s">
        <v>3335</v>
      </c>
      <c r="B31">
        <v>7.99</v>
      </c>
      <c r="C31">
        <v>2.0369999999999999</v>
      </c>
      <c r="D31">
        <v>1.151</v>
      </c>
      <c r="E31">
        <v>7.8929999999999998</v>
      </c>
      <c r="F31">
        <v>7.3479999999999999</v>
      </c>
      <c r="G31">
        <v>6.1509999999999998</v>
      </c>
      <c r="H31">
        <v>3.7890000000000001</v>
      </c>
      <c r="I31">
        <v>3.7719999999999998</v>
      </c>
      <c r="J31" t="s">
        <v>3871</v>
      </c>
      <c r="K31">
        <v>0.94910000000000005</v>
      </c>
      <c r="L31" s="111">
        <v>4.4690000000000001E-7</v>
      </c>
      <c r="M31" s="118"/>
      <c r="N31" s="118"/>
      <c r="O31" t="s">
        <v>3296</v>
      </c>
      <c r="P31">
        <v>6.1159999999999997</v>
      </c>
      <c r="Q31">
        <v>1.5269999999999999</v>
      </c>
      <c r="R31">
        <v>0.63890000000000002</v>
      </c>
      <c r="S31">
        <v>6.05</v>
      </c>
      <c r="T31">
        <v>5.6420000000000003</v>
      </c>
      <c r="U31">
        <v>4.7249999999999996</v>
      </c>
      <c r="V31">
        <v>2.855</v>
      </c>
      <c r="W31">
        <v>2.8740000000000001</v>
      </c>
      <c r="X31" t="s">
        <v>3871</v>
      </c>
      <c r="Y31">
        <v>0.94910000000000005</v>
      </c>
      <c r="Z31" s="111">
        <v>4.488E-7</v>
      </c>
      <c r="AA31" s="111"/>
      <c r="AB31" s="111"/>
      <c r="AC31" s="111"/>
      <c r="AD31" s="111"/>
      <c r="AE31" s="111"/>
      <c r="AF31" s="111"/>
      <c r="AG31" s="111"/>
      <c r="AH31" s="111"/>
      <c r="AI31" s="111"/>
      <c r="AJ31" s="111"/>
      <c r="AK31" s="111"/>
      <c r="AL31" s="111"/>
      <c r="AN31" s="111"/>
      <c r="AO31" s="111"/>
    </row>
    <row r="32" spans="1:41" x14ac:dyDescent="0.55000000000000004">
      <c r="A32" t="s">
        <v>3336</v>
      </c>
      <c r="B32">
        <v>15.57</v>
      </c>
      <c r="C32">
        <v>4.1459999999999999</v>
      </c>
      <c r="D32">
        <v>1.7849999999999999</v>
      </c>
      <c r="E32">
        <v>15.43</v>
      </c>
      <c r="F32">
        <v>14.91</v>
      </c>
      <c r="G32">
        <v>12.67</v>
      </c>
      <c r="H32">
        <v>7.8959999999999999</v>
      </c>
      <c r="I32">
        <v>7.8520000000000003</v>
      </c>
      <c r="J32" s="111">
        <v>1.5820000000000001E-6</v>
      </c>
      <c r="K32">
        <v>2.109</v>
      </c>
      <c r="L32" s="111">
        <v>2.8650000000000001E-6</v>
      </c>
      <c r="O32" t="s">
        <v>3297</v>
      </c>
      <c r="P32">
        <v>13.78</v>
      </c>
      <c r="Q32">
        <v>3.681</v>
      </c>
      <c r="R32">
        <v>1.3169999999999999</v>
      </c>
      <c r="S32">
        <v>13.66</v>
      </c>
      <c r="T32">
        <v>13.22</v>
      </c>
      <c r="U32">
        <v>11.25</v>
      </c>
      <c r="V32">
        <v>7.01</v>
      </c>
      <c r="W32">
        <v>6.9710000000000001</v>
      </c>
      <c r="X32" s="111">
        <v>1.5880000000000001E-6</v>
      </c>
      <c r="Y32">
        <v>2.109</v>
      </c>
      <c r="Z32" s="111">
        <v>2.8770000000000002E-6</v>
      </c>
      <c r="AA32" s="111"/>
      <c r="AB32" s="111"/>
      <c r="AC32" s="111"/>
      <c r="AD32" s="111"/>
      <c r="AE32" s="111"/>
      <c r="AF32" s="111"/>
      <c r="AG32" s="111"/>
      <c r="AH32" s="111"/>
      <c r="AI32" s="111"/>
      <c r="AJ32" s="111"/>
      <c r="AK32" s="111"/>
      <c r="AL32" s="111"/>
      <c r="AN32" s="111"/>
      <c r="AO32" s="111"/>
    </row>
    <row r="33" spans="1:41" x14ac:dyDescent="0.55000000000000004">
      <c r="A33" t="s">
        <v>3337</v>
      </c>
      <c r="B33">
        <v>8.6660000000000004</v>
      </c>
      <c r="C33">
        <v>2.5430000000000001</v>
      </c>
      <c r="D33">
        <v>1.419</v>
      </c>
      <c r="E33">
        <v>8.5719999999999992</v>
      </c>
      <c r="F33">
        <v>8.2910000000000004</v>
      </c>
      <c r="G33">
        <v>7.2530000000000001</v>
      </c>
      <c r="H33">
        <v>4.5549999999999997</v>
      </c>
      <c r="I33">
        <v>4.6360000000000001</v>
      </c>
      <c r="J33" t="s">
        <v>3871</v>
      </c>
      <c r="K33">
        <v>0.51200000000000001</v>
      </c>
      <c r="L33" s="111">
        <v>3.7679999999999999E-7</v>
      </c>
      <c r="M33" s="118"/>
      <c r="N33" s="118"/>
      <c r="O33" t="s">
        <v>3298</v>
      </c>
      <c r="P33">
        <v>6.7960000000000003</v>
      </c>
      <c r="Q33">
        <v>1.9830000000000001</v>
      </c>
      <c r="R33">
        <v>0.83709999999999996</v>
      </c>
      <c r="S33">
        <v>6.7670000000000003</v>
      </c>
      <c r="T33">
        <v>6.5039999999999996</v>
      </c>
      <c r="U33">
        <v>5.72</v>
      </c>
      <c r="V33">
        <v>3.6259999999999999</v>
      </c>
      <c r="W33">
        <v>3.6669999999999998</v>
      </c>
      <c r="X33" t="s">
        <v>3871</v>
      </c>
      <c r="Y33">
        <v>0.51200000000000001</v>
      </c>
      <c r="Z33" s="111">
        <v>3.784E-7</v>
      </c>
      <c r="AA33" s="111"/>
      <c r="AB33" s="111"/>
      <c r="AC33" s="111"/>
      <c r="AD33" s="111"/>
      <c r="AE33" s="111"/>
      <c r="AF33" s="111"/>
      <c r="AG33" s="111"/>
      <c r="AH33" s="111"/>
      <c r="AI33" s="111"/>
      <c r="AJ33" s="111"/>
      <c r="AK33" s="111"/>
      <c r="AL33" s="111"/>
      <c r="AN33" s="111"/>
      <c r="AO33" s="111"/>
    </row>
    <row r="34" spans="1:41" x14ac:dyDescent="0.55000000000000004">
      <c r="A34" t="s">
        <v>3338</v>
      </c>
      <c r="B34">
        <v>20.350000000000001</v>
      </c>
      <c r="C34">
        <v>4.9420000000000002</v>
      </c>
      <c r="D34">
        <v>2.2599999999999998</v>
      </c>
      <c r="E34">
        <v>20.22</v>
      </c>
      <c r="F34">
        <v>19.29</v>
      </c>
      <c r="G34">
        <v>16.45</v>
      </c>
      <c r="H34">
        <v>10.32</v>
      </c>
      <c r="I34">
        <v>10.27</v>
      </c>
      <c r="J34" s="111">
        <v>3.8E-6</v>
      </c>
      <c r="K34">
        <v>1.125</v>
      </c>
      <c r="L34" s="111">
        <v>5.4210000000000003E-6</v>
      </c>
      <c r="O34" t="s">
        <v>3299</v>
      </c>
      <c r="P34">
        <v>18.7</v>
      </c>
      <c r="Q34">
        <v>4.5140000000000002</v>
      </c>
      <c r="R34">
        <v>1.83</v>
      </c>
      <c r="S34">
        <v>18.5</v>
      </c>
      <c r="T34">
        <v>17.68</v>
      </c>
      <c r="U34">
        <v>15.11</v>
      </c>
      <c r="V34">
        <v>9.44</v>
      </c>
      <c r="W34">
        <v>9.3940000000000001</v>
      </c>
      <c r="X34" s="111">
        <v>3.8160000000000004E-6</v>
      </c>
      <c r="Y34">
        <v>1.125</v>
      </c>
      <c r="Z34" s="111">
        <v>5.4450000000000004E-6</v>
      </c>
      <c r="AA34" s="111"/>
      <c r="AB34" s="111"/>
      <c r="AC34" s="111"/>
      <c r="AD34" s="111"/>
      <c r="AE34" s="111"/>
      <c r="AF34" s="111"/>
      <c r="AG34" s="111"/>
      <c r="AH34" s="111"/>
      <c r="AI34" s="111"/>
      <c r="AJ34" s="111"/>
      <c r="AK34" s="111"/>
      <c r="AL34" s="111"/>
      <c r="AN34" s="111"/>
      <c r="AO34" s="111"/>
    </row>
    <row r="35" spans="1:41" x14ac:dyDescent="0.55000000000000004">
      <c r="A35" t="s">
        <v>3339</v>
      </c>
      <c r="B35">
        <v>8.9019999999999992</v>
      </c>
      <c r="C35">
        <v>2.831</v>
      </c>
      <c r="D35">
        <v>1.4770000000000001</v>
      </c>
      <c r="E35">
        <v>8.8320000000000007</v>
      </c>
      <c r="F35">
        <v>8.4049999999999994</v>
      </c>
      <c r="G35">
        <v>7.3609999999999998</v>
      </c>
      <c r="H35">
        <v>4.7709999999999999</v>
      </c>
      <c r="I35">
        <v>4.7519999999999998</v>
      </c>
      <c r="J35" t="s">
        <v>3871</v>
      </c>
      <c r="K35">
        <v>0.2369</v>
      </c>
      <c r="L35" s="111">
        <v>4.595E-11</v>
      </c>
      <c r="O35" t="s">
        <v>3300</v>
      </c>
      <c r="P35">
        <v>6.8659999999999997</v>
      </c>
      <c r="Q35">
        <v>2.1019999999999999</v>
      </c>
      <c r="R35">
        <v>0.75149999999999995</v>
      </c>
      <c r="S35">
        <v>6.8120000000000003</v>
      </c>
      <c r="T35">
        <v>6.4820000000000002</v>
      </c>
      <c r="U35">
        <v>5.6760000000000002</v>
      </c>
      <c r="V35">
        <v>3.5750000000000002</v>
      </c>
      <c r="W35">
        <v>3.5609999999999999</v>
      </c>
      <c r="X35" t="s">
        <v>3871</v>
      </c>
      <c r="Y35">
        <v>0.2369</v>
      </c>
      <c r="Z35" s="111">
        <v>4.6149999999999997E-11</v>
      </c>
      <c r="AA35" s="111"/>
      <c r="AB35" s="111"/>
      <c r="AC35" s="111"/>
      <c r="AD35" s="111"/>
      <c r="AE35" s="111"/>
      <c r="AF35" s="111"/>
      <c r="AG35" s="111"/>
      <c r="AH35" s="111"/>
      <c r="AI35" s="111"/>
      <c r="AJ35" s="111"/>
      <c r="AK35" s="111"/>
      <c r="AL35" s="111"/>
      <c r="AN35" s="111"/>
      <c r="AO35" s="111"/>
    </row>
    <row r="36" spans="1:41" x14ac:dyDescent="0.55000000000000004">
      <c r="A36" t="s">
        <v>3340</v>
      </c>
      <c r="B36">
        <v>11.15</v>
      </c>
      <c r="C36">
        <v>2.9239999999999999</v>
      </c>
      <c r="D36">
        <v>1.409</v>
      </c>
      <c r="E36">
        <v>11.02</v>
      </c>
      <c r="F36">
        <v>10.45</v>
      </c>
      <c r="G36">
        <v>8.8940000000000001</v>
      </c>
      <c r="H36">
        <v>5.4669999999999996</v>
      </c>
      <c r="I36">
        <v>5.4359999999999999</v>
      </c>
      <c r="J36" t="s">
        <v>3871</v>
      </c>
      <c r="K36">
        <v>0.3861</v>
      </c>
      <c r="L36" s="111">
        <v>2.754E-8</v>
      </c>
      <c r="M36" s="118"/>
      <c r="N36" s="118"/>
      <c r="O36" t="s">
        <v>3301</v>
      </c>
      <c r="P36">
        <v>9.3369999999999997</v>
      </c>
      <c r="Q36">
        <v>2.4239999999999999</v>
      </c>
      <c r="R36">
        <v>0.8901</v>
      </c>
      <c r="S36">
        <v>9.2279999999999998</v>
      </c>
      <c r="T36">
        <v>8.7370000000000001</v>
      </c>
      <c r="U36">
        <v>7.452</v>
      </c>
      <c r="V36">
        <v>4.6920000000000002</v>
      </c>
      <c r="W36">
        <v>4.6669999999999998</v>
      </c>
      <c r="X36" t="s">
        <v>3871</v>
      </c>
      <c r="Y36">
        <v>0.3861</v>
      </c>
      <c r="Z36" s="111">
        <v>2.7660000000000001E-8</v>
      </c>
      <c r="AA36" s="111"/>
      <c r="AB36" s="111"/>
      <c r="AC36" s="111"/>
      <c r="AD36" s="111"/>
      <c r="AE36" s="111"/>
      <c r="AF36" s="111"/>
      <c r="AG36" s="111"/>
      <c r="AH36" s="111"/>
      <c r="AI36" s="111"/>
      <c r="AJ36" s="111"/>
      <c r="AK36" s="111"/>
      <c r="AL36" s="111"/>
      <c r="AN36" s="111"/>
      <c r="AO36" s="111"/>
    </row>
    <row r="37" spans="1:41" x14ac:dyDescent="0.55000000000000004">
      <c r="A37" t="s">
        <v>3341</v>
      </c>
      <c r="B37">
        <v>7.8639999999999999</v>
      </c>
      <c r="C37">
        <v>2.3199999999999998</v>
      </c>
      <c r="D37">
        <v>1.1180000000000001</v>
      </c>
      <c r="E37">
        <v>7.7889999999999997</v>
      </c>
      <c r="F37">
        <v>7.3920000000000003</v>
      </c>
      <c r="G37">
        <v>6.3079999999999998</v>
      </c>
      <c r="H37">
        <v>4.0259999999999998</v>
      </c>
      <c r="I37">
        <v>4.0060000000000002</v>
      </c>
      <c r="J37" t="s">
        <v>3871</v>
      </c>
      <c r="K37" s="111">
        <v>4.4940000000000001E-2</v>
      </c>
      <c r="L37" s="111">
        <v>5.9960000000000003E-21</v>
      </c>
      <c r="M37" s="118"/>
      <c r="N37" s="118"/>
      <c r="O37" t="s">
        <v>3302</v>
      </c>
      <c r="P37">
        <v>5.976</v>
      </c>
      <c r="Q37">
        <v>1.748</v>
      </c>
      <c r="R37">
        <v>0.53080000000000005</v>
      </c>
      <c r="S37">
        <v>5.9189999999999996</v>
      </c>
      <c r="T37">
        <v>5.6180000000000003</v>
      </c>
      <c r="U37">
        <v>4.7949999999999999</v>
      </c>
      <c r="V37">
        <v>3.1589999999999998</v>
      </c>
      <c r="W37">
        <v>3.1850000000000001</v>
      </c>
      <c r="X37" t="s">
        <v>3871</v>
      </c>
      <c r="Y37" s="111">
        <v>4.4940000000000001E-2</v>
      </c>
      <c r="Z37" s="111">
        <v>6.0209999999999996E-21</v>
      </c>
      <c r="AA37" s="111"/>
      <c r="AB37" s="111"/>
      <c r="AC37" s="111"/>
      <c r="AD37" s="111"/>
      <c r="AE37" s="111"/>
      <c r="AF37" s="111"/>
      <c r="AG37" s="111"/>
      <c r="AH37" s="111"/>
      <c r="AI37" s="111"/>
      <c r="AJ37" s="111"/>
      <c r="AK37" s="111"/>
      <c r="AL37" s="111"/>
      <c r="AN37" s="111"/>
      <c r="AO37" s="111"/>
    </row>
    <row r="38" spans="1:41" x14ac:dyDescent="0.55000000000000004">
      <c r="A38" t="s">
        <v>3342</v>
      </c>
      <c r="B38">
        <v>6.8220000000000001</v>
      </c>
      <c r="C38">
        <v>1.61</v>
      </c>
      <c r="D38">
        <v>0.80059999999999998</v>
      </c>
      <c r="E38">
        <v>6.75</v>
      </c>
      <c r="F38">
        <v>6.4189999999999996</v>
      </c>
      <c r="G38">
        <v>5.3869999999999996</v>
      </c>
      <c r="H38">
        <v>3.2650000000000001</v>
      </c>
      <c r="I38">
        <v>3.2469999999999999</v>
      </c>
      <c r="J38" t="s">
        <v>3871</v>
      </c>
      <c r="K38" s="111">
        <v>4.9430000000000003E-3</v>
      </c>
      <c r="L38" s="111">
        <v>7.7000000000000006E-30</v>
      </c>
      <c r="M38" s="118"/>
      <c r="N38" s="118"/>
      <c r="O38" t="s">
        <v>3303</v>
      </c>
      <c r="P38">
        <v>5.0460000000000003</v>
      </c>
      <c r="Q38">
        <v>1.1639999999999999</v>
      </c>
      <c r="R38">
        <v>0.3795</v>
      </c>
      <c r="S38">
        <v>4.9930000000000003</v>
      </c>
      <c r="T38">
        <v>4.7709999999999999</v>
      </c>
      <c r="U38">
        <v>4.01</v>
      </c>
      <c r="V38">
        <v>2.38</v>
      </c>
      <c r="W38">
        <v>2.3660000000000001</v>
      </c>
      <c r="X38" t="s">
        <v>3871</v>
      </c>
      <c r="Y38" s="111">
        <v>4.9430000000000003E-3</v>
      </c>
      <c r="Z38" s="111">
        <v>7.7330000000000002E-30</v>
      </c>
      <c r="AA38" s="111"/>
      <c r="AB38" s="111"/>
      <c r="AC38" s="111"/>
      <c r="AD38" s="111"/>
      <c r="AE38" s="111"/>
      <c r="AF38" s="111"/>
      <c r="AG38" s="111"/>
      <c r="AH38" s="111"/>
      <c r="AI38" s="111"/>
      <c r="AJ38" s="111"/>
      <c r="AK38" s="111"/>
      <c r="AL38" s="111"/>
      <c r="AN38" s="111"/>
      <c r="AO38" s="111"/>
    </row>
    <row r="39" spans="1:41" x14ac:dyDescent="0.55000000000000004">
      <c r="A39" t="s">
        <v>3343</v>
      </c>
      <c r="B39">
        <v>8.7729999999999997</v>
      </c>
      <c r="C39">
        <v>1.788</v>
      </c>
      <c r="D39">
        <v>0.90269999999999995</v>
      </c>
      <c r="E39">
        <v>8.65</v>
      </c>
      <c r="F39">
        <v>8</v>
      </c>
      <c r="G39">
        <v>6.633</v>
      </c>
      <c r="H39">
        <v>3.919</v>
      </c>
      <c r="I39">
        <v>3.8969999999999998</v>
      </c>
      <c r="J39" t="s">
        <v>3871</v>
      </c>
      <c r="K39">
        <v>0.3569</v>
      </c>
      <c r="L39" s="111">
        <v>2.1069999999999999E-8</v>
      </c>
      <c r="O39" t="s">
        <v>3304</v>
      </c>
      <c r="P39">
        <v>7.0119999999999996</v>
      </c>
      <c r="Q39">
        <v>1.429</v>
      </c>
      <c r="R39">
        <v>0.5272</v>
      </c>
      <c r="S39">
        <v>6.9130000000000003</v>
      </c>
      <c r="T39">
        <v>6.3970000000000002</v>
      </c>
      <c r="U39">
        <v>5.3090000000000002</v>
      </c>
      <c r="V39">
        <v>3.1190000000000002</v>
      </c>
      <c r="W39">
        <v>3.1019999999999999</v>
      </c>
      <c r="X39" t="s">
        <v>3871</v>
      </c>
      <c r="Y39">
        <v>0.3569</v>
      </c>
      <c r="Z39" s="111">
        <v>2.1159999999999999E-8</v>
      </c>
      <c r="AA39" s="111"/>
      <c r="AB39" s="111"/>
      <c r="AC39" s="111"/>
      <c r="AD39" s="111"/>
      <c r="AE39" s="111"/>
      <c r="AF39" s="111"/>
      <c r="AG39" s="111"/>
      <c r="AH39" s="111"/>
      <c r="AI39" s="111"/>
      <c r="AJ39" s="111"/>
      <c r="AK39" s="111"/>
      <c r="AL39" s="111"/>
      <c r="AN39" s="111"/>
      <c r="AO39" s="111"/>
    </row>
    <row r="40" spans="1:41" x14ac:dyDescent="0.55000000000000004">
      <c r="A40" t="s">
        <v>3344</v>
      </c>
      <c r="B40">
        <v>1.944</v>
      </c>
      <c r="C40">
        <v>0.41599999999999998</v>
      </c>
      <c r="D40">
        <v>0.3856</v>
      </c>
      <c r="E40">
        <v>1.907</v>
      </c>
      <c r="F40">
        <v>1.7110000000000001</v>
      </c>
      <c r="G40">
        <v>1.296</v>
      </c>
      <c r="H40">
        <v>0.78159999999999996</v>
      </c>
      <c r="I40">
        <v>0.77649999999999997</v>
      </c>
      <c r="J40" t="s">
        <v>3871</v>
      </c>
      <c r="K40" s="111">
        <v>7.1529999999999996E-3</v>
      </c>
      <c r="L40" s="111">
        <v>4.1340000000000002E-38</v>
      </c>
      <c r="O40" t="s">
        <v>3305</v>
      </c>
      <c r="P40">
        <v>0.25330000000000003</v>
      </c>
      <c r="Q40" s="111">
        <v>7.6230000000000006E-2</v>
      </c>
      <c r="R40" s="111">
        <v>3.8620000000000002E-2</v>
      </c>
      <c r="S40">
        <v>0.2472</v>
      </c>
      <c r="T40">
        <v>0.2316</v>
      </c>
      <c r="U40">
        <v>0.24340000000000001</v>
      </c>
      <c r="V40">
        <v>0.2195</v>
      </c>
      <c r="W40">
        <v>0.23169999999999999</v>
      </c>
      <c r="X40" t="s">
        <v>3871</v>
      </c>
      <c r="Y40" s="111">
        <v>7.1529999999999996E-3</v>
      </c>
      <c r="Z40" s="111">
        <v>4.1510000000000001E-38</v>
      </c>
      <c r="AA40" s="111"/>
      <c r="AB40" s="111"/>
      <c r="AC40" s="111"/>
      <c r="AD40" s="111"/>
      <c r="AE40" s="111"/>
      <c r="AF40" s="111"/>
      <c r="AG40" s="111"/>
      <c r="AH40" s="111"/>
      <c r="AI40" s="111"/>
      <c r="AJ40" s="111"/>
      <c r="AK40" s="111"/>
      <c r="AL40" s="111"/>
      <c r="AN40" s="111"/>
      <c r="AO40" s="111"/>
    </row>
    <row r="41" spans="1:41" x14ac:dyDescent="0.55000000000000004">
      <c r="A41" t="s">
        <v>3345</v>
      </c>
      <c r="B41">
        <v>4.5549999999999997</v>
      </c>
      <c r="C41">
        <v>1.8320000000000001</v>
      </c>
      <c r="D41">
        <v>1.089</v>
      </c>
      <c r="E41">
        <v>4.5309999999999997</v>
      </c>
      <c r="F41">
        <v>4.375</v>
      </c>
      <c r="G41">
        <v>3.952</v>
      </c>
      <c r="H41">
        <v>2.798</v>
      </c>
      <c r="I41">
        <v>2.8439999999999999</v>
      </c>
      <c r="J41" t="s">
        <v>3871</v>
      </c>
      <c r="K41" s="111">
        <v>1.01E-2</v>
      </c>
      <c r="L41" s="111">
        <v>6.3069999999999995E-33</v>
      </c>
      <c r="M41" s="118"/>
      <c r="N41" s="118"/>
      <c r="O41" t="s">
        <v>3306</v>
      </c>
      <c r="P41">
        <v>2.5019999999999998</v>
      </c>
      <c r="Q41">
        <v>0.97070000000000001</v>
      </c>
      <c r="R41">
        <v>0.2878</v>
      </c>
      <c r="S41">
        <v>2.492</v>
      </c>
      <c r="T41">
        <v>2.3969999999999998</v>
      </c>
      <c r="U41">
        <v>2.1419999999999999</v>
      </c>
      <c r="V41">
        <v>1.8620000000000001</v>
      </c>
      <c r="W41">
        <v>1.861</v>
      </c>
      <c r="X41" t="s">
        <v>3871</v>
      </c>
      <c r="Y41" s="111">
        <v>1.01E-2</v>
      </c>
      <c r="Z41" s="111">
        <v>6.3340000000000006E-33</v>
      </c>
      <c r="AA41" s="111"/>
      <c r="AB41" s="111"/>
      <c r="AC41" s="111"/>
      <c r="AD41" s="111"/>
      <c r="AE41" s="111"/>
      <c r="AF41" s="111"/>
      <c r="AG41" s="111"/>
      <c r="AH41" s="111"/>
      <c r="AI41" s="111"/>
      <c r="AJ41" s="111"/>
      <c r="AK41" s="111"/>
      <c r="AL41" s="111"/>
      <c r="AN41" s="111"/>
      <c r="AO41" s="111"/>
    </row>
    <row r="42" spans="1:41" x14ac:dyDescent="0.55000000000000004">
      <c r="A42" t="s">
        <v>3346</v>
      </c>
      <c r="B42">
        <v>1.8440000000000001</v>
      </c>
      <c r="C42">
        <v>0.37280000000000002</v>
      </c>
      <c r="D42">
        <v>0.35370000000000001</v>
      </c>
      <c r="E42">
        <v>1.8120000000000001</v>
      </c>
      <c r="F42">
        <v>1.643</v>
      </c>
      <c r="G42">
        <v>1.2629999999999999</v>
      </c>
      <c r="H42">
        <v>0.74199999999999999</v>
      </c>
      <c r="I42">
        <v>0.73680000000000001</v>
      </c>
      <c r="J42" t="s">
        <v>3871</v>
      </c>
      <c r="K42" s="111">
        <v>1.072E-3</v>
      </c>
      <c r="L42" s="111">
        <v>3.3569999999999999E-81</v>
      </c>
      <c r="M42" s="118"/>
      <c r="N42" s="118"/>
      <c r="O42" t="s">
        <v>3307</v>
      </c>
      <c r="P42" s="111">
        <v>9.7519999999999996E-2</v>
      </c>
      <c r="Q42" s="111">
        <v>3.2300000000000002E-2</v>
      </c>
      <c r="R42" s="111">
        <v>1.4109999999999999E-2</v>
      </c>
      <c r="S42" s="111">
        <v>9.8220000000000002E-2</v>
      </c>
      <c r="T42">
        <v>0.10100000000000001</v>
      </c>
      <c r="U42">
        <v>0.1135</v>
      </c>
      <c r="V42">
        <v>0.1091</v>
      </c>
      <c r="W42">
        <v>0.1159</v>
      </c>
      <c r="X42" t="s">
        <v>3871</v>
      </c>
      <c r="Y42" s="111">
        <v>1.072E-3</v>
      </c>
      <c r="Z42" s="111">
        <v>3.3710000000000001E-81</v>
      </c>
      <c r="AA42" s="111"/>
      <c r="AB42" s="111"/>
      <c r="AC42" s="111"/>
      <c r="AD42" s="111"/>
      <c r="AE42" s="111"/>
      <c r="AF42" s="111"/>
      <c r="AG42" s="111"/>
      <c r="AH42" s="111"/>
      <c r="AI42" s="111"/>
      <c r="AJ42" s="111"/>
      <c r="AK42" s="111"/>
      <c r="AL42" s="111"/>
      <c r="AN42" s="111"/>
      <c r="AO42" s="111"/>
    </row>
    <row r="43" spans="1:41" x14ac:dyDescent="0.55000000000000004">
      <c r="A43" t="s">
        <v>3347</v>
      </c>
      <c r="B43">
        <v>11.3</v>
      </c>
      <c r="C43">
        <v>3.94</v>
      </c>
      <c r="D43">
        <v>1.734</v>
      </c>
      <c r="E43">
        <v>11.25</v>
      </c>
      <c r="F43">
        <v>10.91</v>
      </c>
      <c r="G43">
        <v>9.8919999999999995</v>
      </c>
      <c r="H43">
        <v>6.6269999999999998</v>
      </c>
      <c r="I43">
        <v>6.5990000000000002</v>
      </c>
      <c r="J43" t="s">
        <v>3871</v>
      </c>
      <c r="K43" s="111">
        <v>8.7120000000000003E-2</v>
      </c>
      <c r="L43" s="111">
        <v>4.7960000000000003E-19</v>
      </c>
      <c r="O43" t="s">
        <v>3308</v>
      </c>
      <c r="P43">
        <v>9.2639999999999993</v>
      </c>
      <c r="Q43">
        <v>3.121</v>
      </c>
      <c r="R43">
        <v>0.99880000000000002</v>
      </c>
      <c r="S43">
        <v>9.2219999999999995</v>
      </c>
      <c r="T43">
        <v>8.9250000000000007</v>
      </c>
      <c r="U43">
        <v>8.1319999999999997</v>
      </c>
      <c r="V43">
        <v>5.3680000000000003</v>
      </c>
      <c r="W43">
        <v>5.3460000000000001</v>
      </c>
      <c r="X43" t="s">
        <v>3871</v>
      </c>
      <c r="Y43" s="111">
        <v>8.7120000000000003E-2</v>
      </c>
      <c r="Z43" s="111">
        <v>4.8170000000000001E-19</v>
      </c>
      <c r="AA43" s="111"/>
      <c r="AB43" s="111"/>
      <c r="AC43" s="111"/>
      <c r="AD43" s="111"/>
      <c r="AE43" s="111"/>
      <c r="AF43" s="111"/>
      <c r="AG43" s="111"/>
      <c r="AH43" s="111"/>
      <c r="AI43" s="111"/>
      <c r="AJ43" s="111"/>
      <c r="AK43" s="111"/>
      <c r="AL43" s="111"/>
      <c r="AN43" s="111"/>
      <c r="AO43" s="111"/>
    </row>
    <row r="44" spans="1:41" x14ac:dyDescent="0.55000000000000004">
      <c r="A44" t="s">
        <v>3348</v>
      </c>
      <c r="B44">
        <v>2.266</v>
      </c>
      <c r="C44">
        <v>0.83809999999999996</v>
      </c>
      <c r="D44">
        <v>0.78559999999999997</v>
      </c>
      <c r="E44">
        <v>2.2480000000000002</v>
      </c>
      <c r="F44">
        <v>2.153</v>
      </c>
      <c r="G44">
        <v>1.923</v>
      </c>
      <c r="H44">
        <v>1.319</v>
      </c>
      <c r="I44">
        <v>1.3149999999999999</v>
      </c>
      <c r="J44" t="s">
        <v>3871</v>
      </c>
      <c r="K44" s="111">
        <v>5.4149999999999997E-3</v>
      </c>
      <c r="L44" s="111">
        <v>1.469E-38</v>
      </c>
      <c r="O44" t="s">
        <v>3309</v>
      </c>
      <c r="P44">
        <v>0.3009</v>
      </c>
      <c r="Q44">
        <v>0.1198</v>
      </c>
      <c r="R44" s="111">
        <v>4.0340000000000001E-2</v>
      </c>
      <c r="S44">
        <v>0.29799999999999999</v>
      </c>
      <c r="T44">
        <v>0.28220000000000001</v>
      </c>
      <c r="U44">
        <v>0.25169999999999998</v>
      </c>
      <c r="V44">
        <v>0.24399999999999999</v>
      </c>
      <c r="W44">
        <v>0.24840000000000001</v>
      </c>
      <c r="X44" t="s">
        <v>3871</v>
      </c>
      <c r="Y44" s="111">
        <v>5.4149999999999997E-3</v>
      </c>
      <c r="Z44" s="111">
        <v>1.475E-38</v>
      </c>
      <c r="AA44" s="111"/>
      <c r="AB44" s="111"/>
      <c r="AC44" s="111"/>
      <c r="AD44" s="111"/>
      <c r="AE44" s="111"/>
      <c r="AF44" s="111"/>
      <c r="AG44" s="111"/>
      <c r="AH44" s="111"/>
      <c r="AI44" s="111"/>
      <c r="AJ44" s="111"/>
      <c r="AK44" s="111"/>
      <c r="AL44" s="111"/>
      <c r="AN44" s="111"/>
      <c r="AO44" s="111"/>
    </row>
    <row r="45" spans="1:41" x14ac:dyDescent="0.55000000000000004">
      <c r="A45" t="s">
        <v>3349</v>
      </c>
      <c r="B45">
        <v>1.9059999999999999</v>
      </c>
      <c r="C45">
        <v>0.51200000000000001</v>
      </c>
      <c r="D45">
        <v>0.47110000000000002</v>
      </c>
      <c r="E45">
        <v>1.881</v>
      </c>
      <c r="F45">
        <v>1.734</v>
      </c>
      <c r="G45">
        <v>1.4139999999999999</v>
      </c>
      <c r="H45">
        <v>0.87619999999999998</v>
      </c>
      <c r="I45">
        <v>0.87180000000000002</v>
      </c>
      <c r="J45" t="s">
        <v>3871</v>
      </c>
      <c r="K45" s="111">
        <v>5.8050000000000003E-3</v>
      </c>
      <c r="L45" s="111">
        <v>4.3289999999999998E-42</v>
      </c>
      <c r="O45" t="s">
        <v>3310</v>
      </c>
      <c r="P45" s="111">
        <v>8.0199999999999998E-5</v>
      </c>
      <c r="Q45" s="111">
        <v>2.0950000000000001E-5</v>
      </c>
      <c r="R45" s="111">
        <v>1.465E-5</v>
      </c>
      <c r="S45" s="111">
        <v>7.8839999999999997E-5</v>
      </c>
      <c r="T45" s="111">
        <v>7.3159999999999997E-5</v>
      </c>
      <c r="U45" s="111">
        <v>5.7840000000000002E-5</v>
      </c>
      <c r="V45" s="111">
        <v>3.5639999999999998E-5</v>
      </c>
      <c r="W45" s="111">
        <v>3.6789999999999998E-5</v>
      </c>
      <c r="X45" t="s">
        <v>3871</v>
      </c>
      <c r="Y45" s="111">
        <v>5.8050000000000003E-3</v>
      </c>
      <c r="Z45" s="111">
        <v>4.3469999999999998E-42</v>
      </c>
      <c r="AA45" s="111"/>
      <c r="AB45" s="111"/>
      <c r="AC45" s="111"/>
      <c r="AD45" s="111"/>
      <c r="AE45" s="111"/>
      <c r="AF45" s="111"/>
      <c r="AG45" s="111"/>
      <c r="AH45" s="111"/>
      <c r="AI45" s="111"/>
      <c r="AJ45" s="111"/>
      <c r="AK45" s="111"/>
      <c r="AL45" s="111"/>
      <c r="AN45" s="111"/>
      <c r="AO45" s="111"/>
    </row>
    <row r="46" spans="1:41" x14ac:dyDescent="0.55000000000000004">
      <c r="A46" t="s">
        <v>3350</v>
      </c>
      <c r="B46">
        <v>17.88</v>
      </c>
      <c r="C46">
        <v>5.7949999999999999</v>
      </c>
      <c r="D46">
        <v>2.8959999999999999</v>
      </c>
      <c r="E46">
        <v>17.73</v>
      </c>
      <c r="F46">
        <v>16.84</v>
      </c>
      <c r="G46">
        <v>14.53</v>
      </c>
      <c r="H46">
        <v>9.452</v>
      </c>
      <c r="I46">
        <v>9.4109999999999996</v>
      </c>
      <c r="J46" t="s">
        <v>3871</v>
      </c>
      <c r="K46">
        <v>0.59119999999999995</v>
      </c>
      <c r="L46" s="111">
        <v>1.1670000000000001E-7</v>
      </c>
      <c r="O46" t="s">
        <v>3311</v>
      </c>
      <c r="P46">
        <v>20.79</v>
      </c>
      <c r="Q46">
        <v>6.758</v>
      </c>
      <c r="R46">
        <v>3.9079999999999999</v>
      </c>
      <c r="S46">
        <v>20.46</v>
      </c>
      <c r="T46">
        <v>18.739999999999998</v>
      </c>
      <c r="U46">
        <v>16.34</v>
      </c>
      <c r="V46">
        <v>11.5</v>
      </c>
      <c r="W46">
        <v>11.73</v>
      </c>
      <c r="X46" s="111">
        <v>5.0219999999999996E-4</v>
      </c>
      <c r="Y46">
        <v>1.5620000000000001</v>
      </c>
      <c r="Z46" s="111">
        <v>6.7049999999999998E-4</v>
      </c>
      <c r="AA46" s="111"/>
      <c r="AB46" s="111"/>
      <c r="AC46" s="111"/>
      <c r="AD46" s="111"/>
      <c r="AE46" s="111"/>
      <c r="AF46" s="111"/>
      <c r="AG46" s="111"/>
      <c r="AH46" s="111"/>
      <c r="AI46" s="111"/>
      <c r="AJ46" s="111"/>
      <c r="AK46" s="111"/>
      <c r="AL46" s="111"/>
      <c r="AN46" s="111"/>
      <c r="AO46" s="111"/>
    </row>
    <row r="47" spans="1:41" x14ac:dyDescent="0.55000000000000004">
      <c r="A47" t="s">
        <v>3351</v>
      </c>
      <c r="B47">
        <v>9.5</v>
      </c>
      <c r="C47">
        <v>3.411</v>
      </c>
      <c r="D47">
        <v>1.4430000000000001</v>
      </c>
      <c r="E47">
        <v>9.4190000000000005</v>
      </c>
      <c r="F47">
        <v>8.907</v>
      </c>
      <c r="G47">
        <v>8.3870000000000005</v>
      </c>
      <c r="H47">
        <v>5.8140000000000001</v>
      </c>
      <c r="I47">
        <v>5.843</v>
      </c>
      <c r="J47" s="111">
        <v>4.3699999999999997E-6</v>
      </c>
      <c r="K47">
        <v>1.329</v>
      </c>
      <c r="L47" s="111">
        <v>4.6600000000000003E-6</v>
      </c>
      <c r="O47" t="s">
        <v>3312</v>
      </c>
      <c r="P47">
        <v>28.11</v>
      </c>
      <c r="Q47">
        <v>7.7320000000000002</v>
      </c>
      <c r="R47">
        <v>4.4930000000000003</v>
      </c>
      <c r="S47">
        <v>27.62</v>
      </c>
      <c r="T47">
        <v>24.9</v>
      </c>
      <c r="U47">
        <v>20.94</v>
      </c>
      <c r="V47">
        <v>15.46</v>
      </c>
      <c r="W47">
        <v>15.43</v>
      </c>
      <c r="X47" s="111">
        <v>3.5960000000000001E-5</v>
      </c>
      <c r="Y47">
        <v>1.268</v>
      </c>
      <c r="Z47" s="111">
        <v>3.7849999999999998E-5</v>
      </c>
      <c r="AA47" s="111"/>
      <c r="AB47" s="111"/>
      <c r="AC47" s="111"/>
      <c r="AD47" s="111"/>
      <c r="AE47" s="111"/>
      <c r="AF47" s="111"/>
      <c r="AG47" s="111"/>
      <c r="AH47" s="111"/>
      <c r="AI47" s="111"/>
      <c r="AJ47" s="111"/>
      <c r="AK47" s="111"/>
      <c r="AL47" s="111"/>
      <c r="AN47" s="111"/>
      <c r="AO47" s="111"/>
    </row>
    <row r="48" spans="1:41" x14ac:dyDescent="0.55000000000000004">
      <c r="A48" t="s">
        <v>3352</v>
      </c>
      <c r="B48">
        <v>8.9290000000000003</v>
      </c>
      <c r="C48">
        <v>2.3570000000000002</v>
      </c>
      <c r="D48">
        <v>0.95420000000000005</v>
      </c>
      <c r="E48">
        <v>8.8369999999999997</v>
      </c>
      <c r="F48">
        <v>8.3569999999999993</v>
      </c>
      <c r="G48">
        <v>7.266</v>
      </c>
      <c r="H48">
        <v>4.5019999999999998</v>
      </c>
      <c r="I48">
        <v>4.4829999999999997</v>
      </c>
      <c r="J48" s="111">
        <v>1.2139999999999999E-6</v>
      </c>
      <c r="K48">
        <v>1.212</v>
      </c>
      <c r="L48" s="111">
        <v>1.361E-6</v>
      </c>
      <c r="M48" s="118"/>
      <c r="N48" s="118"/>
      <c r="O48" t="s">
        <v>3313</v>
      </c>
      <c r="P48">
        <v>24.6</v>
      </c>
      <c r="Q48">
        <v>5.891</v>
      </c>
      <c r="R48">
        <v>3.1219999999999999</v>
      </c>
      <c r="S48">
        <v>24.08</v>
      </c>
      <c r="T48">
        <v>21.45</v>
      </c>
      <c r="U48">
        <v>17.73</v>
      </c>
      <c r="V48">
        <v>10.61</v>
      </c>
      <c r="W48">
        <v>11.02</v>
      </c>
      <c r="X48" s="111">
        <v>4.3319999999999999E-5</v>
      </c>
      <c r="Y48">
        <v>1.7070000000000001</v>
      </c>
      <c r="Z48" s="111">
        <v>7.1089999999999999E-5</v>
      </c>
      <c r="AA48" s="111"/>
      <c r="AB48" s="111"/>
      <c r="AC48" s="111"/>
      <c r="AD48" s="111"/>
      <c r="AE48" s="111"/>
      <c r="AF48" s="111"/>
      <c r="AG48" s="111"/>
      <c r="AH48" s="111"/>
      <c r="AI48" s="111"/>
      <c r="AJ48" s="111"/>
      <c r="AK48" s="111"/>
      <c r="AL48" s="111"/>
      <c r="AN48" s="111"/>
      <c r="AO48" s="111"/>
    </row>
    <row r="49" spans="1:41" x14ac:dyDescent="0.55000000000000004">
      <c r="A49" t="s">
        <v>3353</v>
      </c>
      <c r="B49">
        <v>10.34</v>
      </c>
      <c r="C49">
        <v>2.1819999999999999</v>
      </c>
      <c r="D49">
        <v>0.85209999999999997</v>
      </c>
      <c r="E49">
        <v>10.199999999999999</v>
      </c>
      <c r="F49">
        <v>9.4930000000000003</v>
      </c>
      <c r="G49">
        <v>7.7210000000000001</v>
      </c>
      <c r="H49">
        <v>4.5330000000000004</v>
      </c>
      <c r="I49">
        <v>4.5069999999999997</v>
      </c>
      <c r="J49" s="111">
        <v>1.0470000000000001E-6</v>
      </c>
      <c r="K49">
        <v>1.611</v>
      </c>
      <c r="L49" s="111">
        <v>1.9740000000000001E-6</v>
      </c>
      <c r="M49" s="118"/>
      <c r="N49" s="118"/>
      <c r="O49" t="s">
        <v>3314</v>
      </c>
      <c r="P49">
        <v>11.23</v>
      </c>
      <c r="Q49">
        <v>2.665</v>
      </c>
      <c r="R49">
        <v>1.4550000000000001</v>
      </c>
      <c r="S49">
        <v>11.06</v>
      </c>
      <c r="T49">
        <v>9.8789999999999996</v>
      </c>
      <c r="U49">
        <v>7.8849999999999998</v>
      </c>
      <c r="V49">
        <v>5.3239999999999998</v>
      </c>
      <c r="W49">
        <v>5.3319999999999999</v>
      </c>
      <c r="X49" s="111">
        <v>1.3390000000000001E-5</v>
      </c>
      <c r="Y49">
        <v>1.714</v>
      </c>
      <c r="Z49" s="111">
        <v>2.8430000000000001E-5</v>
      </c>
      <c r="AA49" s="111"/>
      <c r="AB49" s="111"/>
      <c r="AC49" s="111"/>
      <c r="AD49" s="111"/>
      <c r="AE49" s="111"/>
      <c r="AF49" s="111"/>
      <c r="AG49" s="111"/>
      <c r="AH49" s="111"/>
      <c r="AI49" s="111"/>
      <c r="AJ49" s="111"/>
      <c r="AK49" s="111"/>
      <c r="AL49" s="111"/>
      <c r="AN49" s="111"/>
      <c r="AO49" s="111"/>
    </row>
    <row r="50" spans="1:41" x14ac:dyDescent="0.55000000000000004">
      <c r="A50" t="s">
        <v>3354</v>
      </c>
      <c r="B50">
        <v>19.14</v>
      </c>
      <c r="C50">
        <v>4.4219999999999997</v>
      </c>
      <c r="D50">
        <v>1.9039999999999999</v>
      </c>
      <c r="E50">
        <v>18.87</v>
      </c>
      <c r="F50">
        <v>18.03</v>
      </c>
      <c r="G50">
        <v>15.25</v>
      </c>
      <c r="H50">
        <v>9.17</v>
      </c>
      <c r="I50">
        <v>9.1210000000000004</v>
      </c>
      <c r="J50" s="111">
        <v>2.0809999999999999E-5</v>
      </c>
      <c r="K50">
        <v>2.0099999999999998</v>
      </c>
      <c r="L50" s="111">
        <v>3.9950000000000002E-5</v>
      </c>
      <c r="M50" s="118"/>
      <c r="N50" s="118"/>
      <c r="O50" t="s">
        <v>3315</v>
      </c>
      <c r="P50">
        <v>29.51</v>
      </c>
      <c r="Q50">
        <v>6.2240000000000002</v>
      </c>
      <c r="R50">
        <v>3.1949999999999998</v>
      </c>
      <c r="S50">
        <v>28.84</v>
      </c>
      <c r="T50">
        <v>25.67</v>
      </c>
      <c r="U50">
        <v>19.53</v>
      </c>
      <c r="V50">
        <v>12.07</v>
      </c>
      <c r="W50">
        <v>12</v>
      </c>
      <c r="X50" s="111">
        <v>4.6269999999999999E-6</v>
      </c>
      <c r="Y50">
        <v>1.61</v>
      </c>
      <c r="Z50" s="111">
        <v>1.0550000000000001E-5</v>
      </c>
      <c r="AA50" s="111"/>
      <c r="AB50" s="111"/>
      <c r="AC50" s="111"/>
      <c r="AD50" s="111"/>
      <c r="AE50" s="111"/>
      <c r="AF50" s="111"/>
      <c r="AG50" s="111"/>
      <c r="AH50" s="111"/>
      <c r="AI50" s="111"/>
      <c r="AJ50" s="111"/>
      <c r="AK50" s="111"/>
      <c r="AL50" s="111"/>
      <c r="AN50" s="111"/>
      <c r="AO50" s="111"/>
    </row>
    <row r="51" spans="1:41" x14ac:dyDescent="0.55000000000000004">
      <c r="A51" t="s">
        <v>3355</v>
      </c>
      <c r="B51">
        <v>15.89</v>
      </c>
      <c r="C51">
        <v>4.452</v>
      </c>
      <c r="D51">
        <v>2.1720000000000002</v>
      </c>
      <c r="E51">
        <v>15.74</v>
      </c>
      <c r="F51">
        <v>14.98</v>
      </c>
      <c r="G51">
        <v>12.93</v>
      </c>
      <c r="H51">
        <v>8.1159999999999997</v>
      </c>
      <c r="I51">
        <v>8.0820000000000007</v>
      </c>
      <c r="J51" t="s">
        <v>3871</v>
      </c>
      <c r="K51">
        <v>0.46479999999999999</v>
      </c>
      <c r="L51" s="111">
        <v>1.192E-9</v>
      </c>
      <c r="O51" t="s">
        <v>3316</v>
      </c>
      <c r="P51">
        <v>21.8</v>
      </c>
      <c r="Q51">
        <v>7.45</v>
      </c>
      <c r="R51">
        <v>3.589</v>
      </c>
      <c r="S51">
        <v>21.54</v>
      </c>
      <c r="T51">
        <v>19.64</v>
      </c>
      <c r="U51">
        <v>17.940000000000001</v>
      </c>
      <c r="V51">
        <v>12.06</v>
      </c>
      <c r="W51">
        <v>12.02</v>
      </c>
      <c r="X51" t="s">
        <v>3871</v>
      </c>
      <c r="Y51">
        <v>0.62350000000000005</v>
      </c>
      <c r="Z51" s="111">
        <v>3.9809999999999997E-6</v>
      </c>
      <c r="AA51" s="111"/>
      <c r="AB51" s="111"/>
      <c r="AC51" s="111"/>
      <c r="AD51" s="111"/>
      <c r="AE51" s="111"/>
      <c r="AF51" s="111"/>
      <c r="AG51" s="111"/>
      <c r="AH51" s="111"/>
      <c r="AI51" s="111"/>
      <c r="AJ51" s="111"/>
      <c r="AK51" s="111"/>
      <c r="AL51" s="111"/>
      <c r="AN51" s="111"/>
      <c r="AO51" s="111"/>
    </row>
    <row r="52" spans="1:41" x14ac:dyDescent="0.55000000000000004">
      <c r="A52" t="s">
        <v>3356</v>
      </c>
      <c r="B52">
        <v>6.8339999999999996</v>
      </c>
      <c r="C52">
        <v>1.73</v>
      </c>
      <c r="D52">
        <v>0.83730000000000004</v>
      </c>
      <c r="E52">
        <v>6.7560000000000002</v>
      </c>
      <c r="F52">
        <v>6.3</v>
      </c>
      <c r="G52">
        <v>5.2779999999999996</v>
      </c>
      <c r="H52">
        <v>3.2149999999999999</v>
      </c>
      <c r="I52">
        <v>3.2010000000000001</v>
      </c>
      <c r="J52" t="s">
        <v>3871</v>
      </c>
      <c r="K52">
        <v>0.94910000000000005</v>
      </c>
      <c r="L52" s="111">
        <v>4.4799999999999999E-7</v>
      </c>
      <c r="O52" t="s">
        <v>3317</v>
      </c>
      <c r="P52">
        <v>18.62</v>
      </c>
      <c r="Q52">
        <v>5.3090000000000002</v>
      </c>
      <c r="R52">
        <v>2.726</v>
      </c>
      <c r="S52">
        <v>18.239999999999998</v>
      </c>
      <c r="T52">
        <v>16.559999999999999</v>
      </c>
      <c r="U52">
        <v>13.68</v>
      </c>
      <c r="V52">
        <v>8.9589999999999996</v>
      </c>
      <c r="W52">
        <v>8.9309999999999992</v>
      </c>
      <c r="X52" t="s">
        <v>3871</v>
      </c>
      <c r="Y52">
        <v>0.96240000000000003</v>
      </c>
      <c r="Z52" s="111">
        <v>4.515E-6</v>
      </c>
      <c r="AA52" s="111"/>
      <c r="AB52" s="111"/>
      <c r="AC52" s="111"/>
      <c r="AD52" s="111"/>
      <c r="AE52" s="111"/>
      <c r="AF52" s="111"/>
      <c r="AG52" s="111"/>
      <c r="AH52" s="111"/>
      <c r="AI52" s="111"/>
      <c r="AJ52" s="111"/>
      <c r="AK52" s="111"/>
      <c r="AL52" s="111"/>
      <c r="AN52" s="111"/>
      <c r="AO52" s="111"/>
    </row>
    <row r="53" spans="1:41" x14ac:dyDescent="0.55000000000000004">
      <c r="A53" t="s">
        <v>3357</v>
      </c>
      <c r="B53">
        <v>14.48</v>
      </c>
      <c r="C53">
        <v>3.8610000000000002</v>
      </c>
      <c r="D53">
        <v>1.4990000000000001</v>
      </c>
      <c r="E53">
        <v>14.34</v>
      </c>
      <c r="F53">
        <v>13.88</v>
      </c>
      <c r="G53">
        <v>11.8</v>
      </c>
      <c r="H53">
        <v>7.3540000000000001</v>
      </c>
      <c r="I53">
        <v>7.3129999999999997</v>
      </c>
      <c r="J53" s="111">
        <v>1.5859999999999999E-6</v>
      </c>
      <c r="K53">
        <v>2.109</v>
      </c>
      <c r="L53" s="111">
        <v>2.8720000000000002E-6</v>
      </c>
      <c r="O53" t="s">
        <v>3318</v>
      </c>
      <c r="P53">
        <v>20.43</v>
      </c>
      <c r="Q53">
        <v>5.1020000000000003</v>
      </c>
      <c r="R53">
        <v>2.6160000000000001</v>
      </c>
      <c r="S53">
        <v>19.95</v>
      </c>
      <c r="T53">
        <v>18</v>
      </c>
      <c r="U53">
        <v>14.19</v>
      </c>
      <c r="V53">
        <v>9.6859999999999999</v>
      </c>
      <c r="W53">
        <v>9.8970000000000002</v>
      </c>
      <c r="X53" s="111">
        <v>4.269E-5</v>
      </c>
      <c r="Y53">
        <v>1.575</v>
      </c>
      <c r="Z53" s="111">
        <v>5.4719999999999998E-5</v>
      </c>
      <c r="AA53" s="111"/>
      <c r="AB53" s="111"/>
      <c r="AC53" s="111"/>
      <c r="AD53" s="111"/>
      <c r="AE53" s="111"/>
      <c r="AF53" s="111"/>
      <c r="AG53" s="111"/>
      <c r="AH53" s="111"/>
      <c r="AI53" s="111"/>
      <c r="AJ53" s="111"/>
      <c r="AK53" s="111"/>
      <c r="AL53" s="111"/>
      <c r="AN53" s="111"/>
      <c r="AO53" s="111"/>
    </row>
    <row r="54" spans="1:41" x14ac:dyDescent="0.55000000000000004">
      <c r="A54" t="s">
        <v>3358</v>
      </c>
      <c r="B54">
        <v>7.5490000000000004</v>
      </c>
      <c r="C54">
        <v>2.2029999999999998</v>
      </c>
      <c r="D54">
        <v>1.0629999999999999</v>
      </c>
      <c r="E54">
        <v>7.4770000000000003</v>
      </c>
      <c r="F54">
        <v>7.1970000000000001</v>
      </c>
      <c r="G54">
        <v>6.3150000000000004</v>
      </c>
      <c r="H54">
        <v>4.0350000000000001</v>
      </c>
      <c r="I54">
        <v>4.0170000000000003</v>
      </c>
      <c r="J54" t="s">
        <v>3871</v>
      </c>
      <c r="K54">
        <v>0.51200000000000001</v>
      </c>
      <c r="L54" s="111">
        <v>3.7780000000000001E-7</v>
      </c>
      <c r="M54" s="118"/>
      <c r="N54" s="118"/>
      <c r="O54" t="s">
        <v>3319</v>
      </c>
      <c r="P54">
        <v>22.92</v>
      </c>
      <c r="Q54">
        <v>7.3760000000000003</v>
      </c>
      <c r="R54">
        <v>3.798</v>
      </c>
      <c r="S54">
        <v>22.52</v>
      </c>
      <c r="T54">
        <v>20.87</v>
      </c>
      <c r="U54">
        <v>17.149999999999999</v>
      </c>
      <c r="V54">
        <v>11.85</v>
      </c>
      <c r="W54">
        <v>11.88</v>
      </c>
      <c r="X54" t="s">
        <v>3871</v>
      </c>
      <c r="Y54">
        <v>0.9022</v>
      </c>
      <c r="Z54" s="111">
        <v>7.4510000000000003E-6</v>
      </c>
      <c r="AA54" s="111"/>
      <c r="AB54" s="111"/>
      <c r="AC54" s="111"/>
      <c r="AD54" s="111"/>
      <c r="AE54" s="111"/>
      <c r="AF54" s="111"/>
      <c r="AG54" s="111"/>
      <c r="AH54" s="111"/>
      <c r="AI54" s="111"/>
      <c r="AJ54" s="111"/>
      <c r="AK54" s="111"/>
      <c r="AL54" s="111"/>
      <c r="AN54" s="111"/>
      <c r="AO54" s="111"/>
    </row>
    <row r="55" spans="1:41" x14ac:dyDescent="0.55000000000000004">
      <c r="A55" t="s">
        <v>3359</v>
      </c>
      <c r="B55">
        <v>19.34</v>
      </c>
      <c r="C55">
        <v>4.68</v>
      </c>
      <c r="D55">
        <v>1.996</v>
      </c>
      <c r="E55">
        <v>19.170000000000002</v>
      </c>
      <c r="F55">
        <v>18.3</v>
      </c>
      <c r="G55">
        <v>15.63</v>
      </c>
      <c r="H55">
        <v>9.7810000000000006</v>
      </c>
      <c r="I55">
        <v>9.734</v>
      </c>
      <c r="J55" s="111">
        <v>3.8099999999999999E-6</v>
      </c>
      <c r="K55">
        <v>1.125</v>
      </c>
      <c r="L55" s="111">
        <v>5.4360000000000001E-6</v>
      </c>
      <c r="M55" s="118"/>
      <c r="N55" s="118"/>
      <c r="O55" t="s">
        <v>3320</v>
      </c>
      <c r="P55">
        <v>26.17</v>
      </c>
      <c r="Q55">
        <v>6.15</v>
      </c>
      <c r="R55">
        <v>3.8540000000000001</v>
      </c>
      <c r="S55">
        <v>25.49</v>
      </c>
      <c r="T55">
        <v>23.07</v>
      </c>
      <c r="U55">
        <v>18.350000000000001</v>
      </c>
      <c r="V55">
        <v>11.18</v>
      </c>
      <c r="W55">
        <v>11.23</v>
      </c>
      <c r="X55" s="111">
        <v>2.7E-6</v>
      </c>
      <c r="Y55">
        <v>1.0429999999999999</v>
      </c>
      <c r="Z55" s="111">
        <v>2.8119999999999999E-6</v>
      </c>
      <c r="AA55" s="111"/>
      <c r="AB55" s="111"/>
      <c r="AC55" s="111"/>
      <c r="AD55" s="111"/>
      <c r="AE55" s="111"/>
      <c r="AF55" s="111"/>
      <c r="AG55" s="111"/>
      <c r="AH55" s="111"/>
      <c r="AI55" s="111"/>
      <c r="AJ55" s="111"/>
      <c r="AK55" s="111"/>
      <c r="AL55" s="111"/>
      <c r="AN55" s="111"/>
      <c r="AO55" s="111"/>
    </row>
    <row r="56" spans="1:41" x14ac:dyDescent="0.55000000000000004">
      <c r="A56" t="s">
        <v>3360</v>
      </c>
      <c r="B56">
        <v>7.6550000000000002</v>
      </c>
      <c r="C56">
        <v>2.3959999999999999</v>
      </c>
      <c r="D56">
        <v>1.0329999999999999</v>
      </c>
      <c r="E56">
        <v>7.5949999999999998</v>
      </c>
      <c r="F56">
        <v>7.2270000000000003</v>
      </c>
      <c r="G56">
        <v>6.3289999999999997</v>
      </c>
      <c r="H56">
        <v>4.0380000000000003</v>
      </c>
      <c r="I56">
        <v>4.0220000000000002</v>
      </c>
      <c r="J56" t="s">
        <v>3871</v>
      </c>
      <c r="K56">
        <v>0.2369</v>
      </c>
      <c r="L56" s="111">
        <v>4.6070000000000002E-11</v>
      </c>
      <c r="O56" t="s">
        <v>3321</v>
      </c>
      <c r="P56">
        <v>10.27</v>
      </c>
      <c r="Q56">
        <v>3.5830000000000002</v>
      </c>
      <c r="R56">
        <v>1.6870000000000001</v>
      </c>
      <c r="S56">
        <v>10.24</v>
      </c>
      <c r="T56">
        <v>9.6539999999999999</v>
      </c>
      <c r="U56">
        <v>8.01</v>
      </c>
      <c r="V56">
        <v>5.867</v>
      </c>
      <c r="W56">
        <v>5.883</v>
      </c>
      <c r="X56" t="s">
        <v>3871</v>
      </c>
      <c r="Y56" s="111">
        <v>4.5130000000000003E-2</v>
      </c>
      <c r="Z56" s="111">
        <v>8.4889999999999994E-21</v>
      </c>
      <c r="AA56" s="111"/>
      <c r="AB56" s="111"/>
      <c r="AC56" s="111"/>
      <c r="AD56" s="111"/>
      <c r="AE56" s="111"/>
      <c r="AF56" s="111"/>
      <c r="AG56" s="111"/>
      <c r="AH56" s="111"/>
      <c r="AI56" s="111"/>
      <c r="AJ56" s="111"/>
      <c r="AK56" s="111"/>
      <c r="AL56" s="111"/>
      <c r="AN56" s="111"/>
      <c r="AO56" s="111"/>
    </row>
    <row r="57" spans="1:41" x14ac:dyDescent="0.55000000000000004">
      <c r="A57" t="s">
        <v>3361</v>
      </c>
      <c r="B57">
        <v>10.039999999999999</v>
      </c>
      <c r="C57">
        <v>2.6240000000000001</v>
      </c>
      <c r="D57">
        <v>1.091</v>
      </c>
      <c r="E57">
        <v>9.9220000000000006</v>
      </c>
      <c r="F57">
        <v>9.4009999999999998</v>
      </c>
      <c r="G57">
        <v>8.0109999999999992</v>
      </c>
      <c r="H57">
        <v>4.9089999999999998</v>
      </c>
      <c r="I57">
        <v>5.0309999999999997</v>
      </c>
      <c r="J57" t="s">
        <v>3871</v>
      </c>
      <c r="K57">
        <v>0.3861</v>
      </c>
      <c r="L57" s="111">
        <v>2.761E-8</v>
      </c>
      <c r="M57" s="118"/>
      <c r="N57" s="118"/>
      <c r="O57" t="s">
        <v>3322</v>
      </c>
      <c r="P57">
        <v>15.06</v>
      </c>
      <c r="Q57">
        <v>3.7229999999999999</v>
      </c>
      <c r="R57">
        <v>1.6850000000000001</v>
      </c>
      <c r="S57">
        <v>14.73</v>
      </c>
      <c r="T57">
        <v>13.14</v>
      </c>
      <c r="U57">
        <v>10.48</v>
      </c>
      <c r="V57">
        <v>6.8730000000000002</v>
      </c>
      <c r="W57">
        <v>6.8330000000000002</v>
      </c>
      <c r="X57" t="s">
        <v>3871</v>
      </c>
      <c r="Y57">
        <v>0.1028</v>
      </c>
      <c r="Z57" s="111">
        <v>1.379E-17</v>
      </c>
      <c r="AA57" s="111"/>
      <c r="AB57" s="111"/>
      <c r="AC57" s="111"/>
      <c r="AD57" s="111"/>
      <c r="AE57" s="111"/>
      <c r="AF57" s="111"/>
      <c r="AG57" s="111"/>
      <c r="AH57" s="111"/>
      <c r="AI57" s="111"/>
      <c r="AJ57" s="111"/>
      <c r="AK57" s="111"/>
      <c r="AL57" s="111"/>
      <c r="AN57" s="111"/>
      <c r="AO57" s="111"/>
    </row>
    <row r="58" spans="1:41" x14ac:dyDescent="0.55000000000000004">
      <c r="A58" t="s">
        <v>3362</v>
      </c>
      <c r="B58">
        <v>6.7080000000000002</v>
      </c>
      <c r="C58">
        <v>1.97</v>
      </c>
      <c r="D58">
        <v>0.75790000000000002</v>
      </c>
      <c r="E58">
        <v>6.6429999999999998</v>
      </c>
      <c r="F58">
        <v>6.3049999999999997</v>
      </c>
      <c r="G58">
        <v>5.3810000000000002</v>
      </c>
      <c r="H58">
        <v>3.3959999999999999</v>
      </c>
      <c r="I58">
        <v>3.488</v>
      </c>
      <c r="J58" t="s">
        <v>3871</v>
      </c>
      <c r="K58" s="111">
        <v>4.4940000000000001E-2</v>
      </c>
      <c r="L58" s="111">
        <v>6.0109999999999998E-21</v>
      </c>
      <c r="M58" s="118"/>
      <c r="N58" s="118"/>
      <c r="O58" t="s">
        <v>3323</v>
      </c>
      <c r="P58">
        <v>7.4960000000000004</v>
      </c>
      <c r="Q58">
        <v>2.5499999999999998</v>
      </c>
      <c r="R58">
        <v>1.087</v>
      </c>
      <c r="S58">
        <v>7.383</v>
      </c>
      <c r="T58">
        <v>7.1630000000000003</v>
      </c>
      <c r="U58">
        <v>6.3230000000000004</v>
      </c>
      <c r="V58">
        <v>4.4249999999999998</v>
      </c>
      <c r="W58">
        <v>4.4690000000000003</v>
      </c>
      <c r="X58" t="s">
        <v>3871</v>
      </c>
      <c r="Y58">
        <v>0.12559999999999999</v>
      </c>
      <c r="Z58" s="111">
        <v>5.3439999999999997E-14</v>
      </c>
      <c r="AA58" s="111"/>
      <c r="AB58" s="111"/>
      <c r="AC58" s="111"/>
      <c r="AD58" s="111"/>
      <c r="AE58" s="111"/>
      <c r="AF58" s="111"/>
      <c r="AG58" s="111"/>
      <c r="AH58" s="111"/>
      <c r="AI58" s="111"/>
      <c r="AJ58" s="111"/>
      <c r="AK58" s="111"/>
      <c r="AL58" s="111"/>
      <c r="AN58" s="111"/>
      <c r="AO58" s="111"/>
    </row>
    <row r="59" spans="1:41" x14ac:dyDescent="0.55000000000000004">
      <c r="A59" t="s">
        <v>3363</v>
      </c>
      <c r="B59">
        <v>5.7350000000000003</v>
      </c>
      <c r="C59">
        <v>1.337</v>
      </c>
      <c r="D59">
        <v>0.54279999999999995</v>
      </c>
      <c r="E59">
        <v>5.6740000000000004</v>
      </c>
      <c r="F59">
        <v>5.41</v>
      </c>
      <c r="G59">
        <v>4.5439999999999996</v>
      </c>
      <c r="H59">
        <v>2.722</v>
      </c>
      <c r="I59">
        <v>2.7069999999999999</v>
      </c>
      <c r="J59" t="s">
        <v>3871</v>
      </c>
      <c r="K59" s="111">
        <v>4.9430000000000003E-3</v>
      </c>
      <c r="L59" s="111">
        <v>7.7199999999999998E-30</v>
      </c>
      <c r="O59" t="s">
        <v>3324</v>
      </c>
      <c r="P59">
        <v>23.49</v>
      </c>
      <c r="Q59">
        <v>5.319</v>
      </c>
      <c r="R59">
        <v>2.6930000000000001</v>
      </c>
      <c r="S59">
        <v>22.89</v>
      </c>
      <c r="T59">
        <v>20.14</v>
      </c>
      <c r="U59">
        <v>15.7</v>
      </c>
      <c r="V59">
        <v>10.44</v>
      </c>
      <c r="W59">
        <v>10.44</v>
      </c>
      <c r="X59" t="s">
        <v>3871</v>
      </c>
      <c r="Y59">
        <v>0.31519999999999998</v>
      </c>
      <c r="Z59" s="111">
        <v>3.0880000000000001E-11</v>
      </c>
      <c r="AA59" s="111"/>
      <c r="AB59" s="111"/>
      <c r="AC59" s="111"/>
      <c r="AD59" s="111"/>
      <c r="AE59" s="111"/>
      <c r="AF59" s="111"/>
      <c r="AG59" s="111"/>
      <c r="AH59" s="111"/>
      <c r="AI59" s="111"/>
      <c r="AJ59" s="111"/>
      <c r="AK59" s="111"/>
      <c r="AL59" s="111"/>
      <c r="AN59" s="111"/>
      <c r="AO59" s="111"/>
    </row>
    <row r="60" spans="1:41" x14ac:dyDescent="0.55000000000000004">
      <c r="A60" t="s">
        <v>3364</v>
      </c>
      <c r="B60">
        <v>7.6950000000000003</v>
      </c>
      <c r="C60">
        <v>1.5680000000000001</v>
      </c>
      <c r="D60">
        <v>0.67279999999999995</v>
      </c>
      <c r="E60">
        <v>7.5869999999999997</v>
      </c>
      <c r="F60">
        <v>7.0190000000000001</v>
      </c>
      <c r="G60">
        <v>5.8220000000000001</v>
      </c>
      <c r="H60">
        <v>3.4289999999999998</v>
      </c>
      <c r="I60">
        <v>3.41</v>
      </c>
      <c r="J60" t="s">
        <v>3871</v>
      </c>
      <c r="K60">
        <v>0.3569</v>
      </c>
      <c r="L60" s="111">
        <v>2.112E-8</v>
      </c>
      <c r="M60" s="118"/>
      <c r="N60" s="118"/>
      <c r="O60" t="s">
        <v>3325</v>
      </c>
      <c r="P60">
        <v>26</v>
      </c>
      <c r="Q60">
        <v>4.3940000000000001</v>
      </c>
      <c r="R60">
        <v>2.1419999999999999</v>
      </c>
      <c r="S60">
        <v>25.26</v>
      </c>
      <c r="T60">
        <v>22.1</v>
      </c>
      <c r="U60">
        <v>16.47</v>
      </c>
      <c r="V60">
        <v>9.5649999999999995</v>
      </c>
      <c r="W60">
        <v>9.5589999999999993</v>
      </c>
      <c r="X60" t="s">
        <v>3871</v>
      </c>
      <c r="Y60">
        <v>0.82250000000000001</v>
      </c>
      <c r="Z60" s="111">
        <v>9.596000000000001E-7</v>
      </c>
      <c r="AA60" s="111"/>
      <c r="AB60" s="111"/>
      <c r="AC60" s="111"/>
      <c r="AD60" s="111"/>
      <c r="AE60" s="111"/>
      <c r="AF60" s="111"/>
      <c r="AG60" s="111"/>
      <c r="AH60" s="111"/>
      <c r="AI60" s="111"/>
      <c r="AJ60" s="111"/>
      <c r="AK60" s="111"/>
      <c r="AL60" s="111"/>
      <c r="AN60" s="111"/>
      <c r="AO60" s="111"/>
    </row>
    <row r="61" spans="1:41" x14ac:dyDescent="0.55000000000000004">
      <c r="A61" t="s">
        <v>3365</v>
      </c>
      <c r="B61">
        <v>0.86270000000000002</v>
      </c>
      <c r="C61">
        <v>0.20330000000000001</v>
      </c>
      <c r="D61">
        <v>0.1731</v>
      </c>
      <c r="E61">
        <v>0.8427</v>
      </c>
      <c r="F61">
        <v>0.74950000000000006</v>
      </c>
      <c r="G61">
        <v>0.60509999999999997</v>
      </c>
      <c r="H61">
        <v>0.4289</v>
      </c>
      <c r="I61">
        <v>0.45550000000000002</v>
      </c>
      <c r="J61" t="s">
        <v>3871</v>
      </c>
      <c r="K61" s="111">
        <v>7.1529999999999996E-3</v>
      </c>
      <c r="L61" s="111">
        <v>4.1439999999999999E-38</v>
      </c>
      <c r="O61" t="s">
        <v>3326</v>
      </c>
      <c r="P61">
        <v>19.37</v>
      </c>
      <c r="Q61">
        <v>3.589</v>
      </c>
      <c r="R61">
        <v>1.5680000000000001</v>
      </c>
      <c r="S61">
        <v>18.86</v>
      </c>
      <c r="T61">
        <v>16.3</v>
      </c>
      <c r="U61">
        <v>13.21</v>
      </c>
      <c r="V61">
        <v>8.5440000000000005</v>
      </c>
      <c r="W61">
        <v>8.4849999999999994</v>
      </c>
      <c r="X61" t="s">
        <v>3871</v>
      </c>
      <c r="Y61">
        <v>0.71160000000000001</v>
      </c>
      <c r="Z61" s="111">
        <v>2.2199999999999999E-6</v>
      </c>
      <c r="AA61" s="111"/>
      <c r="AB61" s="111"/>
      <c r="AC61" s="111"/>
      <c r="AD61" s="111"/>
      <c r="AE61" s="111"/>
      <c r="AF61" s="111"/>
      <c r="AG61" s="111"/>
      <c r="AH61" s="111"/>
      <c r="AI61" s="111"/>
      <c r="AJ61" s="111"/>
      <c r="AK61" s="111"/>
      <c r="AL61" s="111"/>
      <c r="AN61" s="111"/>
      <c r="AO61" s="111"/>
    </row>
    <row r="62" spans="1:41" x14ac:dyDescent="0.55000000000000004">
      <c r="A62" t="s">
        <v>3366</v>
      </c>
      <c r="B62">
        <v>3.2349999999999999</v>
      </c>
      <c r="C62">
        <v>1.3049999999999999</v>
      </c>
      <c r="D62">
        <v>0.59840000000000004</v>
      </c>
      <c r="E62">
        <v>3.2240000000000002</v>
      </c>
      <c r="F62">
        <v>3.1669999999999998</v>
      </c>
      <c r="G62">
        <v>2.831</v>
      </c>
      <c r="H62">
        <v>2.246</v>
      </c>
      <c r="I62">
        <v>2.2999999999999998</v>
      </c>
      <c r="J62" t="s">
        <v>3871</v>
      </c>
      <c r="K62" s="111">
        <v>1.01E-2</v>
      </c>
      <c r="L62" s="111">
        <v>6.3230000000000006E-33</v>
      </c>
      <c r="O62" t="s">
        <v>3327</v>
      </c>
      <c r="P62">
        <v>3.91</v>
      </c>
      <c r="Q62">
        <v>1.6930000000000001</v>
      </c>
      <c r="R62">
        <v>0.71179999999999999</v>
      </c>
      <c r="S62">
        <v>3.855</v>
      </c>
      <c r="T62">
        <v>3.6749999999999998</v>
      </c>
      <c r="U62">
        <v>3.4470000000000001</v>
      </c>
      <c r="V62">
        <v>2.8959999999999999</v>
      </c>
      <c r="W62">
        <v>2.9239999999999999</v>
      </c>
      <c r="X62" t="s">
        <v>3871</v>
      </c>
      <c r="Y62" s="111">
        <v>8.9239999999999996E-3</v>
      </c>
      <c r="Z62" s="111">
        <v>5.4410000000000003E-32</v>
      </c>
      <c r="AA62" s="111"/>
      <c r="AB62" s="111"/>
      <c r="AC62" s="111"/>
      <c r="AD62" s="111"/>
      <c r="AE62" s="111"/>
      <c r="AF62" s="111"/>
      <c r="AG62" s="111"/>
      <c r="AH62" s="111"/>
      <c r="AI62" s="111"/>
      <c r="AJ62" s="111"/>
      <c r="AK62" s="111"/>
      <c r="AL62" s="111"/>
      <c r="AN62" s="111"/>
      <c r="AO62" s="111"/>
    </row>
    <row r="63" spans="1:41" x14ac:dyDescent="0.55000000000000004">
      <c r="A63" t="s">
        <v>3367</v>
      </c>
      <c r="B63">
        <v>0.74509999999999998</v>
      </c>
      <c r="C63">
        <v>0.1578</v>
      </c>
      <c r="D63">
        <v>0.14630000000000001</v>
      </c>
      <c r="E63">
        <v>0.73219999999999996</v>
      </c>
      <c r="F63">
        <v>0.65449999999999997</v>
      </c>
      <c r="G63">
        <v>0.49969999999999998</v>
      </c>
      <c r="H63">
        <v>0.29599999999999999</v>
      </c>
      <c r="I63">
        <v>0.29389999999999999</v>
      </c>
      <c r="J63" t="s">
        <v>3871</v>
      </c>
      <c r="K63" s="111">
        <v>1.072E-3</v>
      </c>
      <c r="L63" s="111">
        <v>3.3649999999999998E-81</v>
      </c>
      <c r="M63" s="118"/>
      <c r="N63" s="118"/>
      <c r="O63" t="s">
        <v>3328</v>
      </c>
      <c r="P63">
        <v>2.3650000000000002</v>
      </c>
      <c r="Q63">
        <v>1.032</v>
      </c>
      <c r="R63">
        <v>0.41189999999999999</v>
      </c>
      <c r="S63">
        <v>2.347</v>
      </c>
      <c r="T63">
        <v>2.254</v>
      </c>
      <c r="U63">
        <v>2.1150000000000002</v>
      </c>
      <c r="V63">
        <v>1.669</v>
      </c>
      <c r="W63">
        <v>1.69</v>
      </c>
      <c r="X63" t="s">
        <v>3871</v>
      </c>
      <c r="Y63">
        <v>0.46379999999999999</v>
      </c>
      <c r="Z63" s="111">
        <v>7.3320000000000003E-6</v>
      </c>
      <c r="AA63" s="111"/>
      <c r="AB63" s="111"/>
      <c r="AC63" s="111"/>
      <c r="AD63" s="111"/>
      <c r="AE63" s="111"/>
      <c r="AF63" s="111"/>
      <c r="AG63" s="111"/>
      <c r="AH63" s="111"/>
      <c r="AI63" s="111"/>
      <c r="AJ63" s="111"/>
      <c r="AK63" s="111"/>
      <c r="AL63" s="111"/>
      <c r="AN63" s="111"/>
      <c r="AO63" s="111"/>
    </row>
    <row r="64" spans="1:41" x14ac:dyDescent="0.55000000000000004">
      <c r="A64" t="s">
        <v>3368</v>
      </c>
      <c r="B64">
        <v>10.06</v>
      </c>
      <c r="C64">
        <v>3.4380000000000002</v>
      </c>
      <c r="D64">
        <v>1.2829999999999999</v>
      </c>
      <c r="E64">
        <v>10.02</v>
      </c>
      <c r="F64">
        <v>9.6959999999999997</v>
      </c>
      <c r="G64">
        <v>8.8239999999999998</v>
      </c>
      <c r="H64">
        <v>5.8550000000000004</v>
      </c>
      <c r="I64">
        <v>5.8319999999999999</v>
      </c>
      <c r="J64" t="s">
        <v>3871</v>
      </c>
      <c r="K64" s="111">
        <v>8.7120000000000003E-2</v>
      </c>
      <c r="L64" s="111">
        <v>4.8089999999999998E-19</v>
      </c>
      <c r="O64" t="s">
        <v>3872</v>
      </c>
      <c r="P64">
        <v>5.75</v>
      </c>
      <c r="Q64">
        <v>1.4990000000000001</v>
      </c>
      <c r="R64">
        <v>0.63639999999999997</v>
      </c>
      <c r="S64">
        <v>5.6870000000000003</v>
      </c>
      <c r="T64">
        <v>5.2640000000000002</v>
      </c>
      <c r="U64">
        <v>4.3479999999999999</v>
      </c>
      <c r="V64">
        <v>2.7829999999999999</v>
      </c>
      <c r="W64">
        <v>2.7930000000000001</v>
      </c>
      <c r="X64" s="111">
        <v>7.5500000000000003E-4</v>
      </c>
      <c r="Y64">
        <v>2.327</v>
      </c>
      <c r="Z64" s="111">
        <v>1.292E-3</v>
      </c>
      <c r="AA64" s="111"/>
      <c r="AB64" s="111"/>
      <c r="AC64" s="111"/>
      <c r="AD64" s="111"/>
      <c r="AE64" s="111"/>
      <c r="AF64" s="111"/>
      <c r="AG64" s="111"/>
      <c r="AH64" s="111"/>
      <c r="AI64" s="111"/>
      <c r="AJ64" s="111"/>
      <c r="AK64" s="111"/>
      <c r="AL64" s="111"/>
      <c r="AN64" s="111"/>
      <c r="AO64" s="111"/>
    </row>
    <row r="65" spans="1:41" x14ac:dyDescent="0.55000000000000004">
      <c r="A65" t="s">
        <v>3369</v>
      </c>
      <c r="B65">
        <v>1.042</v>
      </c>
      <c r="C65">
        <v>0.3957</v>
      </c>
      <c r="D65">
        <v>0.32969999999999999</v>
      </c>
      <c r="E65">
        <v>1.0329999999999999</v>
      </c>
      <c r="F65">
        <v>0.98740000000000006</v>
      </c>
      <c r="G65">
        <v>0.88100000000000001</v>
      </c>
      <c r="H65">
        <v>0.60729999999999995</v>
      </c>
      <c r="I65">
        <v>0.60550000000000004</v>
      </c>
      <c r="J65" t="s">
        <v>3871</v>
      </c>
      <c r="K65" s="111">
        <v>5.4149999999999997E-3</v>
      </c>
      <c r="L65" s="111">
        <v>1.4730000000000001E-38</v>
      </c>
      <c r="M65" s="118"/>
      <c r="N65" s="118"/>
      <c r="O65" t="s">
        <v>3873</v>
      </c>
      <c r="P65">
        <v>6.7569999999999997</v>
      </c>
      <c r="Q65">
        <v>2.08</v>
      </c>
      <c r="R65">
        <v>1.091</v>
      </c>
      <c r="S65">
        <v>6.6550000000000002</v>
      </c>
      <c r="T65">
        <v>6.2649999999999997</v>
      </c>
      <c r="U65">
        <v>5.2919999999999998</v>
      </c>
      <c r="V65">
        <v>3.552</v>
      </c>
      <c r="W65">
        <v>3.6179999999999999</v>
      </c>
      <c r="X65" s="111">
        <v>6.6019999999999995E-5</v>
      </c>
      <c r="Y65">
        <v>1.4950000000000001</v>
      </c>
      <c r="Z65" s="111">
        <v>7.5989999999999996E-5</v>
      </c>
      <c r="AA65" s="111"/>
      <c r="AB65" s="111"/>
      <c r="AC65" s="111"/>
      <c r="AD65" s="111"/>
      <c r="AE65" s="111"/>
      <c r="AF65" s="111"/>
      <c r="AG65" s="111"/>
      <c r="AH65" s="111"/>
      <c r="AI65" s="111"/>
      <c r="AJ65" s="111"/>
      <c r="AK65" s="111"/>
      <c r="AL65" s="111"/>
      <c r="AN65" s="111"/>
      <c r="AO65" s="111"/>
    </row>
    <row r="66" spans="1:41" x14ac:dyDescent="0.55000000000000004">
      <c r="A66" t="s">
        <v>3370</v>
      </c>
      <c r="B66">
        <v>0.73909999999999998</v>
      </c>
      <c r="C66">
        <v>0.19850000000000001</v>
      </c>
      <c r="D66">
        <v>0.1827</v>
      </c>
      <c r="E66">
        <v>0.72919999999999996</v>
      </c>
      <c r="F66">
        <v>0.67230000000000001</v>
      </c>
      <c r="G66">
        <v>0.54830000000000001</v>
      </c>
      <c r="H66">
        <v>0.3397</v>
      </c>
      <c r="I66">
        <v>0.33800000000000002</v>
      </c>
      <c r="J66" t="s">
        <v>3871</v>
      </c>
      <c r="K66" s="111">
        <v>5.8050000000000003E-3</v>
      </c>
      <c r="L66" s="111">
        <v>4.3400000000000002E-42</v>
      </c>
      <c r="M66" s="118"/>
      <c r="N66" s="118"/>
      <c r="O66" t="s">
        <v>3874</v>
      </c>
      <c r="P66">
        <v>3.105</v>
      </c>
      <c r="Q66">
        <v>0.64559999999999995</v>
      </c>
      <c r="R66">
        <v>0.2394</v>
      </c>
      <c r="S66">
        <v>3.032</v>
      </c>
      <c r="T66">
        <v>2.7050000000000001</v>
      </c>
      <c r="U66">
        <v>2.1070000000000002</v>
      </c>
      <c r="V66">
        <v>1.3220000000000001</v>
      </c>
      <c r="W66">
        <v>1.3420000000000001</v>
      </c>
      <c r="X66" s="111">
        <v>2.7869999999999999E-5</v>
      </c>
      <c r="Y66">
        <v>1.829</v>
      </c>
      <c r="Z66" s="111">
        <v>3.5040000000000003E-5</v>
      </c>
      <c r="AA66" s="111"/>
      <c r="AB66" s="111"/>
      <c r="AC66" s="111"/>
      <c r="AD66" s="111"/>
      <c r="AE66" s="111"/>
      <c r="AF66" s="111"/>
      <c r="AG66" s="111"/>
      <c r="AH66" s="111"/>
      <c r="AI66" s="111"/>
      <c r="AJ66" s="111"/>
      <c r="AK66" s="111"/>
      <c r="AL66" s="111"/>
      <c r="AN66" s="111"/>
      <c r="AO66" s="111"/>
    </row>
    <row r="67" spans="1:41" x14ac:dyDescent="0.55000000000000004">
      <c r="A67" t="s">
        <v>3371</v>
      </c>
      <c r="B67">
        <v>19.02</v>
      </c>
      <c r="C67">
        <v>6.2140000000000004</v>
      </c>
      <c r="D67">
        <v>3.3210000000000002</v>
      </c>
      <c r="E67">
        <v>18.86</v>
      </c>
      <c r="F67">
        <v>17.95</v>
      </c>
      <c r="G67">
        <v>15.49</v>
      </c>
      <c r="H67">
        <v>10.1</v>
      </c>
      <c r="I67">
        <v>10.06</v>
      </c>
      <c r="J67" t="s">
        <v>3871</v>
      </c>
      <c r="K67">
        <v>0.59119999999999995</v>
      </c>
      <c r="L67" s="111">
        <v>1.164E-7</v>
      </c>
      <c r="O67" t="s">
        <v>3875</v>
      </c>
      <c r="P67">
        <v>0.68989999999999996</v>
      </c>
      <c r="Q67">
        <v>0.13439999999999999</v>
      </c>
      <c r="R67" s="111">
        <v>4.947E-2</v>
      </c>
      <c r="S67">
        <v>0.67310000000000003</v>
      </c>
      <c r="T67">
        <v>0.58899999999999997</v>
      </c>
      <c r="U67">
        <v>0.51600000000000001</v>
      </c>
      <c r="V67">
        <v>0.36159999999999998</v>
      </c>
      <c r="W67">
        <v>0.3619</v>
      </c>
      <c r="X67" s="111">
        <v>2.7080000000000002E-5</v>
      </c>
      <c r="Y67">
        <v>1.837</v>
      </c>
      <c r="Z67" s="111">
        <v>5.9049999999999999E-5</v>
      </c>
      <c r="AA67" s="111"/>
      <c r="AB67" s="111"/>
      <c r="AC67" s="111"/>
      <c r="AD67" s="111"/>
      <c r="AE67" s="111"/>
      <c r="AF67" s="111"/>
      <c r="AG67" s="111"/>
      <c r="AH67" s="111"/>
      <c r="AI67" s="111"/>
      <c r="AJ67" s="111"/>
      <c r="AK67" s="111"/>
      <c r="AL67" s="111"/>
      <c r="AN67" s="111"/>
      <c r="AO67" s="111"/>
    </row>
    <row r="68" spans="1:41" x14ac:dyDescent="0.55000000000000004">
      <c r="A68" t="s">
        <v>3372</v>
      </c>
      <c r="B68">
        <v>10.7</v>
      </c>
      <c r="C68">
        <v>3.8090000000000002</v>
      </c>
      <c r="D68">
        <v>1.845</v>
      </c>
      <c r="E68">
        <v>10.6</v>
      </c>
      <c r="F68">
        <v>10.029999999999999</v>
      </c>
      <c r="G68">
        <v>8.782</v>
      </c>
      <c r="H68">
        <v>6.3949999999999996</v>
      </c>
      <c r="I68">
        <v>6.4180000000000001</v>
      </c>
      <c r="J68" s="111">
        <v>4.3590000000000001E-6</v>
      </c>
      <c r="K68">
        <v>1.329</v>
      </c>
      <c r="L68" s="111">
        <v>4.6480000000000002E-6</v>
      </c>
      <c r="M68" s="118"/>
      <c r="N68" s="118"/>
      <c r="O68" t="s">
        <v>3876</v>
      </c>
      <c r="P68">
        <v>0.64980000000000004</v>
      </c>
      <c r="Q68">
        <v>0.123</v>
      </c>
      <c r="R68" s="111">
        <v>4.8520000000000001E-2</v>
      </c>
      <c r="S68">
        <v>0.64</v>
      </c>
      <c r="T68">
        <v>0.57840000000000003</v>
      </c>
      <c r="U68">
        <v>0.45960000000000001</v>
      </c>
      <c r="V68">
        <v>0.31</v>
      </c>
      <c r="W68">
        <v>0.31269999999999998</v>
      </c>
      <c r="X68" s="111">
        <v>1.7390000000000001E-5</v>
      </c>
      <c r="Y68">
        <v>1.498</v>
      </c>
      <c r="Z68" s="111">
        <v>4.4839999999999998E-5</v>
      </c>
      <c r="AA68" s="111"/>
      <c r="AB68" s="111"/>
      <c r="AC68" s="111"/>
      <c r="AD68" s="111"/>
      <c r="AE68" s="111"/>
      <c r="AF68" s="111"/>
      <c r="AG68" s="111"/>
      <c r="AH68" s="111"/>
      <c r="AI68" s="111"/>
      <c r="AJ68" s="111"/>
      <c r="AK68" s="111"/>
      <c r="AL68" s="111"/>
      <c r="AN68" s="111"/>
      <c r="AO68" s="111"/>
    </row>
    <row r="69" spans="1:41" x14ac:dyDescent="0.55000000000000004">
      <c r="A69" t="s">
        <v>3373</v>
      </c>
      <c r="B69">
        <v>9.9949999999999992</v>
      </c>
      <c r="C69">
        <v>2.6459999999999999</v>
      </c>
      <c r="D69">
        <v>1.2509999999999999</v>
      </c>
      <c r="E69">
        <v>9.89</v>
      </c>
      <c r="F69">
        <v>9.3490000000000002</v>
      </c>
      <c r="G69">
        <v>8.1210000000000004</v>
      </c>
      <c r="H69">
        <v>5.0469999999999997</v>
      </c>
      <c r="I69">
        <v>5.0250000000000004</v>
      </c>
      <c r="J69" s="111">
        <v>1.2109999999999999E-6</v>
      </c>
      <c r="K69">
        <v>1.212</v>
      </c>
      <c r="L69" s="111">
        <v>1.358E-6</v>
      </c>
      <c r="O69" t="s">
        <v>3877</v>
      </c>
      <c r="P69">
        <v>2.0649999999999999</v>
      </c>
      <c r="Q69">
        <v>0.67689999999999995</v>
      </c>
      <c r="R69">
        <v>0.26229999999999998</v>
      </c>
      <c r="S69">
        <v>2.0339999999999998</v>
      </c>
      <c r="T69">
        <v>1.93</v>
      </c>
      <c r="U69">
        <v>1.6850000000000001</v>
      </c>
      <c r="V69">
        <v>1.171</v>
      </c>
      <c r="W69">
        <v>1.18</v>
      </c>
      <c r="X69" t="s">
        <v>3871</v>
      </c>
      <c r="Y69">
        <v>0.68110000000000004</v>
      </c>
      <c r="Z69" s="111">
        <v>1.097E-5</v>
      </c>
      <c r="AA69" s="111"/>
      <c r="AB69" s="111"/>
      <c r="AC69" s="111"/>
      <c r="AD69" s="111"/>
      <c r="AE69" s="111"/>
      <c r="AF69" s="111"/>
      <c r="AG69" s="111"/>
      <c r="AH69" s="111"/>
      <c r="AI69" s="111"/>
      <c r="AJ69" s="111"/>
      <c r="AK69" s="111"/>
      <c r="AL69" s="111"/>
      <c r="AN69" s="111"/>
      <c r="AO69" s="111"/>
    </row>
    <row r="70" spans="1:41" x14ac:dyDescent="0.55000000000000004">
      <c r="A70" t="s">
        <v>3374</v>
      </c>
      <c r="B70">
        <v>11.37</v>
      </c>
      <c r="C70">
        <v>2.4049999999999998</v>
      </c>
      <c r="D70">
        <v>1.0780000000000001</v>
      </c>
      <c r="E70">
        <v>11.22</v>
      </c>
      <c r="F70">
        <v>10.41</v>
      </c>
      <c r="G70">
        <v>8.468</v>
      </c>
      <c r="H70">
        <v>4.9989999999999997</v>
      </c>
      <c r="I70">
        <v>4.97</v>
      </c>
      <c r="J70" s="111">
        <v>1.0449999999999999E-6</v>
      </c>
      <c r="K70">
        <v>1.611</v>
      </c>
      <c r="L70" s="111">
        <v>1.9690000000000001E-6</v>
      </c>
      <c r="O70" t="s">
        <v>3878</v>
      </c>
      <c r="P70">
        <v>2.5059999999999998</v>
      </c>
      <c r="Q70">
        <v>0.76319999999999999</v>
      </c>
      <c r="R70">
        <v>0.30959999999999999</v>
      </c>
      <c r="S70">
        <v>2.464</v>
      </c>
      <c r="T70">
        <v>2.2410000000000001</v>
      </c>
      <c r="U70">
        <v>1.873</v>
      </c>
      <c r="V70">
        <v>1.4730000000000001</v>
      </c>
      <c r="W70">
        <v>1.5</v>
      </c>
      <c r="X70" t="s">
        <v>3871</v>
      </c>
      <c r="Y70">
        <v>0.62419999999999998</v>
      </c>
      <c r="Z70" s="111">
        <v>2.6039999999999998E-7</v>
      </c>
      <c r="AA70" s="111"/>
      <c r="AB70" s="111"/>
      <c r="AC70" s="111"/>
      <c r="AD70" s="111"/>
      <c r="AE70" s="111"/>
      <c r="AF70" s="111"/>
      <c r="AG70" s="111"/>
      <c r="AH70" s="111"/>
      <c r="AI70" s="111"/>
      <c r="AJ70" s="111"/>
      <c r="AK70" s="111"/>
      <c r="AL70" s="111"/>
      <c r="AN70" s="111"/>
      <c r="AO70" s="111"/>
    </row>
    <row r="71" spans="1:41" x14ac:dyDescent="0.55000000000000004">
      <c r="A71" t="s">
        <v>3375</v>
      </c>
      <c r="B71">
        <v>20.149999999999999</v>
      </c>
      <c r="C71">
        <v>4.66</v>
      </c>
      <c r="D71">
        <v>2.1509999999999998</v>
      </c>
      <c r="E71">
        <v>19.86</v>
      </c>
      <c r="F71">
        <v>18.95</v>
      </c>
      <c r="G71">
        <v>16.02</v>
      </c>
      <c r="H71">
        <v>9.6479999999999997</v>
      </c>
      <c r="I71">
        <v>9.5969999999999995</v>
      </c>
      <c r="J71" s="111">
        <v>2.0760000000000001E-5</v>
      </c>
      <c r="K71">
        <v>2.0099999999999998</v>
      </c>
      <c r="L71" s="111">
        <v>3.985E-5</v>
      </c>
      <c r="O71" t="s">
        <v>3879</v>
      </c>
      <c r="P71">
        <v>4.4119999999999999</v>
      </c>
      <c r="Q71">
        <v>0.99360000000000004</v>
      </c>
      <c r="R71">
        <v>0.38269999999999998</v>
      </c>
      <c r="S71">
        <v>4.343</v>
      </c>
      <c r="T71">
        <v>4.0039999999999996</v>
      </c>
      <c r="U71">
        <v>3.2349999999999999</v>
      </c>
      <c r="V71">
        <v>2.0960000000000001</v>
      </c>
      <c r="W71">
        <v>2.12</v>
      </c>
      <c r="X71" s="111">
        <v>5.2030000000000002E-5</v>
      </c>
      <c r="Y71">
        <v>2.2229999999999999</v>
      </c>
      <c r="Z71" s="111">
        <v>9.5929999999999998E-5</v>
      </c>
      <c r="AA71" s="111"/>
      <c r="AB71" s="111"/>
      <c r="AC71" s="111"/>
      <c r="AD71" s="111"/>
      <c r="AE71" s="111"/>
      <c r="AF71" s="111"/>
      <c r="AG71" s="111"/>
      <c r="AH71" s="111"/>
      <c r="AI71" s="111"/>
      <c r="AJ71" s="111"/>
      <c r="AK71" s="111"/>
      <c r="AL71" s="111"/>
      <c r="AN71" s="111"/>
      <c r="AO71" s="111"/>
    </row>
    <row r="72" spans="1:41" x14ac:dyDescent="0.55000000000000004">
      <c r="A72" t="s">
        <v>3376</v>
      </c>
      <c r="B72">
        <v>16.96</v>
      </c>
      <c r="C72">
        <v>4.75</v>
      </c>
      <c r="D72">
        <v>2.4900000000000002</v>
      </c>
      <c r="E72">
        <v>16.77</v>
      </c>
      <c r="F72">
        <v>15.99</v>
      </c>
      <c r="G72">
        <v>13.8</v>
      </c>
      <c r="H72">
        <v>8.6669999999999998</v>
      </c>
      <c r="I72">
        <v>8.6310000000000002</v>
      </c>
      <c r="J72" t="s">
        <v>3871</v>
      </c>
      <c r="K72">
        <v>0.46479999999999999</v>
      </c>
      <c r="L72" s="111">
        <v>1.1889999999999999E-9</v>
      </c>
      <c r="M72" s="118"/>
      <c r="N72" s="118"/>
      <c r="O72" t="s">
        <v>3880</v>
      </c>
      <c r="P72">
        <v>3.5739999999999998</v>
      </c>
      <c r="Q72">
        <v>1.117</v>
      </c>
      <c r="R72">
        <v>0.51049999999999995</v>
      </c>
      <c r="S72">
        <v>3.5169999999999999</v>
      </c>
      <c r="T72">
        <v>3.2360000000000002</v>
      </c>
      <c r="U72">
        <v>2.7490000000000001</v>
      </c>
      <c r="V72">
        <v>1.9419999999999999</v>
      </c>
      <c r="W72">
        <v>1.968</v>
      </c>
      <c r="X72" t="s">
        <v>3871</v>
      </c>
      <c r="Y72">
        <v>0.46970000000000001</v>
      </c>
      <c r="Z72" s="111">
        <v>4.2920000000000001E-7</v>
      </c>
      <c r="AA72" s="111"/>
      <c r="AB72" s="111"/>
      <c r="AC72" s="111"/>
      <c r="AD72" s="111"/>
      <c r="AE72" s="111"/>
      <c r="AF72" s="111"/>
      <c r="AG72" s="111"/>
      <c r="AH72" s="111"/>
      <c r="AI72" s="111"/>
      <c r="AJ72" s="111"/>
      <c r="AK72" s="111"/>
      <c r="AL72" s="111"/>
      <c r="AN72" s="111"/>
      <c r="AO72" s="111"/>
    </row>
    <row r="73" spans="1:41" x14ac:dyDescent="0.55000000000000004">
      <c r="A73" t="s">
        <v>3377</v>
      </c>
      <c r="B73">
        <v>7.9489999999999998</v>
      </c>
      <c r="C73">
        <v>2.0259999999999998</v>
      </c>
      <c r="D73">
        <v>1.1399999999999999</v>
      </c>
      <c r="E73">
        <v>7.8520000000000003</v>
      </c>
      <c r="F73">
        <v>7.3109999999999999</v>
      </c>
      <c r="G73">
        <v>6.12</v>
      </c>
      <c r="H73">
        <v>3.7679999999999998</v>
      </c>
      <c r="I73">
        <v>3.7509999999999999</v>
      </c>
      <c r="J73" t="s">
        <v>3871</v>
      </c>
      <c r="K73">
        <v>0.94910000000000005</v>
      </c>
      <c r="L73" s="111">
        <v>4.4690000000000001E-7</v>
      </c>
      <c r="M73" s="118"/>
      <c r="N73" s="118"/>
      <c r="O73" t="s">
        <v>3881</v>
      </c>
      <c r="P73">
        <v>3.262</v>
      </c>
      <c r="Q73">
        <v>0.6008</v>
      </c>
      <c r="R73">
        <v>0.25019999999999998</v>
      </c>
      <c r="S73">
        <v>3.19</v>
      </c>
      <c r="T73">
        <v>2.8170000000000002</v>
      </c>
      <c r="U73">
        <v>2.173</v>
      </c>
      <c r="V73">
        <v>1.321</v>
      </c>
      <c r="W73">
        <v>1.3169999999999999</v>
      </c>
      <c r="X73" s="111">
        <v>3.6329999999999999E-5</v>
      </c>
      <c r="Y73">
        <v>1.78</v>
      </c>
      <c r="Z73" s="111">
        <v>6.936E-5</v>
      </c>
      <c r="AA73" s="111"/>
      <c r="AB73" s="111"/>
      <c r="AC73" s="111"/>
      <c r="AD73" s="111"/>
      <c r="AE73" s="111"/>
      <c r="AF73" s="111"/>
      <c r="AG73" s="111"/>
      <c r="AH73" s="111"/>
      <c r="AI73" s="111"/>
      <c r="AJ73" s="111"/>
      <c r="AK73" s="111"/>
      <c r="AL73" s="111"/>
      <c r="AN73" s="111"/>
      <c r="AO73" s="111"/>
    </row>
    <row r="74" spans="1:41" x14ac:dyDescent="0.55000000000000004">
      <c r="A74" t="s">
        <v>3378</v>
      </c>
      <c r="B74">
        <v>15.54</v>
      </c>
      <c r="C74">
        <v>4.1360000000000001</v>
      </c>
      <c r="D74">
        <v>1.7749999999999999</v>
      </c>
      <c r="E74">
        <v>15.39</v>
      </c>
      <c r="F74">
        <v>14.88</v>
      </c>
      <c r="G74">
        <v>12.64</v>
      </c>
      <c r="H74">
        <v>7.8769999999999998</v>
      </c>
      <c r="I74">
        <v>7.8330000000000002</v>
      </c>
      <c r="J74" s="111">
        <v>1.5820000000000001E-6</v>
      </c>
      <c r="K74">
        <v>2.109</v>
      </c>
      <c r="L74" s="111">
        <v>2.8650000000000001E-6</v>
      </c>
      <c r="O74" t="s">
        <v>3882</v>
      </c>
      <c r="P74">
        <v>3.9870000000000001</v>
      </c>
      <c r="Q74">
        <v>1.4930000000000001</v>
      </c>
      <c r="R74">
        <v>0.57679999999999998</v>
      </c>
      <c r="S74">
        <v>3.9350000000000001</v>
      </c>
      <c r="T74">
        <v>3.6989999999999998</v>
      </c>
      <c r="U74">
        <v>3.2069999999999999</v>
      </c>
      <c r="V74">
        <v>2.3610000000000002</v>
      </c>
      <c r="W74">
        <v>2.403</v>
      </c>
      <c r="X74" t="s">
        <v>3871</v>
      </c>
      <c r="Y74">
        <v>0.41199999999999998</v>
      </c>
      <c r="Z74" s="111">
        <v>1.635E-7</v>
      </c>
      <c r="AA74" s="111"/>
      <c r="AB74" s="111"/>
      <c r="AC74" s="111"/>
      <c r="AD74" s="111"/>
      <c r="AE74" s="111"/>
      <c r="AF74" s="111"/>
      <c r="AG74" s="111"/>
      <c r="AH74" s="111"/>
      <c r="AI74" s="111"/>
      <c r="AJ74" s="111"/>
      <c r="AK74" s="111"/>
      <c r="AL74" s="111"/>
      <c r="AN74" s="111"/>
      <c r="AO74" s="111"/>
    </row>
    <row r="75" spans="1:41" x14ac:dyDescent="0.55000000000000004">
      <c r="A75" t="s">
        <v>3379</v>
      </c>
      <c r="B75">
        <v>8.6270000000000007</v>
      </c>
      <c r="C75">
        <v>2.5310000000000001</v>
      </c>
      <c r="D75">
        <v>1.4059999999999999</v>
      </c>
      <c r="E75">
        <v>8.5329999999999995</v>
      </c>
      <c r="F75">
        <v>8.2520000000000007</v>
      </c>
      <c r="G75">
        <v>7.22</v>
      </c>
      <c r="H75">
        <v>4.5359999999999996</v>
      </c>
      <c r="I75">
        <v>4.6139999999999999</v>
      </c>
      <c r="J75" t="s">
        <v>3871</v>
      </c>
      <c r="K75">
        <v>0.51200000000000001</v>
      </c>
      <c r="L75" s="111">
        <v>3.7679999999999999E-7</v>
      </c>
      <c r="O75" t="s">
        <v>3883</v>
      </c>
      <c r="P75">
        <v>7.1340000000000003</v>
      </c>
      <c r="Q75">
        <v>1.681</v>
      </c>
      <c r="R75">
        <v>0.7581</v>
      </c>
      <c r="S75">
        <v>6.9610000000000003</v>
      </c>
      <c r="T75">
        <v>6.1849999999999996</v>
      </c>
      <c r="U75">
        <v>4.9619999999999997</v>
      </c>
      <c r="V75">
        <v>3.3</v>
      </c>
      <c r="W75">
        <v>3.2919999999999998</v>
      </c>
      <c r="X75" t="s">
        <v>3871</v>
      </c>
      <c r="Y75">
        <v>0.85189999999999999</v>
      </c>
      <c r="Z75" s="111">
        <v>4.9729999999999997E-6</v>
      </c>
      <c r="AA75" s="111"/>
      <c r="AB75" s="111"/>
      <c r="AC75" s="111"/>
      <c r="AD75" s="111"/>
      <c r="AE75" s="111"/>
      <c r="AF75" s="111"/>
      <c r="AG75" s="111"/>
      <c r="AH75" s="111"/>
      <c r="AI75" s="111"/>
      <c r="AJ75" s="111"/>
      <c r="AK75" s="111"/>
      <c r="AL75" s="111"/>
      <c r="AN75" s="111"/>
      <c r="AO75" s="111"/>
    </row>
    <row r="76" spans="1:41" x14ac:dyDescent="0.55000000000000004">
      <c r="A76" t="s">
        <v>3380</v>
      </c>
      <c r="B76">
        <v>20.32</v>
      </c>
      <c r="C76">
        <v>4.9320000000000004</v>
      </c>
      <c r="D76">
        <v>2.2509999999999999</v>
      </c>
      <c r="E76">
        <v>20.18</v>
      </c>
      <c r="F76">
        <v>19.260000000000002</v>
      </c>
      <c r="G76">
        <v>16.420000000000002</v>
      </c>
      <c r="H76">
        <v>10.3</v>
      </c>
      <c r="I76">
        <v>10.25</v>
      </c>
      <c r="J76" s="111">
        <v>3.8E-6</v>
      </c>
      <c r="K76">
        <v>1.125</v>
      </c>
      <c r="L76" s="111">
        <v>5.4219999999999999E-6</v>
      </c>
      <c r="O76" t="s">
        <v>3884</v>
      </c>
      <c r="P76">
        <v>1.367</v>
      </c>
      <c r="Q76">
        <v>0.57420000000000004</v>
      </c>
      <c r="R76">
        <v>0.22770000000000001</v>
      </c>
      <c r="S76">
        <v>1.351</v>
      </c>
      <c r="T76">
        <v>1.268</v>
      </c>
      <c r="U76">
        <v>1.1819999999999999</v>
      </c>
      <c r="V76">
        <v>1.0069999999999999</v>
      </c>
      <c r="W76">
        <v>1.012</v>
      </c>
      <c r="X76" t="s">
        <v>3871</v>
      </c>
      <c r="Y76">
        <v>0.19450000000000001</v>
      </c>
      <c r="Z76" s="111">
        <v>1.4170000000000001E-10</v>
      </c>
      <c r="AA76" s="111"/>
      <c r="AB76" s="111"/>
      <c r="AC76" s="111"/>
      <c r="AD76" s="111"/>
      <c r="AE76" s="111"/>
      <c r="AF76" s="111"/>
      <c r="AG76" s="111"/>
      <c r="AH76" s="111"/>
      <c r="AI76" s="111"/>
      <c r="AJ76" s="111"/>
      <c r="AK76" s="111"/>
      <c r="AL76" s="111"/>
      <c r="AN76" s="111"/>
      <c r="AO76" s="111"/>
    </row>
    <row r="77" spans="1:41" x14ac:dyDescent="0.55000000000000004">
      <c r="A77" t="s">
        <v>3381</v>
      </c>
      <c r="B77">
        <v>8.8569999999999993</v>
      </c>
      <c r="C77">
        <v>2.8159999999999998</v>
      </c>
      <c r="D77">
        <v>1.4610000000000001</v>
      </c>
      <c r="E77">
        <v>8.7880000000000003</v>
      </c>
      <c r="F77">
        <v>8.3629999999999995</v>
      </c>
      <c r="G77">
        <v>7.3250000000000002</v>
      </c>
      <c r="H77">
        <v>4.7450000000000001</v>
      </c>
      <c r="I77">
        <v>4.726</v>
      </c>
      <c r="J77" t="s">
        <v>3871</v>
      </c>
      <c r="K77">
        <v>0.2369</v>
      </c>
      <c r="L77" s="111">
        <v>4.595E-11</v>
      </c>
      <c r="M77" s="118"/>
      <c r="N77" s="118"/>
      <c r="O77" t="s">
        <v>3885</v>
      </c>
      <c r="P77">
        <v>6.0830000000000002</v>
      </c>
      <c r="Q77">
        <v>1.288</v>
      </c>
      <c r="R77">
        <v>0.56169999999999998</v>
      </c>
      <c r="S77">
        <v>5.9690000000000003</v>
      </c>
      <c r="T77">
        <v>5.2859999999999996</v>
      </c>
      <c r="U77">
        <v>4.1360000000000001</v>
      </c>
      <c r="V77">
        <v>2.589</v>
      </c>
      <c r="W77">
        <v>2.625</v>
      </c>
      <c r="X77" s="111">
        <v>6.3080000000000004E-6</v>
      </c>
      <c r="Y77">
        <v>1.177</v>
      </c>
      <c r="Z77" s="111">
        <v>7.542E-6</v>
      </c>
      <c r="AA77" s="111"/>
      <c r="AB77" s="111"/>
      <c r="AC77" s="111"/>
      <c r="AD77" s="111"/>
      <c r="AE77" s="111"/>
      <c r="AF77" s="111"/>
      <c r="AG77" s="111"/>
      <c r="AH77" s="111"/>
      <c r="AI77" s="111"/>
      <c r="AJ77" s="111"/>
      <c r="AK77" s="111"/>
      <c r="AL77" s="111"/>
      <c r="AN77" s="111"/>
      <c r="AO77" s="111"/>
    </row>
    <row r="78" spans="1:41" x14ac:dyDescent="0.55000000000000004">
      <c r="A78" t="s">
        <v>3382</v>
      </c>
      <c r="B78">
        <v>11.11</v>
      </c>
      <c r="C78">
        <v>2.9129999999999998</v>
      </c>
      <c r="D78">
        <v>1.3979999999999999</v>
      </c>
      <c r="E78">
        <v>10.98</v>
      </c>
      <c r="F78">
        <v>10.41</v>
      </c>
      <c r="G78">
        <v>8.8629999999999995</v>
      </c>
      <c r="H78">
        <v>5.4470000000000001</v>
      </c>
      <c r="I78">
        <v>5.4169999999999998</v>
      </c>
      <c r="J78" t="s">
        <v>3871</v>
      </c>
      <c r="K78">
        <v>0.3861</v>
      </c>
      <c r="L78" s="111">
        <v>2.754E-8</v>
      </c>
      <c r="O78" t="s">
        <v>3886</v>
      </c>
      <c r="P78">
        <v>5.4770000000000003</v>
      </c>
      <c r="Q78">
        <v>0.94059999999999999</v>
      </c>
      <c r="R78">
        <v>0.40329999999999999</v>
      </c>
      <c r="S78">
        <v>5.3760000000000003</v>
      </c>
      <c r="T78">
        <v>4.7519999999999998</v>
      </c>
      <c r="U78">
        <v>3.508</v>
      </c>
      <c r="V78">
        <v>2.0649999999999999</v>
      </c>
      <c r="W78">
        <v>2.0569999999999999</v>
      </c>
      <c r="X78" t="s">
        <v>3871</v>
      </c>
      <c r="Y78">
        <v>0.53300000000000003</v>
      </c>
      <c r="Z78" s="111">
        <v>1.311E-7</v>
      </c>
      <c r="AA78" s="111"/>
      <c r="AB78" s="111"/>
      <c r="AC78" s="111"/>
      <c r="AD78" s="111"/>
      <c r="AE78" s="111"/>
      <c r="AF78" s="111"/>
      <c r="AG78" s="111"/>
      <c r="AH78" s="111"/>
      <c r="AI78" s="111"/>
      <c r="AJ78" s="111"/>
      <c r="AK78" s="111"/>
      <c r="AL78" s="111"/>
      <c r="AN78" s="111"/>
      <c r="AO78" s="111"/>
    </row>
    <row r="79" spans="1:41" x14ac:dyDescent="0.55000000000000004">
      <c r="A79" t="s">
        <v>3383</v>
      </c>
      <c r="B79">
        <v>7.8230000000000004</v>
      </c>
      <c r="C79">
        <v>2.3069999999999999</v>
      </c>
      <c r="D79">
        <v>1.105</v>
      </c>
      <c r="E79">
        <v>7.7480000000000002</v>
      </c>
      <c r="F79">
        <v>7.3540000000000001</v>
      </c>
      <c r="G79">
        <v>6.2750000000000004</v>
      </c>
      <c r="H79">
        <v>4.0039999999999996</v>
      </c>
      <c r="I79">
        <v>3.984</v>
      </c>
      <c r="J79" t="s">
        <v>3871</v>
      </c>
      <c r="K79" s="111">
        <v>4.4940000000000001E-2</v>
      </c>
      <c r="L79" s="111">
        <v>5.9960000000000003E-21</v>
      </c>
      <c r="M79" s="118"/>
      <c r="N79" s="118"/>
      <c r="O79" t="s">
        <v>3887</v>
      </c>
      <c r="P79">
        <v>1.2549999999999999</v>
      </c>
      <c r="Q79">
        <v>0.2611</v>
      </c>
      <c r="R79" s="111">
        <v>8.9429999999999996E-2</v>
      </c>
      <c r="S79">
        <v>1.2370000000000001</v>
      </c>
      <c r="T79">
        <v>1.123</v>
      </c>
      <c r="U79">
        <v>0.88119999999999998</v>
      </c>
      <c r="V79">
        <v>0.5413</v>
      </c>
      <c r="W79">
        <v>0.54710000000000003</v>
      </c>
      <c r="X79" t="s">
        <v>3871</v>
      </c>
      <c r="Y79" s="111">
        <v>2.2030000000000001E-3</v>
      </c>
      <c r="Z79" s="111">
        <v>5.6220000000000001E-42</v>
      </c>
      <c r="AA79" s="111"/>
      <c r="AB79" s="111"/>
      <c r="AC79" s="111"/>
      <c r="AD79" s="111"/>
      <c r="AE79" s="111"/>
      <c r="AF79" s="111"/>
      <c r="AG79" s="111"/>
      <c r="AH79" s="111"/>
      <c r="AI79" s="111"/>
      <c r="AJ79" s="111"/>
      <c r="AK79" s="111"/>
      <c r="AL79" s="111"/>
      <c r="AN79" s="111"/>
      <c r="AO79" s="111"/>
    </row>
    <row r="80" spans="1:41" x14ac:dyDescent="0.55000000000000004">
      <c r="A80" t="s">
        <v>3384</v>
      </c>
      <c r="B80">
        <v>6.7839999999999998</v>
      </c>
      <c r="C80">
        <v>1.601</v>
      </c>
      <c r="D80">
        <v>0.79149999999999998</v>
      </c>
      <c r="E80">
        <v>6.7119999999999997</v>
      </c>
      <c r="F80">
        <v>6.383</v>
      </c>
      <c r="G80">
        <v>5.3570000000000002</v>
      </c>
      <c r="H80">
        <v>3.246</v>
      </c>
      <c r="I80">
        <v>3.2280000000000002</v>
      </c>
      <c r="J80" t="s">
        <v>3871</v>
      </c>
      <c r="K80" s="111">
        <v>4.9430000000000003E-3</v>
      </c>
      <c r="L80" s="111">
        <v>7.7000000000000006E-30</v>
      </c>
      <c r="O80" t="s">
        <v>3888</v>
      </c>
      <c r="P80">
        <v>0.3518</v>
      </c>
      <c r="Q80">
        <v>0.16889999999999999</v>
      </c>
      <c r="R80" s="111">
        <v>5.6640000000000003E-2</v>
      </c>
      <c r="S80">
        <v>0.34960000000000002</v>
      </c>
      <c r="T80">
        <v>0.34079999999999999</v>
      </c>
      <c r="U80">
        <v>0.3407</v>
      </c>
      <c r="V80">
        <v>0.32590000000000002</v>
      </c>
      <c r="W80">
        <v>0.3322</v>
      </c>
      <c r="X80" t="s">
        <v>3871</v>
      </c>
      <c r="Y80" s="111">
        <v>4.1439999999999998E-2</v>
      </c>
      <c r="Z80" s="111">
        <v>1.2300000000000001E-20</v>
      </c>
      <c r="AA80" s="111"/>
      <c r="AB80" s="111"/>
      <c r="AC80" s="111"/>
      <c r="AD80" s="111"/>
      <c r="AE80" s="111"/>
      <c r="AF80" s="111"/>
      <c r="AG80" s="111"/>
      <c r="AH80" s="111"/>
      <c r="AI80" s="111"/>
      <c r="AJ80" s="111"/>
      <c r="AK80" s="111"/>
      <c r="AL80" s="111"/>
      <c r="AN80" s="111"/>
      <c r="AO80" s="111"/>
    </row>
    <row r="81" spans="1:41" x14ac:dyDescent="0.55000000000000004">
      <c r="A81" t="s">
        <v>3385</v>
      </c>
      <c r="B81">
        <v>8.7349999999999994</v>
      </c>
      <c r="C81">
        <v>1.78</v>
      </c>
      <c r="D81">
        <v>0.89449999999999996</v>
      </c>
      <c r="E81">
        <v>8.6120000000000001</v>
      </c>
      <c r="F81">
        <v>7.9649999999999999</v>
      </c>
      <c r="G81">
        <v>6.6040000000000001</v>
      </c>
      <c r="H81">
        <v>3.9009999999999998</v>
      </c>
      <c r="I81">
        <v>3.88</v>
      </c>
      <c r="J81" t="s">
        <v>3871</v>
      </c>
      <c r="K81">
        <v>0.3569</v>
      </c>
      <c r="L81" s="111">
        <v>2.1069999999999999E-8</v>
      </c>
      <c r="O81" t="s">
        <v>3889</v>
      </c>
      <c r="P81">
        <v>0.98319999999999996</v>
      </c>
      <c r="Q81">
        <v>0.17560000000000001</v>
      </c>
      <c r="R81" s="111">
        <v>5.1330000000000001E-2</v>
      </c>
      <c r="S81">
        <v>0.95660000000000001</v>
      </c>
      <c r="T81">
        <v>0.82069999999999999</v>
      </c>
      <c r="U81">
        <v>0.64180000000000004</v>
      </c>
      <c r="V81">
        <v>0.40720000000000001</v>
      </c>
      <c r="W81">
        <v>0.4098</v>
      </c>
      <c r="X81" t="s">
        <v>3871</v>
      </c>
      <c r="Y81" s="111">
        <v>1.593E-3</v>
      </c>
      <c r="Z81">
        <v>0</v>
      </c>
      <c r="AA81" s="111"/>
      <c r="AB81" s="111"/>
      <c r="AC81" s="111"/>
      <c r="AD81" s="111"/>
      <c r="AE81" s="111"/>
      <c r="AF81" s="111"/>
      <c r="AG81" s="111"/>
      <c r="AH81" s="111"/>
      <c r="AI81" s="111"/>
      <c r="AJ81" s="111"/>
      <c r="AK81" s="111"/>
      <c r="AL81" s="111"/>
      <c r="AN81" s="111"/>
      <c r="AO81" s="111"/>
    </row>
    <row r="82" spans="1:41" x14ac:dyDescent="0.55000000000000004">
      <c r="A82" t="s">
        <v>3386</v>
      </c>
      <c r="B82">
        <v>1.905</v>
      </c>
      <c r="C82">
        <v>0.40820000000000001</v>
      </c>
      <c r="D82">
        <v>0.37809999999999999</v>
      </c>
      <c r="E82">
        <v>1.869</v>
      </c>
      <c r="F82">
        <v>1.677</v>
      </c>
      <c r="G82">
        <v>1.2709999999999999</v>
      </c>
      <c r="H82">
        <v>0.76639999999999997</v>
      </c>
      <c r="I82">
        <v>0.76139999999999997</v>
      </c>
      <c r="J82" t="s">
        <v>3871</v>
      </c>
      <c r="K82" s="111">
        <v>7.1529999999999996E-3</v>
      </c>
      <c r="L82" s="111">
        <v>4.1340000000000002E-38</v>
      </c>
      <c r="M82" s="118"/>
      <c r="N82" s="118"/>
      <c r="O82" t="s">
        <v>3890</v>
      </c>
      <c r="P82">
        <v>0.62129999999999996</v>
      </c>
      <c r="Q82">
        <v>0.22289999999999999</v>
      </c>
      <c r="R82" s="111">
        <v>6.8019999999999997E-2</v>
      </c>
      <c r="S82">
        <v>0.61409999999999998</v>
      </c>
      <c r="T82">
        <v>0.57720000000000005</v>
      </c>
      <c r="U82">
        <v>0.50839999999999996</v>
      </c>
      <c r="V82">
        <v>0.40689999999999998</v>
      </c>
      <c r="W82">
        <v>0.40739999999999998</v>
      </c>
      <c r="X82" t="s">
        <v>3871</v>
      </c>
      <c r="Y82" s="111">
        <v>6.7169999999999994E-2</v>
      </c>
      <c r="Z82" s="111">
        <v>8.7820000000000003E-17</v>
      </c>
      <c r="AA82" s="111"/>
      <c r="AB82" s="111"/>
      <c r="AC82" s="111"/>
      <c r="AD82" s="111"/>
      <c r="AE82" s="111"/>
      <c r="AF82" s="111"/>
      <c r="AG82" s="111"/>
      <c r="AH82" s="111"/>
      <c r="AI82" s="111"/>
      <c r="AJ82" s="111"/>
      <c r="AK82" s="111"/>
      <c r="AL82" s="111"/>
      <c r="AN82" s="111"/>
      <c r="AO82" s="111"/>
    </row>
    <row r="83" spans="1:41" x14ac:dyDescent="0.55000000000000004">
      <c r="A83" t="s">
        <v>3387</v>
      </c>
      <c r="B83">
        <v>4.5090000000000003</v>
      </c>
      <c r="C83">
        <v>1.8129999999999999</v>
      </c>
      <c r="D83">
        <v>1.0720000000000001</v>
      </c>
      <c r="E83">
        <v>4.484</v>
      </c>
      <c r="F83">
        <v>4.33</v>
      </c>
      <c r="G83">
        <v>3.911</v>
      </c>
      <c r="H83">
        <v>2.7709999999999999</v>
      </c>
      <c r="I83">
        <v>2.82</v>
      </c>
      <c r="J83" t="s">
        <v>3871</v>
      </c>
      <c r="K83" s="111">
        <v>1.01E-2</v>
      </c>
      <c r="L83" s="111">
        <v>6.3069999999999995E-33</v>
      </c>
      <c r="M83" s="118"/>
      <c r="N83" s="118"/>
      <c r="O83" t="s">
        <v>3891</v>
      </c>
      <c r="P83">
        <v>3.44</v>
      </c>
      <c r="Q83">
        <v>1.347</v>
      </c>
      <c r="R83">
        <v>0.54710000000000003</v>
      </c>
      <c r="S83">
        <v>3.4140000000000001</v>
      </c>
      <c r="T83">
        <v>3.2869999999999999</v>
      </c>
      <c r="U83">
        <v>3.012</v>
      </c>
      <c r="V83">
        <v>2.1309999999999998</v>
      </c>
      <c r="W83">
        <v>2.1320000000000001</v>
      </c>
      <c r="X83" s="111">
        <v>2.497E-4</v>
      </c>
      <c r="Y83">
        <v>2.6749999999999998</v>
      </c>
      <c r="Z83" s="111">
        <v>6.3100000000000005E-4</v>
      </c>
      <c r="AA83" s="111"/>
      <c r="AB83" s="111"/>
      <c r="AC83" s="111"/>
      <c r="AD83" s="111"/>
      <c r="AE83" s="111"/>
      <c r="AF83" s="111"/>
      <c r="AG83" s="111"/>
      <c r="AH83" s="111"/>
      <c r="AI83" s="111"/>
      <c r="AJ83" s="111"/>
      <c r="AK83" s="111"/>
      <c r="AL83" s="111"/>
      <c r="AN83" s="111"/>
      <c r="AO83" s="111"/>
    </row>
    <row r="84" spans="1:41" x14ac:dyDescent="0.55000000000000004">
      <c r="A84" t="s">
        <v>3388</v>
      </c>
      <c r="B84">
        <v>1.806</v>
      </c>
      <c r="C84">
        <v>0.36470000000000002</v>
      </c>
      <c r="D84">
        <v>0.3463</v>
      </c>
      <c r="E84">
        <v>1.7729999999999999</v>
      </c>
      <c r="F84">
        <v>1.6080000000000001</v>
      </c>
      <c r="G84">
        <v>1.236</v>
      </c>
      <c r="H84">
        <v>0.72589999999999999</v>
      </c>
      <c r="I84">
        <v>0.7208</v>
      </c>
      <c r="J84" t="s">
        <v>3871</v>
      </c>
      <c r="K84" s="111">
        <v>1.072E-3</v>
      </c>
      <c r="L84" s="111">
        <v>3.3569999999999999E-81</v>
      </c>
      <c r="M84" s="118"/>
      <c r="N84" s="118"/>
      <c r="O84" t="s">
        <v>3892</v>
      </c>
      <c r="P84">
        <v>2.528</v>
      </c>
      <c r="Q84">
        <v>0.79149999999999998</v>
      </c>
      <c r="R84">
        <v>0.32240000000000002</v>
      </c>
      <c r="S84">
        <v>2.5009999999999999</v>
      </c>
      <c r="T84">
        <v>2.3780000000000001</v>
      </c>
      <c r="U84">
        <v>2.1859999999999999</v>
      </c>
      <c r="V84">
        <v>1.486</v>
      </c>
      <c r="W84">
        <v>1.4770000000000001</v>
      </c>
      <c r="X84" t="s">
        <v>3871</v>
      </c>
      <c r="Y84">
        <v>0.27579999999999999</v>
      </c>
      <c r="Z84" s="111">
        <v>2.206E-7</v>
      </c>
      <c r="AA84" s="111"/>
      <c r="AB84" s="111"/>
      <c r="AC84" s="111"/>
      <c r="AD84" s="111"/>
      <c r="AE84" s="111"/>
      <c r="AF84" s="111"/>
      <c r="AG84" s="111"/>
      <c r="AH84" s="111"/>
      <c r="AI84" s="111"/>
      <c r="AJ84" s="111"/>
      <c r="AK84" s="111"/>
      <c r="AL84" s="111"/>
      <c r="AN84" s="111"/>
      <c r="AO84" s="111"/>
    </row>
    <row r="85" spans="1:41" x14ac:dyDescent="0.55000000000000004">
      <c r="A85" t="s">
        <v>3389</v>
      </c>
      <c r="B85">
        <v>11.25</v>
      </c>
      <c r="C85">
        <v>3.9220000000000002</v>
      </c>
      <c r="D85">
        <v>1.718</v>
      </c>
      <c r="E85">
        <v>11.21</v>
      </c>
      <c r="F85">
        <v>10.87</v>
      </c>
      <c r="G85">
        <v>9.8539999999999992</v>
      </c>
      <c r="H85">
        <v>6.5990000000000002</v>
      </c>
      <c r="I85">
        <v>6.5720000000000001</v>
      </c>
      <c r="J85" t="s">
        <v>3871</v>
      </c>
      <c r="K85" s="111">
        <v>8.7120000000000003E-2</v>
      </c>
      <c r="L85" s="111">
        <v>4.7970000000000004E-19</v>
      </c>
      <c r="O85" t="s">
        <v>3893</v>
      </c>
      <c r="P85">
        <v>3.7639999999999998</v>
      </c>
      <c r="Q85">
        <v>0.80630000000000002</v>
      </c>
      <c r="R85">
        <v>0.32950000000000002</v>
      </c>
      <c r="S85">
        <v>3.6930000000000001</v>
      </c>
      <c r="T85">
        <v>3.3570000000000002</v>
      </c>
      <c r="U85">
        <v>2.7320000000000002</v>
      </c>
      <c r="V85">
        <v>1.69</v>
      </c>
      <c r="W85">
        <v>1.63</v>
      </c>
      <c r="X85" s="111">
        <v>8.5539999999999998E-5</v>
      </c>
      <c r="Y85">
        <v>1.464</v>
      </c>
      <c r="Z85" s="111">
        <v>1.047E-4</v>
      </c>
      <c r="AA85" s="111"/>
      <c r="AB85" s="111"/>
      <c r="AC85" s="111"/>
      <c r="AD85" s="111"/>
      <c r="AE85" s="111"/>
      <c r="AF85" s="111"/>
      <c r="AG85" s="111"/>
      <c r="AH85" s="111"/>
      <c r="AI85" s="111"/>
      <c r="AJ85" s="111"/>
      <c r="AK85" s="111"/>
      <c r="AL85" s="111"/>
      <c r="AN85" s="111"/>
      <c r="AO85" s="111"/>
    </row>
    <row r="86" spans="1:41" x14ac:dyDescent="0.55000000000000004">
      <c r="A86" t="s">
        <v>3390</v>
      </c>
      <c r="B86">
        <v>2.222</v>
      </c>
      <c r="C86">
        <v>0.82240000000000002</v>
      </c>
      <c r="D86">
        <v>0.76939999999999997</v>
      </c>
      <c r="E86">
        <v>2.2050000000000001</v>
      </c>
      <c r="F86">
        <v>2.11</v>
      </c>
      <c r="G86">
        <v>1.885</v>
      </c>
      <c r="H86">
        <v>1.292</v>
      </c>
      <c r="I86">
        <v>1.288</v>
      </c>
      <c r="J86" t="s">
        <v>3871</v>
      </c>
      <c r="K86" s="111">
        <v>5.4149999999999997E-3</v>
      </c>
      <c r="L86" s="111">
        <v>1.469E-38</v>
      </c>
      <c r="O86" t="s">
        <v>3894</v>
      </c>
      <c r="P86">
        <v>24.13</v>
      </c>
      <c r="Q86">
        <v>5.2510000000000003</v>
      </c>
      <c r="R86">
        <v>2.5750000000000002</v>
      </c>
      <c r="S86">
        <v>23.92</v>
      </c>
      <c r="T86">
        <v>17.920000000000002</v>
      </c>
      <c r="U86">
        <v>15.09</v>
      </c>
      <c r="V86">
        <v>10.06</v>
      </c>
      <c r="W86">
        <v>10.029999999999999</v>
      </c>
      <c r="X86" s="111">
        <v>5.587E-3</v>
      </c>
      <c r="Y86">
        <v>1.7549999999999999</v>
      </c>
      <c r="Z86" s="111">
        <v>5.9649999999999998E-3</v>
      </c>
      <c r="AA86" s="111"/>
      <c r="AB86" s="111"/>
      <c r="AC86" s="111"/>
      <c r="AD86" s="111"/>
      <c r="AE86" s="111"/>
      <c r="AF86" s="111"/>
      <c r="AG86" s="111"/>
      <c r="AH86" s="111"/>
      <c r="AI86" s="111"/>
      <c r="AJ86" s="111"/>
      <c r="AK86" s="111"/>
      <c r="AL86" s="111"/>
      <c r="AN86" s="111"/>
      <c r="AO86" s="111"/>
    </row>
    <row r="87" spans="1:41" x14ac:dyDescent="0.55000000000000004">
      <c r="A87" t="s">
        <v>3391</v>
      </c>
      <c r="B87">
        <v>1.865</v>
      </c>
      <c r="C87">
        <v>0.50090000000000001</v>
      </c>
      <c r="D87">
        <v>0.46089999999999998</v>
      </c>
      <c r="E87">
        <v>1.84</v>
      </c>
      <c r="F87">
        <v>1.6970000000000001</v>
      </c>
      <c r="G87">
        <v>1.3839999999999999</v>
      </c>
      <c r="H87">
        <v>0.85719999999999996</v>
      </c>
      <c r="I87">
        <v>0.85289999999999999</v>
      </c>
      <c r="J87" t="s">
        <v>3871</v>
      </c>
      <c r="K87" s="111">
        <v>5.8050000000000003E-3</v>
      </c>
      <c r="L87" s="111">
        <v>4.3289999999999998E-42</v>
      </c>
      <c r="M87" s="118"/>
      <c r="N87" s="118"/>
      <c r="O87" t="s">
        <v>3895</v>
      </c>
      <c r="P87">
        <v>23.54</v>
      </c>
      <c r="Q87">
        <v>5.66</v>
      </c>
      <c r="R87">
        <v>2.7519999999999998</v>
      </c>
      <c r="S87">
        <v>23.5</v>
      </c>
      <c r="T87">
        <v>16.47</v>
      </c>
      <c r="U87">
        <v>14.27</v>
      </c>
      <c r="V87">
        <v>10.029999999999999</v>
      </c>
      <c r="W87">
        <v>10.01</v>
      </c>
      <c r="X87" t="s">
        <v>3871</v>
      </c>
      <c r="Y87">
        <v>0.59630000000000005</v>
      </c>
      <c r="Z87" s="111">
        <v>2.8560000000000001E-5</v>
      </c>
      <c r="AA87" s="111"/>
      <c r="AB87" s="111"/>
      <c r="AC87" s="111"/>
      <c r="AD87" s="111"/>
      <c r="AE87" s="111"/>
      <c r="AF87" s="111"/>
      <c r="AG87" s="111"/>
      <c r="AH87" s="111"/>
      <c r="AI87" s="111"/>
      <c r="AJ87" s="111"/>
      <c r="AK87" s="111"/>
      <c r="AL87" s="111"/>
      <c r="AN87" s="111"/>
      <c r="AO87" s="111"/>
    </row>
    <row r="88" spans="1:41" x14ac:dyDescent="0.55000000000000004">
      <c r="A88" t="s">
        <v>3392</v>
      </c>
      <c r="B88">
        <v>30.63</v>
      </c>
      <c r="C88">
        <v>10.5</v>
      </c>
      <c r="D88">
        <v>7.7149999999999999</v>
      </c>
      <c r="E88">
        <v>30.05</v>
      </c>
      <c r="F88">
        <v>27.67</v>
      </c>
      <c r="G88">
        <v>23.39</v>
      </c>
      <c r="H88">
        <v>16.12</v>
      </c>
      <c r="I88">
        <v>16.059999999999999</v>
      </c>
      <c r="J88" s="111">
        <v>4.9899999999999999E-4</v>
      </c>
      <c r="K88">
        <v>1.5620000000000001</v>
      </c>
      <c r="L88" s="111">
        <v>6.6629999999999999E-4</v>
      </c>
      <c r="M88" s="118"/>
      <c r="N88" s="118"/>
      <c r="O88" t="s">
        <v>3896</v>
      </c>
      <c r="P88">
        <v>6.8710000000000004</v>
      </c>
      <c r="Q88">
        <v>1.37</v>
      </c>
      <c r="R88">
        <v>0.48060000000000003</v>
      </c>
      <c r="S88">
        <v>6.875</v>
      </c>
      <c r="T88">
        <v>5.01</v>
      </c>
      <c r="U88">
        <v>4.3319999999999999</v>
      </c>
      <c r="V88">
        <v>2.7450000000000001</v>
      </c>
      <c r="W88">
        <v>2.7360000000000002</v>
      </c>
      <c r="X88" t="s">
        <v>3871</v>
      </c>
      <c r="Y88">
        <v>0.1195</v>
      </c>
      <c r="Z88" s="111">
        <v>4.8710000000000001E-14</v>
      </c>
      <c r="AA88" s="111"/>
      <c r="AB88" s="111"/>
      <c r="AC88" s="111"/>
      <c r="AD88" s="111"/>
      <c r="AE88" s="111"/>
      <c r="AF88" s="111"/>
      <c r="AG88" s="111"/>
      <c r="AH88" s="111"/>
      <c r="AI88" s="111"/>
      <c r="AJ88" s="111"/>
      <c r="AK88" s="111"/>
      <c r="AL88" s="111"/>
      <c r="AN88" s="111"/>
      <c r="AO88" s="111"/>
    </row>
    <row r="89" spans="1:41" x14ac:dyDescent="0.55000000000000004">
      <c r="A89" t="s">
        <v>3393</v>
      </c>
      <c r="B89">
        <v>37.229999999999997</v>
      </c>
      <c r="C89">
        <v>10.89</v>
      </c>
      <c r="D89">
        <v>7.5659999999999998</v>
      </c>
      <c r="E89">
        <v>36.46</v>
      </c>
      <c r="F89">
        <v>32.880000000000003</v>
      </c>
      <c r="G89">
        <v>26.78</v>
      </c>
      <c r="H89">
        <v>19.75</v>
      </c>
      <c r="I89">
        <v>19.88</v>
      </c>
      <c r="J89" s="111">
        <v>3.5729999999999998E-5</v>
      </c>
      <c r="K89">
        <v>1.268</v>
      </c>
      <c r="L89" s="111">
        <v>3.7610000000000001E-5</v>
      </c>
      <c r="O89" t="s">
        <v>3897</v>
      </c>
      <c r="P89">
        <v>3.2240000000000002</v>
      </c>
      <c r="Q89">
        <v>0.69620000000000004</v>
      </c>
      <c r="R89">
        <v>0.22539999999999999</v>
      </c>
      <c r="S89">
        <v>3.1549999999999998</v>
      </c>
      <c r="T89">
        <v>2.7010000000000001</v>
      </c>
      <c r="U89">
        <v>2.3140000000000001</v>
      </c>
      <c r="V89">
        <v>1.417</v>
      </c>
      <c r="W89">
        <v>1.4119999999999999</v>
      </c>
      <c r="X89" t="s">
        <v>3871</v>
      </c>
      <c r="Y89">
        <v>0.1295</v>
      </c>
      <c r="Z89" s="111">
        <v>1.102E-13</v>
      </c>
      <c r="AA89" s="111"/>
      <c r="AB89" s="111"/>
      <c r="AC89" s="111"/>
      <c r="AD89" s="111"/>
      <c r="AE89" s="111"/>
      <c r="AF89" s="111"/>
      <c r="AG89" s="111"/>
      <c r="AH89" s="111"/>
      <c r="AI89" s="111"/>
      <c r="AJ89" s="111"/>
      <c r="AK89" s="111"/>
      <c r="AL89" s="111"/>
      <c r="AN89" s="111"/>
      <c r="AO89" s="111"/>
    </row>
    <row r="90" spans="1:41" x14ac:dyDescent="0.55000000000000004">
      <c r="A90" t="s">
        <v>3394</v>
      </c>
      <c r="B90">
        <v>33.18</v>
      </c>
      <c r="C90">
        <v>8.3420000000000005</v>
      </c>
      <c r="D90">
        <v>5.5570000000000004</v>
      </c>
      <c r="E90">
        <v>32.36</v>
      </c>
      <c r="F90">
        <v>29.54</v>
      </c>
      <c r="G90">
        <v>23.47</v>
      </c>
      <c r="H90">
        <v>14.53</v>
      </c>
      <c r="I90">
        <v>14.64</v>
      </c>
      <c r="J90" s="111">
        <v>4.3050000000000003E-5</v>
      </c>
      <c r="K90">
        <v>1.7070000000000001</v>
      </c>
      <c r="L90" s="111">
        <v>7.0640000000000001E-5</v>
      </c>
      <c r="O90" t="s">
        <v>3898</v>
      </c>
      <c r="P90">
        <v>2.6150000000000002</v>
      </c>
      <c r="Q90">
        <v>0.54849999999999999</v>
      </c>
      <c r="R90">
        <v>0.16</v>
      </c>
      <c r="S90">
        <v>2.5369999999999999</v>
      </c>
      <c r="T90">
        <v>2.1709999999999998</v>
      </c>
      <c r="U90">
        <v>2.0259999999999998</v>
      </c>
      <c r="V90">
        <v>1.44</v>
      </c>
      <c r="W90">
        <v>1.431</v>
      </c>
      <c r="X90" t="s">
        <v>3871</v>
      </c>
      <c r="Y90">
        <v>0</v>
      </c>
      <c r="Z90">
        <v>0</v>
      </c>
      <c r="AA90" s="111"/>
      <c r="AB90" s="111"/>
      <c r="AC90" s="111"/>
      <c r="AD90" s="111"/>
      <c r="AE90" s="111"/>
      <c r="AF90" s="111"/>
      <c r="AG90" s="111"/>
      <c r="AH90" s="111"/>
      <c r="AI90" s="111"/>
      <c r="AJ90" s="111"/>
      <c r="AK90" s="111"/>
      <c r="AL90" s="111"/>
      <c r="AN90" s="111"/>
      <c r="AO90" s="111"/>
    </row>
    <row r="91" spans="1:41" x14ac:dyDescent="0.55000000000000004">
      <c r="A91" t="s">
        <v>3395</v>
      </c>
      <c r="B91">
        <v>20.010000000000002</v>
      </c>
      <c r="C91">
        <v>5.1870000000000003</v>
      </c>
      <c r="D91">
        <v>3.919</v>
      </c>
      <c r="E91">
        <v>19.53</v>
      </c>
      <c r="F91">
        <v>17.61</v>
      </c>
      <c r="G91">
        <v>14.27</v>
      </c>
      <c r="H91">
        <v>8.8949999999999996</v>
      </c>
      <c r="I91">
        <v>9.0549999999999997</v>
      </c>
      <c r="J91" s="111">
        <v>1.331E-5</v>
      </c>
      <c r="K91">
        <v>1.714</v>
      </c>
      <c r="L91" s="111">
        <v>2.8249999999999999E-5</v>
      </c>
      <c r="O91" t="s">
        <v>3899</v>
      </c>
      <c r="P91">
        <v>15.88</v>
      </c>
      <c r="Q91">
        <v>6.49</v>
      </c>
      <c r="R91">
        <v>3.1240000000000001</v>
      </c>
      <c r="S91">
        <v>15.84</v>
      </c>
      <c r="T91">
        <v>13.42</v>
      </c>
      <c r="U91">
        <v>12.77</v>
      </c>
      <c r="V91">
        <v>9.5449999999999999</v>
      </c>
      <c r="W91">
        <v>9.5299999999999994</v>
      </c>
      <c r="X91" t="s">
        <v>3871</v>
      </c>
      <c r="Y91">
        <v>0.65249999999999997</v>
      </c>
      <c r="Z91" s="111">
        <v>1.8239999999999999E-2</v>
      </c>
      <c r="AA91" s="111"/>
      <c r="AB91" s="111"/>
      <c r="AC91" s="111"/>
      <c r="AD91" s="111"/>
      <c r="AE91" s="111"/>
      <c r="AF91" s="111"/>
      <c r="AG91" s="111"/>
      <c r="AH91" s="111"/>
      <c r="AI91" s="111"/>
      <c r="AJ91" s="111"/>
      <c r="AK91" s="111"/>
      <c r="AL91" s="111"/>
      <c r="AN91" s="111"/>
      <c r="AO91" s="111"/>
    </row>
    <row r="92" spans="1:41" x14ac:dyDescent="0.55000000000000004">
      <c r="A92" t="s">
        <v>3396</v>
      </c>
      <c r="B92">
        <v>38.31</v>
      </c>
      <c r="C92">
        <v>8.5030000000000001</v>
      </c>
      <c r="D92">
        <v>5.4409999999999998</v>
      </c>
      <c r="E92">
        <v>37.340000000000003</v>
      </c>
      <c r="F92">
        <v>33.18</v>
      </c>
      <c r="G92">
        <v>25.71</v>
      </c>
      <c r="H92">
        <v>15.43</v>
      </c>
      <c r="I92">
        <v>15.89</v>
      </c>
      <c r="J92" s="111">
        <v>4.5970000000000002E-6</v>
      </c>
      <c r="K92">
        <v>1.61</v>
      </c>
      <c r="L92" s="111">
        <v>1.048E-5</v>
      </c>
      <c r="O92" t="s">
        <v>3900</v>
      </c>
      <c r="P92">
        <v>8.0510000000000002</v>
      </c>
      <c r="Q92">
        <v>2.9</v>
      </c>
      <c r="R92">
        <v>1.2170000000000001</v>
      </c>
      <c r="S92">
        <v>8.0120000000000005</v>
      </c>
      <c r="T92">
        <v>6.5650000000000004</v>
      </c>
      <c r="U92">
        <v>5.9729999999999999</v>
      </c>
      <c r="V92">
        <v>4.2290000000000001</v>
      </c>
      <c r="W92">
        <v>4.2210000000000001</v>
      </c>
      <c r="X92" t="s">
        <v>3871</v>
      </c>
      <c r="Y92">
        <v>0.61809999999999998</v>
      </c>
      <c r="Z92" s="111">
        <v>4.0639999999999999E-3</v>
      </c>
      <c r="AA92" s="111"/>
      <c r="AB92" s="111"/>
      <c r="AC92" s="111"/>
      <c r="AD92" s="111"/>
      <c r="AE92" s="111"/>
      <c r="AF92" s="111"/>
      <c r="AG92" s="111"/>
      <c r="AH92" s="111"/>
      <c r="AI92" s="111"/>
      <c r="AJ92" s="111"/>
      <c r="AK92" s="111"/>
      <c r="AL92" s="111"/>
      <c r="AN92" s="111"/>
      <c r="AO92" s="111"/>
    </row>
    <row r="93" spans="1:41" x14ac:dyDescent="0.55000000000000004">
      <c r="A93" t="s">
        <v>3397</v>
      </c>
      <c r="B93">
        <v>31.43</v>
      </c>
      <c r="C93">
        <v>11</v>
      </c>
      <c r="D93">
        <v>7.27</v>
      </c>
      <c r="E93">
        <v>30.84</v>
      </c>
      <c r="F93">
        <v>28.25</v>
      </c>
      <c r="G93">
        <v>23.95</v>
      </c>
      <c r="H93">
        <v>17.25</v>
      </c>
      <c r="I93">
        <v>17.18</v>
      </c>
      <c r="J93" t="s">
        <v>3871</v>
      </c>
      <c r="K93">
        <v>0.62350000000000005</v>
      </c>
      <c r="L93" s="111">
        <v>3.9559999999999999E-6</v>
      </c>
      <c r="O93" t="s">
        <v>3901</v>
      </c>
      <c r="P93">
        <v>2.0209999999999999</v>
      </c>
      <c r="Q93">
        <v>0.72140000000000004</v>
      </c>
      <c r="R93">
        <v>0.26140000000000002</v>
      </c>
      <c r="S93">
        <v>1.9950000000000001</v>
      </c>
      <c r="T93">
        <v>1.966</v>
      </c>
      <c r="U93">
        <v>1.744</v>
      </c>
      <c r="V93">
        <v>1.3560000000000001</v>
      </c>
      <c r="W93">
        <v>1.3859999999999999</v>
      </c>
      <c r="X93" s="111">
        <v>1.3870000000000001E-4</v>
      </c>
      <c r="Y93">
        <v>2.3319999999999999</v>
      </c>
      <c r="Z93" s="111">
        <v>2.5339999999999998E-4</v>
      </c>
      <c r="AA93" s="111"/>
      <c r="AB93" s="111"/>
      <c r="AC93" s="111"/>
      <c r="AD93" s="111"/>
      <c r="AE93" s="111"/>
      <c r="AF93" s="111"/>
      <c r="AG93" s="111"/>
      <c r="AH93" s="111"/>
      <c r="AI93" s="111"/>
      <c r="AJ93" s="111"/>
      <c r="AK93" s="111"/>
      <c r="AL93" s="111"/>
      <c r="AN93" s="111"/>
      <c r="AO93" s="111"/>
    </row>
    <row r="94" spans="1:41" x14ac:dyDescent="0.55000000000000004">
      <c r="A94" t="s">
        <v>3398</v>
      </c>
      <c r="B94">
        <v>27.7</v>
      </c>
      <c r="C94">
        <v>8.3339999999999996</v>
      </c>
      <c r="D94">
        <v>5.8079999999999998</v>
      </c>
      <c r="E94">
        <v>27.23</v>
      </c>
      <c r="F94">
        <v>24.82</v>
      </c>
      <c r="G94">
        <v>20.58</v>
      </c>
      <c r="H94">
        <v>13.44</v>
      </c>
      <c r="I94">
        <v>13.4</v>
      </c>
      <c r="J94" t="s">
        <v>3871</v>
      </c>
      <c r="K94">
        <v>0.96240000000000003</v>
      </c>
      <c r="L94" s="111">
        <v>4.4870000000000004E-6</v>
      </c>
      <c r="M94" s="118"/>
      <c r="N94" s="118"/>
      <c r="O94" t="s">
        <v>3902</v>
      </c>
      <c r="P94">
        <v>0.41099999999999998</v>
      </c>
      <c r="Q94">
        <v>0.10630000000000001</v>
      </c>
      <c r="R94" s="111">
        <v>3.909E-2</v>
      </c>
      <c r="S94">
        <v>0.4088</v>
      </c>
      <c r="T94">
        <v>0.37690000000000001</v>
      </c>
      <c r="U94">
        <v>0.30259999999999998</v>
      </c>
      <c r="V94">
        <v>0.22409999999999999</v>
      </c>
      <c r="W94">
        <v>0.22509999999999999</v>
      </c>
      <c r="X94" s="111">
        <v>8.5210000000000006E-5</v>
      </c>
      <c r="Y94">
        <v>1.52</v>
      </c>
      <c r="Z94" s="111">
        <v>1.181E-4</v>
      </c>
      <c r="AA94" s="111"/>
      <c r="AB94" s="111"/>
      <c r="AC94" s="111"/>
      <c r="AD94" s="111"/>
      <c r="AE94" s="111"/>
      <c r="AF94" s="111"/>
      <c r="AG94" s="111"/>
      <c r="AH94" s="111"/>
      <c r="AI94" s="111"/>
      <c r="AJ94" s="111"/>
      <c r="AK94" s="111"/>
      <c r="AL94" s="111"/>
      <c r="AN94" s="111"/>
      <c r="AO94" s="111"/>
    </row>
    <row r="95" spans="1:41" x14ac:dyDescent="0.55000000000000004">
      <c r="A95" t="s">
        <v>3399</v>
      </c>
      <c r="B95">
        <v>29.03</v>
      </c>
      <c r="C95">
        <v>7.891</v>
      </c>
      <c r="D95">
        <v>5.41</v>
      </c>
      <c r="E95">
        <v>28.41</v>
      </c>
      <c r="F95">
        <v>26.03</v>
      </c>
      <c r="G95">
        <v>20.68</v>
      </c>
      <c r="H95">
        <v>13.44</v>
      </c>
      <c r="I95">
        <v>13.62</v>
      </c>
      <c r="J95" s="111">
        <v>4.2429999999999999E-5</v>
      </c>
      <c r="K95">
        <v>1.575</v>
      </c>
      <c r="L95" s="111">
        <v>5.4379999999999998E-5</v>
      </c>
      <c r="M95" s="118"/>
      <c r="N95" s="118"/>
      <c r="O95" t="s">
        <v>3903</v>
      </c>
      <c r="P95">
        <v>1.6659999999999999</v>
      </c>
      <c r="Q95">
        <v>0.34279999999999999</v>
      </c>
      <c r="R95">
        <v>0.12280000000000001</v>
      </c>
      <c r="S95">
        <v>1.6379999999999999</v>
      </c>
      <c r="T95">
        <v>1.518</v>
      </c>
      <c r="U95">
        <v>1.2270000000000001</v>
      </c>
      <c r="V95">
        <v>0.72450000000000003</v>
      </c>
      <c r="W95">
        <v>0.72560000000000002</v>
      </c>
      <c r="X95" s="111">
        <v>2.209E-5</v>
      </c>
      <c r="Y95">
        <v>2.0640000000000001</v>
      </c>
      <c r="Z95" s="111">
        <v>4.3139999999999997E-5</v>
      </c>
      <c r="AA95" s="111"/>
      <c r="AB95" s="111"/>
      <c r="AC95" s="111"/>
      <c r="AD95" s="111"/>
      <c r="AE95" s="111"/>
      <c r="AF95" s="111"/>
      <c r="AG95" s="111"/>
      <c r="AH95" s="111"/>
      <c r="AI95" s="111"/>
      <c r="AJ95" s="111"/>
      <c r="AK95" s="111"/>
      <c r="AL95" s="111"/>
      <c r="AN95" s="111"/>
      <c r="AO95" s="111"/>
    </row>
    <row r="96" spans="1:41" x14ac:dyDescent="0.55000000000000004">
      <c r="A96" t="s">
        <v>3400</v>
      </c>
      <c r="B96">
        <v>32.61</v>
      </c>
      <c r="C96">
        <v>10.96</v>
      </c>
      <c r="D96">
        <v>7.26</v>
      </c>
      <c r="E96">
        <v>32.01</v>
      </c>
      <c r="F96">
        <v>29.54</v>
      </c>
      <c r="G96">
        <v>24.45</v>
      </c>
      <c r="H96">
        <v>16.68</v>
      </c>
      <c r="I96">
        <v>16.64</v>
      </c>
      <c r="J96" t="s">
        <v>3871</v>
      </c>
      <c r="K96">
        <v>0.9022</v>
      </c>
      <c r="L96" s="111">
        <v>7.4039999999999998E-6</v>
      </c>
      <c r="M96" s="118"/>
      <c r="N96" s="118"/>
      <c r="O96" t="s">
        <v>3904</v>
      </c>
      <c r="P96">
        <v>3.4529999999999998</v>
      </c>
      <c r="Q96">
        <v>0.70420000000000005</v>
      </c>
      <c r="R96">
        <v>0.26069999999999999</v>
      </c>
      <c r="S96">
        <v>3.403</v>
      </c>
      <c r="T96">
        <v>3.1520000000000001</v>
      </c>
      <c r="U96">
        <v>2.5230000000000001</v>
      </c>
      <c r="V96">
        <v>1.4730000000000001</v>
      </c>
      <c r="W96">
        <v>1.4790000000000001</v>
      </c>
      <c r="X96" t="s">
        <v>3871</v>
      </c>
      <c r="Y96">
        <v>0.93679999999999997</v>
      </c>
      <c r="Z96" s="111">
        <v>1.437E-5</v>
      </c>
      <c r="AA96" s="111"/>
      <c r="AB96" s="111"/>
      <c r="AC96" s="111"/>
      <c r="AD96" s="111"/>
      <c r="AE96" s="111"/>
      <c r="AF96" s="111"/>
      <c r="AG96" s="111"/>
      <c r="AH96" s="111"/>
      <c r="AI96" s="111"/>
      <c r="AJ96" s="111"/>
      <c r="AK96" s="111"/>
      <c r="AL96" s="111"/>
      <c r="AN96" s="111"/>
      <c r="AO96" s="111"/>
    </row>
    <row r="97" spans="1:41" x14ac:dyDescent="0.55000000000000004">
      <c r="A97" t="s">
        <v>3401</v>
      </c>
      <c r="B97">
        <v>34.51</v>
      </c>
      <c r="C97">
        <v>8.5250000000000004</v>
      </c>
      <c r="D97">
        <v>6.2409999999999997</v>
      </c>
      <c r="E97">
        <v>33.630000000000003</v>
      </c>
      <c r="F97">
        <v>30.7</v>
      </c>
      <c r="G97">
        <v>24.33</v>
      </c>
      <c r="H97">
        <v>15.03</v>
      </c>
      <c r="I97">
        <v>14.96</v>
      </c>
      <c r="J97" s="111">
        <v>2.683E-6</v>
      </c>
      <c r="K97">
        <v>1.0429999999999999</v>
      </c>
      <c r="L97" s="111">
        <v>2.7939999999999998E-6</v>
      </c>
      <c r="O97" t="s">
        <v>3905</v>
      </c>
      <c r="P97">
        <v>4.282</v>
      </c>
      <c r="Q97">
        <v>1.0649999999999999</v>
      </c>
      <c r="R97">
        <v>0.37180000000000002</v>
      </c>
      <c r="S97">
        <v>4.226</v>
      </c>
      <c r="T97">
        <v>4.0019999999999998</v>
      </c>
      <c r="U97">
        <v>3.4279999999999999</v>
      </c>
      <c r="V97">
        <v>2.0779999999999998</v>
      </c>
      <c r="W97">
        <v>2.069</v>
      </c>
      <c r="X97" s="111">
        <v>8.4370000000000007E-6</v>
      </c>
      <c r="Y97">
        <v>1.17</v>
      </c>
      <c r="Z97" s="111">
        <v>1.222E-5</v>
      </c>
      <c r="AA97" s="111"/>
      <c r="AB97" s="111"/>
      <c r="AC97" s="111"/>
      <c r="AD97" s="111"/>
      <c r="AE97" s="111"/>
      <c r="AF97" s="111"/>
      <c r="AG97" s="111"/>
      <c r="AH97" s="111"/>
      <c r="AI97" s="111"/>
      <c r="AJ97" s="111"/>
      <c r="AK97" s="111"/>
      <c r="AL97" s="111"/>
      <c r="AN97" s="111"/>
      <c r="AO97" s="111"/>
    </row>
    <row r="98" spans="1:41" x14ac:dyDescent="0.55000000000000004">
      <c r="A98" t="s">
        <v>3402</v>
      </c>
      <c r="B98">
        <v>21.04</v>
      </c>
      <c r="C98">
        <v>7.9139999999999997</v>
      </c>
      <c r="D98">
        <v>5.931</v>
      </c>
      <c r="E98">
        <v>20.71</v>
      </c>
      <c r="F98">
        <v>19.41</v>
      </c>
      <c r="G98">
        <v>16.170000000000002</v>
      </c>
      <c r="H98">
        <v>11.48</v>
      </c>
      <c r="I98">
        <v>11.48</v>
      </c>
      <c r="J98" t="s">
        <v>3871</v>
      </c>
      <c r="K98" s="111">
        <v>4.5130000000000003E-2</v>
      </c>
      <c r="L98" s="111">
        <v>8.4359999999999998E-21</v>
      </c>
      <c r="O98" t="s">
        <v>3906</v>
      </c>
      <c r="P98">
        <v>1.9279999999999999</v>
      </c>
      <c r="Q98">
        <v>0.54430000000000001</v>
      </c>
      <c r="R98">
        <v>0.23250000000000001</v>
      </c>
      <c r="S98">
        <v>1.9139999999999999</v>
      </c>
      <c r="T98">
        <v>1.7589999999999999</v>
      </c>
      <c r="U98">
        <v>1.452</v>
      </c>
      <c r="V98">
        <v>0.97670000000000001</v>
      </c>
      <c r="W98">
        <v>0.97819999999999996</v>
      </c>
      <c r="X98" s="111">
        <v>4.8739999999999998E-5</v>
      </c>
      <c r="Y98">
        <v>1.28</v>
      </c>
      <c r="Z98" s="111">
        <v>5.3940000000000002E-5</v>
      </c>
      <c r="AA98" s="111"/>
      <c r="AB98" s="111"/>
      <c r="AC98" s="111"/>
      <c r="AD98" s="111"/>
      <c r="AE98" s="111"/>
      <c r="AF98" s="111"/>
      <c r="AG98" s="111"/>
      <c r="AH98" s="111"/>
      <c r="AI98" s="111"/>
      <c r="AJ98" s="111"/>
      <c r="AK98" s="111"/>
      <c r="AL98" s="111"/>
      <c r="AN98" s="111"/>
      <c r="AO98" s="111"/>
    </row>
    <row r="99" spans="1:41" x14ac:dyDescent="0.55000000000000004">
      <c r="A99" t="s">
        <v>3403</v>
      </c>
      <c r="B99">
        <v>23.55</v>
      </c>
      <c r="C99">
        <v>6.5739999999999998</v>
      </c>
      <c r="D99">
        <v>4.3460000000000001</v>
      </c>
      <c r="E99">
        <v>23.16</v>
      </c>
      <c r="F99">
        <v>21.26</v>
      </c>
      <c r="G99">
        <v>17.2</v>
      </c>
      <c r="H99">
        <v>11.19</v>
      </c>
      <c r="I99">
        <v>11.14</v>
      </c>
      <c r="J99" t="s">
        <v>3871</v>
      </c>
      <c r="K99">
        <v>0.1028</v>
      </c>
      <c r="L99" s="111">
        <v>1.37E-17</v>
      </c>
      <c r="O99" t="s">
        <v>3907</v>
      </c>
      <c r="P99">
        <v>4.0670000000000002</v>
      </c>
      <c r="Q99">
        <v>1.1910000000000001</v>
      </c>
      <c r="R99">
        <v>0.56430000000000002</v>
      </c>
      <c r="S99">
        <v>3.9870000000000001</v>
      </c>
      <c r="T99">
        <v>3.6949999999999998</v>
      </c>
      <c r="U99">
        <v>3.0619999999999998</v>
      </c>
      <c r="V99">
        <v>2.0390000000000001</v>
      </c>
      <c r="W99">
        <v>2.04</v>
      </c>
      <c r="X99" s="111">
        <v>1.238E-5</v>
      </c>
      <c r="Y99">
        <v>1.2030000000000001</v>
      </c>
      <c r="Z99" s="111">
        <v>1.276E-5</v>
      </c>
      <c r="AA99" s="111"/>
      <c r="AB99" s="111"/>
      <c r="AC99" s="111"/>
      <c r="AD99" s="111"/>
      <c r="AE99" s="111"/>
      <c r="AF99" s="111"/>
      <c r="AG99" s="111"/>
      <c r="AH99" s="111"/>
      <c r="AI99" s="111"/>
      <c r="AJ99" s="111"/>
      <c r="AK99" s="111"/>
      <c r="AL99" s="111"/>
      <c r="AN99" s="111"/>
      <c r="AO99" s="111"/>
    </row>
    <row r="100" spans="1:41" x14ac:dyDescent="0.55000000000000004">
      <c r="A100" t="s">
        <v>3404</v>
      </c>
      <c r="B100">
        <v>17.2</v>
      </c>
      <c r="C100">
        <v>6.5359999999999996</v>
      </c>
      <c r="D100">
        <v>5.0190000000000001</v>
      </c>
      <c r="E100">
        <v>17.04</v>
      </c>
      <c r="F100">
        <v>15.63</v>
      </c>
      <c r="G100">
        <v>13.1</v>
      </c>
      <c r="H100">
        <v>9.5440000000000005</v>
      </c>
      <c r="I100">
        <v>9.516</v>
      </c>
      <c r="J100" t="s">
        <v>3871</v>
      </c>
      <c r="K100">
        <v>0.12559999999999999</v>
      </c>
      <c r="L100" s="111">
        <v>5.311E-14</v>
      </c>
      <c r="M100" s="118"/>
      <c r="N100" s="118"/>
      <c r="O100" t="s">
        <v>3908</v>
      </c>
      <c r="P100">
        <v>2.012</v>
      </c>
      <c r="Q100">
        <v>0.505</v>
      </c>
      <c r="R100">
        <v>0.18540000000000001</v>
      </c>
      <c r="S100">
        <v>1.982</v>
      </c>
      <c r="T100">
        <v>1.8120000000000001</v>
      </c>
      <c r="U100">
        <v>1.4950000000000001</v>
      </c>
      <c r="V100">
        <v>1.03</v>
      </c>
      <c r="W100">
        <v>1.048</v>
      </c>
      <c r="X100" s="111">
        <v>3.6430000000000002E-5</v>
      </c>
      <c r="Y100">
        <v>2.246</v>
      </c>
      <c r="Z100" s="111">
        <v>7.5019999999999997E-5</v>
      </c>
      <c r="AA100" s="111"/>
      <c r="AB100" s="111"/>
      <c r="AC100" s="111"/>
      <c r="AD100" s="111"/>
      <c r="AE100" s="111"/>
      <c r="AF100" s="111"/>
      <c r="AG100" s="111"/>
      <c r="AH100" s="111"/>
      <c r="AI100" s="111"/>
      <c r="AJ100" s="111"/>
      <c r="AK100" s="111"/>
      <c r="AL100" s="111"/>
      <c r="AN100" s="111"/>
      <c r="AO100" s="111"/>
    </row>
    <row r="101" spans="1:41" x14ac:dyDescent="0.55000000000000004">
      <c r="A101" t="s">
        <v>3405</v>
      </c>
      <c r="B101">
        <v>31.59</v>
      </c>
      <c r="C101">
        <v>7.6479999999999997</v>
      </c>
      <c r="D101">
        <v>5.0339999999999998</v>
      </c>
      <c r="E101">
        <v>30.7</v>
      </c>
      <c r="F101">
        <v>27.6</v>
      </c>
      <c r="G101">
        <v>21.51</v>
      </c>
      <c r="H101">
        <v>13.83</v>
      </c>
      <c r="I101">
        <v>14</v>
      </c>
      <c r="J101" t="s">
        <v>3871</v>
      </c>
      <c r="K101">
        <v>0.31519999999999998</v>
      </c>
      <c r="L101" s="111">
        <v>3.0679999999999998E-11</v>
      </c>
      <c r="M101" s="118"/>
      <c r="N101" s="118"/>
      <c r="O101" t="s">
        <v>3909</v>
      </c>
      <c r="P101">
        <v>0.1318</v>
      </c>
      <c r="Q101" s="111">
        <v>3.9449999999999999E-2</v>
      </c>
      <c r="R101" s="111">
        <v>2.0160000000000001E-2</v>
      </c>
      <c r="S101">
        <v>0.12970000000000001</v>
      </c>
      <c r="T101">
        <v>0.1191</v>
      </c>
      <c r="U101" s="111">
        <v>9.9419999999999994E-2</v>
      </c>
      <c r="V101" s="111">
        <v>8.3809999999999996E-2</v>
      </c>
      <c r="W101" s="111">
        <v>8.4419999999999995E-2</v>
      </c>
      <c r="X101" t="s">
        <v>3871</v>
      </c>
      <c r="Y101" s="111">
        <v>7.3480000000000004E-3</v>
      </c>
      <c r="Z101" s="111">
        <v>2.0590000000000002E-34</v>
      </c>
      <c r="AA101" s="111"/>
      <c r="AB101" s="111"/>
      <c r="AC101" s="111"/>
      <c r="AD101" s="111"/>
      <c r="AE101" s="111"/>
      <c r="AF101" s="111"/>
      <c r="AG101" s="111"/>
      <c r="AH101" s="111"/>
      <c r="AI101" s="111"/>
      <c r="AJ101" s="111"/>
      <c r="AK101" s="111"/>
      <c r="AL101" s="111"/>
      <c r="AN101" s="111"/>
      <c r="AO101" s="111"/>
    </row>
    <row r="102" spans="1:41" x14ac:dyDescent="0.55000000000000004">
      <c r="A102" t="s">
        <v>3406</v>
      </c>
      <c r="B102">
        <v>33.340000000000003</v>
      </c>
      <c r="C102">
        <v>6.1459999999999999</v>
      </c>
      <c r="D102">
        <v>3.7749999999999999</v>
      </c>
      <c r="E102">
        <v>32.53</v>
      </c>
      <c r="F102">
        <v>28.63</v>
      </c>
      <c r="G102">
        <v>21.77</v>
      </c>
      <c r="H102">
        <v>13.02</v>
      </c>
      <c r="I102">
        <v>12.93</v>
      </c>
      <c r="J102" t="s">
        <v>3871</v>
      </c>
      <c r="K102">
        <v>0.82250000000000001</v>
      </c>
      <c r="L102" s="111">
        <v>9.5349999999999996E-7</v>
      </c>
      <c r="O102" t="s">
        <v>3910</v>
      </c>
      <c r="P102">
        <v>0.1169</v>
      </c>
      <c r="Q102" s="111">
        <v>4.4139999999999999E-2</v>
      </c>
      <c r="R102" s="111">
        <v>2.2970000000000001E-2</v>
      </c>
      <c r="S102">
        <v>0.1158</v>
      </c>
      <c r="T102">
        <v>0.11020000000000001</v>
      </c>
      <c r="U102" s="111">
        <v>9.7600000000000006E-2</v>
      </c>
      <c r="V102" s="111">
        <v>8.1210000000000004E-2</v>
      </c>
      <c r="W102" s="111">
        <v>8.2519999999999996E-2</v>
      </c>
      <c r="X102" t="s">
        <v>3871</v>
      </c>
      <c r="Y102" s="111">
        <v>4.8390000000000004E-3</v>
      </c>
      <c r="Z102">
        <v>0</v>
      </c>
      <c r="AA102" s="111"/>
      <c r="AB102" s="111"/>
      <c r="AC102" s="111"/>
      <c r="AD102" s="111"/>
      <c r="AE102" s="111"/>
      <c r="AF102" s="111"/>
      <c r="AG102" s="111"/>
      <c r="AH102" s="111"/>
      <c r="AI102" s="111"/>
      <c r="AJ102" s="111"/>
      <c r="AK102" s="111"/>
      <c r="AL102" s="111"/>
      <c r="AN102" s="111"/>
      <c r="AO102" s="111"/>
    </row>
    <row r="103" spans="1:41" x14ac:dyDescent="0.55000000000000004">
      <c r="A103" t="s">
        <v>3407</v>
      </c>
      <c r="B103">
        <v>26.88</v>
      </c>
      <c r="C103">
        <v>5.1920000000000002</v>
      </c>
      <c r="D103">
        <v>3.1539999999999999</v>
      </c>
      <c r="E103">
        <v>26.14</v>
      </c>
      <c r="F103">
        <v>22.97</v>
      </c>
      <c r="G103">
        <v>17.260000000000002</v>
      </c>
      <c r="H103">
        <v>11.18</v>
      </c>
      <c r="I103">
        <v>11.24</v>
      </c>
      <c r="J103" t="s">
        <v>3871</v>
      </c>
      <c r="K103">
        <v>0.71160000000000001</v>
      </c>
      <c r="L103" s="111">
        <v>2.2060000000000001E-6</v>
      </c>
      <c r="M103" s="118"/>
      <c r="N103" s="118"/>
      <c r="O103" t="s">
        <v>3911</v>
      </c>
      <c r="P103">
        <v>0.85250000000000004</v>
      </c>
      <c r="Q103">
        <v>0.31819999999999998</v>
      </c>
      <c r="R103">
        <v>0.10780000000000001</v>
      </c>
      <c r="S103">
        <v>0.8448</v>
      </c>
      <c r="T103">
        <v>0.80940000000000001</v>
      </c>
      <c r="U103">
        <v>0.86209999999999998</v>
      </c>
      <c r="V103">
        <v>0.64710000000000001</v>
      </c>
      <c r="W103">
        <v>0.64100000000000001</v>
      </c>
      <c r="X103" t="s">
        <v>3871</v>
      </c>
      <c r="Y103">
        <v>0.16869999999999999</v>
      </c>
      <c r="Z103" s="111">
        <v>4.8389999999999995E-10</v>
      </c>
      <c r="AA103" s="111"/>
      <c r="AB103" s="111"/>
      <c r="AC103" s="111"/>
      <c r="AD103" s="111"/>
      <c r="AE103" s="111"/>
      <c r="AF103" s="111"/>
      <c r="AG103" s="111"/>
      <c r="AH103" s="111"/>
      <c r="AI103" s="111"/>
      <c r="AJ103" s="111"/>
      <c r="AK103" s="111"/>
      <c r="AL103" s="111"/>
      <c r="AN103" s="111"/>
      <c r="AO103" s="111"/>
    </row>
    <row r="104" spans="1:41" x14ac:dyDescent="0.55000000000000004">
      <c r="A104" t="s">
        <v>3408</v>
      </c>
      <c r="B104">
        <v>13.48</v>
      </c>
      <c r="C104">
        <v>6.5090000000000003</v>
      </c>
      <c r="D104">
        <v>5.6790000000000003</v>
      </c>
      <c r="E104">
        <v>13.25</v>
      </c>
      <c r="F104">
        <v>12.4</v>
      </c>
      <c r="G104">
        <v>10.96</v>
      </c>
      <c r="H104">
        <v>8.6720000000000006</v>
      </c>
      <c r="I104">
        <v>8.8239999999999998</v>
      </c>
      <c r="J104" t="s">
        <v>3871</v>
      </c>
      <c r="K104" s="111">
        <v>8.9239999999999996E-3</v>
      </c>
      <c r="L104" s="111">
        <v>5.4069999999999999E-32</v>
      </c>
      <c r="M104" s="118"/>
      <c r="N104" s="118"/>
      <c r="O104" t="s">
        <v>3912</v>
      </c>
      <c r="P104">
        <v>6.8490000000000002</v>
      </c>
      <c r="Q104">
        <v>1.9470000000000001</v>
      </c>
      <c r="R104">
        <v>0.87790000000000001</v>
      </c>
      <c r="S104">
        <v>6.7889999999999997</v>
      </c>
      <c r="T104">
        <v>6.4210000000000003</v>
      </c>
      <c r="U104">
        <v>5.5640000000000001</v>
      </c>
      <c r="V104">
        <v>3.5270000000000001</v>
      </c>
      <c r="W104">
        <v>3.5089999999999999</v>
      </c>
      <c r="X104" s="111">
        <v>7.1249999999999997E-5</v>
      </c>
      <c r="Y104">
        <v>1.635</v>
      </c>
      <c r="Z104" s="111">
        <v>9.6650000000000005E-5</v>
      </c>
      <c r="AA104" s="111"/>
      <c r="AB104" s="111"/>
      <c r="AC104" s="111"/>
      <c r="AD104" s="111"/>
      <c r="AE104" s="111"/>
      <c r="AF104" s="111"/>
      <c r="AG104" s="111"/>
      <c r="AH104" s="111"/>
      <c r="AI104" s="111"/>
      <c r="AJ104" s="111"/>
      <c r="AK104" s="111"/>
      <c r="AL104" s="111"/>
      <c r="AN104" s="111"/>
      <c r="AO104" s="111"/>
    </row>
    <row r="105" spans="1:41" x14ac:dyDescent="0.55000000000000004">
      <c r="A105" t="s">
        <v>3409</v>
      </c>
      <c r="B105">
        <v>14.23</v>
      </c>
      <c r="C105">
        <v>7.093</v>
      </c>
      <c r="D105">
        <v>6.0759999999999996</v>
      </c>
      <c r="E105">
        <v>14.07</v>
      </c>
      <c r="F105">
        <v>13.2</v>
      </c>
      <c r="G105">
        <v>11.6</v>
      </c>
      <c r="H105">
        <v>9.1059999999999999</v>
      </c>
      <c r="I105">
        <v>9.0980000000000008</v>
      </c>
      <c r="J105" t="s">
        <v>3871</v>
      </c>
      <c r="K105">
        <v>0.46379999999999999</v>
      </c>
      <c r="L105" s="111">
        <v>7.2860000000000002E-6</v>
      </c>
      <c r="O105" t="s">
        <v>3913</v>
      </c>
      <c r="P105">
        <v>6.7270000000000003</v>
      </c>
      <c r="Q105">
        <v>1.5820000000000001</v>
      </c>
      <c r="R105">
        <v>0.66769999999999996</v>
      </c>
      <c r="S105">
        <v>6.6369999999999996</v>
      </c>
      <c r="T105">
        <v>6.1420000000000003</v>
      </c>
      <c r="U105">
        <v>4.9749999999999996</v>
      </c>
      <c r="V105">
        <v>2.9289999999999998</v>
      </c>
      <c r="W105">
        <v>2.903</v>
      </c>
      <c r="X105" s="111">
        <v>6.1030000000000001E-7</v>
      </c>
      <c r="Y105">
        <v>1.367</v>
      </c>
      <c r="Z105" s="111">
        <v>7.4499999999999996E-7</v>
      </c>
      <c r="AA105" s="111"/>
      <c r="AB105" s="111"/>
      <c r="AC105" s="111"/>
      <c r="AD105" s="111"/>
      <c r="AE105" s="111"/>
      <c r="AF105" s="111"/>
      <c r="AG105" s="111"/>
      <c r="AH105" s="111"/>
      <c r="AI105" s="111"/>
      <c r="AJ105" s="111"/>
      <c r="AK105" s="111"/>
      <c r="AL105" s="111"/>
      <c r="AN105" s="111"/>
      <c r="AO105" s="111"/>
    </row>
    <row r="106" spans="1:41" x14ac:dyDescent="0.55000000000000004">
      <c r="A106" t="s">
        <v>3410</v>
      </c>
      <c r="B106">
        <v>30.41</v>
      </c>
      <c r="C106">
        <v>10.43</v>
      </c>
      <c r="D106">
        <v>7.6379999999999999</v>
      </c>
      <c r="E106">
        <v>29.84</v>
      </c>
      <c r="F106">
        <v>27.48</v>
      </c>
      <c r="G106">
        <v>23.23</v>
      </c>
      <c r="H106">
        <v>16.010000000000002</v>
      </c>
      <c r="I106">
        <v>15.95</v>
      </c>
      <c r="J106" s="111">
        <v>4.9910000000000004E-4</v>
      </c>
      <c r="K106">
        <v>1.5620000000000001</v>
      </c>
      <c r="L106" s="111">
        <v>6.6640000000000004E-4</v>
      </c>
      <c r="M106" s="118"/>
      <c r="N106" s="118"/>
      <c r="O106" t="s">
        <v>3914</v>
      </c>
      <c r="P106">
        <v>6.9939999999999998</v>
      </c>
      <c r="Q106">
        <v>1.44</v>
      </c>
      <c r="R106">
        <v>0.60250000000000004</v>
      </c>
      <c r="S106">
        <v>6.8559999999999999</v>
      </c>
      <c r="T106">
        <v>6.274</v>
      </c>
      <c r="U106">
        <v>4.7380000000000004</v>
      </c>
      <c r="V106">
        <v>2.7709999999999999</v>
      </c>
      <c r="W106">
        <v>2.7549999999999999</v>
      </c>
      <c r="X106" s="111">
        <v>3.4410000000000002E-6</v>
      </c>
      <c r="Y106">
        <v>2.1440000000000001</v>
      </c>
      <c r="Z106" s="111">
        <v>7.7889999999999995E-6</v>
      </c>
      <c r="AA106" s="111"/>
      <c r="AB106" s="111"/>
      <c r="AC106" s="111"/>
      <c r="AD106" s="111"/>
      <c r="AE106" s="111"/>
      <c r="AF106" s="111"/>
      <c r="AG106" s="111"/>
      <c r="AH106" s="111"/>
      <c r="AI106" s="111"/>
      <c r="AJ106" s="111"/>
      <c r="AK106" s="111"/>
      <c r="AL106" s="111"/>
      <c r="AN106" s="111"/>
      <c r="AO106" s="111"/>
    </row>
    <row r="107" spans="1:41" x14ac:dyDescent="0.55000000000000004">
      <c r="A107" t="s">
        <v>3411</v>
      </c>
      <c r="B107">
        <v>37.03</v>
      </c>
      <c r="C107">
        <v>10.83</v>
      </c>
      <c r="D107">
        <v>7.5039999999999996</v>
      </c>
      <c r="E107">
        <v>36.26</v>
      </c>
      <c r="F107">
        <v>32.72</v>
      </c>
      <c r="G107">
        <v>26.64</v>
      </c>
      <c r="H107">
        <v>19.66</v>
      </c>
      <c r="I107">
        <v>19.8</v>
      </c>
      <c r="J107" s="111">
        <v>3.574E-5</v>
      </c>
      <c r="K107">
        <v>1.268</v>
      </c>
      <c r="L107" s="111">
        <v>3.7620000000000002E-5</v>
      </c>
      <c r="O107" t="s">
        <v>3915</v>
      </c>
      <c r="P107">
        <v>13.34</v>
      </c>
      <c r="Q107">
        <v>2.0059999999999998</v>
      </c>
      <c r="R107">
        <v>0.79769999999999996</v>
      </c>
      <c r="S107">
        <v>13.41</v>
      </c>
      <c r="T107">
        <v>11.95</v>
      </c>
      <c r="U107">
        <v>12.31</v>
      </c>
      <c r="V107">
        <v>7.3609999999999998</v>
      </c>
      <c r="W107">
        <v>7.35</v>
      </c>
      <c r="X107" s="111">
        <v>3.2940000000000001E-6</v>
      </c>
      <c r="Y107">
        <v>2.7519999999999998</v>
      </c>
      <c r="Z107" s="111">
        <v>7.8059999999999995E-6</v>
      </c>
      <c r="AA107" s="111"/>
      <c r="AB107" s="111"/>
      <c r="AC107" s="111"/>
      <c r="AD107" s="111"/>
      <c r="AE107" s="111"/>
      <c r="AF107" s="111"/>
      <c r="AG107" s="111"/>
      <c r="AH107" s="111"/>
      <c r="AI107" s="111"/>
      <c r="AJ107" s="111"/>
      <c r="AK107" s="111"/>
      <c r="AL107" s="111"/>
      <c r="AN107" s="111"/>
      <c r="AO107" s="111"/>
    </row>
    <row r="108" spans="1:41" x14ac:dyDescent="0.55000000000000004">
      <c r="A108" t="s">
        <v>3412</v>
      </c>
      <c r="B108">
        <v>33</v>
      </c>
      <c r="C108">
        <v>8.2929999999999993</v>
      </c>
      <c r="D108">
        <v>5.508</v>
      </c>
      <c r="E108">
        <v>32.19</v>
      </c>
      <c r="F108">
        <v>29.37</v>
      </c>
      <c r="G108">
        <v>23.36</v>
      </c>
      <c r="H108">
        <v>14.45</v>
      </c>
      <c r="I108">
        <v>14.56</v>
      </c>
      <c r="J108" s="111">
        <v>4.3050000000000003E-5</v>
      </c>
      <c r="K108">
        <v>1.7070000000000001</v>
      </c>
      <c r="L108" s="111">
        <v>7.0649999999999996E-5</v>
      </c>
      <c r="O108" t="s">
        <v>3916</v>
      </c>
      <c r="P108">
        <v>14.46</v>
      </c>
      <c r="Q108">
        <v>2.6680000000000001</v>
      </c>
      <c r="R108">
        <v>0.96099999999999997</v>
      </c>
      <c r="S108">
        <v>14.21</v>
      </c>
      <c r="T108">
        <v>12.95</v>
      </c>
      <c r="U108">
        <v>10.199999999999999</v>
      </c>
      <c r="V108">
        <v>5.8659999999999997</v>
      </c>
      <c r="W108">
        <v>5.8310000000000004</v>
      </c>
      <c r="X108" s="111">
        <v>3.0380000000000001E-5</v>
      </c>
      <c r="Y108">
        <v>2.7589999999999999</v>
      </c>
      <c r="Z108" s="111">
        <v>6.9300000000000004E-5</v>
      </c>
      <c r="AA108" s="111"/>
      <c r="AB108" s="111"/>
      <c r="AC108" s="111"/>
      <c r="AD108" s="111"/>
      <c r="AE108" s="111"/>
      <c r="AF108" s="111"/>
      <c r="AG108" s="111"/>
      <c r="AH108" s="111"/>
      <c r="AI108" s="111"/>
      <c r="AJ108" s="111"/>
      <c r="AK108" s="111"/>
      <c r="AL108" s="111"/>
      <c r="AN108" s="111"/>
      <c r="AO108" s="111"/>
    </row>
    <row r="109" spans="1:41" x14ac:dyDescent="0.55000000000000004">
      <c r="A109" t="s">
        <v>3413</v>
      </c>
      <c r="B109">
        <v>19.829999999999998</v>
      </c>
      <c r="C109">
        <v>5.1360000000000001</v>
      </c>
      <c r="D109">
        <v>3.8690000000000002</v>
      </c>
      <c r="E109">
        <v>19.350000000000001</v>
      </c>
      <c r="F109">
        <v>17.440000000000001</v>
      </c>
      <c r="G109">
        <v>14.15</v>
      </c>
      <c r="H109">
        <v>8.8109999999999999</v>
      </c>
      <c r="I109">
        <v>8.9969999999999999</v>
      </c>
      <c r="J109" s="111">
        <v>1.331E-5</v>
      </c>
      <c r="K109">
        <v>1.714</v>
      </c>
      <c r="L109" s="111">
        <v>2.8249999999999999E-5</v>
      </c>
      <c r="M109" s="118"/>
      <c r="N109" s="118"/>
      <c r="O109" t="s">
        <v>3917</v>
      </c>
      <c r="P109">
        <v>5.1909999999999998</v>
      </c>
      <c r="Q109">
        <v>1.696</v>
      </c>
      <c r="R109">
        <v>0.69989999999999997</v>
      </c>
      <c r="S109">
        <v>5.1509999999999998</v>
      </c>
      <c r="T109">
        <v>4.8739999999999997</v>
      </c>
      <c r="U109">
        <v>4.3380000000000001</v>
      </c>
      <c r="V109">
        <v>2.9969999999999999</v>
      </c>
      <c r="W109">
        <v>3.008</v>
      </c>
      <c r="X109" t="s">
        <v>3871</v>
      </c>
      <c r="Y109">
        <v>0.93640000000000001</v>
      </c>
      <c r="Z109" s="111">
        <v>3.869E-7</v>
      </c>
      <c r="AA109" s="111"/>
      <c r="AB109" s="111"/>
      <c r="AC109" s="111"/>
      <c r="AD109" s="111"/>
      <c r="AE109" s="111"/>
      <c r="AF109" s="111"/>
      <c r="AG109" s="111"/>
      <c r="AH109" s="111"/>
      <c r="AI109" s="111"/>
      <c r="AJ109" s="111"/>
      <c r="AK109" s="111"/>
      <c r="AL109" s="111"/>
      <c r="AN109" s="111"/>
      <c r="AO109" s="111"/>
    </row>
    <row r="110" spans="1:41" x14ac:dyDescent="0.55000000000000004">
      <c r="A110" t="s">
        <v>3414</v>
      </c>
      <c r="B110">
        <v>38.130000000000003</v>
      </c>
      <c r="C110">
        <v>8.4600000000000009</v>
      </c>
      <c r="D110">
        <v>5.3949999999999996</v>
      </c>
      <c r="E110">
        <v>37.17</v>
      </c>
      <c r="F110">
        <v>33.020000000000003</v>
      </c>
      <c r="G110">
        <v>25.59</v>
      </c>
      <c r="H110">
        <v>15.36</v>
      </c>
      <c r="I110">
        <v>15.81</v>
      </c>
      <c r="J110" s="111">
        <v>4.5979999999999999E-6</v>
      </c>
      <c r="K110">
        <v>1.61</v>
      </c>
      <c r="L110" s="111">
        <v>1.048E-5</v>
      </c>
      <c r="O110" t="s">
        <v>3918</v>
      </c>
      <c r="P110">
        <v>7.94</v>
      </c>
      <c r="Q110">
        <v>1.9</v>
      </c>
      <c r="R110">
        <v>0.7268</v>
      </c>
      <c r="S110">
        <v>7.8049999999999997</v>
      </c>
      <c r="T110">
        <v>7.0650000000000004</v>
      </c>
      <c r="U110">
        <v>5.7469999999999999</v>
      </c>
      <c r="V110">
        <v>3.4969999999999999</v>
      </c>
      <c r="W110">
        <v>3.48</v>
      </c>
      <c r="X110" s="111">
        <v>6.694E-7</v>
      </c>
      <c r="Y110">
        <v>1.0069999999999999</v>
      </c>
      <c r="Z110" s="111">
        <v>6.7049999999999998E-7</v>
      </c>
      <c r="AA110" s="111"/>
      <c r="AB110" s="111"/>
      <c r="AC110" s="111"/>
      <c r="AD110" s="111"/>
      <c r="AE110" s="111"/>
      <c r="AF110" s="111"/>
      <c r="AG110" s="111"/>
      <c r="AH110" s="111"/>
      <c r="AI110" s="111"/>
      <c r="AJ110" s="111"/>
      <c r="AK110" s="111"/>
      <c r="AL110" s="111"/>
      <c r="AN110" s="111"/>
      <c r="AO110" s="111"/>
    </row>
    <row r="111" spans="1:41" x14ac:dyDescent="0.55000000000000004">
      <c r="A111" t="s">
        <v>3415</v>
      </c>
      <c r="B111">
        <v>31.22</v>
      </c>
      <c r="C111">
        <v>10.93</v>
      </c>
      <c r="D111">
        <v>7.1950000000000003</v>
      </c>
      <c r="E111">
        <v>30.63</v>
      </c>
      <c r="F111">
        <v>28.09</v>
      </c>
      <c r="G111">
        <v>23.8</v>
      </c>
      <c r="H111">
        <v>17.14</v>
      </c>
      <c r="I111">
        <v>17.079999999999998</v>
      </c>
      <c r="J111" t="s">
        <v>3871</v>
      </c>
      <c r="K111">
        <v>0.62350000000000005</v>
      </c>
      <c r="L111" s="111">
        <v>3.9570000000000004E-6</v>
      </c>
      <c r="M111" s="118"/>
      <c r="N111" s="118"/>
      <c r="O111" t="s">
        <v>3919</v>
      </c>
      <c r="P111">
        <v>6.42</v>
      </c>
      <c r="Q111">
        <v>1.8120000000000001</v>
      </c>
      <c r="R111">
        <v>0.72030000000000005</v>
      </c>
      <c r="S111">
        <v>6.3330000000000002</v>
      </c>
      <c r="T111">
        <v>5.7720000000000002</v>
      </c>
      <c r="U111">
        <v>4.9870000000000001</v>
      </c>
      <c r="V111">
        <v>3.8340000000000001</v>
      </c>
      <c r="W111">
        <v>3.919</v>
      </c>
      <c r="X111" s="111">
        <v>3.0670000000000003E-5</v>
      </c>
      <c r="Y111">
        <v>2.649</v>
      </c>
      <c r="Z111" s="111">
        <v>5.0500000000000001E-5</v>
      </c>
      <c r="AA111" s="111"/>
      <c r="AB111" s="111"/>
      <c r="AC111" s="111"/>
      <c r="AD111" s="111"/>
      <c r="AE111" s="111"/>
      <c r="AF111" s="111"/>
      <c r="AG111" s="111"/>
      <c r="AH111" s="111"/>
      <c r="AI111" s="111"/>
      <c r="AJ111" s="111"/>
      <c r="AK111" s="111"/>
      <c r="AL111" s="111"/>
      <c r="AN111" s="111"/>
      <c r="AO111" s="111"/>
    </row>
    <row r="112" spans="1:41" x14ac:dyDescent="0.55000000000000004">
      <c r="A112" t="s">
        <v>3416</v>
      </c>
      <c r="B112">
        <v>27.5</v>
      </c>
      <c r="C112">
        <v>8.2729999999999997</v>
      </c>
      <c r="D112">
        <v>5.7460000000000004</v>
      </c>
      <c r="E112">
        <v>27.04</v>
      </c>
      <c r="F112">
        <v>24.64</v>
      </c>
      <c r="G112">
        <v>20.440000000000001</v>
      </c>
      <c r="H112">
        <v>13.34</v>
      </c>
      <c r="I112">
        <v>13.31</v>
      </c>
      <c r="J112" t="s">
        <v>3871</v>
      </c>
      <c r="K112">
        <v>0.96240000000000003</v>
      </c>
      <c r="L112" s="111">
        <v>4.4870000000000004E-6</v>
      </c>
      <c r="M112" s="118"/>
      <c r="N112" s="118"/>
      <c r="O112" t="s">
        <v>3920</v>
      </c>
      <c r="P112">
        <v>5.7210000000000001</v>
      </c>
      <c r="Q112">
        <v>1.621</v>
      </c>
      <c r="R112">
        <v>0.65149999999999997</v>
      </c>
      <c r="S112">
        <v>5.6639999999999997</v>
      </c>
      <c r="T112">
        <v>5.3739999999999997</v>
      </c>
      <c r="U112">
        <v>4.6740000000000004</v>
      </c>
      <c r="V112">
        <v>2.92</v>
      </c>
      <c r="W112">
        <v>2.907</v>
      </c>
      <c r="X112" t="s">
        <v>3871</v>
      </c>
      <c r="Y112">
        <v>0.72409999999999997</v>
      </c>
      <c r="Z112" s="111">
        <v>5.0640000000000001E-6</v>
      </c>
      <c r="AA112" s="111"/>
      <c r="AB112" s="111"/>
      <c r="AC112" s="111"/>
      <c r="AD112" s="111"/>
      <c r="AE112" s="111"/>
      <c r="AF112" s="111"/>
      <c r="AG112" s="111"/>
      <c r="AH112" s="111"/>
      <c r="AI112" s="111"/>
      <c r="AJ112" s="111"/>
      <c r="AK112" s="111"/>
      <c r="AL112" s="111"/>
      <c r="AN112" s="111"/>
      <c r="AO112" s="111"/>
    </row>
    <row r="113" spans="1:41" x14ac:dyDescent="0.55000000000000004">
      <c r="A113" t="s">
        <v>3417</v>
      </c>
      <c r="B113">
        <v>28.83</v>
      </c>
      <c r="C113">
        <v>7.8390000000000004</v>
      </c>
      <c r="D113">
        <v>5.3540000000000001</v>
      </c>
      <c r="E113">
        <v>28.22</v>
      </c>
      <c r="F113">
        <v>25.87</v>
      </c>
      <c r="G113">
        <v>20.55</v>
      </c>
      <c r="H113">
        <v>13.36</v>
      </c>
      <c r="I113">
        <v>13.53</v>
      </c>
      <c r="J113" s="111">
        <v>4.2429999999999999E-5</v>
      </c>
      <c r="K113">
        <v>1.575</v>
      </c>
      <c r="L113" s="111">
        <v>5.4379999999999998E-5</v>
      </c>
      <c r="O113" t="s">
        <v>3921</v>
      </c>
      <c r="P113">
        <v>13.94</v>
      </c>
      <c r="Q113">
        <v>2.9670000000000001</v>
      </c>
      <c r="R113">
        <v>1.1299999999999999</v>
      </c>
      <c r="S113">
        <v>13.74</v>
      </c>
      <c r="T113">
        <v>12.74</v>
      </c>
      <c r="U113">
        <v>10.52</v>
      </c>
      <c r="V113">
        <v>6.3360000000000003</v>
      </c>
      <c r="W113">
        <v>6.3019999999999996</v>
      </c>
      <c r="X113" s="111">
        <v>9.8479999999999996E-6</v>
      </c>
      <c r="Y113">
        <v>1.3660000000000001</v>
      </c>
      <c r="Z113" s="111">
        <v>1.057E-5</v>
      </c>
      <c r="AA113" s="111"/>
      <c r="AB113" s="111"/>
      <c r="AC113" s="111"/>
      <c r="AD113" s="111"/>
      <c r="AE113" s="111"/>
      <c r="AF113" s="111"/>
      <c r="AG113" s="111"/>
      <c r="AH113" s="111"/>
      <c r="AI113" s="111"/>
      <c r="AJ113" s="111"/>
      <c r="AK113" s="111"/>
      <c r="AL113" s="111"/>
      <c r="AN113" s="111"/>
      <c r="AO113" s="111"/>
    </row>
    <row r="114" spans="1:41" x14ac:dyDescent="0.55000000000000004">
      <c r="A114" t="s">
        <v>3418</v>
      </c>
      <c r="B114">
        <v>32.42</v>
      </c>
      <c r="C114">
        <v>10.89</v>
      </c>
      <c r="D114">
        <v>7.1890000000000001</v>
      </c>
      <c r="E114">
        <v>31.81</v>
      </c>
      <c r="F114">
        <v>29.36</v>
      </c>
      <c r="G114">
        <v>24.31</v>
      </c>
      <c r="H114">
        <v>16.579999999999998</v>
      </c>
      <c r="I114">
        <v>16.54</v>
      </c>
      <c r="J114" t="s">
        <v>3871</v>
      </c>
      <c r="K114">
        <v>0.9022</v>
      </c>
      <c r="L114" s="111">
        <v>7.4050000000000003E-6</v>
      </c>
      <c r="M114" s="118"/>
      <c r="N114" s="118"/>
      <c r="O114" t="s">
        <v>3922</v>
      </c>
      <c r="P114">
        <v>4.4189999999999996</v>
      </c>
      <c r="Q114">
        <v>1.45</v>
      </c>
      <c r="R114">
        <v>0.51680000000000004</v>
      </c>
      <c r="S114">
        <v>4.38</v>
      </c>
      <c r="T114">
        <v>4.1630000000000003</v>
      </c>
      <c r="U114">
        <v>3.81</v>
      </c>
      <c r="V114">
        <v>2.6859999999999999</v>
      </c>
      <c r="W114">
        <v>2.6760000000000002</v>
      </c>
      <c r="X114" t="s">
        <v>3871</v>
      </c>
      <c r="Y114">
        <v>0.3327</v>
      </c>
      <c r="Z114" s="111">
        <v>1.871E-8</v>
      </c>
      <c r="AA114" s="111"/>
      <c r="AB114" s="111"/>
      <c r="AC114" s="111"/>
      <c r="AD114" s="111"/>
      <c r="AE114" s="111"/>
      <c r="AF114" s="111"/>
      <c r="AG114" s="111"/>
      <c r="AH114" s="111"/>
      <c r="AI114" s="111"/>
      <c r="AJ114" s="111"/>
      <c r="AK114" s="111"/>
      <c r="AL114" s="111"/>
      <c r="AN114" s="111"/>
      <c r="AO114" s="111"/>
    </row>
    <row r="115" spans="1:41" x14ac:dyDescent="0.55000000000000004">
      <c r="A115" t="s">
        <v>3419</v>
      </c>
      <c r="B115">
        <v>34.340000000000003</v>
      </c>
      <c r="C115">
        <v>8.4789999999999992</v>
      </c>
      <c r="D115">
        <v>6.1920000000000002</v>
      </c>
      <c r="E115">
        <v>33.450000000000003</v>
      </c>
      <c r="F115">
        <v>30.58</v>
      </c>
      <c r="G115">
        <v>24.21</v>
      </c>
      <c r="H115">
        <v>14.95</v>
      </c>
      <c r="I115">
        <v>14.88</v>
      </c>
      <c r="J115" s="111">
        <v>2.6840000000000001E-6</v>
      </c>
      <c r="K115">
        <v>1.0429999999999999</v>
      </c>
      <c r="L115" s="111">
        <v>2.7949999999999999E-6</v>
      </c>
      <c r="O115" t="s">
        <v>3923</v>
      </c>
      <c r="P115">
        <v>5.47</v>
      </c>
      <c r="Q115">
        <v>2.1019999999999999</v>
      </c>
      <c r="R115">
        <v>0.54469999999999996</v>
      </c>
      <c r="S115">
        <v>5.4409999999999998</v>
      </c>
      <c r="T115">
        <v>5.2869999999999999</v>
      </c>
      <c r="U115">
        <v>4.7789999999999999</v>
      </c>
      <c r="V115">
        <v>3.577</v>
      </c>
      <c r="W115">
        <v>3.597</v>
      </c>
      <c r="X115" t="s">
        <v>3871</v>
      </c>
      <c r="Y115" s="111">
        <v>5.8219999999999999E-3</v>
      </c>
      <c r="Z115" s="111">
        <v>9.4109999999999994E-28</v>
      </c>
      <c r="AA115" s="111"/>
      <c r="AB115" s="111"/>
      <c r="AC115" s="111"/>
      <c r="AD115" s="111"/>
      <c r="AE115" s="111"/>
      <c r="AF115" s="111"/>
      <c r="AG115" s="111"/>
      <c r="AH115" s="111"/>
      <c r="AI115" s="111"/>
      <c r="AJ115" s="111"/>
      <c r="AK115" s="111"/>
      <c r="AL115" s="111"/>
      <c r="AN115" s="111"/>
      <c r="AO115" s="111"/>
    </row>
    <row r="116" spans="1:41" x14ac:dyDescent="0.55000000000000004">
      <c r="A116" t="s">
        <v>3420</v>
      </c>
      <c r="B116">
        <v>20.82</v>
      </c>
      <c r="C116">
        <v>7.8339999999999996</v>
      </c>
      <c r="D116">
        <v>5.8440000000000003</v>
      </c>
      <c r="E116">
        <v>20.5</v>
      </c>
      <c r="F116">
        <v>19.2</v>
      </c>
      <c r="G116">
        <v>16</v>
      </c>
      <c r="H116">
        <v>11.37</v>
      </c>
      <c r="I116">
        <v>11.38</v>
      </c>
      <c r="J116" t="s">
        <v>3871</v>
      </c>
      <c r="K116" s="111">
        <v>4.5130000000000003E-2</v>
      </c>
      <c r="L116" s="111">
        <v>8.4370000000000006E-21</v>
      </c>
      <c r="O116" t="s">
        <v>3924</v>
      </c>
      <c r="P116">
        <v>5.5209999999999999</v>
      </c>
      <c r="Q116">
        <v>1.53</v>
      </c>
      <c r="R116">
        <v>0.5585</v>
      </c>
      <c r="S116">
        <v>5.4669999999999996</v>
      </c>
      <c r="T116">
        <v>5.1970000000000001</v>
      </c>
      <c r="U116">
        <v>4.4740000000000002</v>
      </c>
      <c r="V116">
        <v>2.835</v>
      </c>
      <c r="W116">
        <v>2.8220000000000001</v>
      </c>
      <c r="X116" t="s">
        <v>3871</v>
      </c>
      <c r="Y116">
        <v>0.33339999999999997</v>
      </c>
      <c r="Z116" s="111">
        <v>5.4299999999999999E-10</v>
      </c>
      <c r="AA116" s="111"/>
      <c r="AB116" s="111"/>
      <c r="AC116" s="111"/>
      <c r="AD116" s="111"/>
      <c r="AE116" s="111"/>
      <c r="AF116" s="111"/>
      <c r="AG116" s="111"/>
      <c r="AH116" s="111"/>
      <c r="AI116" s="111"/>
      <c r="AJ116" s="111"/>
      <c r="AK116" s="111"/>
      <c r="AL116" s="111"/>
      <c r="AN116" s="111"/>
      <c r="AO116" s="111"/>
    </row>
    <row r="117" spans="1:41" x14ac:dyDescent="0.55000000000000004">
      <c r="A117" t="s">
        <v>3421</v>
      </c>
      <c r="B117">
        <v>23.35</v>
      </c>
      <c r="C117">
        <v>6.52</v>
      </c>
      <c r="D117">
        <v>4.29</v>
      </c>
      <c r="E117">
        <v>22.97</v>
      </c>
      <c r="F117">
        <v>21.08</v>
      </c>
      <c r="G117">
        <v>17.079999999999998</v>
      </c>
      <c r="H117">
        <v>11.12</v>
      </c>
      <c r="I117">
        <v>11.04</v>
      </c>
      <c r="J117" t="s">
        <v>3871</v>
      </c>
      <c r="K117">
        <v>0.1028</v>
      </c>
      <c r="L117" s="111">
        <v>1.37E-17</v>
      </c>
      <c r="O117" t="s">
        <v>3925</v>
      </c>
      <c r="P117">
        <v>12.59</v>
      </c>
      <c r="Q117">
        <v>3.3410000000000002</v>
      </c>
      <c r="R117">
        <v>1.278</v>
      </c>
      <c r="S117">
        <v>12.33</v>
      </c>
      <c r="T117">
        <v>11.49</v>
      </c>
      <c r="U117">
        <v>9.7460000000000004</v>
      </c>
      <c r="V117">
        <v>7.7069999999999999</v>
      </c>
      <c r="W117">
        <v>7.7839999999999998</v>
      </c>
      <c r="X117" t="s">
        <v>3871</v>
      </c>
      <c r="Y117">
        <v>0.50690000000000002</v>
      </c>
      <c r="Z117" s="111">
        <v>4.1729999999999997E-8</v>
      </c>
      <c r="AA117" s="111"/>
      <c r="AB117" s="111"/>
      <c r="AC117" s="111"/>
      <c r="AD117" s="111"/>
      <c r="AE117" s="111"/>
      <c r="AF117" s="111"/>
      <c r="AG117" s="111"/>
      <c r="AH117" s="111"/>
      <c r="AI117" s="111"/>
      <c r="AJ117" s="111"/>
      <c r="AK117" s="111"/>
      <c r="AL117" s="111"/>
      <c r="AN117" s="111"/>
      <c r="AO117" s="111"/>
    </row>
    <row r="118" spans="1:41" x14ac:dyDescent="0.55000000000000004">
      <c r="A118" t="s">
        <v>3422</v>
      </c>
      <c r="B118">
        <v>17</v>
      </c>
      <c r="C118">
        <v>6.4550000000000001</v>
      </c>
      <c r="D118">
        <v>4.9400000000000004</v>
      </c>
      <c r="E118">
        <v>16.82</v>
      </c>
      <c r="F118">
        <v>15.43</v>
      </c>
      <c r="G118">
        <v>12.94</v>
      </c>
      <c r="H118">
        <v>9.4359999999999999</v>
      </c>
      <c r="I118">
        <v>9.4079999999999995</v>
      </c>
      <c r="J118" t="s">
        <v>3871</v>
      </c>
      <c r="K118">
        <v>0.12559999999999999</v>
      </c>
      <c r="L118" s="111">
        <v>5.311E-14</v>
      </c>
      <c r="M118" s="118"/>
      <c r="N118" s="118"/>
      <c r="O118" t="s">
        <v>3926</v>
      </c>
      <c r="P118">
        <v>10.28</v>
      </c>
      <c r="Q118">
        <v>2.0169999999999999</v>
      </c>
      <c r="R118">
        <v>0.91220000000000001</v>
      </c>
      <c r="S118">
        <v>10.14</v>
      </c>
      <c r="T118">
        <v>9.2880000000000003</v>
      </c>
      <c r="U118">
        <v>8.1519999999999992</v>
      </c>
      <c r="V118">
        <v>5.76</v>
      </c>
      <c r="W118">
        <v>5.6980000000000004</v>
      </c>
      <c r="X118" s="111">
        <v>3.946E-6</v>
      </c>
      <c r="Y118">
        <v>1.3440000000000001</v>
      </c>
      <c r="Z118" s="111">
        <v>5.5879999999999997E-6</v>
      </c>
      <c r="AA118" s="111"/>
      <c r="AB118" s="111"/>
      <c r="AC118" s="111"/>
      <c r="AD118" s="111"/>
      <c r="AE118" s="111"/>
      <c r="AF118" s="111"/>
      <c r="AG118" s="111"/>
      <c r="AH118" s="111"/>
      <c r="AI118" s="111"/>
      <c r="AJ118" s="111"/>
      <c r="AK118" s="111"/>
      <c r="AL118" s="111"/>
      <c r="AN118" s="111"/>
      <c r="AO118" s="111"/>
    </row>
    <row r="119" spans="1:41" x14ac:dyDescent="0.55000000000000004">
      <c r="A119" t="s">
        <v>3423</v>
      </c>
      <c r="B119">
        <v>31.4</v>
      </c>
      <c r="C119">
        <v>7.609</v>
      </c>
      <c r="D119">
        <v>4.9870000000000001</v>
      </c>
      <c r="E119">
        <v>30.52</v>
      </c>
      <c r="F119">
        <v>27.44</v>
      </c>
      <c r="G119">
        <v>21.4</v>
      </c>
      <c r="H119">
        <v>13.76</v>
      </c>
      <c r="I119">
        <v>13.92</v>
      </c>
      <c r="J119" t="s">
        <v>3871</v>
      </c>
      <c r="K119">
        <v>0.31519999999999998</v>
      </c>
      <c r="L119" s="111">
        <v>3.0689999999999999E-11</v>
      </c>
      <c r="M119" s="118"/>
      <c r="N119" s="118"/>
      <c r="O119" t="s">
        <v>3927</v>
      </c>
      <c r="P119">
        <v>0.18090000000000001</v>
      </c>
      <c r="Q119" s="111">
        <v>3.5470000000000002E-2</v>
      </c>
      <c r="R119" s="111">
        <v>1.074E-2</v>
      </c>
      <c r="S119">
        <v>0.1779</v>
      </c>
      <c r="T119">
        <v>0.16120000000000001</v>
      </c>
      <c r="U119">
        <v>0.125</v>
      </c>
      <c r="V119" s="111">
        <v>8.9029999999999998E-2</v>
      </c>
      <c r="W119" s="111">
        <v>9.0609999999999996E-2</v>
      </c>
      <c r="X119" t="s">
        <v>3871</v>
      </c>
      <c r="Y119" s="111">
        <v>3.1230000000000001E-2</v>
      </c>
      <c r="Z119" s="111">
        <v>7.4739999999999998E-24</v>
      </c>
      <c r="AA119" s="111"/>
      <c r="AB119" s="111"/>
      <c r="AC119" s="111"/>
      <c r="AD119" s="111"/>
      <c r="AE119" s="111"/>
      <c r="AF119" s="111"/>
      <c r="AG119" s="111"/>
      <c r="AH119" s="111"/>
      <c r="AI119" s="111"/>
      <c r="AJ119" s="111"/>
      <c r="AK119" s="111"/>
      <c r="AL119" s="111"/>
      <c r="AN119" s="111"/>
      <c r="AO119" s="111"/>
    </row>
    <row r="120" spans="1:41" x14ac:dyDescent="0.55000000000000004">
      <c r="A120" t="s">
        <v>3424</v>
      </c>
      <c r="B120">
        <v>33.159999999999997</v>
      </c>
      <c r="C120">
        <v>6.1109999999999998</v>
      </c>
      <c r="D120">
        <v>3.742</v>
      </c>
      <c r="E120">
        <v>32.369999999999997</v>
      </c>
      <c r="F120">
        <v>28.48</v>
      </c>
      <c r="G120">
        <v>21.66</v>
      </c>
      <c r="H120">
        <v>12.95</v>
      </c>
      <c r="I120">
        <v>12.87</v>
      </c>
      <c r="J120" t="s">
        <v>3871</v>
      </c>
      <c r="K120">
        <v>0.82250000000000001</v>
      </c>
      <c r="L120" s="111">
        <v>9.5359999999999996E-7</v>
      </c>
      <c r="O120" t="s">
        <v>3928</v>
      </c>
      <c r="P120">
        <v>0.79700000000000004</v>
      </c>
      <c r="Q120">
        <v>0.32119999999999999</v>
      </c>
      <c r="R120" s="111">
        <v>9.2719999999999997E-2</v>
      </c>
      <c r="S120">
        <v>0.79149999999999998</v>
      </c>
      <c r="T120">
        <v>0.76</v>
      </c>
      <c r="U120">
        <v>0.75219999999999998</v>
      </c>
      <c r="V120">
        <v>0.68120000000000003</v>
      </c>
      <c r="W120">
        <v>0.68230000000000002</v>
      </c>
      <c r="X120" t="s">
        <v>3871</v>
      </c>
      <c r="Y120" s="111">
        <v>6.6400000000000001E-3</v>
      </c>
      <c r="Z120" s="111">
        <v>3.2149999999999999E-40</v>
      </c>
      <c r="AA120" s="111"/>
      <c r="AB120" s="111"/>
      <c r="AC120" s="111"/>
      <c r="AD120" s="111"/>
      <c r="AE120" s="111"/>
      <c r="AF120" s="111"/>
      <c r="AG120" s="111"/>
      <c r="AH120" s="111"/>
      <c r="AI120" s="111"/>
      <c r="AJ120" s="111"/>
      <c r="AK120" s="111"/>
      <c r="AL120" s="111"/>
      <c r="AN120" s="111"/>
      <c r="AO120" s="111"/>
    </row>
    <row r="121" spans="1:41" x14ac:dyDescent="0.55000000000000004">
      <c r="A121" t="s">
        <v>3425</v>
      </c>
      <c r="B121">
        <v>26.7</v>
      </c>
      <c r="C121">
        <v>5.16</v>
      </c>
      <c r="D121">
        <v>3.1219999999999999</v>
      </c>
      <c r="E121">
        <v>25.96</v>
      </c>
      <c r="F121">
        <v>22.82</v>
      </c>
      <c r="G121">
        <v>17.21</v>
      </c>
      <c r="H121">
        <v>11.12</v>
      </c>
      <c r="I121">
        <v>11.17</v>
      </c>
      <c r="J121" t="s">
        <v>3871</v>
      </c>
      <c r="K121">
        <v>0.71160000000000001</v>
      </c>
      <c r="L121" s="111">
        <v>2.2060000000000001E-6</v>
      </c>
      <c r="O121" t="s">
        <v>3929</v>
      </c>
      <c r="P121">
        <v>0.5323</v>
      </c>
      <c r="Q121" s="111">
        <v>8.473E-2</v>
      </c>
      <c r="R121" s="111">
        <v>3.3529999999999997E-2</v>
      </c>
      <c r="S121">
        <v>0.52780000000000005</v>
      </c>
      <c r="T121">
        <v>0.50549999999999995</v>
      </c>
      <c r="U121">
        <v>0.37530000000000002</v>
      </c>
      <c r="V121">
        <v>0.27560000000000001</v>
      </c>
      <c r="W121">
        <v>0.2321</v>
      </c>
      <c r="X121" t="s">
        <v>3871</v>
      </c>
      <c r="Y121" s="111">
        <v>6.4260000000000001E-4</v>
      </c>
      <c r="Z121" s="111">
        <v>6.4139999999999997E-44</v>
      </c>
      <c r="AA121" s="111"/>
      <c r="AB121" s="111"/>
      <c r="AC121" s="111"/>
      <c r="AD121" s="111"/>
      <c r="AE121" s="111"/>
      <c r="AF121" s="111"/>
      <c r="AG121" s="111"/>
      <c r="AH121" s="111"/>
      <c r="AI121" s="111"/>
      <c r="AJ121" s="111"/>
      <c r="AK121" s="111"/>
      <c r="AL121" s="111"/>
      <c r="AN121" s="111"/>
      <c r="AO121" s="111"/>
    </row>
    <row r="122" spans="1:41" x14ac:dyDescent="0.55000000000000004">
      <c r="A122" t="s">
        <v>3426</v>
      </c>
      <c r="B122">
        <v>13.27</v>
      </c>
      <c r="C122">
        <v>6.4139999999999997</v>
      </c>
      <c r="D122">
        <v>5.5789999999999997</v>
      </c>
      <c r="E122">
        <v>13.07</v>
      </c>
      <c r="F122">
        <v>12.22</v>
      </c>
      <c r="G122">
        <v>10.79</v>
      </c>
      <c r="H122">
        <v>8.5679999999999996</v>
      </c>
      <c r="I122">
        <v>8.6940000000000008</v>
      </c>
      <c r="J122" t="s">
        <v>3871</v>
      </c>
      <c r="K122" s="111">
        <v>8.9239999999999996E-3</v>
      </c>
      <c r="L122" s="111">
        <v>5.4069999999999999E-32</v>
      </c>
      <c r="O122" t="s">
        <v>3930</v>
      </c>
      <c r="P122">
        <v>7.03</v>
      </c>
      <c r="Q122">
        <v>2.2810000000000001</v>
      </c>
      <c r="R122">
        <v>0.73619999999999997</v>
      </c>
      <c r="S122">
        <v>7.048</v>
      </c>
      <c r="T122">
        <v>6.3780000000000001</v>
      </c>
      <c r="U122">
        <v>5.0739999999999998</v>
      </c>
      <c r="V122">
        <v>3.9329999999999998</v>
      </c>
      <c r="W122">
        <v>3.6880000000000002</v>
      </c>
      <c r="X122" t="s">
        <v>3871</v>
      </c>
      <c r="Y122">
        <v>0.56810000000000005</v>
      </c>
      <c r="Z122" s="111">
        <v>5.3010000000000004E-4</v>
      </c>
      <c r="AA122" s="111"/>
      <c r="AB122" s="111"/>
      <c r="AC122" s="111"/>
      <c r="AD122" s="111"/>
      <c r="AE122" s="111"/>
      <c r="AF122" s="111"/>
      <c r="AG122" s="111"/>
      <c r="AH122" s="111"/>
      <c r="AI122" s="111"/>
      <c r="AJ122" s="111"/>
      <c r="AK122" s="111"/>
      <c r="AL122" s="111"/>
      <c r="AN122" s="111"/>
      <c r="AO122" s="111"/>
    </row>
    <row r="123" spans="1:41" x14ac:dyDescent="0.55000000000000004">
      <c r="A123" t="s">
        <v>3427</v>
      </c>
      <c r="B123">
        <v>13.97</v>
      </c>
      <c r="C123">
        <v>6.9749999999999996</v>
      </c>
      <c r="D123">
        <v>5.96</v>
      </c>
      <c r="E123">
        <v>13.82</v>
      </c>
      <c r="F123">
        <v>12.96</v>
      </c>
      <c r="G123">
        <v>11.4</v>
      </c>
      <c r="H123">
        <v>8.9429999999999996</v>
      </c>
      <c r="I123">
        <v>8.94</v>
      </c>
      <c r="J123" t="s">
        <v>3871</v>
      </c>
      <c r="K123">
        <v>0.46379999999999999</v>
      </c>
      <c r="L123" s="111">
        <v>7.2869999999999999E-6</v>
      </c>
      <c r="M123" s="118"/>
      <c r="N123" s="118"/>
      <c r="O123" t="s">
        <v>3931</v>
      </c>
      <c r="P123">
        <v>0.81020000000000003</v>
      </c>
      <c r="Q123">
        <v>0.31009999999999999</v>
      </c>
      <c r="R123">
        <v>0.10009999999999999</v>
      </c>
      <c r="S123">
        <v>0.81110000000000004</v>
      </c>
      <c r="T123">
        <v>0.81179999999999997</v>
      </c>
      <c r="U123">
        <v>0.76359999999999995</v>
      </c>
      <c r="V123">
        <v>0.65049999999999997</v>
      </c>
      <c r="W123">
        <v>0.65359999999999996</v>
      </c>
      <c r="X123" t="s">
        <v>3871</v>
      </c>
      <c r="Y123" s="111">
        <v>3.9329999999999999E-3</v>
      </c>
      <c r="Z123" s="111">
        <v>8.5399999999999999E-66</v>
      </c>
      <c r="AA123" s="111"/>
      <c r="AB123" s="111"/>
      <c r="AC123" s="111"/>
      <c r="AD123" s="111"/>
      <c r="AE123" s="111"/>
      <c r="AF123" s="111"/>
      <c r="AG123" s="111"/>
      <c r="AH123" s="111"/>
      <c r="AI123" s="111"/>
      <c r="AJ123" s="111"/>
      <c r="AK123" s="111"/>
      <c r="AL123" s="111"/>
      <c r="AN123" s="111"/>
      <c r="AO123" s="111"/>
    </row>
    <row r="124" spans="1:41" x14ac:dyDescent="0.55000000000000004">
      <c r="A124" t="s">
        <v>3428</v>
      </c>
      <c r="B124">
        <v>9.3949999999999996</v>
      </c>
      <c r="C124">
        <v>2.694</v>
      </c>
      <c r="D124">
        <v>1.883</v>
      </c>
      <c r="E124">
        <v>9.2390000000000008</v>
      </c>
      <c r="F124">
        <v>8.4629999999999992</v>
      </c>
      <c r="G124">
        <v>7.0019999999999998</v>
      </c>
      <c r="H124">
        <v>4.5460000000000003</v>
      </c>
      <c r="I124">
        <v>4.5529999999999999</v>
      </c>
      <c r="J124" s="111">
        <v>7.4980000000000001E-4</v>
      </c>
      <c r="K124">
        <v>2.327</v>
      </c>
      <c r="L124" s="111">
        <v>1.2830000000000001E-3</v>
      </c>
      <c r="O124" t="s">
        <v>3932</v>
      </c>
      <c r="P124">
        <v>1.631</v>
      </c>
      <c r="Q124">
        <v>0.45129999999999998</v>
      </c>
      <c r="R124">
        <v>0.1061</v>
      </c>
      <c r="S124">
        <v>1.6180000000000001</v>
      </c>
      <c r="T124">
        <v>1.538</v>
      </c>
      <c r="U124">
        <v>1.3460000000000001</v>
      </c>
      <c r="V124">
        <v>0.85199999999999998</v>
      </c>
      <c r="W124">
        <v>0.84889999999999999</v>
      </c>
      <c r="X124" t="s">
        <v>3871</v>
      </c>
      <c r="Y124">
        <v>0</v>
      </c>
      <c r="Z124">
        <v>0</v>
      </c>
      <c r="AA124" s="111"/>
      <c r="AB124" s="111"/>
      <c r="AC124" s="111"/>
      <c r="AD124" s="111"/>
      <c r="AE124" s="111"/>
      <c r="AF124" s="111"/>
      <c r="AG124" s="111"/>
      <c r="AH124" s="111"/>
      <c r="AI124" s="111"/>
      <c r="AJ124" s="111"/>
      <c r="AK124" s="111"/>
      <c r="AL124" s="111"/>
      <c r="AN124" s="111"/>
      <c r="AO124" s="111"/>
    </row>
    <row r="125" spans="1:41" x14ac:dyDescent="0.55000000000000004">
      <c r="A125" t="s">
        <v>3429</v>
      </c>
      <c r="B125">
        <v>10.62</v>
      </c>
      <c r="C125">
        <v>3.3610000000000002</v>
      </c>
      <c r="D125">
        <v>2.3439999999999999</v>
      </c>
      <c r="E125">
        <v>10.51</v>
      </c>
      <c r="F125">
        <v>9.7609999999999992</v>
      </c>
      <c r="G125">
        <v>8.0869999999999997</v>
      </c>
      <c r="H125">
        <v>5.5069999999999997</v>
      </c>
      <c r="I125">
        <v>5.52</v>
      </c>
      <c r="J125" s="111">
        <v>6.5569999999999997E-5</v>
      </c>
      <c r="K125">
        <v>1.4950000000000001</v>
      </c>
      <c r="L125" s="111">
        <v>7.5459999999999999E-5</v>
      </c>
      <c r="M125" s="118"/>
      <c r="N125" s="118"/>
      <c r="O125" t="s">
        <v>3933</v>
      </c>
      <c r="P125">
        <v>3.4249999999999998</v>
      </c>
      <c r="Q125">
        <v>0.97370000000000001</v>
      </c>
      <c r="R125">
        <v>0.439</v>
      </c>
      <c r="S125">
        <v>3.3940000000000001</v>
      </c>
      <c r="T125">
        <v>3.21</v>
      </c>
      <c r="U125">
        <v>2.782</v>
      </c>
      <c r="V125">
        <v>1.7629999999999999</v>
      </c>
      <c r="W125">
        <v>1.754</v>
      </c>
      <c r="X125" s="111">
        <v>3.5630000000000003E-5</v>
      </c>
      <c r="Y125">
        <v>1.635</v>
      </c>
      <c r="Z125" s="111">
        <v>4.8319999999999998E-5</v>
      </c>
      <c r="AA125" s="111"/>
      <c r="AB125" s="111"/>
      <c r="AC125" s="111"/>
      <c r="AD125" s="111"/>
      <c r="AE125" s="111"/>
      <c r="AF125" s="111"/>
      <c r="AG125" s="111"/>
      <c r="AH125" s="111"/>
      <c r="AI125" s="111"/>
      <c r="AJ125" s="111"/>
      <c r="AK125" s="111"/>
      <c r="AL125" s="111"/>
      <c r="AN125" s="111"/>
      <c r="AO125" s="111"/>
    </row>
    <row r="126" spans="1:41" x14ac:dyDescent="0.55000000000000004">
      <c r="A126" t="s">
        <v>3430</v>
      </c>
      <c r="B126">
        <v>6.6790000000000003</v>
      </c>
      <c r="C126">
        <v>1.508</v>
      </c>
      <c r="D126">
        <v>1.0880000000000001</v>
      </c>
      <c r="E126">
        <v>6.5529999999999999</v>
      </c>
      <c r="F126">
        <v>5.8360000000000003</v>
      </c>
      <c r="G126">
        <v>4.5350000000000001</v>
      </c>
      <c r="H126">
        <v>2.7669999999999999</v>
      </c>
      <c r="I126">
        <v>2.7570000000000001</v>
      </c>
      <c r="J126" s="111">
        <v>2.7679999999999999E-5</v>
      </c>
      <c r="K126">
        <v>1.829</v>
      </c>
      <c r="L126" s="111">
        <v>3.4799999999999999E-5</v>
      </c>
      <c r="O126" t="s">
        <v>3934</v>
      </c>
      <c r="P126">
        <v>3.363</v>
      </c>
      <c r="Q126">
        <v>0.79079999999999995</v>
      </c>
      <c r="R126">
        <v>0.33389999999999997</v>
      </c>
      <c r="S126">
        <v>3.3180000000000001</v>
      </c>
      <c r="T126">
        <v>3.0710000000000002</v>
      </c>
      <c r="U126">
        <v>2.4870000000000001</v>
      </c>
      <c r="V126">
        <v>1.464</v>
      </c>
      <c r="W126">
        <v>1.4510000000000001</v>
      </c>
      <c r="X126" s="111">
        <v>3.0520000000000001E-7</v>
      </c>
      <c r="Y126">
        <v>1.367</v>
      </c>
      <c r="Z126" s="111">
        <v>3.7249999999999998E-7</v>
      </c>
      <c r="AA126" s="111"/>
      <c r="AB126" s="111"/>
      <c r="AC126" s="111"/>
      <c r="AD126" s="111"/>
      <c r="AE126" s="111"/>
      <c r="AF126" s="111"/>
      <c r="AG126" s="111"/>
      <c r="AH126" s="111"/>
      <c r="AI126" s="111"/>
      <c r="AJ126" s="111"/>
      <c r="AK126" s="111"/>
      <c r="AL126" s="111"/>
      <c r="AN126" s="111"/>
      <c r="AO126" s="111"/>
    </row>
    <row r="127" spans="1:41" x14ac:dyDescent="0.55000000000000004">
      <c r="A127" t="s">
        <v>3431</v>
      </c>
      <c r="B127">
        <v>4.2309999999999999</v>
      </c>
      <c r="C127">
        <v>0.89</v>
      </c>
      <c r="D127">
        <v>0.79790000000000005</v>
      </c>
      <c r="E127">
        <v>4.1289999999999996</v>
      </c>
      <c r="F127">
        <v>3.7330000000000001</v>
      </c>
      <c r="G127">
        <v>2.9260000000000002</v>
      </c>
      <c r="H127">
        <v>1.702</v>
      </c>
      <c r="I127">
        <v>1.6970000000000001</v>
      </c>
      <c r="J127" s="111">
        <v>2.69E-5</v>
      </c>
      <c r="K127">
        <v>1.837</v>
      </c>
      <c r="L127" s="111">
        <v>5.8640000000000001E-5</v>
      </c>
      <c r="O127" t="s">
        <v>3935</v>
      </c>
      <c r="P127">
        <v>3.4969999999999999</v>
      </c>
      <c r="Q127">
        <v>0.72009999999999996</v>
      </c>
      <c r="R127">
        <v>0.30130000000000001</v>
      </c>
      <c r="S127">
        <v>3.4279999999999999</v>
      </c>
      <c r="T127">
        <v>3.137</v>
      </c>
      <c r="U127">
        <v>2.3690000000000002</v>
      </c>
      <c r="V127">
        <v>1.385</v>
      </c>
      <c r="W127">
        <v>1.377</v>
      </c>
      <c r="X127" s="111">
        <v>1.7209999999999999E-6</v>
      </c>
      <c r="Y127">
        <v>2.1440000000000001</v>
      </c>
      <c r="Z127" s="111">
        <v>3.895E-6</v>
      </c>
      <c r="AA127" s="111"/>
      <c r="AB127" s="111"/>
      <c r="AC127" s="111"/>
      <c r="AD127" s="111"/>
      <c r="AE127" s="111"/>
      <c r="AF127" s="111"/>
      <c r="AG127" s="111"/>
      <c r="AH127" s="111"/>
      <c r="AI127" s="111"/>
      <c r="AJ127" s="111"/>
      <c r="AK127" s="111"/>
      <c r="AL127" s="111"/>
      <c r="AN127" s="111"/>
      <c r="AO127" s="111"/>
    </row>
    <row r="128" spans="1:41" x14ac:dyDescent="0.55000000000000004">
      <c r="A128" t="s">
        <v>3432</v>
      </c>
      <c r="B128">
        <v>4.22</v>
      </c>
      <c r="C128">
        <v>0.9133</v>
      </c>
      <c r="D128">
        <v>0.85050000000000003</v>
      </c>
      <c r="E128">
        <v>4.1420000000000003</v>
      </c>
      <c r="F128">
        <v>3.7869999999999999</v>
      </c>
      <c r="G128">
        <v>3.0579999999999998</v>
      </c>
      <c r="H128">
        <v>1.8240000000000001</v>
      </c>
      <c r="I128">
        <v>1.8129999999999999</v>
      </c>
      <c r="J128" s="111">
        <v>1.7269999999999999E-5</v>
      </c>
      <c r="K128">
        <v>1.498</v>
      </c>
      <c r="L128" s="111">
        <v>4.4530000000000002E-5</v>
      </c>
      <c r="M128" s="118"/>
      <c r="N128" s="118"/>
      <c r="O128" t="s">
        <v>3936</v>
      </c>
      <c r="P128">
        <v>6.6719999999999997</v>
      </c>
      <c r="Q128">
        <v>1.0029999999999999</v>
      </c>
      <c r="R128">
        <v>0.39889999999999998</v>
      </c>
      <c r="S128">
        <v>6.7050000000000001</v>
      </c>
      <c r="T128">
        <v>5.9770000000000003</v>
      </c>
      <c r="U128">
        <v>6.1539999999999999</v>
      </c>
      <c r="V128">
        <v>3.68</v>
      </c>
      <c r="W128">
        <v>3.6749999999999998</v>
      </c>
      <c r="X128" s="111">
        <v>1.6470000000000001E-6</v>
      </c>
      <c r="Y128">
        <v>2.7519999999999998</v>
      </c>
      <c r="Z128" s="111">
        <v>3.9029999999999997E-6</v>
      </c>
      <c r="AA128" s="111"/>
      <c r="AB128" s="111"/>
      <c r="AC128" s="111"/>
      <c r="AD128" s="111"/>
      <c r="AE128" s="111"/>
      <c r="AF128" s="111"/>
      <c r="AG128" s="111"/>
      <c r="AH128" s="111"/>
      <c r="AI128" s="111"/>
      <c r="AJ128" s="111"/>
      <c r="AK128" s="111"/>
      <c r="AL128" s="111"/>
      <c r="AN128" s="111"/>
      <c r="AO128" s="111"/>
    </row>
    <row r="129" spans="1:41" x14ac:dyDescent="0.55000000000000004">
      <c r="A129" t="s">
        <v>3433</v>
      </c>
      <c r="B129">
        <v>5.944</v>
      </c>
      <c r="C129">
        <v>2.085</v>
      </c>
      <c r="D129">
        <v>1.649</v>
      </c>
      <c r="E129">
        <v>5.8609999999999998</v>
      </c>
      <c r="F129">
        <v>5.444</v>
      </c>
      <c r="G129">
        <v>4.6340000000000003</v>
      </c>
      <c r="H129">
        <v>3.121</v>
      </c>
      <c r="I129">
        <v>3.1139999999999999</v>
      </c>
      <c r="J129" t="s">
        <v>3871</v>
      </c>
      <c r="K129">
        <v>0.68110000000000004</v>
      </c>
      <c r="L129" s="111">
        <v>1.0900000000000001E-5</v>
      </c>
      <c r="M129" s="118"/>
      <c r="N129" s="118"/>
      <c r="O129" t="s">
        <v>3937</v>
      </c>
      <c r="P129">
        <v>7.2279999999999998</v>
      </c>
      <c r="Q129">
        <v>1.3340000000000001</v>
      </c>
      <c r="R129">
        <v>0.48049999999999998</v>
      </c>
      <c r="S129">
        <v>7.1029999999999998</v>
      </c>
      <c r="T129">
        <v>6.4749999999999996</v>
      </c>
      <c r="U129">
        <v>5.0979999999999999</v>
      </c>
      <c r="V129">
        <v>2.9329999999999998</v>
      </c>
      <c r="W129">
        <v>2.9159999999999999</v>
      </c>
      <c r="X129" s="111">
        <v>1.519E-5</v>
      </c>
      <c r="Y129">
        <v>2.7589999999999999</v>
      </c>
      <c r="Z129" s="111">
        <v>3.4650000000000002E-5</v>
      </c>
      <c r="AA129" s="111"/>
      <c r="AB129" s="111"/>
      <c r="AC129" s="111"/>
      <c r="AD129" s="111"/>
      <c r="AE129" s="111"/>
      <c r="AF129" s="111"/>
      <c r="AG129" s="111"/>
      <c r="AH129" s="111"/>
      <c r="AI129" s="111"/>
      <c r="AJ129" s="111"/>
      <c r="AK129" s="111"/>
      <c r="AL129" s="111"/>
      <c r="AN129" s="111"/>
      <c r="AO129" s="111"/>
    </row>
    <row r="130" spans="1:41" x14ac:dyDescent="0.55000000000000004">
      <c r="A130" t="s">
        <v>3434</v>
      </c>
      <c r="B130">
        <v>6.2119999999999997</v>
      </c>
      <c r="C130">
        <v>2.0289999999999999</v>
      </c>
      <c r="D130">
        <v>1.5660000000000001</v>
      </c>
      <c r="E130">
        <v>6.1029999999999998</v>
      </c>
      <c r="F130">
        <v>5.6</v>
      </c>
      <c r="G130">
        <v>4.6909999999999998</v>
      </c>
      <c r="H130">
        <v>3.1459999999999999</v>
      </c>
      <c r="I130">
        <v>3.1819999999999999</v>
      </c>
      <c r="J130" t="s">
        <v>3871</v>
      </c>
      <c r="K130">
        <v>0.62419999999999998</v>
      </c>
      <c r="L130" s="111">
        <v>2.586E-7</v>
      </c>
      <c r="M130" s="118"/>
      <c r="N130" s="118"/>
      <c r="O130" t="s">
        <v>3938</v>
      </c>
      <c r="P130">
        <v>2.5950000000000002</v>
      </c>
      <c r="Q130">
        <v>0.84809999999999997</v>
      </c>
      <c r="R130">
        <v>0.34989999999999999</v>
      </c>
      <c r="S130">
        <v>2.5760000000000001</v>
      </c>
      <c r="T130">
        <v>2.4369999999999998</v>
      </c>
      <c r="U130">
        <v>2.169</v>
      </c>
      <c r="V130">
        <v>1.498</v>
      </c>
      <c r="W130">
        <v>1.504</v>
      </c>
      <c r="X130" t="s">
        <v>3871</v>
      </c>
      <c r="Y130">
        <v>0.93640000000000001</v>
      </c>
      <c r="Z130" s="111">
        <v>1.934E-7</v>
      </c>
      <c r="AA130" s="111"/>
      <c r="AB130" s="111"/>
      <c r="AC130" s="111"/>
      <c r="AD130" s="111"/>
      <c r="AE130" s="111"/>
      <c r="AF130" s="111"/>
      <c r="AG130" s="111"/>
      <c r="AH130" s="111"/>
      <c r="AI130" s="111"/>
      <c r="AJ130" s="111"/>
      <c r="AK130" s="111"/>
      <c r="AL130" s="111"/>
      <c r="AN130" s="111"/>
      <c r="AO130" s="111"/>
    </row>
    <row r="131" spans="1:41" x14ac:dyDescent="0.55000000000000004">
      <c r="A131" t="s">
        <v>3435</v>
      </c>
      <c r="B131">
        <v>8.1470000000000002</v>
      </c>
      <c r="C131">
        <v>2.028</v>
      </c>
      <c r="D131">
        <v>1.389</v>
      </c>
      <c r="E131">
        <v>8.016</v>
      </c>
      <c r="F131">
        <v>7.2469999999999999</v>
      </c>
      <c r="G131">
        <v>5.8070000000000004</v>
      </c>
      <c r="H131">
        <v>3.637</v>
      </c>
      <c r="I131">
        <v>3.625</v>
      </c>
      <c r="J131" s="111">
        <v>5.168E-5</v>
      </c>
      <c r="K131">
        <v>2.2229999999999999</v>
      </c>
      <c r="L131" s="111">
        <v>9.5270000000000001E-5</v>
      </c>
      <c r="O131" t="s">
        <v>3939</v>
      </c>
      <c r="P131">
        <v>3.97</v>
      </c>
      <c r="Q131">
        <v>0.94989999999999997</v>
      </c>
      <c r="R131">
        <v>0.3634</v>
      </c>
      <c r="S131">
        <v>3.9020000000000001</v>
      </c>
      <c r="T131">
        <v>3.532</v>
      </c>
      <c r="U131">
        <v>2.8740000000000001</v>
      </c>
      <c r="V131">
        <v>1.7490000000000001</v>
      </c>
      <c r="W131">
        <v>1.74</v>
      </c>
      <c r="X131" s="111">
        <v>3.347E-7</v>
      </c>
      <c r="Y131">
        <v>1.0069999999999999</v>
      </c>
      <c r="Z131" s="111">
        <v>3.3529999999999999E-7</v>
      </c>
      <c r="AA131" s="111"/>
      <c r="AB131" s="111"/>
      <c r="AC131" s="111"/>
      <c r="AD131" s="111"/>
      <c r="AE131" s="111"/>
      <c r="AF131" s="111"/>
      <c r="AG131" s="111"/>
      <c r="AH131" s="111"/>
      <c r="AI131" s="111"/>
      <c r="AJ131" s="111"/>
      <c r="AK131" s="111"/>
      <c r="AL131" s="111"/>
      <c r="AN131" s="111"/>
      <c r="AO131" s="111"/>
    </row>
    <row r="132" spans="1:41" x14ac:dyDescent="0.55000000000000004">
      <c r="A132" t="s">
        <v>3436</v>
      </c>
      <c r="B132">
        <v>7.4260000000000002</v>
      </c>
      <c r="C132">
        <v>2.5920000000000001</v>
      </c>
      <c r="D132">
        <v>1.895</v>
      </c>
      <c r="E132">
        <v>7.306</v>
      </c>
      <c r="F132">
        <v>6.7560000000000002</v>
      </c>
      <c r="G132">
        <v>5.5780000000000003</v>
      </c>
      <c r="H132">
        <v>3.8410000000000002</v>
      </c>
      <c r="I132">
        <v>3.835</v>
      </c>
      <c r="J132" t="s">
        <v>3871</v>
      </c>
      <c r="K132">
        <v>0.46970000000000001</v>
      </c>
      <c r="L132" s="111">
        <v>4.2619999999999999E-7</v>
      </c>
      <c r="O132" t="s">
        <v>3940</v>
      </c>
      <c r="P132">
        <v>3.21</v>
      </c>
      <c r="Q132">
        <v>0.90600000000000003</v>
      </c>
      <c r="R132">
        <v>0.36009999999999998</v>
      </c>
      <c r="S132">
        <v>3.1669999999999998</v>
      </c>
      <c r="T132">
        <v>2.8860000000000001</v>
      </c>
      <c r="U132">
        <v>2.4940000000000002</v>
      </c>
      <c r="V132">
        <v>1.917</v>
      </c>
      <c r="W132">
        <v>1.9590000000000001</v>
      </c>
      <c r="X132" s="111">
        <v>1.5339999999999999E-5</v>
      </c>
      <c r="Y132">
        <v>2.649</v>
      </c>
      <c r="Z132" s="111">
        <v>2.525E-5</v>
      </c>
      <c r="AA132" s="111"/>
      <c r="AB132" s="111"/>
      <c r="AC132" s="111"/>
      <c r="AD132" s="111"/>
      <c r="AE132" s="111"/>
      <c r="AF132" s="111"/>
      <c r="AG132" s="111"/>
      <c r="AH132" s="111"/>
      <c r="AI132" s="111"/>
      <c r="AJ132" s="111"/>
      <c r="AK132" s="111"/>
      <c r="AL132" s="111"/>
      <c r="AN132" s="111"/>
      <c r="AO132" s="111"/>
    </row>
    <row r="133" spans="1:41" x14ac:dyDescent="0.55000000000000004">
      <c r="A133" t="s">
        <v>3437</v>
      </c>
      <c r="B133">
        <v>6.7939999999999996</v>
      </c>
      <c r="C133">
        <v>1.4159999999999999</v>
      </c>
      <c r="D133">
        <v>1.0529999999999999</v>
      </c>
      <c r="E133">
        <v>6.6779999999999999</v>
      </c>
      <c r="F133">
        <v>5.923</v>
      </c>
      <c r="G133">
        <v>4.5910000000000002</v>
      </c>
      <c r="H133">
        <v>2.7509999999999999</v>
      </c>
      <c r="I133">
        <v>2.7559999999999998</v>
      </c>
      <c r="J133" s="111">
        <v>3.608E-5</v>
      </c>
      <c r="K133">
        <v>1.78</v>
      </c>
      <c r="L133" s="111">
        <v>6.8880000000000005E-5</v>
      </c>
      <c r="M133" s="118"/>
      <c r="N133" s="118"/>
      <c r="O133" t="s">
        <v>3941</v>
      </c>
      <c r="P133">
        <v>2.8610000000000002</v>
      </c>
      <c r="Q133">
        <v>0.81030000000000002</v>
      </c>
      <c r="R133">
        <v>0.32569999999999999</v>
      </c>
      <c r="S133">
        <v>2.8319999999999999</v>
      </c>
      <c r="T133">
        <v>2.6869999999999998</v>
      </c>
      <c r="U133">
        <v>2.3370000000000002</v>
      </c>
      <c r="V133">
        <v>1.46</v>
      </c>
      <c r="W133">
        <v>1.454</v>
      </c>
      <c r="X133" t="s">
        <v>3871</v>
      </c>
      <c r="Y133">
        <v>0.72409999999999997</v>
      </c>
      <c r="Z133" s="111">
        <v>2.5320000000000001E-6</v>
      </c>
      <c r="AA133" s="111"/>
      <c r="AB133" s="111"/>
      <c r="AC133" s="111"/>
      <c r="AD133" s="111"/>
      <c r="AE133" s="111"/>
      <c r="AF133" s="111"/>
      <c r="AG133" s="111"/>
      <c r="AH133" s="111"/>
      <c r="AI133" s="111"/>
      <c r="AJ133" s="111"/>
      <c r="AK133" s="111"/>
      <c r="AL133" s="111"/>
      <c r="AN133" s="111"/>
      <c r="AO133" s="111"/>
    </row>
    <row r="134" spans="1:41" x14ac:dyDescent="0.55000000000000004">
      <c r="A134" t="s">
        <v>3438</v>
      </c>
      <c r="B134">
        <v>7.69</v>
      </c>
      <c r="C134">
        <v>3.1989999999999998</v>
      </c>
      <c r="D134">
        <v>2.2509999999999999</v>
      </c>
      <c r="E134">
        <v>7.62</v>
      </c>
      <c r="F134">
        <v>7.11</v>
      </c>
      <c r="G134">
        <v>5.97</v>
      </c>
      <c r="H134">
        <v>4.3570000000000002</v>
      </c>
      <c r="I134">
        <v>4.375</v>
      </c>
      <c r="J134" t="s">
        <v>3871</v>
      </c>
      <c r="K134">
        <v>0.41199999999999998</v>
      </c>
      <c r="L134" s="111">
        <v>1.6229999999999999E-7</v>
      </c>
      <c r="M134" s="118"/>
      <c r="N134" s="118"/>
      <c r="O134" t="s">
        <v>3942</v>
      </c>
      <c r="P134">
        <v>6.968</v>
      </c>
      <c r="Q134">
        <v>1.4830000000000001</v>
      </c>
      <c r="R134">
        <v>0.56479999999999997</v>
      </c>
      <c r="S134">
        <v>6.8710000000000004</v>
      </c>
      <c r="T134">
        <v>6.3719999999999999</v>
      </c>
      <c r="U134">
        <v>5.26</v>
      </c>
      <c r="V134">
        <v>3.1680000000000001</v>
      </c>
      <c r="W134">
        <v>3.1509999999999998</v>
      </c>
      <c r="X134" s="111">
        <v>4.9239999999999998E-6</v>
      </c>
      <c r="Y134">
        <v>1.3660000000000001</v>
      </c>
      <c r="Z134" s="111">
        <v>5.2830000000000001E-6</v>
      </c>
      <c r="AA134" s="111"/>
      <c r="AB134" s="111"/>
      <c r="AC134" s="111"/>
      <c r="AD134" s="111"/>
      <c r="AE134" s="111"/>
      <c r="AF134" s="111"/>
      <c r="AG134" s="111"/>
      <c r="AH134" s="111"/>
      <c r="AI134" s="111"/>
      <c r="AJ134" s="111"/>
      <c r="AK134" s="111"/>
      <c r="AL134" s="111"/>
      <c r="AN134" s="111"/>
      <c r="AO134" s="111"/>
    </row>
    <row r="135" spans="1:41" x14ac:dyDescent="0.55000000000000004">
      <c r="A135" t="s">
        <v>3439</v>
      </c>
      <c r="B135">
        <v>10.7</v>
      </c>
      <c r="C135">
        <v>2.6739999999999999</v>
      </c>
      <c r="D135">
        <v>1.6859999999999999</v>
      </c>
      <c r="E135">
        <v>10.47</v>
      </c>
      <c r="F135">
        <v>9.2669999999999995</v>
      </c>
      <c r="G135">
        <v>7.3360000000000003</v>
      </c>
      <c r="H135">
        <v>4.7409999999999997</v>
      </c>
      <c r="I135">
        <v>4.7389999999999999</v>
      </c>
      <c r="J135" t="s">
        <v>3871</v>
      </c>
      <c r="K135">
        <v>0.85189999999999999</v>
      </c>
      <c r="L135" s="111">
        <v>4.9389999999999996E-6</v>
      </c>
      <c r="O135" t="s">
        <v>3943</v>
      </c>
      <c r="P135">
        <v>2.21</v>
      </c>
      <c r="Q135">
        <v>0.72489999999999999</v>
      </c>
      <c r="R135">
        <v>0.25840000000000002</v>
      </c>
      <c r="S135">
        <v>2.19</v>
      </c>
      <c r="T135">
        <v>2.0819999999999999</v>
      </c>
      <c r="U135">
        <v>1.905</v>
      </c>
      <c r="V135">
        <v>1.343</v>
      </c>
      <c r="W135">
        <v>1.3380000000000001</v>
      </c>
      <c r="X135" t="s">
        <v>3871</v>
      </c>
      <c r="Y135">
        <v>0.3327</v>
      </c>
      <c r="Z135" s="111">
        <v>9.3540000000000006E-9</v>
      </c>
      <c r="AA135" s="111"/>
      <c r="AB135" s="111"/>
      <c r="AC135" s="111"/>
      <c r="AD135" s="111"/>
      <c r="AE135" s="111"/>
      <c r="AF135" s="111"/>
      <c r="AG135" s="111"/>
      <c r="AH135" s="111"/>
      <c r="AI135" s="111"/>
      <c r="AJ135" s="111"/>
      <c r="AK135" s="111"/>
      <c r="AL135" s="111"/>
      <c r="AN135" s="111"/>
      <c r="AO135" s="111"/>
    </row>
    <row r="136" spans="1:41" x14ac:dyDescent="0.55000000000000004">
      <c r="A136" t="s">
        <v>3440</v>
      </c>
      <c r="B136">
        <v>5.6970000000000001</v>
      </c>
      <c r="C136">
        <v>2.7949999999999999</v>
      </c>
      <c r="D136">
        <v>2.2829999999999999</v>
      </c>
      <c r="E136">
        <v>5.6360000000000001</v>
      </c>
      <c r="F136">
        <v>5.2949999999999999</v>
      </c>
      <c r="G136">
        <v>4.702</v>
      </c>
      <c r="H136">
        <v>3.5529999999999999</v>
      </c>
      <c r="I136">
        <v>3.5819999999999999</v>
      </c>
      <c r="J136" t="s">
        <v>3871</v>
      </c>
      <c r="K136">
        <v>0.19450000000000001</v>
      </c>
      <c r="L136" s="111">
        <v>1.4069999999999999E-10</v>
      </c>
      <c r="O136" t="s">
        <v>3944</v>
      </c>
      <c r="P136">
        <v>2.7349999999999999</v>
      </c>
      <c r="Q136">
        <v>1.0509999999999999</v>
      </c>
      <c r="R136">
        <v>0.27229999999999999</v>
      </c>
      <c r="S136">
        <v>2.72</v>
      </c>
      <c r="T136">
        <v>2.6440000000000001</v>
      </c>
      <c r="U136">
        <v>2.39</v>
      </c>
      <c r="V136">
        <v>1.7889999999999999</v>
      </c>
      <c r="W136">
        <v>1.798</v>
      </c>
      <c r="X136" t="s">
        <v>3871</v>
      </c>
      <c r="Y136" s="111">
        <v>5.8219999999999999E-3</v>
      </c>
      <c r="Z136" s="111">
        <v>4.7060000000000003E-28</v>
      </c>
      <c r="AA136" s="111"/>
      <c r="AB136" s="111"/>
      <c r="AC136" s="111"/>
      <c r="AD136" s="111"/>
      <c r="AE136" s="111"/>
      <c r="AF136" s="111"/>
      <c r="AG136" s="111"/>
      <c r="AH136" s="111"/>
      <c r="AI136" s="111"/>
      <c r="AJ136" s="111"/>
      <c r="AK136" s="111"/>
      <c r="AL136" s="111"/>
      <c r="AN136" s="111"/>
      <c r="AO136" s="111"/>
    </row>
    <row r="137" spans="1:41" x14ac:dyDescent="0.55000000000000004">
      <c r="A137" t="s">
        <v>3441</v>
      </c>
      <c r="B137">
        <v>9.5250000000000004</v>
      </c>
      <c r="C137">
        <v>2.1240000000000001</v>
      </c>
      <c r="D137">
        <v>1.3939999999999999</v>
      </c>
      <c r="E137">
        <v>9.2889999999999997</v>
      </c>
      <c r="F137">
        <v>8.157</v>
      </c>
      <c r="G137">
        <v>6.2640000000000002</v>
      </c>
      <c r="H137">
        <v>3.8980000000000001</v>
      </c>
      <c r="I137">
        <v>3.944</v>
      </c>
      <c r="J137" s="111">
        <v>6.2650000000000002E-6</v>
      </c>
      <c r="K137">
        <v>1.177</v>
      </c>
      <c r="L137" s="111">
        <v>7.4900000000000003E-6</v>
      </c>
      <c r="O137" t="s">
        <v>3945</v>
      </c>
      <c r="P137">
        <v>2.76</v>
      </c>
      <c r="Q137">
        <v>0.76490000000000002</v>
      </c>
      <c r="R137">
        <v>0.27929999999999999</v>
      </c>
      <c r="S137">
        <v>2.7330000000000001</v>
      </c>
      <c r="T137">
        <v>2.5979999999999999</v>
      </c>
      <c r="U137">
        <v>2.2370000000000001</v>
      </c>
      <c r="V137">
        <v>1.4179999999999999</v>
      </c>
      <c r="W137">
        <v>1.411</v>
      </c>
      <c r="X137" t="s">
        <v>3871</v>
      </c>
      <c r="Y137">
        <v>0.33339999999999997</v>
      </c>
      <c r="Z137" s="111">
        <v>2.7149999999999999E-10</v>
      </c>
      <c r="AA137" s="111"/>
      <c r="AB137" s="111"/>
      <c r="AC137" s="111"/>
      <c r="AD137" s="111"/>
      <c r="AE137" s="111"/>
      <c r="AF137" s="111"/>
      <c r="AG137" s="111"/>
      <c r="AH137" s="111"/>
      <c r="AI137" s="111"/>
      <c r="AJ137" s="111"/>
      <c r="AK137" s="111"/>
      <c r="AL137" s="111"/>
      <c r="AN137" s="111"/>
      <c r="AO137" s="111"/>
    </row>
    <row r="138" spans="1:41" x14ac:dyDescent="0.55000000000000004">
      <c r="A138" t="s">
        <v>3442</v>
      </c>
      <c r="B138">
        <v>9.0280000000000005</v>
      </c>
      <c r="C138">
        <v>1.615</v>
      </c>
      <c r="D138">
        <v>1.0509999999999999</v>
      </c>
      <c r="E138">
        <v>8.8710000000000004</v>
      </c>
      <c r="F138">
        <v>7.8220000000000001</v>
      </c>
      <c r="G138">
        <v>5.9420000000000002</v>
      </c>
      <c r="H138">
        <v>3.4260000000000002</v>
      </c>
      <c r="I138">
        <v>3.4009999999999998</v>
      </c>
      <c r="J138" t="s">
        <v>3871</v>
      </c>
      <c r="K138">
        <v>0.53300000000000003</v>
      </c>
      <c r="L138" s="111">
        <v>1.3019999999999999E-7</v>
      </c>
      <c r="O138" t="s">
        <v>3946</v>
      </c>
      <c r="P138">
        <v>6.2949999999999999</v>
      </c>
      <c r="Q138">
        <v>1.671</v>
      </c>
      <c r="R138">
        <v>0.63890000000000002</v>
      </c>
      <c r="S138">
        <v>6.1669999999999998</v>
      </c>
      <c r="T138">
        <v>5.7450000000000001</v>
      </c>
      <c r="U138">
        <v>4.8730000000000002</v>
      </c>
      <c r="V138">
        <v>3.8530000000000002</v>
      </c>
      <c r="W138">
        <v>3.8919999999999999</v>
      </c>
      <c r="X138" t="s">
        <v>3871</v>
      </c>
      <c r="Y138">
        <v>0.50690000000000002</v>
      </c>
      <c r="Z138" s="111">
        <v>2.0870000000000001E-8</v>
      </c>
      <c r="AA138" s="111"/>
      <c r="AB138" s="111"/>
      <c r="AC138" s="111"/>
      <c r="AD138" s="111"/>
      <c r="AE138" s="111"/>
      <c r="AF138" s="111"/>
      <c r="AG138" s="111"/>
      <c r="AH138" s="111"/>
      <c r="AI138" s="111"/>
      <c r="AJ138" s="111"/>
      <c r="AK138" s="111"/>
      <c r="AL138" s="111"/>
      <c r="AN138" s="111"/>
      <c r="AO138" s="111"/>
    </row>
    <row r="139" spans="1:41" x14ac:dyDescent="0.55000000000000004">
      <c r="A139" t="s">
        <v>3443</v>
      </c>
      <c r="B139">
        <v>4.109</v>
      </c>
      <c r="C139">
        <v>0.99960000000000004</v>
      </c>
      <c r="D139">
        <v>0.8256</v>
      </c>
      <c r="E139">
        <v>4.0119999999999996</v>
      </c>
      <c r="F139">
        <v>3.7050000000000001</v>
      </c>
      <c r="G139">
        <v>3.1070000000000002</v>
      </c>
      <c r="H139">
        <v>1.8759999999999999</v>
      </c>
      <c r="I139">
        <v>1.8660000000000001</v>
      </c>
      <c r="J139" t="s">
        <v>3871</v>
      </c>
      <c r="K139" s="111">
        <v>2.2030000000000001E-3</v>
      </c>
      <c r="L139" s="111">
        <v>5.5830000000000002E-42</v>
      </c>
      <c r="O139" t="s">
        <v>3947</v>
      </c>
      <c r="P139">
        <v>5.1390000000000002</v>
      </c>
      <c r="Q139">
        <v>1.0089999999999999</v>
      </c>
      <c r="R139">
        <v>0.45610000000000001</v>
      </c>
      <c r="S139">
        <v>5.0679999999999996</v>
      </c>
      <c r="T139">
        <v>4.6440000000000001</v>
      </c>
      <c r="U139">
        <v>4.0759999999999996</v>
      </c>
      <c r="V139">
        <v>2.88</v>
      </c>
      <c r="W139">
        <v>2.8490000000000002</v>
      </c>
      <c r="X139" s="111">
        <v>1.973E-6</v>
      </c>
      <c r="Y139">
        <v>1.3440000000000001</v>
      </c>
      <c r="Z139" s="111">
        <v>2.7939999999999998E-6</v>
      </c>
      <c r="AA139" s="111"/>
      <c r="AB139" s="111"/>
      <c r="AC139" s="111"/>
      <c r="AD139" s="111"/>
      <c r="AE139" s="111"/>
      <c r="AF139" s="111"/>
      <c r="AG139" s="111"/>
      <c r="AH139" s="111"/>
      <c r="AI139" s="111"/>
      <c r="AJ139" s="111"/>
      <c r="AK139" s="111"/>
      <c r="AL139" s="111"/>
      <c r="AN139" s="111"/>
      <c r="AO139" s="111"/>
    </row>
    <row r="140" spans="1:41" x14ac:dyDescent="0.55000000000000004">
      <c r="A140" t="s">
        <v>3444</v>
      </c>
      <c r="B140">
        <v>4.8479999999999999</v>
      </c>
      <c r="C140">
        <v>1.92</v>
      </c>
      <c r="D140">
        <v>1.7789999999999999</v>
      </c>
      <c r="E140">
        <v>4.8109999999999999</v>
      </c>
      <c r="F140">
        <v>4.5970000000000004</v>
      </c>
      <c r="G140">
        <v>4.0549999999999997</v>
      </c>
      <c r="H140">
        <v>2.8210000000000002</v>
      </c>
      <c r="I140">
        <v>2.81</v>
      </c>
      <c r="J140" t="s">
        <v>3871</v>
      </c>
      <c r="K140" s="111">
        <v>4.1439999999999998E-2</v>
      </c>
      <c r="L140" s="111">
        <v>1.2209999999999999E-20</v>
      </c>
      <c r="M140" s="118"/>
      <c r="N140" s="118"/>
      <c r="O140" t="s">
        <v>3948</v>
      </c>
      <c r="P140" s="111">
        <v>9.0429999999999996E-2</v>
      </c>
      <c r="Q140" s="111">
        <v>1.7739999999999999E-2</v>
      </c>
      <c r="R140" s="111">
        <v>5.3709999999999999E-3</v>
      </c>
      <c r="S140" s="111">
        <v>8.8959999999999997E-2</v>
      </c>
      <c r="T140" s="111">
        <v>8.0619999999999997E-2</v>
      </c>
      <c r="U140" s="111">
        <v>6.2509999999999996E-2</v>
      </c>
      <c r="V140" s="111">
        <v>4.4519999999999997E-2</v>
      </c>
      <c r="W140" s="111">
        <v>4.53E-2</v>
      </c>
      <c r="X140" t="s">
        <v>3871</v>
      </c>
      <c r="Y140" s="111">
        <v>3.1230000000000001E-2</v>
      </c>
      <c r="Z140" s="111">
        <v>3.7369999999999999E-24</v>
      </c>
      <c r="AA140" s="111"/>
      <c r="AB140" s="111"/>
      <c r="AC140" s="111"/>
      <c r="AD140" s="111"/>
      <c r="AE140" s="111"/>
      <c r="AF140" s="111"/>
      <c r="AG140" s="111"/>
      <c r="AH140" s="111"/>
      <c r="AI140" s="111"/>
      <c r="AJ140" s="111"/>
      <c r="AK140" s="111"/>
      <c r="AL140" s="111"/>
      <c r="AN140" s="111"/>
      <c r="AO140" s="111"/>
    </row>
    <row r="141" spans="1:41" x14ac:dyDescent="0.55000000000000004">
      <c r="A141" t="s">
        <v>3445</v>
      </c>
      <c r="B141">
        <v>4.0129999999999999</v>
      </c>
      <c r="C141">
        <v>0.98699999999999999</v>
      </c>
      <c r="D141">
        <v>0.85899999999999999</v>
      </c>
      <c r="E141">
        <v>3.9540000000000002</v>
      </c>
      <c r="F141">
        <v>3.6469999999999998</v>
      </c>
      <c r="G141">
        <v>2.9950000000000001</v>
      </c>
      <c r="H141">
        <v>1.8109999999999999</v>
      </c>
      <c r="I141">
        <v>1.798</v>
      </c>
      <c r="J141" t="s">
        <v>3871</v>
      </c>
      <c r="K141" s="111">
        <v>1.593E-3</v>
      </c>
      <c r="L141">
        <v>0</v>
      </c>
      <c r="M141" s="118"/>
      <c r="N141" s="118"/>
      <c r="O141" t="s">
        <v>3949</v>
      </c>
      <c r="P141">
        <v>0.39850000000000002</v>
      </c>
      <c r="Q141">
        <v>0.16059999999999999</v>
      </c>
      <c r="R141" s="111">
        <v>4.6359999999999998E-2</v>
      </c>
      <c r="S141">
        <v>0.39579999999999999</v>
      </c>
      <c r="T141">
        <v>0.38</v>
      </c>
      <c r="U141">
        <v>0.37609999999999999</v>
      </c>
      <c r="V141">
        <v>0.34060000000000001</v>
      </c>
      <c r="W141">
        <v>0.34110000000000001</v>
      </c>
      <c r="X141" t="s">
        <v>3871</v>
      </c>
      <c r="Y141" s="111">
        <v>6.6400000000000001E-3</v>
      </c>
      <c r="Z141" s="111">
        <v>1.6080000000000001E-40</v>
      </c>
      <c r="AA141" s="111"/>
      <c r="AB141" s="111"/>
      <c r="AC141" s="111"/>
      <c r="AD141" s="111"/>
      <c r="AE141" s="111"/>
      <c r="AF141" s="111"/>
      <c r="AG141" s="111"/>
      <c r="AH141" s="111"/>
      <c r="AI141" s="111"/>
      <c r="AJ141" s="111"/>
      <c r="AK141" s="111"/>
      <c r="AL141" s="111"/>
      <c r="AN141" s="111"/>
      <c r="AO141" s="111"/>
    </row>
    <row r="142" spans="1:41" x14ac:dyDescent="0.55000000000000004">
      <c r="A142" t="s">
        <v>3446</v>
      </c>
      <c r="B142">
        <v>4.6230000000000002</v>
      </c>
      <c r="C142">
        <v>1.6419999999999999</v>
      </c>
      <c r="D142">
        <v>1.482</v>
      </c>
      <c r="E142">
        <v>4.5839999999999996</v>
      </c>
      <c r="F142">
        <v>4.3449999999999998</v>
      </c>
      <c r="G142">
        <v>3.8410000000000002</v>
      </c>
      <c r="H142">
        <v>2.5550000000000002</v>
      </c>
      <c r="I142">
        <v>2.5430000000000001</v>
      </c>
      <c r="J142" t="s">
        <v>3871</v>
      </c>
      <c r="K142" s="111">
        <v>6.7169999999999994E-2</v>
      </c>
      <c r="L142" s="111">
        <v>8.7220000000000003E-17</v>
      </c>
      <c r="M142" s="118"/>
      <c r="N142" s="118"/>
      <c r="O142" t="s">
        <v>3950</v>
      </c>
      <c r="P142">
        <v>0.2661</v>
      </c>
      <c r="Q142" s="111">
        <v>4.2360000000000002E-2</v>
      </c>
      <c r="R142" s="111">
        <v>1.6760000000000001E-2</v>
      </c>
      <c r="S142">
        <v>0.26390000000000002</v>
      </c>
      <c r="T142">
        <v>0.25269999999999998</v>
      </c>
      <c r="U142">
        <v>0.18759999999999999</v>
      </c>
      <c r="V142">
        <v>0.13780000000000001</v>
      </c>
      <c r="W142">
        <v>0.11600000000000001</v>
      </c>
      <c r="X142" t="s">
        <v>3871</v>
      </c>
      <c r="Y142" s="111">
        <v>6.4260000000000001E-4</v>
      </c>
      <c r="Z142" s="111">
        <v>3.2069999999999999E-44</v>
      </c>
      <c r="AA142" s="111"/>
      <c r="AB142" s="111"/>
      <c r="AC142" s="111"/>
      <c r="AD142" s="111"/>
      <c r="AE142" s="111"/>
      <c r="AF142" s="111"/>
      <c r="AG142" s="111"/>
      <c r="AH142" s="111"/>
      <c r="AI142" s="111"/>
      <c r="AJ142" s="111"/>
      <c r="AK142" s="111"/>
      <c r="AL142" s="111"/>
      <c r="AN142" s="111"/>
      <c r="AO142" s="111"/>
    </row>
    <row r="143" spans="1:41" x14ac:dyDescent="0.55000000000000004">
      <c r="A143" t="s">
        <v>3447</v>
      </c>
      <c r="B143">
        <v>7.6360000000000001</v>
      </c>
      <c r="C143">
        <v>3.048</v>
      </c>
      <c r="D143">
        <v>2.242</v>
      </c>
      <c r="E143">
        <v>7.5890000000000004</v>
      </c>
      <c r="F143">
        <v>7.3049999999999997</v>
      </c>
      <c r="G143">
        <v>6.6740000000000004</v>
      </c>
      <c r="H143">
        <v>4.7960000000000003</v>
      </c>
      <c r="I143">
        <v>4.7850000000000001</v>
      </c>
      <c r="J143" s="111">
        <v>2.4800000000000001E-4</v>
      </c>
      <c r="K143">
        <v>2.6749999999999998</v>
      </c>
      <c r="L143" s="111">
        <v>6.267E-4</v>
      </c>
      <c r="O143" t="s">
        <v>3951</v>
      </c>
      <c r="P143">
        <v>3.5150000000000001</v>
      </c>
      <c r="Q143">
        <v>1.141</v>
      </c>
      <c r="R143">
        <v>0.36809999999999998</v>
      </c>
      <c r="S143">
        <v>3.524</v>
      </c>
      <c r="T143">
        <v>3.1890000000000001</v>
      </c>
      <c r="U143">
        <v>2.5369999999999999</v>
      </c>
      <c r="V143">
        <v>1.966</v>
      </c>
      <c r="W143">
        <v>1.8440000000000001</v>
      </c>
      <c r="X143" t="s">
        <v>3871</v>
      </c>
      <c r="Y143">
        <v>0.56810000000000005</v>
      </c>
      <c r="Z143" s="111">
        <v>2.6509999999999999E-4</v>
      </c>
      <c r="AA143" s="111"/>
      <c r="AB143" s="111"/>
      <c r="AC143" s="111"/>
      <c r="AD143" s="111"/>
      <c r="AE143" s="111"/>
      <c r="AF143" s="111"/>
      <c r="AG143" s="111"/>
      <c r="AH143" s="111"/>
      <c r="AI143" s="111"/>
      <c r="AJ143" s="111"/>
      <c r="AK143" s="111"/>
      <c r="AL143" s="111"/>
      <c r="AN143" s="111"/>
      <c r="AO143" s="111"/>
    </row>
    <row r="144" spans="1:41" x14ac:dyDescent="0.55000000000000004">
      <c r="A144" t="s">
        <v>3448</v>
      </c>
      <c r="B144">
        <v>5.6550000000000002</v>
      </c>
      <c r="C144">
        <v>2.1179999999999999</v>
      </c>
      <c r="D144">
        <v>1.597</v>
      </c>
      <c r="E144">
        <v>5.5839999999999996</v>
      </c>
      <c r="F144">
        <v>5.282</v>
      </c>
      <c r="G144">
        <v>4.6520000000000001</v>
      </c>
      <c r="H144">
        <v>3.3279999999999998</v>
      </c>
      <c r="I144">
        <v>3.3170000000000002</v>
      </c>
      <c r="J144" t="s">
        <v>3871</v>
      </c>
      <c r="K144">
        <v>0.27579999999999999</v>
      </c>
      <c r="L144" s="111">
        <v>2.1899999999999999E-7</v>
      </c>
      <c r="O144" t="s">
        <v>3952</v>
      </c>
      <c r="P144">
        <v>0.40510000000000002</v>
      </c>
      <c r="Q144">
        <v>0.15509999999999999</v>
      </c>
      <c r="R144" s="111">
        <v>5.0040000000000001E-2</v>
      </c>
      <c r="S144">
        <v>0.40550000000000003</v>
      </c>
      <c r="T144">
        <v>0.40589999999999998</v>
      </c>
      <c r="U144">
        <v>0.38179999999999997</v>
      </c>
      <c r="V144">
        <v>0.32519999999999999</v>
      </c>
      <c r="W144">
        <v>0.32679999999999998</v>
      </c>
      <c r="X144" t="s">
        <v>3871</v>
      </c>
      <c r="Y144" s="111">
        <v>3.9329999999999999E-3</v>
      </c>
      <c r="Z144" s="111">
        <v>4.27E-66</v>
      </c>
      <c r="AA144" s="111"/>
      <c r="AB144" s="111"/>
      <c r="AC144" s="111"/>
      <c r="AD144" s="111"/>
      <c r="AE144" s="111"/>
      <c r="AF144" s="111"/>
      <c r="AG144" s="111"/>
      <c r="AH144" s="111"/>
      <c r="AI144" s="111"/>
      <c r="AJ144" s="111"/>
      <c r="AK144" s="111"/>
      <c r="AL144" s="111"/>
      <c r="AN144" s="111"/>
      <c r="AO144" s="111"/>
    </row>
    <row r="145" spans="1:41" x14ac:dyDescent="0.55000000000000004">
      <c r="A145" t="s">
        <v>4031</v>
      </c>
      <c r="B145">
        <v>7.0629999999999997</v>
      </c>
      <c r="C145">
        <v>1.9730000000000001</v>
      </c>
      <c r="D145">
        <v>1.1200000000000001</v>
      </c>
      <c r="E145">
        <v>6.9720000000000004</v>
      </c>
      <c r="F145">
        <v>6.4509999999999996</v>
      </c>
      <c r="G145">
        <v>5.3959999999999999</v>
      </c>
      <c r="H145">
        <v>3.4460000000000002</v>
      </c>
      <c r="I145">
        <v>3.4580000000000002</v>
      </c>
      <c r="J145" s="111">
        <v>7.5290000000000003E-4</v>
      </c>
      <c r="K145">
        <v>2.327</v>
      </c>
      <c r="L145" s="111">
        <v>1.2880000000000001E-3</v>
      </c>
      <c r="O145" t="s">
        <v>3953</v>
      </c>
      <c r="P145">
        <v>0.81530000000000002</v>
      </c>
      <c r="Q145">
        <v>0.22559999999999999</v>
      </c>
      <c r="R145" s="111">
        <v>5.3060000000000003E-2</v>
      </c>
      <c r="S145">
        <v>0.80889999999999995</v>
      </c>
      <c r="T145">
        <v>0.76890000000000003</v>
      </c>
      <c r="U145">
        <v>0.67279999999999995</v>
      </c>
      <c r="V145">
        <v>0.42599999999999999</v>
      </c>
      <c r="W145">
        <v>0.42449999999999999</v>
      </c>
      <c r="X145" t="s">
        <v>3871</v>
      </c>
      <c r="Y145">
        <v>0</v>
      </c>
      <c r="Z145">
        <v>0</v>
      </c>
      <c r="AA145" s="111"/>
      <c r="AB145" s="111"/>
      <c r="AC145" s="111"/>
      <c r="AD145" s="111"/>
      <c r="AE145" s="111"/>
      <c r="AF145" s="111"/>
      <c r="AG145" s="111"/>
      <c r="AH145" s="111"/>
      <c r="AI145" s="111"/>
      <c r="AJ145" s="111"/>
      <c r="AK145" s="111"/>
      <c r="AL145" s="111"/>
      <c r="AN145" s="111"/>
      <c r="AO145" s="111"/>
    </row>
    <row r="146" spans="1:41" x14ac:dyDescent="0.55000000000000004">
      <c r="A146" t="s">
        <v>4032</v>
      </c>
      <c r="B146">
        <v>8.2260000000000009</v>
      </c>
      <c r="C146">
        <v>2.569</v>
      </c>
      <c r="D146">
        <v>1.579</v>
      </c>
      <c r="E146">
        <v>8.1219999999999999</v>
      </c>
      <c r="F146">
        <v>7.5890000000000004</v>
      </c>
      <c r="G146">
        <v>6.3840000000000003</v>
      </c>
      <c r="H146">
        <v>4.327</v>
      </c>
      <c r="I146">
        <v>4.3079999999999998</v>
      </c>
      <c r="J146" s="111">
        <v>6.5840000000000007E-5</v>
      </c>
      <c r="K146">
        <v>1.4950000000000001</v>
      </c>
      <c r="L146" s="111">
        <v>7.5779999999999996E-5</v>
      </c>
      <c r="M146" s="118"/>
      <c r="N146" s="118"/>
      <c r="O146" t="s">
        <v>3954</v>
      </c>
      <c r="P146">
        <v>13.51</v>
      </c>
      <c r="Q146">
        <v>4.3559999999999999</v>
      </c>
      <c r="R146">
        <v>1.8819999999999999</v>
      </c>
      <c r="S146">
        <v>13.42</v>
      </c>
      <c r="T146">
        <v>12.85</v>
      </c>
      <c r="U146">
        <v>11.29</v>
      </c>
      <c r="V146">
        <v>7.3449999999999998</v>
      </c>
      <c r="W146">
        <v>7.35</v>
      </c>
      <c r="X146" t="s">
        <v>3871</v>
      </c>
      <c r="Y146">
        <v>0.93910000000000005</v>
      </c>
      <c r="Z146" s="111">
        <v>2.198E-6</v>
      </c>
      <c r="AA146" s="111"/>
      <c r="AB146" s="111"/>
      <c r="AC146" s="111"/>
      <c r="AD146" s="111"/>
      <c r="AE146" s="111"/>
      <c r="AF146" s="111"/>
      <c r="AG146" s="111"/>
      <c r="AH146" s="111"/>
      <c r="AI146" s="111"/>
      <c r="AJ146" s="111"/>
      <c r="AK146" s="111"/>
      <c r="AL146" s="111"/>
      <c r="AN146" s="111"/>
      <c r="AO146" s="111"/>
    </row>
    <row r="147" spans="1:41" x14ac:dyDescent="0.55000000000000004">
      <c r="A147" t="s">
        <v>4033</v>
      </c>
      <c r="B147">
        <v>4.4770000000000003</v>
      </c>
      <c r="C147">
        <v>0.98360000000000003</v>
      </c>
      <c r="D147">
        <v>0.57269999999999999</v>
      </c>
      <c r="E147">
        <v>4.3929999999999998</v>
      </c>
      <c r="F147">
        <v>3.9660000000000002</v>
      </c>
      <c r="G147">
        <v>3.0579999999999998</v>
      </c>
      <c r="H147">
        <v>1.87</v>
      </c>
      <c r="I147">
        <v>1.885</v>
      </c>
      <c r="J147" s="111">
        <v>2.779E-5</v>
      </c>
      <c r="K147">
        <v>1.829</v>
      </c>
      <c r="L147" s="111">
        <v>3.4950000000000002E-5</v>
      </c>
      <c r="M147" s="118"/>
      <c r="N147" s="118"/>
      <c r="O147" t="s">
        <v>3955</v>
      </c>
      <c r="P147">
        <v>24.49</v>
      </c>
      <c r="Q147">
        <v>8.5229999999999997</v>
      </c>
      <c r="R147">
        <v>3.8130000000000002</v>
      </c>
      <c r="S147">
        <v>24.41</v>
      </c>
      <c r="T147">
        <v>23.69</v>
      </c>
      <c r="U147">
        <v>21.27</v>
      </c>
      <c r="V147">
        <v>14.25</v>
      </c>
      <c r="W147">
        <v>14.18</v>
      </c>
      <c r="X147" t="s">
        <v>3871</v>
      </c>
      <c r="Y147">
        <v>0.74590000000000001</v>
      </c>
      <c r="Z147" s="111">
        <v>2.1480000000000001E-5</v>
      </c>
      <c r="AA147" s="111"/>
      <c r="AB147" s="111"/>
      <c r="AC147" s="111"/>
      <c r="AD147" s="111"/>
      <c r="AE147" s="111"/>
      <c r="AF147" s="111"/>
      <c r="AG147" s="111"/>
      <c r="AH147" s="111"/>
      <c r="AI147" s="111"/>
      <c r="AJ147" s="111"/>
      <c r="AK147" s="111"/>
      <c r="AL147" s="111"/>
      <c r="AN147" s="111"/>
      <c r="AO147" s="111"/>
    </row>
    <row r="148" spans="1:41" x14ac:dyDescent="0.55000000000000004">
      <c r="A148" t="s">
        <v>4034</v>
      </c>
      <c r="B148">
        <v>2.0670000000000002</v>
      </c>
      <c r="C148">
        <v>0.43140000000000001</v>
      </c>
      <c r="D148">
        <v>0.34560000000000002</v>
      </c>
      <c r="E148">
        <v>2.0150000000000001</v>
      </c>
      <c r="F148">
        <v>1.76</v>
      </c>
      <c r="G148">
        <v>1.391</v>
      </c>
      <c r="H148">
        <v>0.85589999999999999</v>
      </c>
      <c r="I148">
        <v>0.85809999999999997</v>
      </c>
      <c r="J148" s="111">
        <v>2.7010000000000001E-5</v>
      </c>
      <c r="K148">
        <v>1.837</v>
      </c>
      <c r="L148" s="111">
        <v>5.889E-5</v>
      </c>
      <c r="O148" t="s">
        <v>3956</v>
      </c>
      <c r="P148">
        <v>8.1270000000000007</v>
      </c>
      <c r="Q148">
        <v>2.5099999999999998</v>
      </c>
      <c r="R148">
        <v>1.0149999999999999</v>
      </c>
      <c r="S148">
        <v>8.048</v>
      </c>
      <c r="T148">
        <v>7.6909999999999998</v>
      </c>
      <c r="U148">
        <v>6.6550000000000002</v>
      </c>
      <c r="V148">
        <v>4.4089999999999998</v>
      </c>
      <c r="W148">
        <v>4.516</v>
      </c>
      <c r="X148" t="s">
        <v>3871</v>
      </c>
      <c r="Y148">
        <v>0.31409999999999999</v>
      </c>
      <c r="Z148" s="111">
        <v>3.0990000000000002E-9</v>
      </c>
      <c r="AA148" s="111"/>
      <c r="AB148" s="111"/>
      <c r="AC148" s="111"/>
      <c r="AD148" s="111"/>
      <c r="AE148" s="111"/>
      <c r="AF148" s="111"/>
      <c r="AG148" s="111"/>
      <c r="AH148" s="111"/>
      <c r="AI148" s="111"/>
      <c r="AJ148" s="111"/>
      <c r="AK148" s="111"/>
      <c r="AL148" s="111"/>
      <c r="AN148" s="111"/>
      <c r="AO148" s="111"/>
    </row>
    <row r="149" spans="1:41" x14ac:dyDescent="0.55000000000000004">
      <c r="A149" t="s">
        <v>4035</v>
      </c>
      <c r="B149">
        <v>2.0019999999999998</v>
      </c>
      <c r="C149">
        <v>0.42809999999999998</v>
      </c>
      <c r="D149">
        <v>0.3654</v>
      </c>
      <c r="E149">
        <v>1.9630000000000001</v>
      </c>
      <c r="F149">
        <v>1.7609999999999999</v>
      </c>
      <c r="G149">
        <v>1.4379999999999999</v>
      </c>
      <c r="H149">
        <v>0.85589999999999999</v>
      </c>
      <c r="I149">
        <v>0.85099999999999998</v>
      </c>
      <c r="J149" s="111">
        <v>1.734E-5</v>
      </c>
      <c r="K149">
        <v>1.498</v>
      </c>
      <c r="L149" s="111">
        <v>4.4719999999999999E-5</v>
      </c>
      <c r="M149" s="118"/>
      <c r="N149" s="118"/>
      <c r="O149" t="s">
        <v>3957</v>
      </c>
      <c r="P149">
        <v>5.0469999999999997</v>
      </c>
      <c r="Q149">
        <v>1.448</v>
      </c>
      <c r="R149">
        <v>0.53390000000000004</v>
      </c>
      <c r="S149">
        <v>4.9989999999999997</v>
      </c>
      <c r="T149">
        <v>4.7510000000000003</v>
      </c>
      <c r="U149">
        <v>4.1130000000000004</v>
      </c>
      <c r="V149">
        <v>2.7410000000000001</v>
      </c>
      <c r="W149">
        <v>2.73</v>
      </c>
      <c r="X149" t="s">
        <v>3871</v>
      </c>
      <c r="Y149" s="111">
        <v>1.6219999999999998E-2</v>
      </c>
      <c r="Z149" s="111">
        <v>9.3920000000000006E-29</v>
      </c>
      <c r="AA149" s="111"/>
      <c r="AB149" s="111"/>
      <c r="AC149" s="111"/>
      <c r="AD149" s="111"/>
      <c r="AE149" s="111"/>
      <c r="AF149" s="111"/>
      <c r="AG149" s="111"/>
      <c r="AH149" s="111"/>
      <c r="AI149" s="111"/>
      <c r="AJ149" s="111"/>
      <c r="AK149" s="111"/>
      <c r="AL149" s="111"/>
      <c r="AN149" s="111"/>
      <c r="AO149" s="111"/>
    </row>
    <row r="150" spans="1:41" x14ac:dyDescent="0.55000000000000004">
      <c r="A150" t="s">
        <v>4036</v>
      </c>
      <c r="B150">
        <v>3.5630000000000002</v>
      </c>
      <c r="C150">
        <v>1.226</v>
      </c>
      <c r="D150">
        <v>0.8054</v>
      </c>
      <c r="E150">
        <v>3.516</v>
      </c>
      <c r="F150">
        <v>3.2629999999999999</v>
      </c>
      <c r="G150">
        <v>2.718</v>
      </c>
      <c r="H150">
        <v>1.913</v>
      </c>
      <c r="I150">
        <v>1.915</v>
      </c>
      <c r="J150" t="s">
        <v>3871</v>
      </c>
      <c r="K150">
        <v>0.68110000000000004</v>
      </c>
      <c r="L150" s="111">
        <v>1.095E-5</v>
      </c>
      <c r="M150" s="118"/>
      <c r="N150" s="118"/>
      <c r="O150" t="s">
        <v>3958</v>
      </c>
      <c r="P150">
        <v>7.8170000000000002</v>
      </c>
      <c r="Q150">
        <v>2.1459999999999999</v>
      </c>
      <c r="R150">
        <v>0.66559999999999997</v>
      </c>
      <c r="S150">
        <v>7.7469999999999999</v>
      </c>
      <c r="T150">
        <v>7.3970000000000002</v>
      </c>
      <c r="U150">
        <v>6.5549999999999997</v>
      </c>
      <c r="V150">
        <v>4.0709999999999997</v>
      </c>
      <c r="W150">
        <v>4.0549999999999997</v>
      </c>
      <c r="X150" t="s">
        <v>3871</v>
      </c>
      <c r="Y150" s="111">
        <v>3.686E-3</v>
      </c>
      <c r="Z150" s="111">
        <v>7.6329999999999995E-45</v>
      </c>
      <c r="AA150" s="111"/>
      <c r="AB150" s="111"/>
      <c r="AC150" s="111"/>
      <c r="AD150" s="111"/>
      <c r="AE150" s="111"/>
      <c r="AF150" s="111"/>
      <c r="AG150" s="111"/>
      <c r="AH150" s="111"/>
      <c r="AI150" s="111"/>
      <c r="AJ150" s="111"/>
      <c r="AK150" s="111"/>
      <c r="AL150" s="111"/>
      <c r="AN150" s="111"/>
      <c r="AO150" s="111"/>
    </row>
    <row r="151" spans="1:41" x14ac:dyDescent="0.55000000000000004">
      <c r="A151" t="s">
        <v>4037</v>
      </c>
      <c r="B151">
        <v>3.9209999999999998</v>
      </c>
      <c r="C151">
        <v>1.2589999999999999</v>
      </c>
      <c r="D151">
        <v>0.80259999999999998</v>
      </c>
      <c r="E151">
        <v>3.8559999999999999</v>
      </c>
      <c r="F151">
        <v>3.5539999999999998</v>
      </c>
      <c r="G151">
        <v>2.8889999999999998</v>
      </c>
      <c r="H151">
        <v>2.109</v>
      </c>
      <c r="I151">
        <v>2.1179999999999999</v>
      </c>
      <c r="J151" t="s">
        <v>3871</v>
      </c>
      <c r="K151">
        <v>0.62419999999999998</v>
      </c>
      <c r="L151" s="111">
        <v>2.5969999999999998E-7</v>
      </c>
      <c r="O151" t="s">
        <v>3959</v>
      </c>
      <c r="P151">
        <v>7.9720000000000004</v>
      </c>
      <c r="Q151">
        <v>2.4500000000000002</v>
      </c>
      <c r="R151">
        <v>1.0920000000000001</v>
      </c>
      <c r="S151">
        <v>7.9089999999999998</v>
      </c>
      <c r="T151">
        <v>7.5709999999999997</v>
      </c>
      <c r="U151">
        <v>6.6630000000000003</v>
      </c>
      <c r="V151">
        <v>4.3019999999999996</v>
      </c>
      <c r="W151">
        <v>4.2830000000000004</v>
      </c>
      <c r="X151" t="s">
        <v>3871</v>
      </c>
      <c r="Y151" s="111">
        <v>3.1710000000000002E-3</v>
      </c>
      <c r="Z151" s="111">
        <v>1.3820000000000001E-76</v>
      </c>
      <c r="AA151" s="111"/>
      <c r="AB151" s="111"/>
      <c r="AC151" s="111"/>
      <c r="AD151" s="111"/>
      <c r="AE151" s="111"/>
      <c r="AF151" s="111"/>
      <c r="AG151" s="111"/>
      <c r="AH151" s="111"/>
      <c r="AI151" s="111"/>
      <c r="AJ151" s="111"/>
      <c r="AK151" s="111"/>
      <c r="AL151" s="111"/>
      <c r="AN151" s="111"/>
      <c r="AO151" s="111"/>
    </row>
    <row r="152" spans="1:41" x14ac:dyDescent="0.55000000000000004">
      <c r="A152" t="s">
        <v>4038</v>
      </c>
      <c r="B152">
        <v>5.8920000000000003</v>
      </c>
      <c r="C152">
        <v>1.403</v>
      </c>
      <c r="D152">
        <v>0.7742</v>
      </c>
      <c r="E152">
        <v>5.8</v>
      </c>
      <c r="F152">
        <v>5.3170000000000002</v>
      </c>
      <c r="G152">
        <v>4.2590000000000003</v>
      </c>
      <c r="H152">
        <v>2.6219999999999999</v>
      </c>
      <c r="I152">
        <v>2.641</v>
      </c>
      <c r="J152" s="111">
        <v>5.189E-5</v>
      </c>
      <c r="K152">
        <v>2.2229999999999999</v>
      </c>
      <c r="L152" s="111">
        <v>9.5680000000000005E-5</v>
      </c>
      <c r="M152" s="118"/>
      <c r="N152" s="118"/>
      <c r="O152" t="s">
        <v>3960</v>
      </c>
      <c r="P152">
        <v>2.7189999999999999</v>
      </c>
      <c r="Q152">
        <v>0.66769999999999996</v>
      </c>
      <c r="R152">
        <v>0.23699999999999999</v>
      </c>
      <c r="S152">
        <v>2.6949999999999998</v>
      </c>
      <c r="T152">
        <v>2.5649999999999999</v>
      </c>
      <c r="U152">
        <v>2.1909999999999998</v>
      </c>
      <c r="V152">
        <v>1.341</v>
      </c>
      <c r="W152">
        <v>1.335</v>
      </c>
      <c r="X152" t="s">
        <v>3871</v>
      </c>
      <c r="Y152">
        <v>0.59909999999999997</v>
      </c>
      <c r="Z152" s="111">
        <v>5.8940000000000002E-7</v>
      </c>
      <c r="AA152" s="111"/>
      <c r="AB152" s="111"/>
      <c r="AC152" s="111"/>
      <c r="AD152" s="111"/>
      <c r="AE152" s="111"/>
      <c r="AF152" s="111"/>
      <c r="AG152" s="111"/>
      <c r="AH152" s="111"/>
      <c r="AI152" s="111"/>
      <c r="AJ152" s="111"/>
      <c r="AK152" s="111"/>
      <c r="AL152" s="111"/>
      <c r="AN152" s="111"/>
      <c r="AO152" s="111"/>
    </row>
    <row r="153" spans="1:41" x14ac:dyDescent="0.55000000000000004">
      <c r="A153" t="s">
        <v>4039</v>
      </c>
      <c r="B153">
        <v>5.0359999999999996</v>
      </c>
      <c r="C153">
        <v>1.6990000000000001</v>
      </c>
      <c r="D153">
        <v>1.0529999999999999</v>
      </c>
      <c r="E153">
        <v>4.9610000000000003</v>
      </c>
      <c r="F153">
        <v>4.5469999999999997</v>
      </c>
      <c r="G153">
        <v>3.7210000000000001</v>
      </c>
      <c r="H153">
        <v>2.66</v>
      </c>
      <c r="I153">
        <v>2.6619999999999999</v>
      </c>
      <c r="J153" t="s">
        <v>3871</v>
      </c>
      <c r="K153">
        <v>0.46970000000000001</v>
      </c>
      <c r="L153" s="111">
        <v>4.2800000000000002E-7</v>
      </c>
      <c r="O153" t="s">
        <v>3961</v>
      </c>
      <c r="P153">
        <v>4.1100000000000003</v>
      </c>
      <c r="Q153">
        <v>0.89539999999999997</v>
      </c>
      <c r="R153">
        <v>0.25750000000000001</v>
      </c>
      <c r="S153">
        <v>4.0549999999999997</v>
      </c>
      <c r="T153">
        <v>3.7349999999999999</v>
      </c>
      <c r="U153">
        <v>3.1150000000000002</v>
      </c>
      <c r="V153">
        <v>1.8480000000000001</v>
      </c>
      <c r="W153">
        <v>1.8380000000000001</v>
      </c>
      <c r="X153" t="s">
        <v>3871</v>
      </c>
      <c r="Y153">
        <v>0.14099999999999999</v>
      </c>
      <c r="Z153" s="111">
        <v>5.1439999999999997E-17</v>
      </c>
      <c r="AA153" s="111"/>
      <c r="AB153" s="111"/>
      <c r="AC153" s="111"/>
      <c r="AD153" s="111"/>
      <c r="AE153" s="111"/>
      <c r="AF153" s="111"/>
      <c r="AG153" s="111"/>
      <c r="AH153" s="111"/>
      <c r="AI153" s="111"/>
      <c r="AJ153" s="111"/>
      <c r="AK153" s="111"/>
      <c r="AL153" s="111"/>
      <c r="AN153" s="111"/>
      <c r="AO153" s="111"/>
    </row>
    <row r="154" spans="1:41" x14ac:dyDescent="0.55000000000000004">
      <c r="A154" t="s">
        <v>4040</v>
      </c>
      <c r="B154">
        <v>4.6189999999999998</v>
      </c>
      <c r="C154">
        <v>0.9163</v>
      </c>
      <c r="D154">
        <v>0.56200000000000006</v>
      </c>
      <c r="E154">
        <v>4.53</v>
      </c>
      <c r="F154">
        <v>4.024</v>
      </c>
      <c r="G154">
        <v>3.0640000000000001</v>
      </c>
      <c r="H154">
        <v>1.9139999999999999</v>
      </c>
      <c r="I154">
        <v>1.903</v>
      </c>
      <c r="J154" s="111">
        <v>3.6229999999999997E-5</v>
      </c>
      <c r="K154">
        <v>1.78</v>
      </c>
      <c r="L154" s="111">
        <v>6.9170000000000004E-5</v>
      </c>
      <c r="O154" t="s">
        <v>3962</v>
      </c>
      <c r="P154">
        <v>8.3290000000000006</v>
      </c>
      <c r="Q154">
        <v>1.7190000000000001</v>
      </c>
      <c r="R154">
        <v>0.4824</v>
      </c>
      <c r="S154">
        <v>8.2040000000000006</v>
      </c>
      <c r="T154">
        <v>7.5410000000000004</v>
      </c>
      <c r="U154">
        <v>6.1619999999999999</v>
      </c>
      <c r="V154">
        <v>3.6339999999999999</v>
      </c>
      <c r="W154">
        <v>3.6150000000000002</v>
      </c>
      <c r="X154" t="s">
        <v>3871</v>
      </c>
      <c r="Y154">
        <v>0.1031</v>
      </c>
      <c r="Z154" s="111">
        <v>2.8759999999999998E-16</v>
      </c>
      <c r="AA154" s="111"/>
      <c r="AB154" s="111"/>
      <c r="AC154" s="111"/>
      <c r="AD154" s="111"/>
      <c r="AE154" s="111"/>
      <c r="AF154" s="111"/>
      <c r="AG154" s="111"/>
      <c r="AH154" s="111"/>
      <c r="AI154" s="111"/>
      <c r="AJ154" s="111"/>
      <c r="AK154" s="111"/>
      <c r="AL154" s="111"/>
      <c r="AN154" s="111"/>
      <c r="AO154" s="111"/>
    </row>
    <row r="155" spans="1:41" x14ac:dyDescent="0.55000000000000004">
      <c r="A155" t="s">
        <v>4041</v>
      </c>
      <c r="B155">
        <v>5.5019999999999998</v>
      </c>
      <c r="C155">
        <v>2.2160000000000002</v>
      </c>
      <c r="D155">
        <v>1.2290000000000001</v>
      </c>
      <c r="E155">
        <v>5.4180000000000001</v>
      </c>
      <c r="F155">
        <v>4.9630000000000001</v>
      </c>
      <c r="G155">
        <v>4.2910000000000004</v>
      </c>
      <c r="H155">
        <v>3.1309999999999998</v>
      </c>
      <c r="I155">
        <v>3.1480000000000001</v>
      </c>
      <c r="J155" t="s">
        <v>3871</v>
      </c>
      <c r="K155">
        <v>0.41199999999999998</v>
      </c>
      <c r="L155" s="111">
        <v>1.6299999999999999E-7</v>
      </c>
      <c r="M155" s="118"/>
      <c r="N155" s="118"/>
      <c r="O155" t="s">
        <v>3963</v>
      </c>
      <c r="P155">
        <v>11.87</v>
      </c>
      <c r="Q155">
        <v>4.827</v>
      </c>
      <c r="R155">
        <v>2.2200000000000002</v>
      </c>
      <c r="S155">
        <v>11.82</v>
      </c>
      <c r="T155">
        <v>11.68</v>
      </c>
      <c r="U155">
        <v>10.78</v>
      </c>
      <c r="V155">
        <v>7.8620000000000001</v>
      </c>
      <c r="W155">
        <v>8.0640000000000001</v>
      </c>
      <c r="X155" t="s">
        <v>3871</v>
      </c>
      <c r="Y155" s="111">
        <v>5.3160000000000004E-3</v>
      </c>
      <c r="Z155" s="111">
        <v>1.083E-38</v>
      </c>
      <c r="AA155" s="111"/>
      <c r="AB155" s="111"/>
      <c r="AC155" s="111"/>
      <c r="AD155" s="111"/>
      <c r="AE155" s="111"/>
      <c r="AF155" s="111"/>
      <c r="AG155" s="111"/>
      <c r="AH155" s="111"/>
      <c r="AI155" s="111"/>
      <c r="AJ155" s="111"/>
      <c r="AK155" s="111"/>
      <c r="AL155" s="111"/>
      <c r="AN155" s="111"/>
      <c r="AO155" s="111"/>
    </row>
    <row r="156" spans="1:41" x14ac:dyDescent="0.55000000000000004">
      <c r="A156" t="s">
        <v>4042</v>
      </c>
      <c r="B156">
        <v>8.5120000000000005</v>
      </c>
      <c r="C156">
        <v>2.0720000000000001</v>
      </c>
      <c r="D156">
        <v>1.117</v>
      </c>
      <c r="E156">
        <v>8.3049999999999997</v>
      </c>
      <c r="F156">
        <v>7.3929999999999998</v>
      </c>
      <c r="G156">
        <v>5.8369999999999997</v>
      </c>
      <c r="H156">
        <v>3.8679999999999999</v>
      </c>
      <c r="I156">
        <v>3.859</v>
      </c>
      <c r="J156" t="s">
        <v>3871</v>
      </c>
      <c r="K156">
        <v>0.85189999999999999</v>
      </c>
      <c r="L156" s="111">
        <v>4.9599999999999999E-6</v>
      </c>
      <c r="O156" t="s">
        <v>3964</v>
      </c>
      <c r="P156">
        <v>1.1890000000000001</v>
      </c>
      <c r="Q156">
        <v>0.23250000000000001</v>
      </c>
      <c r="R156" s="111">
        <v>8.5389999999999994E-2</v>
      </c>
      <c r="S156">
        <v>1.196</v>
      </c>
      <c r="T156">
        <v>1.01</v>
      </c>
      <c r="U156">
        <v>0.75249999999999995</v>
      </c>
      <c r="V156">
        <v>0.5716</v>
      </c>
      <c r="W156">
        <v>0.46700000000000003</v>
      </c>
      <c r="X156" t="s">
        <v>3871</v>
      </c>
      <c r="Y156" s="111">
        <v>1.768E-3</v>
      </c>
      <c r="Z156" s="111">
        <v>2.8859999999999999E-34</v>
      </c>
      <c r="AA156" s="111"/>
      <c r="AB156" s="111"/>
      <c r="AC156" s="111"/>
      <c r="AD156" s="111"/>
      <c r="AE156" s="111"/>
      <c r="AF156" s="111"/>
      <c r="AG156" s="111"/>
      <c r="AH156" s="111"/>
      <c r="AI156" s="111"/>
      <c r="AJ156" s="111"/>
      <c r="AK156" s="111"/>
      <c r="AL156" s="111"/>
      <c r="AN156" s="111"/>
      <c r="AO156" s="111"/>
    </row>
    <row r="157" spans="1:41" x14ac:dyDescent="0.55000000000000004">
      <c r="A157" t="s">
        <v>4043</v>
      </c>
      <c r="B157">
        <v>2.944</v>
      </c>
      <c r="C157">
        <v>1.4319999999999999</v>
      </c>
      <c r="D157">
        <v>0.99919999999999998</v>
      </c>
      <c r="E157">
        <v>2.911</v>
      </c>
      <c r="F157">
        <v>2.7170000000000001</v>
      </c>
      <c r="G157">
        <v>2.3940000000000001</v>
      </c>
      <c r="H157">
        <v>1.9910000000000001</v>
      </c>
      <c r="I157">
        <v>2.0070000000000001</v>
      </c>
      <c r="J157" t="s">
        <v>3871</v>
      </c>
      <c r="K157">
        <v>0.19450000000000001</v>
      </c>
      <c r="L157" s="111">
        <v>1.4129999999999999E-10</v>
      </c>
      <c r="M157" s="118"/>
      <c r="N157" s="118"/>
      <c r="O157" t="s">
        <v>3965</v>
      </c>
      <c r="P157">
        <v>5.1280000000000001</v>
      </c>
      <c r="Q157">
        <v>1.9890000000000001</v>
      </c>
      <c r="R157">
        <v>1.038</v>
      </c>
      <c r="S157">
        <v>5.101</v>
      </c>
      <c r="T157">
        <v>4.9859999999999998</v>
      </c>
      <c r="U157">
        <v>4.6189999999999998</v>
      </c>
      <c r="V157">
        <v>3.222</v>
      </c>
      <c r="W157">
        <v>3.2109999999999999</v>
      </c>
      <c r="X157" t="s">
        <v>3871</v>
      </c>
      <c r="Y157" s="111">
        <v>2.938E-2</v>
      </c>
      <c r="Z157" s="111">
        <v>7.1160000000000003E-19</v>
      </c>
      <c r="AA157" s="111"/>
      <c r="AB157" s="111"/>
      <c r="AC157" s="111"/>
      <c r="AD157" s="111"/>
      <c r="AE157" s="111"/>
      <c r="AF157" s="111"/>
      <c r="AG157" s="111"/>
      <c r="AH157" s="111"/>
      <c r="AI157" s="111"/>
      <c r="AJ157" s="111"/>
      <c r="AK157" s="111"/>
      <c r="AL157" s="111"/>
      <c r="AN157" s="111"/>
      <c r="AO157" s="111"/>
    </row>
    <row r="158" spans="1:41" x14ac:dyDescent="0.55000000000000004">
      <c r="A158" t="s">
        <v>4044</v>
      </c>
      <c r="B158">
        <v>7.4260000000000002</v>
      </c>
      <c r="C158">
        <v>1.609</v>
      </c>
      <c r="D158">
        <v>0.88380000000000003</v>
      </c>
      <c r="E158">
        <v>7.2690000000000001</v>
      </c>
      <c r="F158">
        <v>6.3639999999999999</v>
      </c>
      <c r="G158">
        <v>4.9610000000000003</v>
      </c>
      <c r="H158">
        <v>3.1139999999999999</v>
      </c>
      <c r="I158">
        <v>3.141</v>
      </c>
      <c r="J158" s="111">
        <v>6.2910000000000004E-6</v>
      </c>
      <c r="K158">
        <v>1.177</v>
      </c>
      <c r="L158" s="111">
        <v>7.5209999999999997E-6</v>
      </c>
      <c r="M158" s="118"/>
      <c r="N158" s="118"/>
      <c r="O158" t="s">
        <v>3966</v>
      </c>
      <c r="P158">
        <v>2.7949999999999999</v>
      </c>
      <c r="Q158">
        <v>1.21</v>
      </c>
      <c r="R158">
        <v>0.3997</v>
      </c>
      <c r="S158">
        <v>2.7839999999999998</v>
      </c>
      <c r="T158">
        <v>2.7189999999999999</v>
      </c>
      <c r="U158">
        <v>2.5179999999999998</v>
      </c>
      <c r="V158">
        <v>2.0350000000000001</v>
      </c>
      <c r="W158">
        <v>2.0649999999999999</v>
      </c>
      <c r="X158" t="s">
        <v>3871</v>
      </c>
      <c r="Y158">
        <v>0.14510000000000001</v>
      </c>
      <c r="Z158" s="111">
        <v>4.3860000000000004E-9</v>
      </c>
      <c r="AA158" s="111"/>
      <c r="AB158" s="111"/>
      <c r="AC158" s="111"/>
      <c r="AD158" s="111"/>
      <c r="AE158" s="111"/>
      <c r="AF158" s="111"/>
      <c r="AG158" s="111"/>
      <c r="AH158" s="111"/>
      <c r="AI158" s="111"/>
      <c r="AJ158" s="111"/>
      <c r="AK158" s="111"/>
      <c r="AL158" s="111"/>
      <c r="AN158" s="111"/>
      <c r="AO158" s="111"/>
    </row>
    <row r="159" spans="1:41" x14ac:dyDescent="0.55000000000000004">
      <c r="A159" t="s">
        <v>4045</v>
      </c>
      <c r="B159">
        <v>6.8129999999999997</v>
      </c>
      <c r="C159">
        <v>1.202</v>
      </c>
      <c r="D159">
        <v>0.65459999999999996</v>
      </c>
      <c r="E159">
        <v>6.7089999999999996</v>
      </c>
      <c r="F159">
        <v>5.9619999999999997</v>
      </c>
      <c r="G159">
        <v>4.3899999999999997</v>
      </c>
      <c r="H159">
        <v>2.5819999999999999</v>
      </c>
      <c r="I159">
        <v>2.5819999999999999</v>
      </c>
      <c r="J159" t="s">
        <v>3871</v>
      </c>
      <c r="K159">
        <v>0.53300000000000003</v>
      </c>
      <c r="L159" s="111">
        <v>1.307E-7</v>
      </c>
      <c r="O159" t="s">
        <v>3967</v>
      </c>
      <c r="P159">
        <v>4.1390000000000002</v>
      </c>
      <c r="Q159">
        <v>0.7399</v>
      </c>
      <c r="R159">
        <v>0.1731</v>
      </c>
      <c r="S159">
        <v>4.1269999999999998</v>
      </c>
      <c r="T159">
        <v>4.0049999999999999</v>
      </c>
      <c r="U159">
        <v>2.81</v>
      </c>
      <c r="V159">
        <v>1.925</v>
      </c>
      <c r="W159">
        <v>1.7789999999999999</v>
      </c>
      <c r="X159" t="s">
        <v>3871</v>
      </c>
      <c r="Y159" s="111">
        <v>6.7310000000000004E-4</v>
      </c>
      <c r="Z159" s="111">
        <v>2.627E-45</v>
      </c>
      <c r="AA159" s="111"/>
      <c r="AB159" s="111"/>
      <c r="AC159" s="111"/>
      <c r="AD159" s="111"/>
      <c r="AE159" s="111"/>
      <c r="AF159" s="111"/>
      <c r="AG159" s="111"/>
      <c r="AH159" s="111"/>
      <c r="AI159" s="111"/>
      <c r="AJ159" s="111"/>
      <c r="AK159" s="111"/>
      <c r="AL159" s="111"/>
      <c r="AN159" s="111"/>
      <c r="AO159" s="111"/>
    </row>
    <row r="160" spans="1:41" x14ac:dyDescent="0.55000000000000004">
      <c r="A160" t="s">
        <v>4046</v>
      </c>
      <c r="B160">
        <v>2.1429999999999998</v>
      </c>
      <c r="C160">
        <v>0.54830000000000001</v>
      </c>
      <c r="D160">
        <v>0.37659999999999999</v>
      </c>
      <c r="E160">
        <v>2.0960000000000001</v>
      </c>
      <c r="F160">
        <v>1.891</v>
      </c>
      <c r="G160">
        <v>1.544</v>
      </c>
      <c r="H160">
        <v>0.98839999999999995</v>
      </c>
      <c r="I160">
        <v>0.9849</v>
      </c>
      <c r="J160" t="s">
        <v>3871</v>
      </c>
      <c r="K160" s="111">
        <v>2.2030000000000001E-3</v>
      </c>
      <c r="L160" s="111">
        <v>5.6070000000000002E-42</v>
      </c>
      <c r="M160" s="118"/>
      <c r="N160" s="118"/>
      <c r="O160" t="s">
        <v>3968</v>
      </c>
      <c r="P160">
        <v>15.54</v>
      </c>
      <c r="Q160">
        <v>5.6280000000000001</v>
      </c>
      <c r="R160">
        <v>3.3319999999999999</v>
      </c>
      <c r="S160">
        <v>15.38</v>
      </c>
      <c r="T160">
        <v>14.4</v>
      </c>
      <c r="U160">
        <v>12.4</v>
      </c>
      <c r="V160">
        <v>9.032</v>
      </c>
      <c r="W160">
        <v>9.02</v>
      </c>
      <c r="X160" s="111">
        <v>4.4079999999999998E-5</v>
      </c>
      <c r="Y160">
        <v>1.2729999999999999</v>
      </c>
      <c r="Z160" s="111">
        <v>4.6400000000000003E-5</v>
      </c>
      <c r="AA160" s="111"/>
      <c r="AB160" s="111"/>
      <c r="AC160" s="111"/>
      <c r="AD160" s="111"/>
      <c r="AE160" s="111"/>
      <c r="AF160" s="111"/>
      <c r="AG160" s="111"/>
      <c r="AH160" s="111"/>
      <c r="AI160" s="111"/>
      <c r="AJ160" s="111"/>
      <c r="AK160" s="111"/>
      <c r="AL160" s="111"/>
      <c r="AN160" s="111"/>
      <c r="AO160" s="111"/>
    </row>
    <row r="161" spans="1:41" x14ac:dyDescent="0.55000000000000004">
      <c r="A161" t="s">
        <v>4047</v>
      </c>
      <c r="B161">
        <v>2.06</v>
      </c>
      <c r="C161">
        <v>0.85309999999999997</v>
      </c>
      <c r="D161">
        <v>0.72589999999999999</v>
      </c>
      <c r="E161">
        <v>2.0379999999999998</v>
      </c>
      <c r="F161">
        <v>1.944</v>
      </c>
      <c r="G161">
        <v>1.694</v>
      </c>
      <c r="H161">
        <v>1.21</v>
      </c>
      <c r="I161">
        <v>1.2050000000000001</v>
      </c>
      <c r="J161" t="s">
        <v>3871</v>
      </c>
      <c r="K161" s="111">
        <v>4.1439999999999998E-2</v>
      </c>
      <c r="L161" s="111">
        <v>1.226E-20</v>
      </c>
      <c r="O161" t="s">
        <v>3969</v>
      </c>
      <c r="P161">
        <v>10.97</v>
      </c>
      <c r="Q161">
        <v>3.0249999999999999</v>
      </c>
      <c r="R161">
        <v>1.5549999999999999</v>
      </c>
      <c r="S161">
        <v>10.8</v>
      </c>
      <c r="T161">
        <v>10.01</v>
      </c>
      <c r="U161">
        <v>8.3040000000000003</v>
      </c>
      <c r="V161">
        <v>5.4020000000000001</v>
      </c>
      <c r="W161">
        <v>5.3780000000000001</v>
      </c>
      <c r="X161" s="111">
        <v>3.54E-5</v>
      </c>
      <c r="Y161">
        <v>1.675</v>
      </c>
      <c r="Z161" s="111">
        <v>4.422E-5</v>
      </c>
      <c r="AA161" s="111"/>
      <c r="AB161" s="111"/>
      <c r="AC161" s="111"/>
      <c r="AD161" s="111"/>
      <c r="AE161" s="111"/>
      <c r="AF161" s="111"/>
      <c r="AG161" s="111"/>
      <c r="AH161" s="111"/>
      <c r="AI161" s="111"/>
      <c r="AJ161" s="111"/>
      <c r="AK161" s="111"/>
      <c r="AL161" s="111"/>
      <c r="AN161" s="111"/>
      <c r="AO161" s="111"/>
    </row>
    <row r="162" spans="1:41" x14ac:dyDescent="0.55000000000000004">
      <c r="A162" t="s">
        <v>4048</v>
      </c>
      <c r="B162">
        <v>1.8720000000000001</v>
      </c>
      <c r="C162">
        <v>0.49330000000000002</v>
      </c>
      <c r="D162">
        <v>0.36849999999999999</v>
      </c>
      <c r="E162">
        <v>1.85</v>
      </c>
      <c r="F162">
        <v>1.6279999999999999</v>
      </c>
      <c r="G162">
        <v>1.35</v>
      </c>
      <c r="H162">
        <v>0.88600000000000001</v>
      </c>
      <c r="I162">
        <v>0.88060000000000005</v>
      </c>
      <c r="J162" t="s">
        <v>3871</v>
      </c>
      <c r="K162" s="111">
        <v>1.593E-3</v>
      </c>
      <c r="L162">
        <v>0</v>
      </c>
      <c r="O162" t="s">
        <v>3970</v>
      </c>
      <c r="P162">
        <v>10.94</v>
      </c>
      <c r="Q162">
        <v>3.0219999999999998</v>
      </c>
      <c r="R162">
        <v>1.355</v>
      </c>
      <c r="S162">
        <v>10.8</v>
      </c>
      <c r="T162">
        <v>10.02</v>
      </c>
      <c r="U162">
        <v>8.43</v>
      </c>
      <c r="V162">
        <v>5.5679999999999996</v>
      </c>
      <c r="W162">
        <v>5.6369999999999996</v>
      </c>
      <c r="X162" s="111">
        <v>1.5829999999999999E-6</v>
      </c>
      <c r="Y162">
        <v>1.351</v>
      </c>
      <c r="Z162" s="111">
        <v>2.4609999999999998E-6</v>
      </c>
      <c r="AA162" s="111"/>
      <c r="AB162" s="111"/>
      <c r="AC162" s="111"/>
      <c r="AD162" s="111"/>
      <c r="AE162" s="111"/>
      <c r="AF162" s="111"/>
      <c r="AG162" s="111"/>
      <c r="AH162" s="111"/>
      <c r="AI162" s="111"/>
      <c r="AJ162" s="111"/>
      <c r="AK162" s="111"/>
      <c r="AL162" s="111"/>
      <c r="AN162" s="111"/>
      <c r="AO162" s="111"/>
    </row>
    <row r="163" spans="1:41" x14ac:dyDescent="0.55000000000000004">
      <c r="A163" t="s">
        <v>4049</v>
      </c>
      <c r="B163">
        <v>2.0579999999999998</v>
      </c>
      <c r="C163">
        <v>0.7581</v>
      </c>
      <c r="D163">
        <v>0.61639999999999995</v>
      </c>
      <c r="E163">
        <v>2.0379999999999998</v>
      </c>
      <c r="F163">
        <v>1.93</v>
      </c>
      <c r="G163">
        <v>1.677</v>
      </c>
      <c r="H163">
        <v>1.1639999999999999</v>
      </c>
      <c r="I163">
        <v>1.159</v>
      </c>
      <c r="J163" t="s">
        <v>3871</v>
      </c>
      <c r="K163" s="111">
        <v>6.7169999999999994E-2</v>
      </c>
      <c r="L163" s="111">
        <v>8.7589999999999997E-17</v>
      </c>
      <c r="O163" t="s">
        <v>3971</v>
      </c>
      <c r="P163">
        <v>9.4109999999999996</v>
      </c>
      <c r="Q163">
        <v>2.1960000000000002</v>
      </c>
      <c r="R163">
        <v>0.97450000000000003</v>
      </c>
      <c r="S163">
        <v>9.2870000000000008</v>
      </c>
      <c r="T163">
        <v>8.3740000000000006</v>
      </c>
      <c r="U163">
        <v>6.8159999999999998</v>
      </c>
      <c r="V163">
        <v>4.383</v>
      </c>
      <c r="W163">
        <v>4.4870000000000001</v>
      </c>
      <c r="X163" s="111">
        <v>2.074E-6</v>
      </c>
      <c r="Y163">
        <v>1.236</v>
      </c>
      <c r="Z163" s="111">
        <v>3.755E-6</v>
      </c>
      <c r="AA163" s="111"/>
      <c r="AB163" s="111"/>
      <c r="AC163" s="111"/>
      <c r="AD163" s="111"/>
      <c r="AE163" s="111"/>
      <c r="AF163" s="111"/>
      <c r="AG163" s="111"/>
      <c r="AH163" s="111"/>
      <c r="AI163" s="111"/>
      <c r="AJ163" s="111"/>
      <c r="AK163" s="111"/>
      <c r="AL163" s="111"/>
      <c r="AN163" s="111"/>
      <c r="AO163" s="111"/>
    </row>
    <row r="164" spans="1:41" x14ac:dyDescent="0.55000000000000004">
      <c r="A164" t="s">
        <v>4050</v>
      </c>
      <c r="B164">
        <v>5.0739999999999998</v>
      </c>
      <c r="C164">
        <v>2.0169999999999999</v>
      </c>
      <c r="D164">
        <v>1.212</v>
      </c>
      <c r="E164">
        <v>5.0389999999999997</v>
      </c>
      <c r="F164">
        <v>4.8600000000000003</v>
      </c>
      <c r="G164">
        <v>4.4400000000000004</v>
      </c>
      <c r="H164">
        <v>3.1509999999999998</v>
      </c>
      <c r="I164">
        <v>3.1440000000000001</v>
      </c>
      <c r="J164" s="111">
        <v>2.4899999999999998E-4</v>
      </c>
      <c r="K164">
        <v>2.6749999999999998</v>
      </c>
      <c r="L164" s="111">
        <v>6.2940000000000001E-4</v>
      </c>
      <c r="M164" s="118"/>
      <c r="N164" s="118"/>
      <c r="O164" t="s">
        <v>3972</v>
      </c>
      <c r="P164">
        <v>22.63</v>
      </c>
      <c r="Q164">
        <v>5.1100000000000003</v>
      </c>
      <c r="R164">
        <v>2.6789999999999998</v>
      </c>
      <c r="S164">
        <v>22.22</v>
      </c>
      <c r="T164">
        <v>19.920000000000002</v>
      </c>
      <c r="U164">
        <v>16.12</v>
      </c>
      <c r="V164">
        <v>10.31</v>
      </c>
      <c r="W164">
        <v>10.24</v>
      </c>
      <c r="X164" s="111">
        <v>6.0379999999999996E-6</v>
      </c>
      <c r="Y164">
        <v>1.5089999999999999</v>
      </c>
      <c r="Z164" s="111">
        <v>1.296E-5</v>
      </c>
      <c r="AA164" s="111"/>
      <c r="AB164" s="111"/>
      <c r="AC164" s="111"/>
      <c r="AD164" s="111"/>
      <c r="AE164" s="111"/>
      <c r="AF164" s="111"/>
      <c r="AG164" s="111"/>
      <c r="AH164" s="111"/>
      <c r="AI164" s="111"/>
      <c r="AJ164" s="111"/>
      <c r="AK164" s="111"/>
      <c r="AL164" s="111"/>
      <c r="AN164" s="111"/>
      <c r="AO164" s="111"/>
    </row>
    <row r="165" spans="1:41" x14ac:dyDescent="0.55000000000000004">
      <c r="A165" t="s">
        <v>4051</v>
      </c>
      <c r="B165">
        <v>3.3769999999999998</v>
      </c>
      <c r="C165">
        <v>1.3149999999999999</v>
      </c>
      <c r="D165">
        <v>0.8095</v>
      </c>
      <c r="E165">
        <v>3.3479999999999999</v>
      </c>
      <c r="F165">
        <v>3.3149999999999999</v>
      </c>
      <c r="G165">
        <v>3.0830000000000002</v>
      </c>
      <c r="H165">
        <v>2.206</v>
      </c>
      <c r="I165">
        <v>2.1949999999999998</v>
      </c>
      <c r="J165" t="s">
        <v>3871</v>
      </c>
      <c r="K165">
        <v>0.27579999999999999</v>
      </c>
      <c r="L165" s="111">
        <v>2.2000000000000001E-7</v>
      </c>
      <c r="M165" s="118"/>
      <c r="N165" s="118"/>
      <c r="O165" t="s">
        <v>3973</v>
      </c>
      <c r="P165">
        <v>12.74</v>
      </c>
      <c r="Q165">
        <v>4.4210000000000003</v>
      </c>
      <c r="R165">
        <v>2.54</v>
      </c>
      <c r="S165">
        <v>12.51</v>
      </c>
      <c r="T165">
        <v>11.6</v>
      </c>
      <c r="U165">
        <v>9.5310000000000006</v>
      </c>
      <c r="V165">
        <v>7.1520000000000001</v>
      </c>
      <c r="W165">
        <v>7.2839999999999998</v>
      </c>
      <c r="X165" t="s">
        <v>3871</v>
      </c>
      <c r="Y165">
        <v>0.754</v>
      </c>
      <c r="Z165" s="111">
        <v>1.296E-6</v>
      </c>
      <c r="AA165" s="111"/>
      <c r="AB165" s="111"/>
      <c r="AC165" s="111"/>
      <c r="AD165" s="111"/>
      <c r="AE165" s="111"/>
      <c r="AF165" s="111"/>
      <c r="AG165" s="111"/>
      <c r="AH165" s="111"/>
      <c r="AI165" s="111"/>
      <c r="AJ165" s="111"/>
      <c r="AK165" s="111"/>
      <c r="AL165" s="111"/>
      <c r="AN165" s="111"/>
      <c r="AO165" s="111"/>
    </row>
    <row r="166" spans="1:41" x14ac:dyDescent="0.55000000000000004">
      <c r="A166" t="s">
        <v>4052</v>
      </c>
      <c r="B166">
        <v>7.8719999999999999</v>
      </c>
      <c r="C166">
        <v>2.2189999999999999</v>
      </c>
      <c r="D166">
        <v>1.391</v>
      </c>
      <c r="E166">
        <v>7.7770000000000001</v>
      </c>
      <c r="F166">
        <v>7.0990000000000002</v>
      </c>
      <c r="G166">
        <v>5.9279999999999999</v>
      </c>
      <c r="H166">
        <v>3.843</v>
      </c>
      <c r="I166">
        <v>3.831</v>
      </c>
      <c r="J166" s="111">
        <v>7.5179999999999995E-4</v>
      </c>
      <c r="K166">
        <v>2.327</v>
      </c>
      <c r="L166" s="111">
        <v>1.286E-3</v>
      </c>
      <c r="O166" t="s">
        <v>3974</v>
      </c>
      <c r="P166">
        <v>19.690000000000001</v>
      </c>
      <c r="Q166">
        <v>5.2619999999999996</v>
      </c>
      <c r="R166">
        <v>2.6920000000000002</v>
      </c>
      <c r="S166">
        <v>19.38</v>
      </c>
      <c r="T166">
        <v>17.96</v>
      </c>
      <c r="U166">
        <v>14.82</v>
      </c>
      <c r="V166">
        <v>9.6590000000000007</v>
      </c>
      <c r="W166">
        <v>9.6050000000000004</v>
      </c>
      <c r="X166" s="111">
        <v>6.0700000000000003E-6</v>
      </c>
      <c r="Y166">
        <v>1.371</v>
      </c>
      <c r="Z166" s="111">
        <v>8.8729999999999996E-6</v>
      </c>
      <c r="AA166" s="111"/>
      <c r="AB166" s="111"/>
      <c r="AC166" s="111"/>
      <c r="AD166" s="111"/>
      <c r="AE166" s="111"/>
      <c r="AF166" s="111"/>
      <c r="AG166" s="111"/>
      <c r="AH166" s="111"/>
      <c r="AI166" s="111"/>
      <c r="AJ166" s="111"/>
      <c r="AK166" s="111"/>
      <c r="AL166" s="111"/>
      <c r="AN166" s="111"/>
      <c r="AO166" s="111"/>
    </row>
    <row r="167" spans="1:41" x14ac:dyDescent="0.55000000000000004">
      <c r="A167" t="s">
        <v>4053</v>
      </c>
      <c r="B167">
        <v>9.0690000000000008</v>
      </c>
      <c r="C167">
        <v>2.8570000000000002</v>
      </c>
      <c r="D167">
        <v>1.8480000000000001</v>
      </c>
      <c r="E167">
        <v>8.9640000000000004</v>
      </c>
      <c r="F167">
        <v>8.3420000000000005</v>
      </c>
      <c r="G167">
        <v>7.0090000000000003</v>
      </c>
      <c r="H167">
        <v>4.7350000000000003</v>
      </c>
      <c r="I167">
        <v>4.7439999999999998</v>
      </c>
      <c r="J167" s="111">
        <v>6.5749999999999999E-5</v>
      </c>
      <c r="K167">
        <v>1.4950000000000001</v>
      </c>
      <c r="L167" s="111">
        <v>7.5669999999999999E-5</v>
      </c>
      <c r="O167" t="s">
        <v>3975</v>
      </c>
      <c r="P167">
        <v>19.559999999999999</v>
      </c>
      <c r="Q167">
        <v>5.2309999999999999</v>
      </c>
      <c r="R167">
        <v>2.6019999999999999</v>
      </c>
      <c r="S167">
        <v>19.309999999999999</v>
      </c>
      <c r="T167">
        <v>17.93</v>
      </c>
      <c r="U167">
        <v>14.99</v>
      </c>
      <c r="V167">
        <v>9.9269999999999996</v>
      </c>
      <c r="W167">
        <v>9.8819999999999997</v>
      </c>
      <c r="X167" s="111">
        <v>3.1600000000000002E-5</v>
      </c>
      <c r="Y167">
        <v>1.524</v>
      </c>
      <c r="Z167" s="111">
        <v>4.8210000000000001E-5</v>
      </c>
      <c r="AA167" s="111"/>
      <c r="AB167" s="111"/>
      <c r="AC167" s="111"/>
      <c r="AD167" s="111"/>
      <c r="AE167" s="111"/>
      <c r="AF167" s="111"/>
      <c r="AG167" s="111"/>
      <c r="AH167" s="111"/>
      <c r="AI167" s="111"/>
      <c r="AJ167" s="111"/>
      <c r="AK167" s="111"/>
      <c r="AL167" s="111"/>
      <c r="AN167" s="111"/>
      <c r="AO167" s="111"/>
    </row>
    <row r="168" spans="1:41" x14ac:dyDescent="0.55000000000000004">
      <c r="A168" t="s">
        <v>4054</v>
      </c>
      <c r="B168">
        <v>5.2539999999999996</v>
      </c>
      <c r="C168">
        <v>1.165</v>
      </c>
      <c r="D168">
        <v>0.75790000000000002</v>
      </c>
      <c r="E168">
        <v>5.1740000000000004</v>
      </c>
      <c r="F168">
        <v>4.6230000000000002</v>
      </c>
      <c r="G168">
        <v>3.5819999999999999</v>
      </c>
      <c r="H168">
        <v>2.1819999999999999</v>
      </c>
      <c r="I168">
        <v>2.1930000000000001</v>
      </c>
      <c r="J168" s="111">
        <v>2.775E-5</v>
      </c>
      <c r="K168">
        <v>1.829</v>
      </c>
      <c r="L168" s="111">
        <v>3.4900000000000001E-5</v>
      </c>
      <c r="O168" t="s">
        <v>3976</v>
      </c>
      <c r="P168">
        <v>15.58</v>
      </c>
      <c r="Q168">
        <v>5.4480000000000004</v>
      </c>
      <c r="R168">
        <v>3.2</v>
      </c>
      <c r="S168">
        <v>15.4</v>
      </c>
      <c r="T168">
        <v>14.43</v>
      </c>
      <c r="U168">
        <v>12.23</v>
      </c>
      <c r="V168">
        <v>8.4049999999999994</v>
      </c>
      <c r="W168">
        <v>8.4</v>
      </c>
      <c r="X168" t="s">
        <v>3871</v>
      </c>
      <c r="Y168">
        <v>0.42299999999999999</v>
      </c>
      <c r="Z168" s="111">
        <v>3.84E-8</v>
      </c>
      <c r="AA168" s="111"/>
      <c r="AB168" s="111"/>
      <c r="AC168" s="111"/>
      <c r="AD168" s="111"/>
      <c r="AE168" s="111"/>
      <c r="AF168" s="111"/>
      <c r="AG168" s="111"/>
      <c r="AH168" s="111"/>
      <c r="AI168" s="111"/>
      <c r="AJ168" s="111"/>
      <c r="AK168" s="111"/>
      <c r="AL168" s="111"/>
      <c r="AN168" s="111"/>
      <c r="AO168" s="111"/>
    </row>
    <row r="169" spans="1:41" x14ac:dyDescent="0.55000000000000004">
      <c r="A169" t="s">
        <v>4055</v>
      </c>
      <c r="B169">
        <v>2.8210000000000002</v>
      </c>
      <c r="C169">
        <v>0.5978</v>
      </c>
      <c r="D169">
        <v>0.50429999999999997</v>
      </c>
      <c r="E169">
        <v>2.75</v>
      </c>
      <c r="F169">
        <v>2.4420000000000002</v>
      </c>
      <c r="G169">
        <v>1.9390000000000001</v>
      </c>
      <c r="H169">
        <v>1.1479999999999999</v>
      </c>
      <c r="I169">
        <v>1.1439999999999999</v>
      </c>
      <c r="J169" s="111">
        <v>2.6970000000000001E-5</v>
      </c>
      <c r="K169">
        <v>1.837</v>
      </c>
      <c r="L169" s="111">
        <v>5.8799999999999999E-5</v>
      </c>
      <c r="M169" s="118"/>
      <c r="N169" s="118"/>
      <c r="O169" t="s">
        <v>3977</v>
      </c>
      <c r="P169">
        <v>17.11</v>
      </c>
      <c r="Q169">
        <v>4.2350000000000003</v>
      </c>
      <c r="R169">
        <v>2.262</v>
      </c>
      <c r="S169">
        <v>16.829999999999998</v>
      </c>
      <c r="T169">
        <v>15.15</v>
      </c>
      <c r="U169">
        <v>12.39</v>
      </c>
      <c r="V169">
        <v>7.9429999999999996</v>
      </c>
      <c r="W169">
        <v>7.9050000000000002</v>
      </c>
      <c r="X169" s="111">
        <v>1.2130000000000001E-6</v>
      </c>
      <c r="Y169">
        <v>1.403</v>
      </c>
      <c r="Z169" s="111">
        <v>1.4920000000000001E-6</v>
      </c>
      <c r="AA169" s="111"/>
      <c r="AB169" s="111"/>
      <c r="AC169" s="111"/>
      <c r="AD169" s="111"/>
      <c r="AE169" s="111"/>
      <c r="AF169" s="111"/>
      <c r="AG169" s="111"/>
      <c r="AH169" s="111"/>
      <c r="AI169" s="111"/>
      <c r="AJ169" s="111"/>
      <c r="AK169" s="111"/>
      <c r="AL169" s="111"/>
      <c r="AN169" s="111"/>
      <c r="AO169" s="111"/>
    </row>
    <row r="170" spans="1:41" x14ac:dyDescent="0.55000000000000004">
      <c r="A170" t="s">
        <v>4056</v>
      </c>
      <c r="B170">
        <v>2.7589999999999999</v>
      </c>
      <c r="C170">
        <v>0.59699999999999998</v>
      </c>
      <c r="D170">
        <v>0.53710000000000002</v>
      </c>
      <c r="E170">
        <v>2.7050000000000001</v>
      </c>
      <c r="F170">
        <v>2.4340000000000002</v>
      </c>
      <c r="G170">
        <v>2.0049999999999999</v>
      </c>
      <c r="H170">
        <v>1.19</v>
      </c>
      <c r="I170">
        <v>1.1830000000000001</v>
      </c>
      <c r="J170" s="111">
        <v>1.7309999999999999E-5</v>
      </c>
      <c r="K170">
        <v>1.498</v>
      </c>
      <c r="L170" s="111">
        <v>4.4660000000000003E-5</v>
      </c>
      <c r="O170" t="s">
        <v>3978</v>
      </c>
      <c r="P170">
        <v>14.32</v>
      </c>
      <c r="Q170">
        <v>5.1459999999999999</v>
      </c>
      <c r="R170">
        <v>2.9460000000000002</v>
      </c>
      <c r="S170">
        <v>14.13</v>
      </c>
      <c r="T170">
        <v>13.2</v>
      </c>
      <c r="U170">
        <v>10.98</v>
      </c>
      <c r="V170">
        <v>8.125</v>
      </c>
      <c r="W170">
        <v>8.1189999999999998</v>
      </c>
      <c r="X170" t="s">
        <v>3871</v>
      </c>
      <c r="Y170" s="111">
        <v>6.0249999999999998E-2</v>
      </c>
      <c r="Z170" s="111">
        <v>7.3730000000000002E-19</v>
      </c>
      <c r="AA170" s="111"/>
      <c r="AB170" s="111"/>
      <c r="AC170" s="111"/>
      <c r="AD170" s="111"/>
      <c r="AE170" s="111"/>
      <c r="AF170" s="111"/>
      <c r="AG170" s="111"/>
      <c r="AH170" s="111"/>
      <c r="AI170" s="111"/>
      <c r="AJ170" s="111"/>
      <c r="AK170" s="111"/>
      <c r="AL170" s="111"/>
      <c r="AN170" s="111"/>
      <c r="AO170" s="111"/>
    </row>
    <row r="171" spans="1:41" x14ac:dyDescent="0.55000000000000004">
      <c r="A171" t="s">
        <v>4057</v>
      </c>
      <c r="B171">
        <v>4.4160000000000004</v>
      </c>
      <c r="C171">
        <v>1.534</v>
      </c>
      <c r="D171">
        <v>1.1060000000000001</v>
      </c>
      <c r="E171">
        <v>4.3470000000000004</v>
      </c>
      <c r="F171">
        <v>4.0279999999999996</v>
      </c>
      <c r="G171">
        <v>3.3769999999999998</v>
      </c>
      <c r="H171">
        <v>2.3340000000000001</v>
      </c>
      <c r="I171">
        <v>2.3290000000000002</v>
      </c>
      <c r="J171" t="s">
        <v>3871</v>
      </c>
      <c r="K171">
        <v>0.68110000000000004</v>
      </c>
      <c r="L171" s="111">
        <v>1.093E-5</v>
      </c>
      <c r="M171" s="118"/>
      <c r="N171" s="118"/>
      <c r="O171" t="s">
        <v>3979</v>
      </c>
      <c r="P171">
        <v>5.6689999999999996</v>
      </c>
      <c r="Q171">
        <v>2.214</v>
      </c>
      <c r="R171">
        <v>1.004</v>
      </c>
      <c r="S171">
        <v>5.5910000000000002</v>
      </c>
      <c r="T171">
        <v>5.2789999999999999</v>
      </c>
      <c r="U171">
        <v>4.82</v>
      </c>
      <c r="V171">
        <v>3.4540000000000002</v>
      </c>
      <c r="W171">
        <v>3.452</v>
      </c>
      <c r="X171" t="s">
        <v>3871</v>
      </c>
      <c r="Y171" s="111">
        <v>6.5820000000000002E-3</v>
      </c>
      <c r="Z171" s="111">
        <v>8.5580000000000006E-73</v>
      </c>
      <c r="AA171" s="111"/>
      <c r="AB171" s="111"/>
      <c r="AC171" s="111"/>
      <c r="AD171" s="111"/>
      <c r="AE171" s="111"/>
      <c r="AF171" s="111"/>
      <c r="AG171" s="111"/>
      <c r="AH171" s="111"/>
      <c r="AI171" s="111"/>
      <c r="AJ171" s="111"/>
      <c r="AK171" s="111"/>
      <c r="AL171" s="111"/>
      <c r="AN171" s="111"/>
      <c r="AO171" s="111"/>
    </row>
    <row r="172" spans="1:41" x14ac:dyDescent="0.55000000000000004">
      <c r="A172" t="s">
        <v>4058</v>
      </c>
      <c r="B172">
        <v>4.6950000000000003</v>
      </c>
      <c r="C172">
        <v>1.534</v>
      </c>
      <c r="D172">
        <v>1.0760000000000001</v>
      </c>
      <c r="E172">
        <v>4.6269999999999998</v>
      </c>
      <c r="F172">
        <v>4.2460000000000004</v>
      </c>
      <c r="G172">
        <v>3.4820000000000002</v>
      </c>
      <c r="H172">
        <v>2.4790000000000001</v>
      </c>
      <c r="I172">
        <v>2.4980000000000002</v>
      </c>
      <c r="J172" t="s">
        <v>3871</v>
      </c>
      <c r="K172">
        <v>0.62419999999999998</v>
      </c>
      <c r="L172" s="111">
        <v>2.593E-7</v>
      </c>
      <c r="O172" t="s">
        <v>3980</v>
      </c>
      <c r="P172">
        <v>7.8559999999999999</v>
      </c>
      <c r="Q172">
        <v>2.3010000000000002</v>
      </c>
      <c r="R172">
        <v>1.0009999999999999</v>
      </c>
      <c r="S172">
        <v>7.7430000000000003</v>
      </c>
      <c r="T172">
        <v>7.0890000000000004</v>
      </c>
      <c r="U172">
        <v>6.0010000000000003</v>
      </c>
      <c r="V172">
        <v>4</v>
      </c>
      <c r="W172">
        <v>3.9809999999999999</v>
      </c>
      <c r="X172" t="s">
        <v>3871</v>
      </c>
      <c r="Y172" s="111">
        <v>1.746E-2</v>
      </c>
      <c r="Z172" s="111">
        <v>9.7609999999999997E-30</v>
      </c>
      <c r="AA172" s="111"/>
      <c r="AB172" s="111"/>
      <c r="AC172" s="111"/>
      <c r="AD172" s="111"/>
      <c r="AE172" s="111"/>
      <c r="AF172" s="111"/>
      <c r="AG172" s="111"/>
      <c r="AH172" s="111"/>
      <c r="AI172" s="111"/>
      <c r="AJ172" s="111"/>
      <c r="AK172" s="111"/>
      <c r="AL172" s="111"/>
      <c r="AN172" s="111"/>
      <c r="AO172" s="111"/>
    </row>
    <row r="173" spans="1:41" x14ac:dyDescent="0.55000000000000004">
      <c r="A173" t="s">
        <v>4059</v>
      </c>
      <c r="B173">
        <v>6.7069999999999999</v>
      </c>
      <c r="C173">
        <v>1.633</v>
      </c>
      <c r="D173">
        <v>0.99099999999999999</v>
      </c>
      <c r="E173">
        <v>6.6040000000000001</v>
      </c>
      <c r="F173">
        <v>6.0259999999999998</v>
      </c>
      <c r="G173">
        <v>4.8109999999999999</v>
      </c>
      <c r="H173">
        <v>2.964</v>
      </c>
      <c r="I173">
        <v>2.97</v>
      </c>
      <c r="J173" s="111">
        <v>5.1820000000000002E-5</v>
      </c>
      <c r="K173">
        <v>2.2229999999999999</v>
      </c>
      <c r="L173" s="111">
        <v>9.5530000000000002E-5</v>
      </c>
      <c r="O173" t="s">
        <v>3981</v>
      </c>
      <c r="P173">
        <v>26.54</v>
      </c>
      <c r="Q173">
        <v>6.2190000000000003</v>
      </c>
      <c r="R173">
        <v>3.3279999999999998</v>
      </c>
      <c r="S173">
        <v>26.09</v>
      </c>
      <c r="T173">
        <v>23.54</v>
      </c>
      <c r="U173">
        <v>18.690000000000001</v>
      </c>
      <c r="V173">
        <v>11.94</v>
      </c>
      <c r="W173">
        <v>11.95</v>
      </c>
      <c r="X173" t="s">
        <v>3871</v>
      </c>
      <c r="Y173">
        <v>0.158</v>
      </c>
      <c r="Z173" s="111">
        <v>1.9089999999999999E-11</v>
      </c>
      <c r="AA173" s="111"/>
      <c r="AB173" s="111"/>
      <c r="AC173" s="111"/>
      <c r="AD173" s="111"/>
      <c r="AE173" s="111"/>
      <c r="AF173" s="111"/>
      <c r="AG173" s="111"/>
      <c r="AH173" s="111"/>
      <c r="AI173" s="111"/>
      <c r="AJ173" s="111"/>
      <c r="AK173" s="111"/>
      <c r="AL173" s="111"/>
      <c r="AN173" s="111"/>
      <c r="AO173" s="111"/>
    </row>
    <row r="174" spans="1:41" x14ac:dyDescent="0.55000000000000004">
      <c r="A174" t="s">
        <v>4060</v>
      </c>
      <c r="B174">
        <v>5.8819999999999997</v>
      </c>
      <c r="C174">
        <v>2.0219999999999998</v>
      </c>
      <c r="D174">
        <v>1.353</v>
      </c>
      <c r="E174">
        <v>5.8019999999999996</v>
      </c>
      <c r="F174">
        <v>5.3310000000000004</v>
      </c>
      <c r="G174">
        <v>4.391</v>
      </c>
      <c r="H174">
        <v>3.085</v>
      </c>
      <c r="I174">
        <v>3.0830000000000002</v>
      </c>
      <c r="J174" t="s">
        <v>3871</v>
      </c>
      <c r="K174">
        <v>0.46970000000000001</v>
      </c>
      <c r="L174" s="111">
        <v>4.2739999999999998E-7</v>
      </c>
      <c r="M174" s="118"/>
      <c r="N174" s="118"/>
      <c r="O174" t="s">
        <v>3982</v>
      </c>
      <c r="P174">
        <v>15.5</v>
      </c>
      <c r="Q174">
        <v>2.9430000000000001</v>
      </c>
      <c r="R174">
        <v>1.323</v>
      </c>
      <c r="S174">
        <v>15.18</v>
      </c>
      <c r="T174">
        <v>13.46</v>
      </c>
      <c r="U174">
        <v>10.31</v>
      </c>
      <c r="V174">
        <v>6.2430000000000003</v>
      </c>
      <c r="W174">
        <v>6.2009999999999996</v>
      </c>
      <c r="X174" s="111">
        <v>8.2320000000000001E-7</v>
      </c>
      <c r="Y174">
        <v>1.079</v>
      </c>
      <c r="Z174" s="111">
        <v>8.9599999999999998E-7</v>
      </c>
      <c r="AA174" s="111"/>
      <c r="AB174" s="111"/>
      <c r="AC174" s="111"/>
      <c r="AD174" s="111"/>
      <c r="AE174" s="111"/>
      <c r="AF174" s="111"/>
      <c r="AG174" s="111"/>
      <c r="AH174" s="111"/>
      <c r="AI174" s="111"/>
      <c r="AJ174" s="111"/>
      <c r="AK174" s="111"/>
      <c r="AL174" s="111"/>
      <c r="AN174" s="111"/>
      <c r="AO174" s="111"/>
    </row>
    <row r="175" spans="1:41" x14ac:dyDescent="0.55000000000000004">
      <c r="A175" t="s">
        <v>4061</v>
      </c>
      <c r="B175">
        <v>5.3689999999999998</v>
      </c>
      <c r="C175">
        <v>1.0940000000000001</v>
      </c>
      <c r="D175">
        <v>0.73699999999999999</v>
      </c>
      <c r="E175">
        <v>5.2690000000000001</v>
      </c>
      <c r="F175">
        <v>4.6769999999999996</v>
      </c>
      <c r="G175">
        <v>3.5920000000000001</v>
      </c>
      <c r="H175">
        <v>2.1960000000000002</v>
      </c>
      <c r="I175">
        <v>2.214</v>
      </c>
      <c r="J175" s="111">
        <v>3.6180000000000003E-5</v>
      </c>
      <c r="K175">
        <v>1.78</v>
      </c>
      <c r="L175" s="111">
        <v>6.9070000000000001E-5</v>
      </c>
      <c r="M175" s="118"/>
      <c r="N175" s="118"/>
      <c r="O175" t="s">
        <v>3983</v>
      </c>
      <c r="P175">
        <v>3.7530000000000001</v>
      </c>
      <c r="Q175">
        <v>0.82210000000000005</v>
      </c>
      <c r="R175">
        <v>0.36870000000000003</v>
      </c>
      <c r="S175">
        <v>3.6829999999999998</v>
      </c>
      <c r="T175">
        <v>3.34</v>
      </c>
      <c r="U175">
        <v>2.5939999999999999</v>
      </c>
      <c r="V175">
        <v>1.9139999999999999</v>
      </c>
      <c r="W175">
        <v>1.9710000000000001</v>
      </c>
      <c r="X175" t="s">
        <v>3871</v>
      </c>
      <c r="Y175" s="111">
        <v>6.9550000000000005E-4</v>
      </c>
      <c r="Z175">
        <v>0</v>
      </c>
      <c r="AA175" s="111"/>
      <c r="AB175" s="111"/>
      <c r="AC175" s="111"/>
      <c r="AD175" s="111"/>
      <c r="AE175" s="111"/>
      <c r="AF175" s="111"/>
      <c r="AG175" s="111"/>
      <c r="AH175" s="111"/>
      <c r="AI175" s="111"/>
      <c r="AJ175" s="111"/>
      <c r="AK175" s="111"/>
      <c r="AL175" s="111"/>
      <c r="AN175" s="111"/>
      <c r="AO175" s="111"/>
    </row>
    <row r="176" spans="1:41" x14ac:dyDescent="0.55000000000000004">
      <c r="A176" t="s">
        <v>4062</v>
      </c>
      <c r="B176">
        <v>6.1920000000000002</v>
      </c>
      <c r="C176">
        <v>2.569</v>
      </c>
      <c r="D176">
        <v>1.587</v>
      </c>
      <c r="E176">
        <v>6.1120000000000001</v>
      </c>
      <c r="F176">
        <v>5.673</v>
      </c>
      <c r="G176">
        <v>4.8739999999999997</v>
      </c>
      <c r="H176">
        <v>3.5619999999999998</v>
      </c>
      <c r="I176">
        <v>3.573</v>
      </c>
      <c r="J176" t="s">
        <v>3871</v>
      </c>
      <c r="K176">
        <v>0.41199999999999998</v>
      </c>
      <c r="L176" s="111">
        <v>1.628E-7</v>
      </c>
      <c r="M176" s="118"/>
      <c r="N176" s="118"/>
      <c r="O176" t="s">
        <v>3984</v>
      </c>
      <c r="P176">
        <v>5.5540000000000003</v>
      </c>
      <c r="Q176">
        <v>1.998</v>
      </c>
      <c r="R176">
        <v>0.91339999999999999</v>
      </c>
      <c r="S176">
        <v>5.476</v>
      </c>
      <c r="T176">
        <v>5.0309999999999997</v>
      </c>
      <c r="U176">
        <v>4.54</v>
      </c>
      <c r="V176">
        <v>3.4990000000000001</v>
      </c>
      <c r="W176">
        <v>3.488</v>
      </c>
      <c r="X176" t="s">
        <v>3871</v>
      </c>
      <c r="Y176" s="111">
        <v>4.6309999999999997E-3</v>
      </c>
      <c r="Z176">
        <v>0</v>
      </c>
      <c r="AA176" s="111"/>
      <c r="AB176" s="111"/>
      <c r="AC176" s="111"/>
      <c r="AD176" s="111"/>
      <c r="AE176" s="111"/>
      <c r="AF176" s="111"/>
      <c r="AG176" s="111"/>
      <c r="AH176" s="111"/>
      <c r="AI176" s="111"/>
      <c r="AJ176" s="111"/>
      <c r="AK176" s="111"/>
      <c r="AL176" s="111"/>
      <c r="AN176" s="111"/>
      <c r="AO176" s="111"/>
    </row>
    <row r="177" spans="1:41" x14ac:dyDescent="0.55000000000000004">
      <c r="A177" t="s">
        <v>4063</v>
      </c>
      <c r="B177">
        <v>9.2739999999999991</v>
      </c>
      <c r="C177">
        <v>2.2770000000000001</v>
      </c>
      <c r="D177">
        <v>1.323</v>
      </c>
      <c r="E177">
        <v>9.0489999999999995</v>
      </c>
      <c r="F177">
        <v>8.0449999999999999</v>
      </c>
      <c r="G177">
        <v>6.3710000000000004</v>
      </c>
      <c r="H177">
        <v>4.16</v>
      </c>
      <c r="I177">
        <v>4.1790000000000003</v>
      </c>
      <c r="J177" t="s">
        <v>3871</v>
      </c>
      <c r="K177">
        <v>0.85189999999999999</v>
      </c>
      <c r="L177" s="111">
        <v>4.9520000000000002E-6</v>
      </c>
      <c r="O177" t="s">
        <v>3985</v>
      </c>
      <c r="P177">
        <v>6.0659999999999998</v>
      </c>
      <c r="Q177">
        <v>1.1890000000000001</v>
      </c>
      <c r="R177">
        <v>0.38990000000000002</v>
      </c>
      <c r="S177">
        <v>5.8940000000000001</v>
      </c>
      <c r="T177">
        <v>5.6660000000000004</v>
      </c>
      <c r="U177">
        <v>4.7220000000000004</v>
      </c>
      <c r="V177">
        <v>3.7229999999999999</v>
      </c>
      <c r="W177">
        <v>3.2770000000000001</v>
      </c>
      <c r="X177" t="s">
        <v>3871</v>
      </c>
      <c r="Y177" s="111">
        <v>4.0580000000000001E-5</v>
      </c>
      <c r="Z177">
        <v>0</v>
      </c>
      <c r="AA177" s="111"/>
      <c r="AB177" s="111"/>
      <c r="AC177" s="111"/>
      <c r="AD177" s="111"/>
      <c r="AE177" s="111"/>
      <c r="AF177" s="111"/>
      <c r="AG177" s="111"/>
      <c r="AH177" s="111"/>
      <c r="AI177" s="111"/>
      <c r="AJ177" s="111"/>
      <c r="AK177" s="111"/>
      <c r="AL177" s="111"/>
      <c r="AN177" s="111"/>
      <c r="AO177" s="111"/>
    </row>
    <row r="178" spans="1:41" x14ac:dyDescent="0.55000000000000004">
      <c r="A178" t="s">
        <v>4064</v>
      </c>
      <c r="B178">
        <v>3.923</v>
      </c>
      <c r="C178">
        <v>1.9179999999999999</v>
      </c>
      <c r="D178">
        <v>1.454</v>
      </c>
      <c r="E178">
        <v>3.8780000000000001</v>
      </c>
      <c r="F178">
        <v>3.621</v>
      </c>
      <c r="G178">
        <v>3.2090000000000001</v>
      </c>
      <c r="H178">
        <v>2.5680000000000001</v>
      </c>
      <c r="I178">
        <v>2.589</v>
      </c>
      <c r="J178" t="s">
        <v>3871</v>
      </c>
      <c r="K178">
        <v>0.19450000000000001</v>
      </c>
      <c r="L178" s="111">
        <v>1.4110000000000001E-10</v>
      </c>
      <c r="O178" t="s">
        <v>3986</v>
      </c>
      <c r="P178">
        <v>1.536</v>
      </c>
      <c r="Q178">
        <v>0.52490000000000003</v>
      </c>
      <c r="R178">
        <v>0.20119999999999999</v>
      </c>
      <c r="S178">
        <v>1.5289999999999999</v>
      </c>
      <c r="T178">
        <v>1.474</v>
      </c>
      <c r="U178">
        <v>1.306</v>
      </c>
      <c r="V178">
        <v>0.91879999999999995</v>
      </c>
      <c r="W178">
        <v>0.93510000000000004</v>
      </c>
      <c r="X178" t="s">
        <v>3871</v>
      </c>
      <c r="Y178" s="111">
        <v>1.134E-3</v>
      </c>
      <c r="Z178">
        <v>0</v>
      </c>
      <c r="AA178" s="111"/>
      <c r="AB178" s="111"/>
      <c r="AC178" s="111"/>
      <c r="AD178" s="111"/>
      <c r="AE178" s="111"/>
      <c r="AF178" s="111"/>
      <c r="AG178" s="111"/>
      <c r="AH178" s="111"/>
      <c r="AI178" s="111"/>
      <c r="AJ178" s="111"/>
      <c r="AK178" s="111"/>
      <c r="AL178" s="111"/>
      <c r="AN178" s="111"/>
      <c r="AO178" s="111"/>
    </row>
    <row r="179" spans="1:41" x14ac:dyDescent="0.55000000000000004">
      <c r="A179" t="s">
        <v>4065</v>
      </c>
      <c r="B179">
        <v>8.1780000000000008</v>
      </c>
      <c r="C179">
        <v>1.796</v>
      </c>
      <c r="D179">
        <v>1.0640000000000001</v>
      </c>
      <c r="E179">
        <v>7.9969999999999999</v>
      </c>
      <c r="F179">
        <v>6.9710000000000001</v>
      </c>
      <c r="G179">
        <v>5.4379999999999997</v>
      </c>
      <c r="H179">
        <v>3.4049999999999998</v>
      </c>
      <c r="I179">
        <v>3.4279999999999999</v>
      </c>
      <c r="J179" s="111">
        <v>6.2820000000000002E-6</v>
      </c>
      <c r="K179">
        <v>1.177</v>
      </c>
      <c r="L179" s="111">
        <v>7.5100000000000001E-6</v>
      </c>
      <c r="M179" s="118"/>
      <c r="N179" s="118"/>
      <c r="O179" t="s">
        <v>3987</v>
      </c>
      <c r="P179">
        <v>7.4640000000000004</v>
      </c>
      <c r="Q179">
        <v>3.2690000000000001</v>
      </c>
      <c r="R179">
        <v>1.3</v>
      </c>
      <c r="S179">
        <v>7.3869999999999996</v>
      </c>
      <c r="T179">
        <v>7.0739999999999998</v>
      </c>
      <c r="U179">
        <v>6.5640000000000001</v>
      </c>
      <c r="V179">
        <v>5.1310000000000002</v>
      </c>
      <c r="W179">
        <v>5.1779999999999999</v>
      </c>
      <c r="X179" t="s">
        <v>3871</v>
      </c>
      <c r="Y179">
        <v>0.3518</v>
      </c>
      <c r="Z179" s="111">
        <v>2.058E-8</v>
      </c>
      <c r="AA179" s="111"/>
      <c r="AB179" s="111"/>
      <c r="AC179" s="111"/>
      <c r="AD179" s="111"/>
      <c r="AE179" s="111"/>
      <c r="AF179" s="111"/>
      <c r="AG179" s="111"/>
      <c r="AH179" s="111"/>
      <c r="AI179" s="111"/>
      <c r="AJ179" s="111"/>
      <c r="AK179" s="111"/>
      <c r="AL179" s="111"/>
      <c r="AN179" s="111"/>
      <c r="AO179" s="111"/>
    </row>
    <row r="180" spans="1:41" x14ac:dyDescent="0.55000000000000004">
      <c r="A180" t="s">
        <v>4066</v>
      </c>
      <c r="B180">
        <v>7.5910000000000002</v>
      </c>
      <c r="C180">
        <v>1.3480000000000001</v>
      </c>
      <c r="D180">
        <v>0.79700000000000004</v>
      </c>
      <c r="E180">
        <v>7.4740000000000002</v>
      </c>
      <c r="F180">
        <v>6.617</v>
      </c>
      <c r="G180">
        <v>4.931</v>
      </c>
      <c r="H180">
        <v>2.88</v>
      </c>
      <c r="I180">
        <v>2.859</v>
      </c>
      <c r="J180" t="s">
        <v>3871</v>
      </c>
      <c r="K180">
        <v>0.53300000000000003</v>
      </c>
      <c r="L180" s="111">
        <v>1.3050000000000001E-7</v>
      </c>
      <c r="M180" s="118"/>
      <c r="N180" s="118"/>
      <c r="O180" t="s">
        <v>3988</v>
      </c>
      <c r="P180">
        <v>2.46</v>
      </c>
      <c r="Q180">
        <v>0.84130000000000005</v>
      </c>
      <c r="R180">
        <v>0.38400000000000001</v>
      </c>
      <c r="S180">
        <v>2.4350000000000001</v>
      </c>
      <c r="T180">
        <v>2.3029999999999999</v>
      </c>
      <c r="U180">
        <v>2.08</v>
      </c>
      <c r="V180">
        <v>1.45</v>
      </c>
      <c r="W180">
        <v>1.4450000000000001</v>
      </c>
      <c r="X180" t="s">
        <v>3871</v>
      </c>
      <c r="Y180">
        <v>0.4753</v>
      </c>
      <c r="Z180" s="111">
        <v>2.9550000000000002E-7</v>
      </c>
      <c r="AA180" s="111"/>
      <c r="AB180" s="111"/>
      <c r="AC180" s="111"/>
      <c r="AD180" s="111"/>
      <c r="AE180" s="111"/>
      <c r="AF180" s="111"/>
      <c r="AG180" s="111"/>
      <c r="AH180" s="111"/>
      <c r="AI180" s="111"/>
      <c r="AJ180" s="111"/>
      <c r="AK180" s="111"/>
      <c r="AL180" s="111"/>
      <c r="AN180" s="111"/>
      <c r="AO180" s="111"/>
    </row>
    <row r="181" spans="1:41" x14ac:dyDescent="0.55000000000000004">
      <c r="A181" t="s">
        <v>4067</v>
      </c>
      <c r="B181">
        <v>2.8069999999999999</v>
      </c>
      <c r="C181">
        <v>0.70630000000000004</v>
      </c>
      <c r="D181">
        <v>0.5363</v>
      </c>
      <c r="E181">
        <v>2.7509999999999999</v>
      </c>
      <c r="F181">
        <v>2.4670000000000001</v>
      </c>
      <c r="G181">
        <v>2.0739999999999998</v>
      </c>
      <c r="H181">
        <v>1.2909999999999999</v>
      </c>
      <c r="I181">
        <v>1.2829999999999999</v>
      </c>
      <c r="J181" t="s">
        <v>3871</v>
      </c>
      <c r="K181" s="111">
        <v>2.2030000000000001E-3</v>
      </c>
      <c r="L181" s="111">
        <v>5.5980000000000002E-42</v>
      </c>
      <c r="O181" t="s">
        <v>3989</v>
      </c>
      <c r="P181">
        <v>18.89</v>
      </c>
      <c r="Q181">
        <v>5.2590000000000003</v>
      </c>
      <c r="R181">
        <v>2.593</v>
      </c>
      <c r="S181">
        <v>18.579999999999998</v>
      </c>
      <c r="T181">
        <v>17.04</v>
      </c>
      <c r="U181">
        <v>14.61</v>
      </c>
      <c r="V181">
        <v>10.09</v>
      </c>
      <c r="W181">
        <v>10.19</v>
      </c>
      <c r="X181" s="111">
        <v>2.503E-3</v>
      </c>
      <c r="Y181">
        <v>2.327</v>
      </c>
      <c r="Z181" s="111">
        <v>4.2529999999999998E-3</v>
      </c>
      <c r="AA181" s="111"/>
      <c r="AB181" s="111"/>
      <c r="AC181" s="111"/>
      <c r="AD181" s="111"/>
      <c r="AE181" s="111"/>
      <c r="AF181" s="111"/>
      <c r="AG181" s="111"/>
      <c r="AH181" s="111"/>
      <c r="AI181" s="111"/>
      <c r="AJ181" s="111"/>
      <c r="AK181" s="111"/>
      <c r="AL181" s="111"/>
      <c r="AN181" s="111"/>
      <c r="AO181" s="111"/>
    </row>
    <row r="182" spans="1:41" x14ac:dyDescent="0.55000000000000004">
      <c r="A182" t="s">
        <v>4068</v>
      </c>
      <c r="B182">
        <v>3.0390000000000001</v>
      </c>
      <c r="C182">
        <v>1.2270000000000001</v>
      </c>
      <c r="D182">
        <v>1.0980000000000001</v>
      </c>
      <c r="E182">
        <v>3.0129999999999999</v>
      </c>
      <c r="F182">
        <v>2.8610000000000002</v>
      </c>
      <c r="G182">
        <v>2.532</v>
      </c>
      <c r="H182">
        <v>1.784</v>
      </c>
      <c r="I182">
        <v>1.7769999999999999</v>
      </c>
      <c r="J182" t="s">
        <v>3871</v>
      </c>
      <c r="K182" s="111">
        <v>4.1439999999999998E-2</v>
      </c>
      <c r="L182" s="111">
        <v>1.225E-20</v>
      </c>
      <c r="O182" t="s">
        <v>3990</v>
      </c>
      <c r="P182">
        <v>26</v>
      </c>
      <c r="Q182">
        <v>7.8289999999999997</v>
      </c>
      <c r="R182">
        <v>4.2839999999999998</v>
      </c>
      <c r="S182">
        <v>25.72</v>
      </c>
      <c r="T182">
        <v>23.88</v>
      </c>
      <c r="U182">
        <v>20.239999999999998</v>
      </c>
      <c r="V182">
        <v>13.14</v>
      </c>
      <c r="W182">
        <v>13.25</v>
      </c>
      <c r="X182" s="111">
        <v>2.5910000000000001E-4</v>
      </c>
      <c r="Y182">
        <v>1.4950000000000001</v>
      </c>
      <c r="Z182" s="111">
        <v>2.9149999999999998E-4</v>
      </c>
      <c r="AA182" s="111"/>
      <c r="AB182" s="111"/>
      <c r="AC182" s="111"/>
      <c r="AD182" s="111"/>
      <c r="AE182" s="111"/>
      <c r="AF182" s="111"/>
      <c r="AG182" s="111"/>
      <c r="AH182" s="111"/>
      <c r="AI182" s="111"/>
      <c r="AJ182" s="111"/>
      <c r="AK182" s="111"/>
      <c r="AL182" s="111"/>
      <c r="AN182" s="111"/>
      <c r="AO182" s="111"/>
    </row>
    <row r="183" spans="1:41" x14ac:dyDescent="0.55000000000000004">
      <c r="A183" t="s">
        <v>4069</v>
      </c>
      <c r="B183">
        <v>2.5089999999999999</v>
      </c>
      <c r="C183">
        <v>0.66900000000000004</v>
      </c>
      <c r="D183">
        <v>0.54169999999999996</v>
      </c>
      <c r="E183">
        <v>2.4689999999999999</v>
      </c>
      <c r="F183">
        <v>2.2629999999999999</v>
      </c>
      <c r="G183">
        <v>1.901</v>
      </c>
      <c r="H183">
        <v>1.212</v>
      </c>
      <c r="I183">
        <v>1.204</v>
      </c>
      <c r="J183" t="s">
        <v>3871</v>
      </c>
      <c r="K183" s="111">
        <v>1.593E-3</v>
      </c>
      <c r="L183">
        <v>0</v>
      </c>
      <c r="O183" t="s">
        <v>3991</v>
      </c>
      <c r="P183">
        <v>11.5</v>
      </c>
      <c r="Q183">
        <v>2.3719999999999999</v>
      </c>
      <c r="R183">
        <v>0.98480000000000001</v>
      </c>
      <c r="S183">
        <v>11.25</v>
      </c>
      <c r="T183">
        <v>10.09</v>
      </c>
      <c r="U183">
        <v>7.7750000000000004</v>
      </c>
      <c r="V183">
        <v>4.74</v>
      </c>
      <c r="W183">
        <v>4.7919999999999998</v>
      </c>
      <c r="X183" s="111">
        <v>1.061E-4</v>
      </c>
      <c r="Y183">
        <v>1.829</v>
      </c>
      <c r="Z183" s="111">
        <v>1.2549999999999999E-4</v>
      </c>
      <c r="AA183" s="111"/>
      <c r="AB183" s="111"/>
      <c r="AC183" s="111"/>
      <c r="AD183" s="111"/>
      <c r="AE183" s="111"/>
      <c r="AF183" s="111"/>
      <c r="AG183" s="111"/>
      <c r="AH183" s="111"/>
      <c r="AI183" s="111"/>
      <c r="AJ183" s="111"/>
      <c r="AK183" s="111"/>
      <c r="AL183" s="111"/>
      <c r="AN183" s="111"/>
      <c r="AO183" s="111"/>
    </row>
    <row r="184" spans="1:41" x14ac:dyDescent="0.55000000000000004">
      <c r="A184" t="s">
        <v>4070</v>
      </c>
      <c r="B184">
        <v>2.9540000000000002</v>
      </c>
      <c r="C184">
        <v>1.0580000000000001</v>
      </c>
      <c r="D184">
        <v>0.92020000000000002</v>
      </c>
      <c r="E184">
        <v>2.919</v>
      </c>
      <c r="F184">
        <v>2.762</v>
      </c>
      <c r="G184">
        <v>2.4380000000000002</v>
      </c>
      <c r="H184">
        <v>1.653</v>
      </c>
      <c r="I184">
        <v>1.6459999999999999</v>
      </c>
      <c r="J184" t="s">
        <v>3871</v>
      </c>
      <c r="K184" s="111">
        <v>6.7169999999999994E-2</v>
      </c>
      <c r="L184" s="111">
        <v>8.7459999999999995E-17</v>
      </c>
      <c r="O184" t="s">
        <v>3992</v>
      </c>
      <c r="P184">
        <v>3.2829999999999999</v>
      </c>
      <c r="Q184">
        <v>0.60519999999999996</v>
      </c>
      <c r="R184">
        <v>0.2056</v>
      </c>
      <c r="S184">
        <v>3.2149999999999999</v>
      </c>
      <c r="T184">
        <v>2.85</v>
      </c>
      <c r="U184">
        <v>2.2410000000000001</v>
      </c>
      <c r="V184">
        <v>1.4790000000000001</v>
      </c>
      <c r="W184">
        <v>1.4910000000000001</v>
      </c>
      <c r="X184" s="111">
        <v>1.188E-4</v>
      </c>
      <c r="Y184">
        <v>1.837</v>
      </c>
      <c r="Z184" s="111">
        <v>2.5829999999999999E-4</v>
      </c>
      <c r="AA184" s="111"/>
      <c r="AB184" s="111"/>
      <c r="AC184" s="111"/>
      <c r="AD184" s="111"/>
      <c r="AE184" s="111"/>
      <c r="AF184" s="111"/>
      <c r="AG184" s="111"/>
      <c r="AH184" s="111"/>
      <c r="AI184" s="111"/>
      <c r="AJ184" s="111"/>
      <c r="AK184" s="111"/>
      <c r="AL184" s="111"/>
      <c r="AN184" s="111"/>
      <c r="AO184" s="111"/>
    </row>
    <row r="185" spans="1:41" x14ac:dyDescent="0.55000000000000004">
      <c r="A185" t="s">
        <v>4071</v>
      </c>
      <c r="B185">
        <v>5.9829999999999997</v>
      </c>
      <c r="C185">
        <v>2.38</v>
      </c>
      <c r="D185">
        <v>1.575</v>
      </c>
      <c r="E185">
        <v>5.9420000000000002</v>
      </c>
      <c r="F185">
        <v>5.7409999999999997</v>
      </c>
      <c r="G185">
        <v>5.226</v>
      </c>
      <c r="H185">
        <v>3.734</v>
      </c>
      <c r="I185">
        <v>3.7250000000000001</v>
      </c>
      <c r="J185" s="111">
        <v>2.4869999999999997E-4</v>
      </c>
      <c r="K185">
        <v>2.6749999999999998</v>
      </c>
      <c r="L185" s="111">
        <v>6.2839999999999999E-4</v>
      </c>
      <c r="O185" t="s">
        <v>3993</v>
      </c>
      <c r="P185">
        <v>2.339</v>
      </c>
      <c r="Q185">
        <v>0.4592</v>
      </c>
      <c r="R185">
        <v>0.17660000000000001</v>
      </c>
      <c r="S185">
        <v>2.2919999999999998</v>
      </c>
      <c r="T185">
        <v>2.036</v>
      </c>
      <c r="U185">
        <v>1.575</v>
      </c>
      <c r="V185">
        <v>1.343</v>
      </c>
      <c r="W185">
        <v>1.34</v>
      </c>
      <c r="X185" s="111">
        <v>6.2630000000000002E-5</v>
      </c>
      <c r="Y185">
        <v>1.498</v>
      </c>
      <c r="Z185" s="111">
        <v>1.8589999999999999E-4</v>
      </c>
      <c r="AA185" s="111"/>
      <c r="AB185" s="111"/>
      <c r="AC185" s="111"/>
      <c r="AD185" s="111"/>
      <c r="AE185" s="111"/>
      <c r="AF185" s="111"/>
      <c r="AG185" s="111"/>
      <c r="AH185" s="111"/>
      <c r="AI185" s="111"/>
      <c r="AJ185" s="111"/>
      <c r="AK185" s="111"/>
      <c r="AL185" s="111"/>
      <c r="AN185" s="111"/>
      <c r="AO185" s="111"/>
    </row>
    <row r="186" spans="1:41" x14ac:dyDescent="0.55000000000000004">
      <c r="A186" t="s">
        <v>4072</v>
      </c>
      <c r="B186">
        <v>4.2270000000000003</v>
      </c>
      <c r="C186">
        <v>1.603</v>
      </c>
      <c r="D186">
        <v>1.083</v>
      </c>
      <c r="E186">
        <v>4.1920000000000002</v>
      </c>
      <c r="F186">
        <v>3.9689999999999999</v>
      </c>
      <c r="G186">
        <v>3.69</v>
      </c>
      <c r="H186">
        <v>2.6869999999999998</v>
      </c>
      <c r="I186">
        <v>2.673</v>
      </c>
      <c r="J186" t="s">
        <v>3871</v>
      </c>
      <c r="K186">
        <v>0.27579999999999999</v>
      </c>
      <c r="L186" s="111">
        <v>2.1960000000000001E-7</v>
      </c>
      <c r="M186" s="118"/>
      <c r="N186" s="118"/>
      <c r="O186" t="s">
        <v>3994</v>
      </c>
      <c r="P186">
        <v>8.0129999999999999</v>
      </c>
      <c r="Q186">
        <v>2.6030000000000002</v>
      </c>
      <c r="R186">
        <v>1.0589999999999999</v>
      </c>
      <c r="S186">
        <v>7.9850000000000003</v>
      </c>
      <c r="T186">
        <v>7.2880000000000003</v>
      </c>
      <c r="U186">
        <v>6.3419999999999996</v>
      </c>
      <c r="V186">
        <v>4.6360000000000001</v>
      </c>
      <c r="W186">
        <v>4.6280000000000001</v>
      </c>
      <c r="X186" t="s">
        <v>3871</v>
      </c>
      <c r="Y186">
        <v>0.68110000000000004</v>
      </c>
      <c r="Z186" s="111">
        <v>3.629E-5</v>
      </c>
      <c r="AA186" s="111"/>
      <c r="AB186" s="111"/>
      <c r="AC186" s="111"/>
      <c r="AD186" s="111"/>
      <c r="AE186" s="111"/>
      <c r="AF186" s="111"/>
      <c r="AG186" s="111"/>
      <c r="AH186" s="111"/>
      <c r="AI186" s="111"/>
      <c r="AJ186" s="111"/>
      <c r="AK186" s="111"/>
      <c r="AL186" s="111"/>
      <c r="AN186" s="111"/>
      <c r="AO186" s="111"/>
    </row>
    <row r="187" spans="1:41" x14ac:dyDescent="0.55000000000000004">
      <c r="A187" t="s">
        <v>4073</v>
      </c>
      <c r="B187">
        <v>5.57</v>
      </c>
      <c r="C187">
        <v>1.2989999999999999</v>
      </c>
      <c r="D187">
        <v>0.82289999999999996</v>
      </c>
      <c r="E187">
        <v>5.4790000000000001</v>
      </c>
      <c r="F187">
        <v>4.899</v>
      </c>
      <c r="G187">
        <v>4.032</v>
      </c>
      <c r="H187">
        <v>2.645</v>
      </c>
      <c r="I187">
        <v>2.5830000000000002</v>
      </c>
      <c r="J187" s="111">
        <v>8.5309999999999995E-5</v>
      </c>
      <c r="K187">
        <v>1.464</v>
      </c>
      <c r="L187" s="111">
        <v>1.044E-4</v>
      </c>
      <c r="M187" s="118"/>
      <c r="N187" s="118"/>
      <c r="O187" t="s">
        <v>3995</v>
      </c>
      <c r="P187">
        <v>10.98</v>
      </c>
      <c r="Q187">
        <v>3.02</v>
      </c>
      <c r="R187">
        <v>1.292</v>
      </c>
      <c r="S187">
        <v>10.79</v>
      </c>
      <c r="T187">
        <v>9.73</v>
      </c>
      <c r="U187">
        <v>7.827</v>
      </c>
      <c r="V187">
        <v>5.4630000000000001</v>
      </c>
      <c r="W187">
        <v>5.6269999999999998</v>
      </c>
      <c r="X187" t="s">
        <v>3871</v>
      </c>
      <c r="Y187">
        <v>0.62419999999999998</v>
      </c>
      <c r="Z187" s="111">
        <v>9.6180000000000005E-7</v>
      </c>
      <c r="AA187" s="111"/>
      <c r="AB187" s="111"/>
      <c r="AC187" s="111"/>
      <c r="AD187" s="111"/>
      <c r="AE187" s="111"/>
      <c r="AF187" s="111"/>
      <c r="AG187" s="111"/>
      <c r="AH187" s="111"/>
      <c r="AI187" s="111"/>
      <c r="AJ187" s="111"/>
      <c r="AK187" s="111"/>
      <c r="AL187" s="111"/>
      <c r="AN187" s="111"/>
      <c r="AO187" s="111"/>
    </row>
    <row r="188" spans="1:41" x14ac:dyDescent="0.55000000000000004">
      <c r="A188" t="s">
        <v>4074</v>
      </c>
      <c r="B188">
        <v>26.07</v>
      </c>
      <c r="C188">
        <v>5.9290000000000003</v>
      </c>
      <c r="D188">
        <v>3.254</v>
      </c>
      <c r="E188">
        <v>25.85</v>
      </c>
      <c r="F188">
        <v>19.52</v>
      </c>
      <c r="G188">
        <v>16.71</v>
      </c>
      <c r="H188">
        <v>11.22</v>
      </c>
      <c r="I188">
        <v>11.19</v>
      </c>
      <c r="J188" s="111">
        <v>5.5719999999999997E-3</v>
      </c>
      <c r="K188">
        <v>1.7549999999999999</v>
      </c>
      <c r="L188" s="111">
        <v>5.9480000000000002E-3</v>
      </c>
      <c r="M188" s="118"/>
      <c r="N188" s="118"/>
      <c r="O188" t="s">
        <v>3996</v>
      </c>
      <c r="P188">
        <v>16.989999999999998</v>
      </c>
      <c r="Q188">
        <v>4.0430000000000001</v>
      </c>
      <c r="R188">
        <v>1.587</v>
      </c>
      <c r="S188">
        <v>16.78</v>
      </c>
      <c r="T188">
        <v>15.34</v>
      </c>
      <c r="U188">
        <v>12.37</v>
      </c>
      <c r="V188">
        <v>7.7279999999999998</v>
      </c>
      <c r="W188">
        <v>7.6920000000000002</v>
      </c>
      <c r="X188" s="111">
        <v>1.9709999999999999E-4</v>
      </c>
      <c r="Y188">
        <v>2.2229999999999999</v>
      </c>
      <c r="Z188" s="111">
        <v>3.4410000000000002E-4</v>
      </c>
      <c r="AA188" s="111"/>
      <c r="AB188" s="111"/>
      <c r="AC188" s="111"/>
      <c r="AD188" s="111"/>
      <c r="AE188" s="111"/>
      <c r="AF188" s="111"/>
      <c r="AG188" s="111"/>
      <c r="AH188" s="111"/>
      <c r="AI188" s="111"/>
      <c r="AJ188" s="111"/>
      <c r="AK188" s="111"/>
      <c r="AL188" s="111"/>
      <c r="AN188" s="111"/>
      <c r="AO188" s="111"/>
    </row>
    <row r="189" spans="1:41" x14ac:dyDescent="0.55000000000000004">
      <c r="A189" t="s">
        <v>4075</v>
      </c>
      <c r="B189">
        <v>25.6</v>
      </c>
      <c r="C189">
        <v>6.4480000000000004</v>
      </c>
      <c r="D189">
        <v>3.53</v>
      </c>
      <c r="E189">
        <v>25.54</v>
      </c>
      <c r="F189">
        <v>18.38</v>
      </c>
      <c r="G189">
        <v>16.14</v>
      </c>
      <c r="H189">
        <v>11.39</v>
      </c>
      <c r="I189">
        <v>11.36</v>
      </c>
      <c r="J189" t="s">
        <v>3871</v>
      </c>
      <c r="K189">
        <v>0.59630000000000005</v>
      </c>
      <c r="L189" s="111">
        <v>2.8479999999999998E-5</v>
      </c>
      <c r="O189" t="s">
        <v>3997</v>
      </c>
      <c r="P189">
        <v>13.13</v>
      </c>
      <c r="Q189">
        <v>4.3099999999999996</v>
      </c>
      <c r="R189">
        <v>2.0609999999999999</v>
      </c>
      <c r="S189">
        <v>12.91</v>
      </c>
      <c r="T189">
        <v>11.99</v>
      </c>
      <c r="U189">
        <v>9.9809999999999999</v>
      </c>
      <c r="V189">
        <v>7.2279999999999998</v>
      </c>
      <c r="W189">
        <v>7.1959999999999997</v>
      </c>
      <c r="X189" t="s">
        <v>3871</v>
      </c>
      <c r="Y189">
        <v>0.46970000000000001</v>
      </c>
      <c r="Z189" s="111">
        <v>1.6700000000000001E-6</v>
      </c>
      <c r="AA189" s="111"/>
      <c r="AB189" s="111"/>
      <c r="AC189" s="111"/>
      <c r="AD189" s="111"/>
      <c r="AE189" s="111"/>
      <c r="AF189" s="111"/>
      <c r="AG189" s="111"/>
      <c r="AH189" s="111"/>
      <c r="AI189" s="111"/>
      <c r="AJ189" s="111"/>
      <c r="AK189" s="111"/>
      <c r="AL189" s="111"/>
      <c r="AN189" s="111"/>
      <c r="AO189" s="111"/>
    </row>
    <row r="190" spans="1:41" x14ac:dyDescent="0.55000000000000004">
      <c r="A190" t="s">
        <v>4076</v>
      </c>
      <c r="B190">
        <v>8.4280000000000008</v>
      </c>
      <c r="C190">
        <v>1.9510000000000001</v>
      </c>
      <c r="D190">
        <v>1.06</v>
      </c>
      <c r="E190">
        <v>8.2940000000000005</v>
      </c>
      <c r="F190">
        <v>6.88</v>
      </c>
      <c r="G190">
        <v>5.9</v>
      </c>
      <c r="H190">
        <v>3.7919999999999998</v>
      </c>
      <c r="I190">
        <v>3.7789999999999999</v>
      </c>
      <c r="J190" t="s">
        <v>3871</v>
      </c>
      <c r="K190">
        <v>0.1195</v>
      </c>
      <c r="L190" s="111">
        <v>4.8570000000000002E-14</v>
      </c>
      <c r="O190" t="s">
        <v>3998</v>
      </c>
      <c r="P190">
        <v>12.38</v>
      </c>
      <c r="Q190">
        <v>2.3849999999999998</v>
      </c>
      <c r="R190">
        <v>1</v>
      </c>
      <c r="S190">
        <v>12.08</v>
      </c>
      <c r="T190">
        <v>10.76</v>
      </c>
      <c r="U190">
        <v>8.3689999999999998</v>
      </c>
      <c r="V190">
        <v>5.181</v>
      </c>
      <c r="W190">
        <v>5.2009999999999996</v>
      </c>
      <c r="X190" s="111">
        <v>1.305E-4</v>
      </c>
      <c r="Y190">
        <v>1.78</v>
      </c>
      <c r="Z190" s="111">
        <v>2.7359999999999998E-4</v>
      </c>
      <c r="AA190" s="111"/>
      <c r="AB190" s="111"/>
      <c r="AC190" s="111"/>
      <c r="AD190" s="111"/>
      <c r="AE190" s="111"/>
      <c r="AF190" s="111"/>
      <c r="AG190" s="111"/>
      <c r="AH190" s="111"/>
      <c r="AI190" s="111"/>
      <c r="AJ190" s="111"/>
      <c r="AK190" s="111"/>
      <c r="AL190" s="111"/>
      <c r="AN190" s="111"/>
      <c r="AO190" s="111"/>
    </row>
    <row r="191" spans="1:41" x14ac:dyDescent="0.55000000000000004">
      <c r="A191" t="s">
        <v>4077</v>
      </c>
      <c r="B191">
        <v>5.0010000000000003</v>
      </c>
      <c r="C191">
        <v>1.252</v>
      </c>
      <c r="D191">
        <v>0.76659999999999995</v>
      </c>
      <c r="E191">
        <v>4.6520000000000001</v>
      </c>
      <c r="F191">
        <v>4.2039999999999997</v>
      </c>
      <c r="G191">
        <v>3.4220000000000002</v>
      </c>
      <c r="H191">
        <v>2.2890000000000001</v>
      </c>
      <c r="I191">
        <v>2.2789999999999999</v>
      </c>
      <c r="J191" t="s">
        <v>3871</v>
      </c>
      <c r="K191">
        <v>0.1295</v>
      </c>
      <c r="L191" s="111">
        <v>1.099E-13</v>
      </c>
      <c r="O191" t="s">
        <v>3999</v>
      </c>
      <c r="P191">
        <v>14.93</v>
      </c>
      <c r="Q191">
        <v>5.3819999999999997</v>
      </c>
      <c r="R191">
        <v>2.2810000000000001</v>
      </c>
      <c r="S191">
        <v>14.74</v>
      </c>
      <c r="T191">
        <v>13.72</v>
      </c>
      <c r="U191">
        <v>11.67</v>
      </c>
      <c r="V191">
        <v>8.5</v>
      </c>
      <c r="W191">
        <v>8.5120000000000005</v>
      </c>
      <c r="X191" t="s">
        <v>3871</v>
      </c>
      <c r="Y191">
        <v>0.41199999999999998</v>
      </c>
      <c r="Z191" s="111">
        <v>7.878E-7</v>
      </c>
      <c r="AA191" s="111"/>
      <c r="AB191" s="111"/>
      <c r="AC191" s="111"/>
      <c r="AD191" s="111"/>
      <c r="AE191" s="111"/>
      <c r="AF191" s="111"/>
      <c r="AG191" s="111"/>
      <c r="AH191" s="111"/>
      <c r="AI191" s="111"/>
      <c r="AJ191" s="111"/>
      <c r="AK191" s="111"/>
      <c r="AL191" s="111"/>
      <c r="AN191" s="111"/>
      <c r="AO191" s="111"/>
    </row>
    <row r="192" spans="1:41" x14ac:dyDescent="0.55000000000000004">
      <c r="A192" t="s">
        <v>4078</v>
      </c>
      <c r="B192">
        <v>3.94</v>
      </c>
      <c r="C192">
        <v>1.302</v>
      </c>
      <c r="D192">
        <v>0.86329999999999996</v>
      </c>
      <c r="E192">
        <v>3.952</v>
      </c>
      <c r="F192">
        <v>3.7229999999999999</v>
      </c>
      <c r="G192">
        <v>3.331</v>
      </c>
      <c r="H192">
        <v>2.3769999999999998</v>
      </c>
      <c r="I192">
        <v>2.1930000000000001</v>
      </c>
      <c r="J192" t="s">
        <v>3871</v>
      </c>
      <c r="K192">
        <v>0</v>
      </c>
      <c r="L192">
        <v>0</v>
      </c>
      <c r="M192" s="118"/>
      <c r="N192" s="118"/>
      <c r="O192" t="s">
        <v>4000</v>
      </c>
      <c r="P192">
        <v>26.53</v>
      </c>
      <c r="Q192">
        <v>6.2539999999999996</v>
      </c>
      <c r="R192">
        <v>3.1469999999999998</v>
      </c>
      <c r="S192">
        <v>26.18</v>
      </c>
      <c r="T192">
        <v>23.45</v>
      </c>
      <c r="U192">
        <v>18.510000000000002</v>
      </c>
      <c r="V192">
        <v>11.69</v>
      </c>
      <c r="W192">
        <v>11.79</v>
      </c>
      <c r="X192" t="s">
        <v>3871</v>
      </c>
      <c r="Y192">
        <v>0.85189999999999999</v>
      </c>
      <c r="Z192" s="111">
        <v>1.9709999999999999E-5</v>
      </c>
      <c r="AA192" s="111"/>
      <c r="AB192" s="111"/>
      <c r="AC192" s="111"/>
      <c r="AD192" s="111"/>
      <c r="AE192" s="111"/>
      <c r="AF192" s="111"/>
      <c r="AG192" s="111"/>
      <c r="AH192" s="111"/>
      <c r="AI192" s="111"/>
      <c r="AJ192" s="111"/>
      <c r="AK192" s="111"/>
      <c r="AL192" s="111"/>
      <c r="AN192" s="111"/>
      <c r="AO192" s="111"/>
    </row>
    <row r="193" spans="1:41" x14ac:dyDescent="0.55000000000000004">
      <c r="A193" t="s">
        <v>4079</v>
      </c>
      <c r="B193">
        <v>18.239999999999998</v>
      </c>
      <c r="C193">
        <v>7.7489999999999997</v>
      </c>
      <c r="D193">
        <v>4.3250000000000002</v>
      </c>
      <c r="E193">
        <v>18.2</v>
      </c>
      <c r="F193">
        <v>15.65</v>
      </c>
      <c r="G193">
        <v>14.91</v>
      </c>
      <c r="H193">
        <v>11.33</v>
      </c>
      <c r="I193">
        <v>11.32</v>
      </c>
      <c r="J193" t="s">
        <v>3871</v>
      </c>
      <c r="K193">
        <v>0.65249999999999997</v>
      </c>
      <c r="L193" s="111">
        <v>1.8190000000000001E-2</v>
      </c>
      <c r="M193" s="118"/>
      <c r="N193" s="118"/>
      <c r="O193" t="s">
        <v>4001</v>
      </c>
      <c r="P193">
        <v>7.0940000000000003</v>
      </c>
      <c r="Q193">
        <v>3.0609999999999999</v>
      </c>
      <c r="R193">
        <v>1.248</v>
      </c>
      <c r="S193">
        <v>7.008</v>
      </c>
      <c r="T193">
        <v>6.5449999999999999</v>
      </c>
      <c r="U193">
        <v>5.9020000000000001</v>
      </c>
      <c r="V193">
        <v>4.9470000000000001</v>
      </c>
      <c r="W193">
        <v>4.9320000000000004</v>
      </c>
      <c r="X193" t="s">
        <v>3871</v>
      </c>
      <c r="Y193">
        <v>0.19450000000000001</v>
      </c>
      <c r="Z193" s="111">
        <v>7.1370000000000003E-10</v>
      </c>
      <c r="AA193" s="111"/>
      <c r="AB193" s="111"/>
      <c r="AC193" s="111"/>
      <c r="AD193" s="111"/>
      <c r="AE193" s="111"/>
      <c r="AF193" s="111"/>
      <c r="AG193" s="111"/>
      <c r="AH193" s="111"/>
      <c r="AI193" s="111"/>
      <c r="AJ193" s="111"/>
      <c r="AK193" s="111"/>
      <c r="AL193" s="111"/>
      <c r="AN193" s="111"/>
      <c r="AO193" s="111"/>
    </row>
    <row r="194" spans="1:41" x14ac:dyDescent="0.55000000000000004">
      <c r="A194" t="s">
        <v>4080</v>
      </c>
      <c r="B194">
        <v>10.25</v>
      </c>
      <c r="C194">
        <v>3.9409999999999998</v>
      </c>
      <c r="D194">
        <v>2.2469999999999999</v>
      </c>
      <c r="E194">
        <v>10.3</v>
      </c>
      <c r="F194">
        <v>8.6180000000000003</v>
      </c>
      <c r="G194">
        <v>7.8449999999999998</v>
      </c>
      <c r="H194">
        <v>5.6989999999999998</v>
      </c>
      <c r="I194">
        <v>5.6890000000000001</v>
      </c>
      <c r="J194" t="s">
        <v>3871</v>
      </c>
      <c r="K194">
        <v>0.61809999999999998</v>
      </c>
      <c r="L194" s="111">
        <v>4.0530000000000002E-3</v>
      </c>
      <c r="O194" t="s">
        <v>4002</v>
      </c>
      <c r="P194">
        <v>20.7</v>
      </c>
      <c r="Q194">
        <v>4.774</v>
      </c>
      <c r="R194">
        <v>2.1970000000000001</v>
      </c>
      <c r="S194">
        <v>20.25</v>
      </c>
      <c r="T194">
        <v>18.18</v>
      </c>
      <c r="U194">
        <v>13.96</v>
      </c>
      <c r="V194">
        <v>8.9060000000000006</v>
      </c>
      <c r="W194">
        <v>9.0169999999999995</v>
      </c>
      <c r="X194" s="111">
        <v>2.2240000000000001E-5</v>
      </c>
      <c r="Y194">
        <v>1.177</v>
      </c>
      <c r="Z194" s="111">
        <v>2.4790000000000002E-5</v>
      </c>
      <c r="AA194" s="111"/>
      <c r="AB194" s="111"/>
      <c r="AC194" s="111"/>
      <c r="AD194" s="111"/>
      <c r="AE194" s="111"/>
      <c r="AF194" s="111"/>
      <c r="AG194" s="111"/>
      <c r="AH194" s="111"/>
      <c r="AI194" s="111"/>
      <c r="AJ194" s="111"/>
      <c r="AK194" s="111"/>
      <c r="AL194" s="111"/>
      <c r="AN194" s="111"/>
      <c r="AO194" s="111"/>
    </row>
    <row r="195" spans="1:41" x14ac:dyDescent="0.55000000000000004">
      <c r="A195" t="s">
        <v>4081</v>
      </c>
      <c r="B195">
        <v>4.5439999999999996</v>
      </c>
      <c r="C195">
        <v>1.004</v>
      </c>
      <c r="D195">
        <v>0.52710000000000001</v>
      </c>
      <c r="E195">
        <v>4.4580000000000002</v>
      </c>
      <c r="F195">
        <v>3.9750000000000001</v>
      </c>
      <c r="G195">
        <v>3.2210000000000001</v>
      </c>
      <c r="H195">
        <v>2.0720000000000001</v>
      </c>
      <c r="I195">
        <v>2.0179999999999998</v>
      </c>
      <c r="J195" s="111">
        <v>8.5450000000000003E-5</v>
      </c>
      <c r="K195">
        <v>1.464</v>
      </c>
      <c r="L195" s="111">
        <v>1.0459999999999999E-4</v>
      </c>
      <c r="M195" s="118"/>
      <c r="N195" s="118"/>
      <c r="O195" t="s">
        <v>4003</v>
      </c>
      <c r="P195">
        <v>18.760000000000002</v>
      </c>
      <c r="Q195">
        <v>3.4220000000000002</v>
      </c>
      <c r="R195">
        <v>1.6</v>
      </c>
      <c r="S195">
        <v>18.350000000000001</v>
      </c>
      <c r="T195">
        <v>16.09</v>
      </c>
      <c r="U195">
        <v>12.62</v>
      </c>
      <c r="V195">
        <v>7.4290000000000003</v>
      </c>
      <c r="W195">
        <v>7.3780000000000001</v>
      </c>
      <c r="X195" t="s">
        <v>3871</v>
      </c>
      <c r="Y195">
        <v>0.53300000000000003</v>
      </c>
      <c r="Z195" s="111">
        <v>6.5219999999999998E-7</v>
      </c>
      <c r="AA195" s="111"/>
      <c r="AB195" s="111"/>
      <c r="AC195" s="111"/>
      <c r="AD195" s="111"/>
      <c r="AE195" s="111"/>
      <c r="AF195" s="111"/>
      <c r="AG195" s="111"/>
      <c r="AH195" s="111"/>
      <c r="AI195" s="111"/>
      <c r="AJ195" s="111"/>
      <c r="AK195" s="111"/>
      <c r="AL195" s="111"/>
      <c r="AN195" s="111"/>
      <c r="AO195" s="111"/>
    </row>
    <row r="196" spans="1:41" x14ac:dyDescent="0.55000000000000004">
      <c r="A196" t="s">
        <v>4082</v>
      </c>
      <c r="B196">
        <v>24.91</v>
      </c>
      <c r="C196">
        <v>5.5220000000000002</v>
      </c>
      <c r="D196">
        <v>2.847</v>
      </c>
      <c r="E196">
        <v>24.69</v>
      </c>
      <c r="F196">
        <v>18.46</v>
      </c>
      <c r="G196">
        <v>15.74</v>
      </c>
      <c r="H196">
        <v>10.52</v>
      </c>
      <c r="I196">
        <v>10.49</v>
      </c>
      <c r="J196" s="111">
        <v>5.581E-3</v>
      </c>
      <c r="K196">
        <v>1.7549999999999999</v>
      </c>
      <c r="L196" s="111">
        <v>5.9579999999999998E-3</v>
      </c>
      <c r="M196" s="118"/>
      <c r="N196" s="118"/>
      <c r="O196" t="s">
        <v>4004</v>
      </c>
      <c r="P196">
        <v>5.4169999999999998</v>
      </c>
      <c r="Q196">
        <v>1.073</v>
      </c>
      <c r="R196">
        <v>0.37880000000000003</v>
      </c>
      <c r="S196">
        <v>5.306</v>
      </c>
      <c r="T196">
        <v>4.641</v>
      </c>
      <c r="U196">
        <v>3.63</v>
      </c>
      <c r="V196">
        <v>2.238</v>
      </c>
      <c r="W196">
        <v>2.2480000000000002</v>
      </c>
      <c r="X196" t="s">
        <v>3871</v>
      </c>
      <c r="Y196" s="111">
        <v>2.2030000000000001E-3</v>
      </c>
      <c r="Z196" s="111">
        <v>2.249E-41</v>
      </c>
      <c r="AA196" s="111"/>
      <c r="AB196" s="111"/>
      <c r="AC196" s="111"/>
      <c r="AD196" s="111"/>
      <c r="AE196" s="111"/>
      <c r="AF196" s="111"/>
      <c r="AG196" s="111"/>
      <c r="AH196" s="111"/>
      <c r="AI196" s="111"/>
      <c r="AJ196" s="111"/>
      <c r="AK196" s="111"/>
      <c r="AL196" s="111"/>
      <c r="AN196" s="111"/>
      <c r="AO196" s="111"/>
    </row>
    <row r="197" spans="1:41" x14ac:dyDescent="0.55000000000000004">
      <c r="A197" t="s">
        <v>4083</v>
      </c>
      <c r="B197">
        <v>24.38</v>
      </c>
      <c r="C197">
        <v>5.976</v>
      </c>
      <c r="D197">
        <v>3.0640000000000001</v>
      </c>
      <c r="E197">
        <v>24.32</v>
      </c>
      <c r="F197">
        <v>17.23</v>
      </c>
      <c r="G197">
        <v>15.02</v>
      </c>
      <c r="H197">
        <v>10.58</v>
      </c>
      <c r="I197">
        <v>10.55</v>
      </c>
      <c r="J197" t="s">
        <v>3871</v>
      </c>
      <c r="K197">
        <v>0.59630000000000005</v>
      </c>
      <c r="L197" s="111">
        <v>2.8520000000000001E-5</v>
      </c>
      <c r="M197" s="118"/>
      <c r="N197" s="118"/>
      <c r="O197" t="s">
        <v>4005</v>
      </c>
      <c r="P197">
        <v>1.774</v>
      </c>
      <c r="Q197">
        <v>0.76829999999999998</v>
      </c>
      <c r="R197">
        <v>0.23849999999999999</v>
      </c>
      <c r="S197">
        <v>1.768</v>
      </c>
      <c r="T197">
        <v>1.714</v>
      </c>
      <c r="U197">
        <v>1.5680000000000001</v>
      </c>
      <c r="V197">
        <v>1.4379999999999999</v>
      </c>
      <c r="W197">
        <v>1.4650000000000001</v>
      </c>
      <c r="X197" t="s">
        <v>3871</v>
      </c>
      <c r="Y197" s="111">
        <v>4.1439999999999998E-2</v>
      </c>
      <c r="Z197" s="111">
        <v>3.5439999999999998E-20</v>
      </c>
      <c r="AA197" s="111"/>
      <c r="AB197" s="111"/>
      <c r="AC197" s="111"/>
      <c r="AD197" s="111"/>
      <c r="AE197" s="111"/>
      <c r="AF197" s="111"/>
      <c r="AG197" s="111"/>
      <c r="AH197" s="111"/>
      <c r="AI197" s="111"/>
      <c r="AJ197" s="111"/>
      <c r="AK197" s="111"/>
      <c r="AL197" s="111"/>
      <c r="AN197" s="111"/>
      <c r="AO197" s="111"/>
    </row>
    <row r="198" spans="1:41" x14ac:dyDescent="0.55000000000000004">
      <c r="A198" t="s">
        <v>4084</v>
      </c>
      <c r="B198">
        <v>7.569</v>
      </c>
      <c r="C198">
        <v>1.603</v>
      </c>
      <c r="D198">
        <v>0.71279999999999999</v>
      </c>
      <c r="E198">
        <v>7.4489999999999998</v>
      </c>
      <c r="F198">
        <v>5.7590000000000003</v>
      </c>
      <c r="G198">
        <v>4.9610000000000003</v>
      </c>
      <c r="H198">
        <v>3.1640000000000001</v>
      </c>
      <c r="I198">
        <v>3.153</v>
      </c>
      <c r="J198" t="s">
        <v>3871</v>
      </c>
      <c r="K198">
        <v>0.1195</v>
      </c>
      <c r="L198" s="111">
        <v>4.865E-14</v>
      </c>
      <c r="O198" t="s">
        <v>4006</v>
      </c>
      <c r="P198">
        <v>3.6389999999999998</v>
      </c>
      <c r="Q198">
        <v>0.70230000000000004</v>
      </c>
      <c r="R198">
        <v>0.21160000000000001</v>
      </c>
      <c r="S198">
        <v>3.5489999999999999</v>
      </c>
      <c r="T198">
        <v>3.173</v>
      </c>
      <c r="U198">
        <v>2.3650000000000002</v>
      </c>
      <c r="V198">
        <v>1.5649999999999999</v>
      </c>
      <c r="W198">
        <v>1.6259999999999999</v>
      </c>
      <c r="X198" t="s">
        <v>3871</v>
      </c>
      <c r="Y198" s="111">
        <v>1.593E-3</v>
      </c>
      <c r="Z198">
        <v>0</v>
      </c>
      <c r="AA198" s="111"/>
      <c r="AB198" s="111"/>
      <c r="AC198" s="111"/>
      <c r="AD198" s="111"/>
      <c r="AE198" s="111"/>
      <c r="AF198" s="111"/>
      <c r="AG198" s="111"/>
      <c r="AH198" s="111"/>
      <c r="AI198" s="111"/>
      <c r="AJ198" s="111"/>
      <c r="AK198" s="111"/>
      <c r="AL198" s="111"/>
      <c r="AN198" s="111"/>
      <c r="AO198" s="111"/>
    </row>
    <row r="199" spans="1:41" x14ac:dyDescent="0.55000000000000004">
      <c r="A199" t="s">
        <v>4085</v>
      </c>
      <c r="B199">
        <v>3.9790000000000001</v>
      </c>
      <c r="C199">
        <v>0.91869999999999996</v>
      </c>
      <c r="D199">
        <v>0.44119999999999998</v>
      </c>
      <c r="E199">
        <v>3.8610000000000002</v>
      </c>
      <c r="F199">
        <v>3.3149999999999999</v>
      </c>
      <c r="G199">
        <v>2.8420000000000001</v>
      </c>
      <c r="H199">
        <v>1.7909999999999999</v>
      </c>
      <c r="I199">
        <v>1.7829999999999999</v>
      </c>
      <c r="J199" t="s">
        <v>3871</v>
      </c>
      <c r="K199">
        <v>0.1295</v>
      </c>
      <c r="L199" s="111">
        <v>1.1010000000000001E-13</v>
      </c>
      <c r="O199" t="s">
        <v>4007</v>
      </c>
      <c r="P199">
        <v>2.68</v>
      </c>
      <c r="Q199">
        <v>0.8891</v>
      </c>
      <c r="R199">
        <v>0.27610000000000001</v>
      </c>
      <c r="S199">
        <v>2.6589999999999998</v>
      </c>
      <c r="T199">
        <v>2.5179999999999998</v>
      </c>
      <c r="U199">
        <v>2.1709999999999998</v>
      </c>
      <c r="V199">
        <v>1.5680000000000001</v>
      </c>
      <c r="W199">
        <v>1.5720000000000001</v>
      </c>
      <c r="X199" t="s">
        <v>3871</v>
      </c>
      <c r="Y199" s="111">
        <v>6.7169999999999994E-2</v>
      </c>
      <c r="Z199" s="111">
        <v>3.3990000000000001E-16</v>
      </c>
      <c r="AA199" s="111"/>
      <c r="AB199" s="111"/>
      <c r="AC199" s="111"/>
      <c r="AD199" s="111"/>
      <c r="AE199" s="111"/>
      <c r="AF199" s="111"/>
      <c r="AG199" s="111"/>
      <c r="AH199" s="111"/>
      <c r="AI199" s="111"/>
      <c r="AJ199" s="111"/>
      <c r="AK199" s="111"/>
      <c r="AL199" s="111"/>
      <c r="AN199" s="111"/>
      <c r="AO199" s="111"/>
    </row>
    <row r="200" spans="1:41" x14ac:dyDescent="0.55000000000000004">
      <c r="A200" t="s">
        <v>4086</v>
      </c>
      <c r="B200">
        <v>2.6989999999999998</v>
      </c>
      <c r="C200">
        <v>0.85040000000000004</v>
      </c>
      <c r="D200">
        <v>0.44209999999999999</v>
      </c>
      <c r="E200">
        <v>2.6749999999999998</v>
      </c>
      <c r="F200">
        <v>2.5670000000000002</v>
      </c>
      <c r="G200">
        <v>2.2850000000000001</v>
      </c>
      <c r="H200">
        <v>1.778</v>
      </c>
      <c r="I200">
        <v>1.7729999999999999</v>
      </c>
      <c r="J200" t="s">
        <v>3871</v>
      </c>
      <c r="K200">
        <v>0</v>
      </c>
      <c r="L200">
        <v>0</v>
      </c>
      <c r="O200" t="s">
        <v>4008</v>
      </c>
      <c r="P200">
        <v>13.43</v>
      </c>
      <c r="Q200">
        <v>5.2279999999999998</v>
      </c>
      <c r="R200">
        <v>2.2719999999999998</v>
      </c>
      <c r="S200">
        <v>13.34</v>
      </c>
      <c r="T200">
        <v>12.92</v>
      </c>
      <c r="U200">
        <v>11.96</v>
      </c>
      <c r="V200">
        <v>8.3290000000000006</v>
      </c>
      <c r="W200">
        <v>8.3409999999999993</v>
      </c>
      <c r="X200" s="111">
        <v>1.469E-3</v>
      </c>
      <c r="Y200">
        <v>2.6749999999999998</v>
      </c>
      <c r="Z200" s="111">
        <v>3.7690000000000002E-3</v>
      </c>
      <c r="AA200" s="111"/>
      <c r="AB200" s="111"/>
      <c r="AC200" s="111"/>
      <c r="AD200" s="111"/>
      <c r="AE200" s="111"/>
      <c r="AF200" s="111"/>
      <c r="AG200" s="111"/>
      <c r="AH200" s="111"/>
      <c r="AI200" s="111"/>
      <c r="AJ200" s="111"/>
      <c r="AK200" s="111"/>
      <c r="AL200" s="111"/>
      <c r="AN200" s="111"/>
      <c r="AO200" s="111"/>
    </row>
    <row r="201" spans="1:41" x14ac:dyDescent="0.55000000000000004">
      <c r="A201" t="s">
        <v>4087</v>
      </c>
      <c r="B201">
        <v>16.82</v>
      </c>
      <c r="C201">
        <v>6.9939999999999998</v>
      </c>
      <c r="D201">
        <v>3.605</v>
      </c>
      <c r="E201">
        <v>16.78</v>
      </c>
      <c r="F201">
        <v>14.31</v>
      </c>
      <c r="G201">
        <v>13.64</v>
      </c>
      <c r="H201">
        <v>10.26</v>
      </c>
      <c r="I201">
        <v>10.24</v>
      </c>
      <c r="J201" t="s">
        <v>3871</v>
      </c>
      <c r="K201">
        <v>0.65249999999999997</v>
      </c>
      <c r="L201" s="111">
        <v>1.822E-2</v>
      </c>
      <c r="M201" s="118"/>
      <c r="N201" s="118"/>
      <c r="O201" t="s">
        <v>4009</v>
      </c>
      <c r="P201">
        <v>10</v>
      </c>
      <c r="Q201">
        <v>3.1619999999999999</v>
      </c>
      <c r="R201">
        <v>1.264</v>
      </c>
      <c r="S201">
        <v>9.9280000000000008</v>
      </c>
      <c r="T201">
        <v>9.4540000000000006</v>
      </c>
      <c r="U201">
        <v>8.7420000000000009</v>
      </c>
      <c r="V201">
        <v>5.9580000000000002</v>
      </c>
      <c r="W201">
        <v>5.875</v>
      </c>
      <c r="X201" t="s">
        <v>3871</v>
      </c>
      <c r="Y201">
        <v>0.27579999999999999</v>
      </c>
      <c r="Z201" s="111">
        <v>8.9619999999999999E-7</v>
      </c>
      <c r="AA201" s="111"/>
      <c r="AB201" s="111"/>
      <c r="AC201" s="111"/>
      <c r="AD201" s="111"/>
      <c r="AE201" s="111"/>
      <c r="AF201" s="111"/>
      <c r="AG201" s="111"/>
      <c r="AH201" s="111"/>
      <c r="AI201" s="111"/>
      <c r="AJ201" s="111"/>
      <c r="AK201" s="111"/>
      <c r="AL201" s="111"/>
      <c r="AN201" s="111"/>
      <c r="AO201" s="111"/>
    </row>
    <row r="202" spans="1:41" x14ac:dyDescent="0.55000000000000004">
      <c r="A202" t="s">
        <v>4088</v>
      </c>
      <c r="B202">
        <v>8.8620000000000001</v>
      </c>
      <c r="C202">
        <v>3.3170000000000002</v>
      </c>
      <c r="D202">
        <v>1.629</v>
      </c>
      <c r="E202">
        <v>8.9</v>
      </c>
      <c r="F202">
        <v>7.3869999999999996</v>
      </c>
      <c r="G202">
        <v>6.7229999999999999</v>
      </c>
      <c r="H202">
        <v>4.8159999999999998</v>
      </c>
      <c r="I202">
        <v>4.8079999999999998</v>
      </c>
      <c r="J202" t="s">
        <v>3871</v>
      </c>
      <c r="K202">
        <v>0.61809999999999998</v>
      </c>
      <c r="L202" s="111">
        <v>4.0590000000000001E-3</v>
      </c>
      <c r="M202" s="118"/>
      <c r="N202" s="118"/>
      <c r="O202" t="s">
        <v>4010</v>
      </c>
      <c r="P202">
        <v>14.88</v>
      </c>
      <c r="Q202">
        <v>6.4509999999999996</v>
      </c>
      <c r="R202">
        <v>4.0650000000000004</v>
      </c>
      <c r="S202">
        <v>14.84</v>
      </c>
      <c r="T202">
        <v>14.54</v>
      </c>
      <c r="U202">
        <v>13.67</v>
      </c>
      <c r="V202">
        <v>9.8629999999999995</v>
      </c>
      <c r="W202">
        <v>9.8350000000000009</v>
      </c>
      <c r="X202" t="s">
        <v>3871</v>
      </c>
      <c r="Y202">
        <v>0.88119999999999998</v>
      </c>
      <c r="Z202" s="111">
        <v>2.395E-3</v>
      </c>
      <c r="AA202" s="111"/>
      <c r="AB202" s="111"/>
      <c r="AC202" s="111"/>
      <c r="AD202" s="111"/>
      <c r="AE202" s="111"/>
      <c r="AF202" s="111"/>
      <c r="AG202" s="111"/>
      <c r="AH202" s="111"/>
      <c r="AI202" s="111"/>
      <c r="AJ202" s="111"/>
      <c r="AK202" s="111"/>
      <c r="AL202" s="111"/>
      <c r="AN202" s="111"/>
      <c r="AO202" s="111"/>
    </row>
    <row r="203" spans="1:41" x14ac:dyDescent="0.55000000000000004">
      <c r="A203" t="s">
        <v>4089</v>
      </c>
      <c r="B203">
        <v>3.0139999999999998</v>
      </c>
      <c r="C203">
        <v>1.101</v>
      </c>
      <c r="D203">
        <v>0.62919999999999998</v>
      </c>
      <c r="E203">
        <v>2.9809999999999999</v>
      </c>
      <c r="F203">
        <v>2.8340000000000001</v>
      </c>
      <c r="G203">
        <v>2.4769999999999999</v>
      </c>
      <c r="H203">
        <v>1.7909999999999999</v>
      </c>
      <c r="I203">
        <v>1.802</v>
      </c>
      <c r="J203" s="111">
        <v>1.384E-4</v>
      </c>
      <c r="K203">
        <v>2.3319999999999999</v>
      </c>
      <c r="L203" s="111">
        <v>2.5300000000000002E-4</v>
      </c>
      <c r="O203" t="s">
        <v>4011</v>
      </c>
      <c r="P203">
        <v>11.43</v>
      </c>
      <c r="Q203">
        <v>4.2880000000000003</v>
      </c>
      <c r="R203">
        <v>2.1909999999999998</v>
      </c>
      <c r="S203">
        <v>11.38</v>
      </c>
      <c r="T203">
        <v>11.09</v>
      </c>
      <c r="U203">
        <v>10.45</v>
      </c>
      <c r="V203">
        <v>7.2789999999999999</v>
      </c>
      <c r="W203">
        <v>7.2549999999999999</v>
      </c>
      <c r="X203" t="s">
        <v>3871</v>
      </c>
      <c r="Y203">
        <v>0.72789999999999999</v>
      </c>
      <c r="Z203" s="111">
        <v>1.2819999999999999E-5</v>
      </c>
      <c r="AA203" s="111"/>
      <c r="AB203" s="111"/>
      <c r="AC203" s="111"/>
      <c r="AD203" s="111"/>
      <c r="AE203" s="111"/>
      <c r="AF203" s="111"/>
      <c r="AG203" s="111"/>
      <c r="AH203" s="111"/>
      <c r="AI203" s="111"/>
      <c r="AJ203" s="111"/>
      <c r="AK203" s="111"/>
      <c r="AL203" s="111"/>
      <c r="AN203" s="111"/>
      <c r="AO203" s="111"/>
    </row>
    <row r="204" spans="1:41" x14ac:dyDescent="0.55000000000000004">
      <c r="A204" t="s">
        <v>4090</v>
      </c>
      <c r="B204">
        <v>1.1970000000000001</v>
      </c>
      <c r="C204">
        <v>0.39560000000000001</v>
      </c>
      <c r="D204">
        <v>0.3286</v>
      </c>
      <c r="E204">
        <v>1.1759999999999999</v>
      </c>
      <c r="F204">
        <v>1.07</v>
      </c>
      <c r="G204">
        <v>0.88360000000000005</v>
      </c>
      <c r="H204">
        <v>0.61980000000000002</v>
      </c>
      <c r="I204">
        <v>0.61770000000000003</v>
      </c>
      <c r="J204" s="111">
        <v>8.5069999999999997E-5</v>
      </c>
      <c r="K204">
        <v>1.52</v>
      </c>
      <c r="L204" s="111">
        <v>1.1790000000000001E-4</v>
      </c>
      <c r="M204" s="118"/>
      <c r="N204" s="118"/>
      <c r="O204" t="s">
        <v>4012</v>
      </c>
      <c r="P204">
        <v>12.14</v>
      </c>
      <c r="Q204">
        <v>3.6949999999999998</v>
      </c>
      <c r="R204">
        <v>1.772</v>
      </c>
      <c r="S204">
        <v>12.04</v>
      </c>
      <c r="T204">
        <v>11.52</v>
      </c>
      <c r="U204">
        <v>10.33</v>
      </c>
      <c r="V204">
        <v>6.8010000000000002</v>
      </c>
      <c r="W204">
        <v>6.7750000000000004</v>
      </c>
      <c r="X204" t="s">
        <v>3871</v>
      </c>
      <c r="Y204">
        <v>0.74929999999999997</v>
      </c>
      <c r="Z204" s="111">
        <v>1.666E-6</v>
      </c>
      <c r="AA204" s="111"/>
      <c r="AB204" s="111"/>
      <c r="AC204" s="111"/>
      <c r="AD204" s="111"/>
      <c r="AE204" s="111"/>
      <c r="AF204" s="111"/>
      <c r="AG204" s="111"/>
      <c r="AH204" s="111"/>
      <c r="AI204" s="111"/>
      <c r="AJ204" s="111"/>
      <c r="AK204" s="111"/>
      <c r="AL204" s="111"/>
      <c r="AN204" s="111"/>
      <c r="AO204" s="111"/>
    </row>
    <row r="205" spans="1:41" x14ac:dyDescent="0.55000000000000004">
      <c r="A205" t="s">
        <v>4091</v>
      </c>
      <c r="B205">
        <v>2.544</v>
      </c>
      <c r="C205">
        <v>0.53269999999999995</v>
      </c>
      <c r="D205">
        <v>0.31909999999999999</v>
      </c>
      <c r="E205">
        <v>2.504</v>
      </c>
      <c r="F205">
        <v>2.3010000000000002</v>
      </c>
      <c r="G205">
        <v>1.8480000000000001</v>
      </c>
      <c r="H205">
        <v>1.115</v>
      </c>
      <c r="I205">
        <v>1.1100000000000001</v>
      </c>
      <c r="J205" s="111">
        <v>2.2050000000000001E-5</v>
      </c>
      <c r="K205">
        <v>2.0640000000000001</v>
      </c>
      <c r="L205" s="111">
        <v>4.3069999999999999E-5</v>
      </c>
      <c r="M205" s="118"/>
      <c r="N205" s="118"/>
      <c r="O205" t="s">
        <v>4013</v>
      </c>
      <c r="P205">
        <v>16.899999999999999</v>
      </c>
      <c r="Q205">
        <v>3.5310000000000001</v>
      </c>
      <c r="R205">
        <v>1.385</v>
      </c>
      <c r="S205">
        <v>16.64</v>
      </c>
      <c r="T205">
        <v>15.51</v>
      </c>
      <c r="U205">
        <v>12.57</v>
      </c>
      <c r="V205">
        <v>7.4850000000000003</v>
      </c>
      <c r="W205">
        <v>7.4450000000000003</v>
      </c>
      <c r="X205" t="s">
        <v>3871</v>
      </c>
      <c r="Y205">
        <v>0.71130000000000004</v>
      </c>
      <c r="Z205" s="111">
        <v>1.6750000000000001E-7</v>
      </c>
      <c r="AA205" s="111"/>
      <c r="AB205" s="111"/>
      <c r="AC205" s="111"/>
      <c r="AD205" s="111"/>
      <c r="AE205" s="111"/>
      <c r="AF205" s="111"/>
      <c r="AG205" s="111"/>
      <c r="AH205" s="111"/>
      <c r="AI205" s="111"/>
      <c r="AJ205" s="111"/>
      <c r="AK205" s="111"/>
      <c r="AL205" s="111"/>
      <c r="AN205" s="111"/>
      <c r="AO205" s="111"/>
    </row>
    <row r="206" spans="1:41" x14ac:dyDescent="0.55000000000000004">
      <c r="A206" t="s">
        <v>4092</v>
      </c>
      <c r="B206">
        <v>4.202</v>
      </c>
      <c r="C206">
        <v>0.91300000000000003</v>
      </c>
      <c r="D206">
        <v>0.46660000000000001</v>
      </c>
      <c r="E206">
        <v>4.13</v>
      </c>
      <c r="F206">
        <v>3.76</v>
      </c>
      <c r="G206">
        <v>3.097</v>
      </c>
      <c r="H206">
        <v>1.877</v>
      </c>
      <c r="I206">
        <v>1.8680000000000001</v>
      </c>
      <c r="J206" t="s">
        <v>3871</v>
      </c>
      <c r="K206">
        <v>0.93679999999999997</v>
      </c>
      <c r="L206" s="111">
        <v>1.434E-5</v>
      </c>
      <c r="O206" t="s">
        <v>4014</v>
      </c>
      <c r="P206">
        <v>18.07</v>
      </c>
      <c r="Q206">
        <v>4.6719999999999997</v>
      </c>
      <c r="R206">
        <v>2.085</v>
      </c>
      <c r="S206">
        <v>17.86</v>
      </c>
      <c r="T206">
        <v>16.97</v>
      </c>
      <c r="U206">
        <v>14.94</v>
      </c>
      <c r="V206">
        <v>9.2260000000000009</v>
      </c>
      <c r="W206">
        <v>9.1820000000000004</v>
      </c>
      <c r="X206" s="111">
        <v>5.8610000000000003E-5</v>
      </c>
      <c r="Y206">
        <v>1.3240000000000001</v>
      </c>
      <c r="Z206" s="111">
        <v>9.0329999999999997E-5</v>
      </c>
      <c r="AB206" s="111"/>
      <c r="AC206" s="111"/>
    </row>
    <row r="207" spans="1:41" x14ac:dyDescent="0.55000000000000004">
      <c r="A207" t="s">
        <v>4093</v>
      </c>
      <c r="B207">
        <v>5.1749999999999998</v>
      </c>
      <c r="C207">
        <v>1.2989999999999999</v>
      </c>
      <c r="D207">
        <v>0.60760000000000003</v>
      </c>
      <c r="E207">
        <v>5.1079999999999997</v>
      </c>
      <c r="F207">
        <v>4.8449999999999998</v>
      </c>
      <c r="G207">
        <v>4.1479999999999997</v>
      </c>
      <c r="H207">
        <v>2.5219999999999998</v>
      </c>
      <c r="I207">
        <v>2.5099999999999998</v>
      </c>
      <c r="J207" s="111">
        <v>8.4230000000000005E-6</v>
      </c>
      <c r="K207">
        <v>1.17</v>
      </c>
      <c r="L207" s="111">
        <v>1.22E-5</v>
      </c>
      <c r="O207" t="s">
        <v>4015</v>
      </c>
      <c r="P207">
        <v>11.94</v>
      </c>
      <c r="Q207">
        <v>4.58</v>
      </c>
      <c r="R207">
        <v>2.59</v>
      </c>
      <c r="S207">
        <v>11.89</v>
      </c>
      <c r="T207">
        <v>11.54</v>
      </c>
      <c r="U207">
        <v>10.7</v>
      </c>
      <c r="V207">
        <v>7.5609999999999999</v>
      </c>
      <c r="W207">
        <v>7.5369999999999999</v>
      </c>
      <c r="X207" t="s">
        <v>3871</v>
      </c>
      <c r="Y207">
        <v>0.75009999999999999</v>
      </c>
      <c r="Z207" s="111">
        <v>8.0650000000000003E-4</v>
      </c>
      <c r="AB207" s="111"/>
      <c r="AC207" s="111"/>
    </row>
    <row r="208" spans="1:41" x14ac:dyDescent="0.55000000000000004">
      <c r="A208" t="s">
        <v>4094</v>
      </c>
      <c r="B208">
        <v>2.8479999999999999</v>
      </c>
      <c r="C208">
        <v>0.85550000000000004</v>
      </c>
      <c r="D208">
        <v>0.54139999999999999</v>
      </c>
      <c r="E208">
        <v>2.8039999999999998</v>
      </c>
      <c r="F208">
        <v>2.5619999999999998</v>
      </c>
      <c r="G208">
        <v>2.0939999999999999</v>
      </c>
      <c r="H208">
        <v>1.3939999999999999</v>
      </c>
      <c r="I208">
        <v>1.411</v>
      </c>
      <c r="J208" s="111">
        <v>4.8659999999999998E-5</v>
      </c>
      <c r="K208">
        <v>1.28</v>
      </c>
      <c r="L208" s="111">
        <v>5.3850000000000001E-5</v>
      </c>
      <c r="O208" t="s">
        <v>4016</v>
      </c>
      <c r="P208">
        <v>12.72</v>
      </c>
      <c r="Q208">
        <v>3.9220000000000002</v>
      </c>
      <c r="R208">
        <v>1.8939999999999999</v>
      </c>
      <c r="S208">
        <v>12.61</v>
      </c>
      <c r="T208">
        <v>11.96</v>
      </c>
      <c r="U208">
        <v>10.65</v>
      </c>
      <c r="V208">
        <v>6.9279999999999999</v>
      </c>
      <c r="W208">
        <v>6.9029999999999996</v>
      </c>
      <c r="X208" t="s">
        <v>3871</v>
      </c>
      <c r="Y208">
        <v>0.53039999999999998</v>
      </c>
      <c r="Z208" s="111">
        <v>2.7469999999999999E-7</v>
      </c>
      <c r="AB208" s="111"/>
      <c r="AC208" s="111"/>
    </row>
    <row r="209" spans="1:29" x14ac:dyDescent="0.55000000000000004">
      <c r="A209" t="s">
        <v>4095</v>
      </c>
      <c r="B209">
        <v>5</v>
      </c>
      <c r="C209">
        <v>1.52</v>
      </c>
      <c r="D209">
        <v>0.86970000000000003</v>
      </c>
      <c r="E209">
        <v>4.9219999999999997</v>
      </c>
      <c r="F209">
        <v>4.524</v>
      </c>
      <c r="G209">
        <v>3.6930000000000001</v>
      </c>
      <c r="H209">
        <v>2.4900000000000002</v>
      </c>
      <c r="I209">
        <v>2.5070000000000001</v>
      </c>
      <c r="J209" s="111">
        <v>1.236E-5</v>
      </c>
      <c r="K209">
        <v>1.2030000000000001</v>
      </c>
      <c r="L209" s="111">
        <v>1.274E-5</v>
      </c>
      <c r="O209" t="s">
        <v>4017</v>
      </c>
      <c r="P209">
        <v>17.71</v>
      </c>
      <c r="Q209">
        <v>5.008</v>
      </c>
      <c r="R209">
        <v>2.1339999999999999</v>
      </c>
      <c r="S209">
        <v>17.579999999999998</v>
      </c>
      <c r="T209">
        <v>16.920000000000002</v>
      </c>
      <c r="U209">
        <v>15.12</v>
      </c>
      <c r="V209">
        <v>9.5299999999999994</v>
      </c>
      <c r="W209">
        <v>9.4909999999999997</v>
      </c>
      <c r="X209" t="s">
        <v>3871</v>
      </c>
      <c r="Y209">
        <v>0.93030000000000002</v>
      </c>
      <c r="Z209" s="111">
        <v>5.9360000000000001E-5</v>
      </c>
      <c r="AB209" s="111"/>
      <c r="AC209" s="111"/>
    </row>
    <row r="210" spans="1:29" x14ac:dyDescent="0.55000000000000004">
      <c r="A210" t="s">
        <v>4096</v>
      </c>
      <c r="B210">
        <v>2.879</v>
      </c>
      <c r="C210">
        <v>0.75670000000000004</v>
      </c>
      <c r="D210">
        <v>0.43259999999999998</v>
      </c>
      <c r="E210">
        <v>2.8330000000000002</v>
      </c>
      <c r="F210">
        <v>2.6070000000000002</v>
      </c>
      <c r="G210">
        <v>2.1560000000000001</v>
      </c>
      <c r="H210">
        <v>1.41</v>
      </c>
      <c r="I210">
        <v>1.4039999999999999</v>
      </c>
      <c r="J210" s="111">
        <v>3.6369999999999999E-5</v>
      </c>
      <c r="K210">
        <v>2.246</v>
      </c>
      <c r="L210" s="111">
        <v>7.4889999999999996E-5</v>
      </c>
      <c r="O210" t="s">
        <v>4018</v>
      </c>
      <c r="P210">
        <v>10.33</v>
      </c>
      <c r="Q210">
        <v>3.2639999999999998</v>
      </c>
      <c r="R210">
        <v>1.65</v>
      </c>
      <c r="S210">
        <v>10.26</v>
      </c>
      <c r="T210">
        <v>9.8130000000000006</v>
      </c>
      <c r="U210">
        <v>8.8040000000000003</v>
      </c>
      <c r="V210">
        <v>5.8440000000000003</v>
      </c>
      <c r="W210">
        <v>5.8220000000000001</v>
      </c>
      <c r="X210" t="s">
        <v>3871</v>
      </c>
      <c r="Y210">
        <v>0.21940000000000001</v>
      </c>
      <c r="Z210" s="111">
        <v>6.7020000000000005E-11</v>
      </c>
      <c r="AB210" s="111"/>
      <c r="AC210" s="111"/>
    </row>
    <row r="211" spans="1:29" x14ac:dyDescent="0.55000000000000004">
      <c r="A211" t="s">
        <v>4097</v>
      </c>
      <c r="B211">
        <v>1.1040000000000001</v>
      </c>
      <c r="C211">
        <v>0.41210000000000002</v>
      </c>
      <c r="D211">
        <v>0.36930000000000002</v>
      </c>
      <c r="E211">
        <v>1.0960000000000001</v>
      </c>
      <c r="F211">
        <v>1.0549999999999999</v>
      </c>
      <c r="G211">
        <v>0.94830000000000003</v>
      </c>
      <c r="H211">
        <v>0.65639999999999998</v>
      </c>
      <c r="I211">
        <v>0.65339999999999998</v>
      </c>
      <c r="J211" t="s">
        <v>3871</v>
      </c>
      <c r="K211" s="111">
        <v>7.3480000000000004E-3</v>
      </c>
      <c r="L211" s="111">
        <v>2.0559999999999999E-34</v>
      </c>
      <c r="O211" t="s">
        <v>4019</v>
      </c>
      <c r="P211">
        <v>25.65</v>
      </c>
      <c r="Q211">
        <v>5.867</v>
      </c>
      <c r="R211">
        <v>2.8530000000000002</v>
      </c>
      <c r="S211">
        <v>25.37</v>
      </c>
      <c r="T211">
        <v>24.06</v>
      </c>
      <c r="U211">
        <v>20.239999999999998</v>
      </c>
      <c r="V211">
        <v>12.04</v>
      </c>
      <c r="W211">
        <v>11.97</v>
      </c>
      <c r="X211" s="111">
        <v>2.4350000000000001E-4</v>
      </c>
      <c r="Y211">
        <v>1.0249999999999999</v>
      </c>
      <c r="Z211" s="111">
        <v>2.4580000000000001E-4</v>
      </c>
      <c r="AB211" s="111"/>
      <c r="AC211" s="111"/>
    </row>
    <row r="212" spans="1:29" x14ac:dyDescent="0.55000000000000004">
      <c r="A212" t="s">
        <v>4098</v>
      </c>
      <c r="B212">
        <v>1.1259999999999999</v>
      </c>
      <c r="C212">
        <v>0.42759999999999998</v>
      </c>
      <c r="D212">
        <v>0.39829999999999999</v>
      </c>
      <c r="E212">
        <v>1.115</v>
      </c>
      <c r="F212">
        <v>1.07</v>
      </c>
      <c r="G212">
        <v>0.95579999999999998</v>
      </c>
      <c r="H212">
        <v>0.67320000000000002</v>
      </c>
      <c r="I212">
        <v>0.6714</v>
      </c>
      <c r="J212" t="s">
        <v>3871</v>
      </c>
      <c r="K212" s="111">
        <v>4.8390000000000004E-3</v>
      </c>
      <c r="L212">
        <v>0</v>
      </c>
      <c r="O212" t="s">
        <v>4020</v>
      </c>
      <c r="P212">
        <v>6.7709999999999999</v>
      </c>
      <c r="Q212">
        <v>2.581</v>
      </c>
      <c r="R212">
        <v>1.4019999999999999</v>
      </c>
      <c r="S212">
        <v>6.7130000000000001</v>
      </c>
      <c r="T212">
        <v>6.4260000000000002</v>
      </c>
      <c r="U212">
        <v>5.8609999999999998</v>
      </c>
      <c r="V212">
        <v>4.3940000000000001</v>
      </c>
      <c r="W212">
        <v>4.3789999999999996</v>
      </c>
      <c r="X212" t="s">
        <v>3871</v>
      </c>
      <c r="Y212" s="111">
        <v>1.086E-13</v>
      </c>
      <c r="Z212">
        <v>0</v>
      </c>
      <c r="AB212" s="111"/>
      <c r="AC212" s="111"/>
    </row>
    <row r="213" spans="1:29" x14ac:dyDescent="0.55000000000000004">
      <c r="A213" t="s">
        <v>4099</v>
      </c>
      <c r="B213">
        <v>1.331</v>
      </c>
      <c r="C213">
        <v>0.57410000000000005</v>
      </c>
      <c r="D213">
        <v>0.34910000000000002</v>
      </c>
      <c r="E213">
        <v>1.3140000000000001</v>
      </c>
      <c r="F213">
        <v>1.22</v>
      </c>
      <c r="G213">
        <v>1.0369999999999999</v>
      </c>
      <c r="H213">
        <v>0.83630000000000004</v>
      </c>
      <c r="I213">
        <v>0.83209999999999995</v>
      </c>
      <c r="J213" t="s">
        <v>3871</v>
      </c>
      <c r="K213">
        <v>0.16869999999999999</v>
      </c>
      <c r="L213" s="111">
        <v>4.8310000000000002E-10</v>
      </c>
      <c r="O213" t="s">
        <v>4021</v>
      </c>
      <c r="P213">
        <v>8.4499999999999993</v>
      </c>
      <c r="Q213">
        <v>2.5920000000000001</v>
      </c>
      <c r="R213">
        <v>1.403</v>
      </c>
      <c r="S213">
        <v>8.3979999999999997</v>
      </c>
      <c r="T213">
        <v>8.1620000000000008</v>
      </c>
      <c r="U213">
        <v>7.5039999999999996</v>
      </c>
      <c r="V213">
        <v>4.8220000000000001</v>
      </c>
      <c r="W213">
        <v>4.8040000000000003</v>
      </c>
      <c r="X213" t="s">
        <v>3871</v>
      </c>
      <c r="Y213">
        <v>0.26250000000000001</v>
      </c>
      <c r="Z213" s="111">
        <v>1.7760000000000001E-9</v>
      </c>
      <c r="AB213" s="111"/>
      <c r="AC213" s="111"/>
    </row>
    <row r="214" spans="1:29" x14ac:dyDescent="0.55000000000000004">
      <c r="A214" t="s">
        <v>4100</v>
      </c>
      <c r="B214">
        <v>7.3330000000000002</v>
      </c>
      <c r="C214">
        <v>2.0979999999999999</v>
      </c>
      <c r="D214">
        <v>1.034</v>
      </c>
      <c r="E214">
        <v>7.2679999999999998</v>
      </c>
      <c r="F214">
        <v>6.875</v>
      </c>
      <c r="G214">
        <v>5.9550000000000001</v>
      </c>
      <c r="H214">
        <v>3.7879999999999998</v>
      </c>
      <c r="I214">
        <v>3.77</v>
      </c>
      <c r="J214" s="111">
        <v>7.1130000000000005E-5</v>
      </c>
      <c r="K214">
        <v>1.635</v>
      </c>
      <c r="L214" s="111">
        <v>9.6490000000000006E-5</v>
      </c>
      <c r="O214" t="s">
        <v>4022</v>
      </c>
      <c r="P214">
        <v>7.952</v>
      </c>
      <c r="Q214">
        <v>2.5569999999999999</v>
      </c>
      <c r="R214">
        <v>1.109</v>
      </c>
      <c r="S214">
        <v>7.907</v>
      </c>
      <c r="T214">
        <v>7.6950000000000003</v>
      </c>
      <c r="U214">
        <v>6.7709999999999999</v>
      </c>
      <c r="V214">
        <v>4.4169999999999998</v>
      </c>
      <c r="W214">
        <v>4.3949999999999996</v>
      </c>
      <c r="X214" t="s">
        <v>3871</v>
      </c>
      <c r="Y214" s="111">
        <v>4.8540000000000001E-14</v>
      </c>
      <c r="Z214">
        <v>0</v>
      </c>
      <c r="AB214" s="111"/>
      <c r="AC214" s="111"/>
    </row>
    <row r="215" spans="1:29" x14ac:dyDescent="0.55000000000000004">
      <c r="A215" t="s">
        <v>4101</v>
      </c>
      <c r="B215">
        <v>7.2009999999999996</v>
      </c>
      <c r="C215">
        <v>1.7010000000000001</v>
      </c>
      <c r="D215">
        <v>0.78549999999999998</v>
      </c>
      <c r="E215">
        <v>7.1050000000000004</v>
      </c>
      <c r="F215">
        <v>6.5730000000000004</v>
      </c>
      <c r="G215">
        <v>5.3230000000000004</v>
      </c>
      <c r="H215">
        <v>3.153</v>
      </c>
      <c r="I215">
        <v>3.1240000000000001</v>
      </c>
      <c r="J215" s="111">
        <v>6.0930000000000004E-7</v>
      </c>
      <c r="K215">
        <v>1.367</v>
      </c>
      <c r="L215" s="111">
        <v>7.4379999999999998E-7</v>
      </c>
      <c r="O215" t="s">
        <v>4023</v>
      </c>
      <c r="P215">
        <v>13.92</v>
      </c>
      <c r="Q215">
        <v>3.1259999999999999</v>
      </c>
      <c r="R215">
        <v>1.32</v>
      </c>
      <c r="S215">
        <v>13.74</v>
      </c>
      <c r="T215">
        <v>12.7</v>
      </c>
      <c r="U215">
        <v>11.01</v>
      </c>
      <c r="V215">
        <v>6.8250000000000002</v>
      </c>
      <c r="W215">
        <v>6.7919999999999998</v>
      </c>
      <c r="X215" t="s">
        <v>3871</v>
      </c>
      <c r="Y215" s="111">
        <v>1.2529999999999999E-2</v>
      </c>
      <c r="Z215" s="111">
        <v>2.1539999999999999E-27</v>
      </c>
      <c r="AB215" s="111"/>
      <c r="AC215" s="111"/>
    </row>
    <row r="216" spans="1:29" x14ac:dyDescent="0.55000000000000004">
      <c r="A216" t="s">
        <v>4102</v>
      </c>
      <c r="B216">
        <v>7.4470000000000001</v>
      </c>
      <c r="C216">
        <v>1.5289999999999999</v>
      </c>
      <c r="D216">
        <v>0.69850000000000001</v>
      </c>
      <c r="E216">
        <v>7.2990000000000004</v>
      </c>
      <c r="F216">
        <v>6.67</v>
      </c>
      <c r="G216">
        <v>5.0369999999999999</v>
      </c>
      <c r="H216">
        <v>2.9489999999999998</v>
      </c>
      <c r="I216">
        <v>2.931</v>
      </c>
      <c r="J216" s="111">
        <v>3.4359999999999998E-6</v>
      </c>
      <c r="K216">
        <v>2.1440000000000001</v>
      </c>
      <c r="L216" s="111">
        <v>7.7759999999999997E-6</v>
      </c>
      <c r="O216" t="s">
        <v>4024</v>
      </c>
      <c r="P216">
        <v>17.71</v>
      </c>
      <c r="Q216">
        <v>3.613</v>
      </c>
      <c r="R216">
        <v>1.478</v>
      </c>
      <c r="S216">
        <v>17.55</v>
      </c>
      <c r="T216">
        <v>16.420000000000002</v>
      </c>
      <c r="U216">
        <v>13.39</v>
      </c>
      <c r="V216">
        <v>7.78</v>
      </c>
      <c r="W216">
        <v>7.7370000000000001</v>
      </c>
      <c r="X216" t="s">
        <v>3871</v>
      </c>
      <c r="Y216">
        <v>0.11899999999999999</v>
      </c>
      <c r="Z216" s="111">
        <v>1.6319999999999999E-16</v>
      </c>
      <c r="AB216" s="111"/>
      <c r="AC216" s="111"/>
    </row>
    <row r="217" spans="1:29" x14ac:dyDescent="0.55000000000000004">
      <c r="A217" t="s">
        <v>4103</v>
      </c>
      <c r="B217">
        <v>13.52</v>
      </c>
      <c r="C217">
        <v>2.0950000000000002</v>
      </c>
      <c r="D217">
        <v>0.88780000000000003</v>
      </c>
      <c r="E217">
        <v>13.78</v>
      </c>
      <c r="F217">
        <v>12.32</v>
      </c>
      <c r="G217">
        <v>12.57</v>
      </c>
      <c r="H217">
        <v>7.5229999999999997</v>
      </c>
      <c r="I217">
        <v>7.5119999999999996</v>
      </c>
      <c r="J217" s="111">
        <v>3.2890000000000002E-6</v>
      </c>
      <c r="K217">
        <v>2.7519999999999998</v>
      </c>
      <c r="L217" s="111">
        <v>7.7929999999999998E-6</v>
      </c>
      <c r="O217" t="s">
        <v>4025</v>
      </c>
      <c r="P217">
        <v>3.1859999999999999</v>
      </c>
      <c r="Q217">
        <v>0.69299999999999995</v>
      </c>
      <c r="R217">
        <v>0.29909999999999998</v>
      </c>
      <c r="S217">
        <v>3.1419999999999999</v>
      </c>
      <c r="T217">
        <v>2.952</v>
      </c>
      <c r="U217">
        <v>2.5299999999999998</v>
      </c>
      <c r="V217">
        <v>1.5409999999999999</v>
      </c>
      <c r="W217">
        <v>1.5309999999999999</v>
      </c>
      <c r="X217" t="s">
        <v>3871</v>
      </c>
      <c r="Y217" s="111">
        <v>7.2860000000000004E-4</v>
      </c>
      <c r="Z217" s="111">
        <v>1.162E-54</v>
      </c>
      <c r="AB217" s="111"/>
      <c r="AC217" s="111"/>
    </row>
    <row r="218" spans="1:29" x14ac:dyDescent="0.55000000000000004">
      <c r="A218" t="s">
        <v>4104</v>
      </c>
      <c r="B218">
        <v>14.86</v>
      </c>
      <c r="C218">
        <v>2.7509999999999999</v>
      </c>
      <c r="D218">
        <v>1.0469999999999999</v>
      </c>
      <c r="E218">
        <v>14.6</v>
      </c>
      <c r="F218">
        <v>13.33</v>
      </c>
      <c r="G218">
        <v>10.48</v>
      </c>
      <c r="H218">
        <v>6.0439999999999996</v>
      </c>
      <c r="I218">
        <v>6.008</v>
      </c>
      <c r="J218" s="111">
        <v>3.0329999999999999E-5</v>
      </c>
      <c r="K218">
        <v>2.7589999999999999</v>
      </c>
      <c r="L218" s="111">
        <v>6.9179999999999998E-5</v>
      </c>
      <c r="M218" s="118"/>
      <c r="N218" s="118"/>
      <c r="O218" t="s">
        <v>4026</v>
      </c>
      <c r="P218">
        <v>3.0579999999999998</v>
      </c>
      <c r="Q218">
        <v>1.2130000000000001</v>
      </c>
      <c r="R218">
        <v>0.58589999999999998</v>
      </c>
      <c r="S218">
        <v>3.0489999999999999</v>
      </c>
      <c r="T218">
        <v>2.9580000000000002</v>
      </c>
      <c r="U218">
        <v>2.7589999999999999</v>
      </c>
      <c r="V218">
        <v>2.3559999999999999</v>
      </c>
      <c r="W218">
        <v>2.431</v>
      </c>
      <c r="X218" t="s">
        <v>3871</v>
      </c>
      <c r="Y218">
        <v>0.31280000000000002</v>
      </c>
      <c r="Z218" s="111">
        <v>5.8869999999999997E-6</v>
      </c>
      <c r="AB218" s="111"/>
      <c r="AC218" s="111"/>
    </row>
    <row r="219" spans="1:29" x14ac:dyDescent="0.55000000000000004">
      <c r="A219" t="s">
        <v>4105</v>
      </c>
      <c r="B219">
        <v>5.6760000000000002</v>
      </c>
      <c r="C219">
        <v>1.871</v>
      </c>
      <c r="D219">
        <v>0.86899999999999999</v>
      </c>
      <c r="E219">
        <v>5.6379999999999999</v>
      </c>
      <c r="F219">
        <v>5.3220000000000001</v>
      </c>
      <c r="G219">
        <v>4.6760000000000002</v>
      </c>
      <c r="H219">
        <v>3.2349999999999999</v>
      </c>
      <c r="I219">
        <v>3.2360000000000002</v>
      </c>
      <c r="J219" t="s">
        <v>3871</v>
      </c>
      <c r="K219">
        <v>0.93640000000000001</v>
      </c>
      <c r="L219" s="111">
        <v>3.8630000000000001E-7</v>
      </c>
      <c r="M219" s="118"/>
      <c r="N219" s="118"/>
      <c r="O219" t="s">
        <v>4027</v>
      </c>
      <c r="P219">
        <v>4.1719999999999997</v>
      </c>
      <c r="Q219">
        <v>1.218</v>
      </c>
      <c r="R219">
        <v>0.52210000000000001</v>
      </c>
      <c r="S219">
        <v>4.1429999999999998</v>
      </c>
      <c r="T219">
        <v>3.927</v>
      </c>
      <c r="U219">
        <v>3.4649999999999999</v>
      </c>
      <c r="V219">
        <v>2.2890000000000001</v>
      </c>
      <c r="W219">
        <v>2.2789999999999999</v>
      </c>
      <c r="X219" t="s">
        <v>3871</v>
      </c>
      <c r="Y219">
        <v>0</v>
      </c>
      <c r="Z219">
        <v>0</v>
      </c>
      <c r="AB219" s="111"/>
      <c r="AC219" s="111"/>
    </row>
    <row r="220" spans="1:29" x14ac:dyDescent="0.55000000000000004">
      <c r="A220" t="s">
        <v>4106</v>
      </c>
      <c r="B220">
        <v>8.3780000000000001</v>
      </c>
      <c r="C220">
        <v>2.0209999999999999</v>
      </c>
      <c r="D220">
        <v>0.85060000000000002</v>
      </c>
      <c r="E220">
        <v>8.234</v>
      </c>
      <c r="F220">
        <v>7.46</v>
      </c>
      <c r="G220">
        <v>6.0819999999999999</v>
      </c>
      <c r="H220">
        <v>3.7080000000000002</v>
      </c>
      <c r="I220">
        <v>3.6890000000000001</v>
      </c>
      <c r="J220" s="111">
        <v>6.6830000000000002E-7</v>
      </c>
      <c r="K220">
        <v>1.0069999999999999</v>
      </c>
      <c r="L220" s="111">
        <v>6.694E-7</v>
      </c>
      <c r="M220" s="118"/>
      <c r="N220" s="118"/>
      <c r="O220" t="s">
        <v>4028</v>
      </c>
      <c r="P220">
        <v>1.6779999999999999</v>
      </c>
      <c r="Q220">
        <v>0.66890000000000005</v>
      </c>
      <c r="R220">
        <v>0.375</v>
      </c>
      <c r="S220">
        <v>1.659</v>
      </c>
      <c r="T220">
        <v>1.6140000000000001</v>
      </c>
      <c r="U220">
        <v>1.4790000000000001</v>
      </c>
      <c r="V220">
        <v>1.054</v>
      </c>
      <c r="W220">
        <v>1.056</v>
      </c>
      <c r="X220" t="s">
        <v>3871</v>
      </c>
      <c r="Y220" s="111">
        <v>1.0039999999999999E-13</v>
      </c>
      <c r="Z220">
        <v>0</v>
      </c>
      <c r="AB220" s="111"/>
      <c r="AC220" s="111"/>
    </row>
    <row r="221" spans="1:29" x14ac:dyDescent="0.55000000000000004">
      <c r="A221" t="s">
        <v>4107</v>
      </c>
      <c r="B221">
        <v>6.8739999999999997</v>
      </c>
      <c r="C221">
        <v>1.9590000000000001</v>
      </c>
      <c r="D221">
        <v>0.8649</v>
      </c>
      <c r="E221">
        <v>6.7789999999999999</v>
      </c>
      <c r="F221">
        <v>6.1769999999999996</v>
      </c>
      <c r="G221">
        <v>5.3209999999999997</v>
      </c>
      <c r="H221">
        <v>4.0030000000000001</v>
      </c>
      <c r="I221">
        <v>4.1059999999999999</v>
      </c>
      <c r="J221" s="111">
        <v>3.0620000000000002E-5</v>
      </c>
      <c r="K221">
        <v>2.649</v>
      </c>
      <c r="L221" s="111">
        <v>5.0420000000000002E-5</v>
      </c>
      <c r="O221" t="s">
        <v>4029</v>
      </c>
      <c r="P221">
        <v>1.8009999999999999</v>
      </c>
      <c r="Q221">
        <v>0.65110000000000001</v>
      </c>
      <c r="R221">
        <v>0.25929999999999997</v>
      </c>
      <c r="S221">
        <v>1.786</v>
      </c>
      <c r="T221">
        <v>1.7090000000000001</v>
      </c>
      <c r="U221">
        <v>1.53</v>
      </c>
      <c r="V221">
        <v>0.99470000000000003</v>
      </c>
      <c r="W221">
        <v>0.99250000000000005</v>
      </c>
      <c r="X221" t="s">
        <v>3871</v>
      </c>
      <c r="Y221" s="111">
        <v>3.2469999999999999E-2</v>
      </c>
      <c r="Z221" s="111">
        <v>4.3840000000000001E-24</v>
      </c>
      <c r="AB221" s="111"/>
      <c r="AC221" s="111"/>
    </row>
    <row r="222" spans="1:29" x14ac:dyDescent="0.55000000000000004">
      <c r="A222" t="s">
        <v>4108</v>
      </c>
      <c r="B222">
        <v>6.2060000000000004</v>
      </c>
      <c r="C222">
        <v>1.7789999999999999</v>
      </c>
      <c r="D222">
        <v>0.80389999999999995</v>
      </c>
      <c r="E222">
        <v>6.1440000000000001</v>
      </c>
      <c r="F222">
        <v>5.8280000000000003</v>
      </c>
      <c r="G222">
        <v>5.0780000000000003</v>
      </c>
      <c r="H222">
        <v>3.181</v>
      </c>
      <c r="I222">
        <v>3.1659999999999999</v>
      </c>
      <c r="J222" t="s">
        <v>3871</v>
      </c>
      <c r="K222">
        <v>0.72409999999999997</v>
      </c>
      <c r="L222" s="111">
        <v>5.0560000000000004E-6</v>
      </c>
      <c r="O222" t="s">
        <v>4030</v>
      </c>
      <c r="P222">
        <v>6.9560000000000004</v>
      </c>
      <c r="Q222">
        <v>2.3809999999999998</v>
      </c>
      <c r="R222">
        <v>1.016</v>
      </c>
      <c r="S222">
        <v>6.8890000000000002</v>
      </c>
      <c r="T222">
        <v>6.5650000000000004</v>
      </c>
      <c r="U222">
        <v>5.9550000000000001</v>
      </c>
      <c r="V222">
        <v>4.1429999999999998</v>
      </c>
      <c r="W222">
        <v>4.1319999999999997</v>
      </c>
      <c r="X222" t="s">
        <v>3871</v>
      </c>
      <c r="Y222">
        <v>0.1515</v>
      </c>
      <c r="Z222" s="111">
        <v>1.939E-11</v>
      </c>
      <c r="AB222" s="111"/>
      <c r="AC222" s="111"/>
    </row>
    <row r="223" spans="1:29" x14ac:dyDescent="0.55000000000000004">
      <c r="A223" t="s">
        <v>4109</v>
      </c>
      <c r="B223">
        <v>14.37</v>
      </c>
      <c r="C223">
        <v>3.0640000000000001</v>
      </c>
      <c r="D223">
        <v>1.2330000000000001</v>
      </c>
      <c r="E223">
        <v>14.17</v>
      </c>
      <c r="F223">
        <v>13.14</v>
      </c>
      <c r="G223">
        <v>10.85</v>
      </c>
      <c r="H223">
        <v>6.5439999999999996</v>
      </c>
      <c r="I223">
        <v>6.5090000000000003</v>
      </c>
      <c r="J223" s="111">
        <v>9.8309999999999996E-6</v>
      </c>
      <c r="K223">
        <v>1.3660000000000001</v>
      </c>
      <c r="L223" s="111">
        <v>1.0550000000000001E-5</v>
      </c>
      <c r="M223" s="118"/>
      <c r="N223" s="118"/>
      <c r="AB223" s="111"/>
      <c r="AC223" s="111"/>
    </row>
    <row r="224" spans="1:29" x14ac:dyDescent="0.55000000000000004">
      <c r="A224" t="s">
        <v>4110</v>
      </c>
      <c r="B224">
        <v>4.9210000000000003</v>
      </c>
      <c r="C224">
        <v>1.6080000000000001</v>
      </c>
      <c r="D224">
        <v>0.68659999999999999</v>
      </c>
      <c r="E224">
        <v>4.8780000000000001</v>
      </c>
      <c r="F224">
        <v>4.6139999999999999</v>
      </c>
      <c r="G224">
        <v>4.1859999999999999</v>
      </c>
      <c r="H224">
        <v>2.9540000000000002</v>
      </c>
      <c r="I224">
        <v>2.9430000000000001</v>
      </c>
      <c r="J224" t="s">
        <v>3871</v>
      </c>
      <c r="K224">
        <v>0.3327</v>
      </c>
      <c r="L224" s="111">
        <v>1.8679999999999999E-8</v>
      </c>
      <c r="AB224" s="111"/>
      <c r="AC224" s="111"/>
    </row>
    <row r="225" spans="1:29" x14ac:dyDescent="0.55000000000000004">
      <c r="A225" t="s">
        <v>4111</v>
      </c>
      <c r="B225">
        <v>5.9859999999999998</v>
      </c>
      <c r="C225">
        <v>2.298</v>
      </c>
      <c r="D225">
        <v>0.73360000000000003</v>
      </c>
      <c r="E225">
        <v>5.9539999999999997</v>
      </c>
      <c r="F225">
        <v>5.7839999999999998</v>
      </c>
      <c r="G225">
        <v>5.2270000000000003</v>
      </c>
      <c r="H225">
        <v>3.8570000000000002</v>
      </c>
      <c r="I225">
        <v>3.8759999999999999</v>
      </c>
      <c r="J225" t="s">
        <v>3871</v>
      </c>
      <c r="K225" s="111">
        <v>5.8219999999999999E-3</v>
      </c>
      <c r="L225" s="111">
        <v>9.3959999999999993E-28</v>
      </c>
      <c r="AB225" s="111"/>
      <c r="AC225" s="111"/>
    </row>
    <row r="226" spans="1:29" x14ac:dyDescent="0.55000000000000004">
      <c r="A226" t="s">
        <v>4112</v>
      </c>
      <c r="B226">
        <v>6.0190000000000001</v>
      </c>
      <c r="C226">
        <v>1.6839999999999999</v>
      </c>
      <c r="D226">
        <v>0.70820000000000005</v>
      </c>
      <c r="E226">
        <v>5.9649999999999999</v>
      </c>
      <c r="F226">
        <v>5.6529999999999996</v>
      </c>
      <c r="G226">
        <v>4.875</v>
      </c>
      <c r="H226">
        <v>3.0840000000000001</v>
      </c>
      <c r="I226">
        <v>3.07</v>
      </c>
      <c r="J226" t="s">
        <v>3871</v>
      </c>
      <c r="K226">
        <v>0.33339999999999997</v>
      </c>
      <c r="L226" s="111">
        <v>5.4210000000000002E-10</v>
      </c>
      <c r="Y226" s="111"/>
      <c r="Z226" s="111"/>
      <c r="AB226" s="111"/>
      <c r="AC226" s="111"/>
    </row>
    <row r="227" spans="1:29" x14ac:dyDescent="0.55000000000000004">
      <c r="A227" t="s">
        <v>4113</v>
      </c>
      <c r="B227">
        <v>13.01</v>
      </c>
      <c r="C227">
        <v>3.4689999999999999</v>
      </c>
      <c r="D227">
        <v>1.4139999999999999</v>
      </c>
      <c r="E227">
        <v>12.75</v>
      </c>
      <c r="F227">
        <v>11.84</v>
      </c>
      <c r="G227">
        <v>10.06</v>
      </c>
      <c r="H227">
        <v>7.8949999999999996</v>
      </c>
      <c r="I227">
        <v>7.9740000000000002</v>
      </c>
      <c r="J227" t="s">
        <v>3871</v>
      </c>
      <c r="K227">
        <v>0.50690000000000002</v>
      </c>
      <c r="L227" s="111">
        <v>4.1659999999999997E-8</v>
      </c>
      <c r="AB227" s="111"/>
      <c r="AC227" s="111"/>
    </row>
    <row r="228" spans="1:29" x14ac:dyDescent="0.55000000000000004">
      <c r="A228" t="s">
        <v>4114</v>
      </c>
      <c r="B228">
        <v>10.71</v>
      </c>
      <c r="C228">
        <v>2.1440000000000001</v>
      </c>
      <c r="D228">
        <v>1.04</v>
      </c>
      <c r="E228">
        <v>10.56</v>
      </c>
      <c r="F228">
        <v>9.67</v>
      </c>
      <c r="G228">
        <v>8.4629999999999992</v>
      </c>
      <c r="H228">
        <v>5.9710000000000001</v>
      </c>
      <c r="I228">
        <v>5.9080000000000004</v>
      </c>
      <c r="J228" s="111">
        <v>3.9389999999999999E-6</v>
      </c>
      <c r="K228">
        <v>1.3440000000000001</v>
      </c>
      <c r="L228" s="111">
        <v>5.5790000000000003E-6</v>
      </c>
      <c r="AB228" s="111"/>
      <c r="AC228" s="111"/>
    </row>
    <row r="229" spans="1:29" x14ac:dyDescent="0.55000000000000004">
      <c r="A229" t="s">
        <v>4115</v>
      </c>
      <c r="B229">
        <v>0.62480000000000002</v>
      </c>
      <c r="C229">
        <v>0.12479999999999999</v>
      </c>
      <c r="D229">
        <v>0.10440000000000001</v>
      </c>
      <c r="E229">
        <v>0.61529999999999996</v>
      </c>
      <c r="F229">
        <v>0.56340000000000001</v>
      </c>
      <c r="G229">
        <v>0.46139999999999998</v>
      </c>
      <c r="H229">
        <v>0.27189999999999998</v>
      </c>
      <c r="I229">
        <v>0.2697</v>
      </c>
      <c r="J229" t="s">
        <v>3871</v>
      </c>
      <c r="K229" s="111">
        <v>3.1230000000000001E-2</v>
      </c>
      <c r="L229" s="111">
        <v>7.4610000000000004E-24</v>
      </c>
      <c r="Y229" s="111"/>
      <c r="Z229" s="111"/>
      <c r="AB229" s="111"/>
      <c r="AC229" s="111"/>
    </row>
    <row r="230" spans="1:29" x14ac:dyDescent="0.55000000000000004">
      <c r="A230" t="s">
        <v>4116</v>
      </c>
      <c r="B230">
        <v>1.35</v>
      </c>
      <c r="C230">
        <v>0.51900000000000002</v>
      </c>
      <c r="D230">
        <v>0.29339999999999999</v>
      </c>
      <c r="E230">
        <v>1.3380000000000001</v>
      </c>
      <c r="F230">
        <v>1.27</v>
      </c>
      <c r="G230">
        <v>1.105</v>
      </c>
      <c r="H230">
        <v>0.88700000000000001</v>
      </c>
      <c r="I230">
        <v>0.91200000000000003</v>
      </c>
      <c r="J230" t="s">
        <v>3871</v>
      </c>
      <c r="K230" s="111">
        <v>6.6400000000000001E-3</v>
      </c>
      <c r="L230" s="111">
        <v>3.2099999999999999E-40</v>
      </c>
      <c r="AB230" s="111"/>
      <c r="AC230" s="111"/>
    </row>
    <row r="231" spans="1:29" x14ac:dyDescent="0.55000000000000004">
      <c r="A231" t="s">
        <v>4117</v>
      </c>
      <c r="B231">
        <v>0.85799999999999998</v>
      </c>
      <c r="C231">
        <v>0.2303</v>
      </c>
      <c r="D231">
        <v>0.17910000000000001</v>
      </c>
      <c r="E231">
        <v>0.86670000000000003</v>
      </c>
      <c r="F231">
        <v>0.88829999999999998</v>
      </c>
      <c r="G231">
        <v>0.70469999999999999</v>
      </c>
      <c r="H231">
        <v>0.48699999999999999</v>
      </c>
      <c r="I231">
        <v>0.44009999999999999</v>
      </c>
      <c r="J231" t="s">
        <v>3871</v>
      </c>
      <c r="K231" s="111">
        <v>6.4260000000000001E-4</v>
      </c>
      <c r="L231" s="111">
        <v>6.4030000000000003E-44</v>
      </c>
      <c r="AB231" s="111"/>
      <c r="AC231" s="111"/>
    </row>
    <row r="232" spans="1:29" x14ac:dyDescent="0.55000000000000004">
      <c r="A232" t="s">
        <v>4118</v>
      </c>
      <c r="B232">
        <v>7.5060000000000002</v>
      </c>
      <c r="C232">
        <v>2.5190000000000001</v>
      </c>
      <c r="D232">
        <v>0.98060000000000003</v>
      </c>
      <c r="E232">
        <v>7.5129999999999999</v>
      </c>
      <c r="F232">
        <v>6.8470000000000004</v>
      </c>
      <c r="G232">
        <v>5.5190000000000001</v>
      </c>
      <c r="H232">
        <v>4.2919999999999998</v>
      </c>
      <c r="I232">
        <v>4.0380000000000003</v>
      </c>
      <c r="J232" t="s">
        <v>3871</v>
      </c>
      <c r="K232">
        <v>0.56810000000000005</v>
      </c>
      <c r="L232" s="111">
        <v>5.2930000000000002E-4</v>
      </c>
      <c r="AB232" s="111"/>
      <c r="AC232" s="111"/>
    </row>
    <row r="233" spans="1:29" x14ac:dyDescent="0.55000000000000004">
      <c r="A233" t="s">
        <v>4119</v>
      </c>
      <c r="B233">
        <v>1.3129999999999999</v>
      </c>
      <c r="C233">
        <v>0.49819999999999998</v>
      </c>
      <c r="D233">
        <v>0.3014</v>
      </c>
      <c r="E233">
        <v>1.304</v>
      </c>
      <c r="F233">
        <v>1.25</v>
      </c>
      <c r="G233">
        <v>1.1020000000000001</v>
      </c>
      <c r="H233">
        <v>0.87619999999999998</v>
      </c>
      <c r="I233">
        <v>0.90759999999999996</v>
      </c>
      <c r="J233" t="s">
        <v>3871</v>
      </c>
      <c r="K233" s="111">
        <v>3.9329999999999999E-3</v>
      </c>
      <c r="L233" s="111">
        <v>8.5260000000000002E-66</v>
      </c>
      <c r="AB233" s="111"/>
      <c r="AC233" s="111"/>
    </row>
    <row r="234" spans="1:29" x14ac:dyDescent="0.55000000000000004">
      <c r="A234" t="s">
        <v>4120</v>
      </c>
      <c r="B234">
        <v>2.08</v>
      </c>
      <c r="C234">
        <v>0.57620000000000005</v>
      </c>
      <c r="D234">
        <v>0.23150000000000001</v>
      </c>
      <c r="E234">
        <v>2.0630000000000002</v>
      </c>
      <c r="F234">
        <v>1.958</v>
      </c>
      <c r="G234">
        <v>1.7130000000000001</v>
      </c>
      <c r="H234">
        <v>1.093</v>
      </c>
      <c r="I234">
        <v>1.089</v>
      </c>
      <c r="J234" t="s">
        <v>3871</v>
      </c>
      <c r="K234">
        <v>0</v>
      </c>
      <c r="L234">
        <v>0</v>
      </c>
      <c r="AB234" s="111"/>
      <c r="AC234" s="111"/>
    </row>
    <row r="235" spans="1:29" x14ac:dyDescent="0.55000000000000004">
      <c r="A235" t="s">
        <v>3933</v>
      </c>
      <c r="B235">
        <v>3.4249999999999998</v>
      </c>
      <c r="C235">
        <v>0.97370000000000001</v>
      </c>
      <c r="D235">
        <v>0.439</v>
      </c>
      <c r="E235">
        <v>3.3940000000000001</v>
      </c>
      <c r="F235">
        <v>3.21</v>
      </c>
      <c r="G235">
        <v>2.782</v>
      </c>
      <c r="H235">
        <v>1.7629999999999999</v>
      </c>
      <c r="I235">
        <v>1.754</v>
      </c>
      <c r="J235" s="111">
        <v>3.5630000000000003E-5</v>
      </c>
      <c r="K235">
        <v>1.635</v>
      </c>
      <c r="L235" s="111">
        <v>4.8319999999999998E-5</v>
      </c>
      <c r="AB235" s="111"/>
      <c r="AC235" s="111"/>
    </row>
    <row r="236" spans="1:29" x14ac:dyDescent="0.55000000000000004">
      <c r="A236" t="s">
        <v>3934</v>
      </c>
      <c r="B236">
        <v>3.363</v>
      </c>
      <c r="C236">
        <v>0.79079999999999995</v>
      </c>
      <c r="D236">
        <v>0.33389999999999997</v>
      </c>
      <c r="E236">
        <v>3.3180000000000001</v>
      </c>
      <c r="F236">
        <v>3.0710000000000002</v>
      </c>
      <c r="G236">
        <v>2.4870000000000001</v>
      </c>
      <c r="H236">
        <v>1.464</v>
      </c>
      <c r="I236">
        <v>1.4510000000000001</v>
      </c>
      <c r="J236" s="111">
        <v>3.0520000000000001E-7</v>
      </c>
      <c r="K236">
        <v>1.367</v>
      </c>
      <c r="L236" s="111">
        <v>3.7249999999999998E-7</v>
      </c>
      <c r="AB236" s="111"/>
      <c r="AC236" s="111"/>
    </row>
    <row r="237" spans="1:29" x14ac:dyDescent="0.55000000000000004">
      <c r="A237" t="s">
        <v>3935</v>
      </c>
      <c r="B237">
        <v>3.4969999999999999</v>
      </c>
      <c r="C237">
        <v>0.72009999999999996</v>
      </c>
      <c r="D237">
        <v>0.30130000000000001</v>
      </c>
      <c r="E237">
        <v>3.4279999999999999</v>
      </c>
      <c r="F237">
        <v>3.137</v>
      </c>
      <c r="G237">
        <v>2.3690000000000002</v>
      </c>
      <c r="H237">
        <v>1.385</v>
      </c>
      <c r="I237">
        <v>1.377</v>
      </c>
      <c r="J237" s="111">
        <v>1.7209999999999999E-6</v>
      </c>
      <c r="K237">
        <v>2.1440000000000001</v>
      </c>
      <c r="L237" s="111">
        <v>3.895E-6</v>
      </c>
      <c r="AB237" s="111"/>
      <c r="AC237" s="111"/>
    </row>
    <row r="238" spans="1:29" x14ac:dyDescent="0.55000000000000004">
      <c r="A238" t="s">
        <v>3936</v>
      </c>
      <c r="B238">
        <v>6.6719999999999997</v>
      </c>
      <c r="C238">
        <v>1.0029999999999999</v>
      </c>
      <c r="D238">
        <v>0.39889999999999998</v>
      </c>
      <c r="E238">
        <v>6.7050000000000001</v>
      </c>
      <c r="F238">
        <v>5.9770000000000003</v>
      </c>
      <c r="G238">
        <v>6.1539999999999999</v>
      </c>
      <c r="H238">
        <v>3.68</v>
      </c>
      <c r="I238">
        <v>3.6749999999999998</v>
      </c>
      <c r="J238" s="111">
        <v>1.6470000000000001E-6</v>
      </c>
      <c r="K238">
        <v>2.7519999999999998</v>
      </c>
      <c r="L238" s="111">
        <v>3.9029999999999997E-6</v>
      </c>
      <c r="AB238" s="111"/>
      <c r="AC238" s="111"/>
    </row>
    <row r="239" spans="1:29" x14ac:dyDescent="0.55000000000000004">
      <c r="A239" t="s">
        <v>3937</v>
      </c>
      <c r="B239">
        <v>7.2279999999999998</v>
      </c>
      <c r="C239">
        <v>1.3340000000000001</v>
      </c>
      <c r="D239">
        <v>0.48049999999999998</v>
      </c>
      <c r="E239">
        <v>7.1029999999999998</v>
      </c>
      <c r="F239">
        <v>6.4749999999999996</v>
      </c>
      <c r="G239">
        <v>5.0979999999999999</v>
      </c>
      <c r="H239">
        <v>2.9329999999999998</v>
      </c>
      <c r="I239">
        <v>2.9159999999999999</v>
      </c>
      <c r="J239" s="111">
        <v>1.519E-5</v>
      </c>
      <c r="K239">
        <v>2.7589999999999999</v>
      </c>
      <c r="L239" s="111">
        <v>3.4650000000000002E-5</v>
      </c>
      <c r="M239" s="118"/>
      <c r="N239" s="118"/>
      <c r="AB239" s="111"/>
      <c r="AC239" s="111"/>
    </row>
    <row r="240" spans="1:29" x14ac:dyDescent="0.55000000000000004">
      <c r="A240" t="s">
        <v>3938</v>
      </c>
      <c r="B240">
        <v>2.5950000000000002</v>
      </c>
      <c r="C240">
        <v>0.84809999999999997</v>
      </c>
      <c r="D240">
        <v>0.34989999999999999</v>
      </c>
      <c r="E240">
        <v>2.5760000000000001</v>
      </c>
      <c r="F240">
        <v>2.4369999999999998</v>
      </c>
      <c r="G240">
        <v>2.169</v>
      </c>
      <c r="H240">
        <v>1.498</v>
      </c>
      <c r="I240">
        <v>1.504</v>
      </c>
      <c r="J240" t="s">
        <v>3871</v>
      </c>
      <c r="K240">
        <v>0.93640000000000001</v>
      </c>
      <c r="L240" s="111">
        <v>1.934E-7</v>
      </c>
      <c r="M240" s="118"/>
      <c r="N240" s="118"/>
      <c r="Z240" s="111"/>
      <c r="AB240" s="111"/>
      <c r="AC240" s="111"/>
    </row>
    <row r="241" spans="1:29" x14ac:dyDescent="0.55000000000000004">
      <c r="A241" t="s">
        <v>3939</v>
      </c>
      <c r="B241">
        <v>3.97</v>
      </c>
      <c r="C241">
        <v>0.94989999999999997</v>
      </c>
      <c r="D241">
        <v>0.3634</v>
      </c>
      <c r="E241">
        <v>3.9020000000000001</v>
      </c>
      <c r="F241">
        <v>3.532</v>
      </c>
      <c r="G241">
        <v>2.8740000000000001</v>
      </c>
      <c r="H241">
        <v>1.7490000000000001</v>
      </c>
      <c r="I241">
        <v>1.74</v>
      </c>
      <c r="J241" s="111">
        <v>3.347E-7</v>
      </c>
      <c r="K241">
        <v>1.0069999999999999</v>
      </c>
      <c r="L241" s="111">
        <v>3.3529999999999999E-7</v>
      </c>
      <c r="M241" s="118"/>
      <c r="N241" s="118"/>
      <c r="AB241" s="111"/>
      <c r="AC241" s="111"/>
    </row>
    <row r="242" spans="1:29" x14ac:dyDescent="0.55000000000000004">
      <c r="A242" t="s">
        <v>3940</v>
      </c>
      <c r="B242">
        <v>3.21</v>
      </c>
      <c r="C242">
        <v>0.90600000000000003</v>
      </c>
      <c r="D242">
        <v>0.36009999999999998</v>
      </c>
      <c r="E242">
        <v>3.1669999999999998</v>
      </c>
      <c r="F242">
        <v>2.8860000000000001</v>
      </c>
      <c r="G242">
        <v>2.4940000000000002</v>
      </c>
      <c r="H242">
        <v>1.917</v>
      </c>
      <c r="I242">
        <v>1.9590000000000001</v>
      </c>
      <c r="J242" s="111">
        <v>1.5339999999999999E-5</v>
      </c>
      <c r="K242">
        <v>2.649</v>
      </c>
      <c r="L242" s="111">
        <v>2.525E-5</v>
      </c>
      <c r="Y242" s="111"/>
      <c r="Z242" s="111"/>
      <c r="AB242" s="111"/>
      <c r="AC242" s="111"/>
    </row>
    <row r="243" spans="1:29" x14ac:dyDescent="0.55000000000000004">
      <c r="A243" t="s">
        <v>3941</v>
      </c>
      <c r="B243">
        <v>2.8610000000000002</v>
      </c>
      <c r="C243">
        <v>0.81030000000000002</v>
      </c>
      <c r="D243">
        <v>0.32569999999999999</v>
      </c>
      <c r="E243">
        <v>2.8319999999999999</v>
      </c>
      <c r="F243">
        <v>2.6869999999999998</v>
      </c>
      <c r="G243">
        <v>2.3370000000000002</v>
      </c>
      <c r="H243">
        <v>1.46</v>
      </c>
      <c r="I243">
        <v>1.454</v>
      </c>
      <c r="J243" t="s">
        <v>3871</v>
      </c>
      <c r="K243">
        <v>0.72409999999999997</v>
      </c>
      <c r="L243" s="111">
        <v>2.5320000000000001E-6</v>
      </c>
      <c r="AB243" s="111"/>
      <c r="AC243" s="111"/>
    </row>
    <row r="244" spans="1:29" x14ac:dyDescent="0.55000000000000004">
      <c r="A244" t="s">
        <v>3942</v>
      </c>
      <c r="B244">
        <v>6.968</v>
      </c>
      <c r="C244">
        <v>1.4830000000000001</v>
      </c>
      <c r="D244">
        <v>0.56479999999999997</v>
      </c>
      <c r="E244">
        <v>6.8710000000000004</v>
      </c>
      <c r="F244">
        <v>6.3719999999999999</v>
      </c>
      <c r="G244">
        <v>5.26</v>
      </c>
      <c r="H244">
        <v>3.1680000000000001</v>
      </c>
      <c r="I244">
        <v>3.1509999999999998</v>
      </c>
      <c r="J244" s="111">
        <v>4.9239999999999998E-6</v>
      </c>
      <c r="K244">
        <v>1.3660000000000001</v>
      </c>
      <c r="L244" s="111">
        <v>5.2830000000000001E-6</v>
      </c>
      <c r="M244" s="118"/>
      <c r="N244" s="118"/>
      <c r="AB244" s="111"/>
      <c r="AC244" s="111"/>
    </row>
    <row r="245" spans="1:29" x14ac:dyDescent="0.55000000000000004">
      <c r="A245" t="s">
        <v>3943</v>
      </c>
      <c r="B245">
        <v>2.21</v>
      </c>
      <c r="C245">
        <v>0.72489999999999999</v>
      </c>
      <c r="D245">
        <v>0.25840000000000002</v>
      </c>
      <c r="E245">
        <v>2.19</v>
      </c>
      <c r="F245">
        <v>2.0819999999999999</v>
      </c>
      <c r="G245">
        <v>1.905</v>
      </c>
      <c r="H245">
        <v>1.343</v>
      </c>
      <c r="I245">
        <v>1.3380000000000001</v>
      </c>
      <c r="J245" t="s">
        <v>3871</v>
      </c>
      <c r="K245">
        <v>0.3327</v>
      </c>
      <c r="L245" s="111">
        <v>9.3540000000000006E-9</v>
      </c>
      <c r="Z245" s="111"/>
      <c r="AB245" s="111"/>
      <c r="AC245" s="111"/>
    </row>
    <row r="246" spans="1:29" x14ac:dyDescent="0.55000000000000004">
      <c r="A246" t="s">
        <v>3944</v>
      </c>
      <c r="B246">
        <v>2.7349999999999999</v>
      </c>
      <c r="C246">
        <v>1.0509999999999999</v>
      </c>
      <c r="D246">
        <v>0.27229999999999999</v>
      </c>
      <c r="E246">
        <v>2.72</v>
      </c>
      <c r="F246">
        <v>2.6440000000000001</v>
      </c>
      <c r="G246">
        <v>2.39</v>
      </c>
      <c r="H246">
        <v>1.7889999999999999</v>
      </c>
      <c r="I246">
        <v>1.798</v>
      </c>
      <c r="J246" t="s">
        <v>3871</v>
      </c>
      <c r="K246" s="111">
        <v>5.8219999999999999E-3</v>
      </c>
      <c r="L246" s="111">
        <v>4.7060000000000003E-28</v>
      </c>
      <c r="AB246" s="111"/>
      <c r="AC246" s="111"/>
    </row>
    <row r="247" spans="1:29" x14ac:dyDescent="0.55000000000000004">
      <c r="A247" t="s">
        <v>3945</v>
      </c>
      <c r="B247">
        <v>2.76</v>
      </c>
      <c r="C247">
        <v>0.76490000000000002</v>
      </c>
      <c r="D247">
        <v>0.27929999999999999</v>
      </c>
      <c r="E247">
        <v>2.7330000000000001</v>
      </c>
      <c r="F247">
        <v>2.5979999999999999</v>
      </c>
      <c r="G247">
        <v>2.2370000000000001</v>
      </c>
      <c r="H247">
        <v>1.4179999999999999</v>
      </c>
      <c r="I247">
        <v>1.411</v>
      </c>
      <c r="J247" t="s">
        <v>3871</v>
      </c>
      <c r="K247">
        <v>0.33339999999999997</v>
      </c>
      <c r="L247" s="111">
        <v>2.7149999999999999E-10</v>
      </c>
      <c r="AB247" s="111"/>
      <c r="AC247" s="111"/>
    </row>
    <row r="248" spans="1:29" x14ac:dyDescent="0.55000000000000004">
      <c r="A248" t="s">
        <v>3946</v>
      </c>
      <c r="B248">
        <v>6.2949999999999999</v>
      </c>
      <c r="C248">
        <v>1.671</v>
      </c>
      <c r="D248">
        <v>0.63890000000000002</v>
      </c>
      <c r="E248">
        <v>6.1669999999999998</v>
      </c>
      <c r="F248">
        <v>5.7450000000000001</v>
      </c>
      <c r="G248">
        <v>4.8730000000000002</v>
      </c>
      <c r="H248">
        <v>3.8530000000000002</v>
      </c>
      <c r="I248">
        <v>3.8919999999999999</v>
      </c>
      <c r="J248" t="s">
        <v>3871</v>
      </c>
      <c r="K248">
        <v>0.50690000000000002</v>
      </c>
      <c r="L248" s="111">
        <v>2.0870000000000001E-8</v>
      </c>
      <c r="AB248" s="111"/>
      <c r="AC248" s="111"/>
    </row>
    <row r="249" spans="1:29" x14ac:dyDescent="0.55000000000000004">
      <c r="A249" t="s">
        <v>3947</v>
      </c>
      <c r="B249">
        <v>5.1390000000000002</v>
      </c>
      <c r="C249">
        <v>1.0089999999999999</v>
      </c>
      <c r="D249">
        <v>0.45610000000000001</v>
      </c>
      <c r="E249">
        <v>5.0679999999999996</v>
      </c>
      <c r="F249">
        <v>4.6440000000000001</v>
      </c>
      <c r="G249">
        <v>4.0759999999999996</v>
      </c>
      <c r="H249">
        <v>2.88</v>
      </c>
      <c r="I249">
        <v>2.8490000000000002</v>
      </c>
      <c r="J249" s="111">
        <v>1.973E-6</v>
      </c>
      <c r="K249">
        <v>1.3440000000000001</v>
      </c>
      <c r="L249" s="111">
        <v>2.7939999999999998E-6</v>
      </c>
      <c r="AB249" s="111"/>
      <c r="AC249" s="111"/>
    </row>
    <row r="250" spans="1:29" x14ac:dyDescent="0.55000000000000004">
      <c r="A250" t="s">
        <v>3948</v>
      </c>
      <c r="B250" s="111">
        <v>9.0429999999999996E-2</v>
      </c>
      <c r="C250" s="111">
        <v>1.7739999999999999E-2</v>
      </c>
      <c r="D250" s="111">
        <v>5.3709999999999999E-3</v>
      </c>
      <c r="E250" s="111">
        <v>8.8959999999999997E-2</v>
      </c>
      <c r="F250" s="111">
        <v>8.0619999999999997E-2</v>
      </c>
      <c r="G250" s="111">
        <v>6.2509999999999996E-2</v>
      </c>
      <c r="H250" s="111">
        <v>4.4519999999999997E-2</v>
      </c>
      <c r="I250" s="111">
        <v>4.53E-2</v>
      </c>
      <c r="J250" t="s">
        <v>3871</v>
      </c>
      <c r="K250" s="111">
        <v>3.1230000000000001E-2</v>
      </c>
      <c r="L250" s="111">
        <v>3.7369999999999999E-24</v>
      </c>
      <c r="AB250" s="111"/>
      <c r="AC250" s="111"/>
    </row>
    <row r="251" spans="1:29" x14ac:dyDescent="0.55000000000000004">
      <c r="A251" t="s">
        <v>3949</v>
      </c>
      <c r="B251">
        <v>0.39850000000000002</v>
      </c>
      <c r="C251">
        <v>0.16059999999999999</v>
      </c>
      <c r="D251" s="111">
        <v>4.6359999999999998E-2</v>
      </c>
      <c r="E251">
        <v>0.39579999999999999</v>
      </c>
      <c r="F251">
        <v>0.38</v>
      </c>
      <c r="G251">
        <v>0.37609999999999999</v>
      </c>
      <c r="H251">
        <v>0.34060000000000001</v>
      </c>
      <c r="I251">
        <v>0.34110000000000001</v>
      </c>
      <c r="J251" t="s">
        <v>3871</v>
      </c>
      <c r="K251" s="111">
        <v>6.6400000000000001E-3</v>
      </c>
      <c r="L251" s="111">
        <v>1.6080000000000001E-40</v>
      </c>
      <c r="AB251" s="111"/>
      <c r="AC251" s="111"/>
    </row>
    <row r="252" spans="1:29" x14ac:dyDescent="0.55000000000000004">
      <c r="A252" t="s">
        <v>3950</v>
      </c>
      <c r="B252">
        <v>0.2661</v>
      </c>
      <c r="C252" s="111">
        <v>4.2360000000000002E-2</v>
      </c>
      <c r="D252" s="111">
        <v>1.6760000000000001E-2</v>
      </c>
      <c r="E252">
        <v>0.26390000000000002</v>
      </c>
      <c r="F252">
        <v>0.25269999999999998</v>
      </c>
      <c r="G252">
        <v>0.18759999999999999</v>
      </c>
      <c r="H252">
        <v>0.13780000000000001</v>
      </c>
      <c r="I252">
        <v>0.11600000000000001</v>
      </c>
      <c r="J252" t="s">
        <v>3871</v>
      </c>
      <c r="K252" s="111">
        <v>6.4260000000000001E-4</v>
      </c>
      <c r="L252" s="111">
        <v>3.2069999999999999E-44</v>
      </c>
      <c r="AB252" s="111"/>
      <c r="AC252" s="111"/>
    </row>
    <row r="253" spans="1:29" x14ac:dyDescent="0.55000000000000004">
      <c r="A253" t="s">
        <v>3951</v>
      </c>
      <c r="B253">
        <v>3.5150000000000001</v>
      </c>
      <c r="C253">
        <v>1.141</v>
      </c>
      <c r="D253">
        <v>0.36809999999999998</v>
      </c>
      <c r="E253">
        <v>3.524</v>
      </c>
      <c r="F253">
        <v>3.1890000000000001</v>
      </c>
      <c r="G253">
        <v>2.5369999999999999</v>
      </c>
      <c r="H253">
        <v>1.966</v>
      </c>
      <c r="I253">
        <v>1.8440000000000001</v>
      </c>
      <c r="J253" t="s">
        <v>3871</v>
      </c>
      <c r="K253">
        <v>0.56810000000000005</v>
      </c>
      <c r="L253" s="111">
        <v>2.6509999999999999E-4</v>
      </c>
      <c r="AB253" s="111"/>
      <c r="AC253" s="111"/>
    </row>
    <row r="254" spans="1:29" x14ac:dyDescent="0.55000000000000004">
      <c r="A254" t="s">
        <v>3952</v>
      </c>
      <c r="B254">
        <v>0.40510000000000002</v>
      </c>
      <c r="C254">
        <v>0.15509999999999999</v>
      </c>
      <c r="D254" s="111">
        <v>5.0040000000000001E-2</v>
      </c>
      <c r="E254">
        <v>0.40550000000000003</v>
      </c>
      <c r="F254">
        <v>0.40589999999999998</v>
      </c>
      <c r="G254">
        <v>0.38179999999999997</v>
      </c>
      <c r="H254">
        <v>0.32519999999999999</v>
      </c>
      <c r="I254">
        <v>0.32679999999999998</v>
      </c>
      <c r="J254" t="s">
        <v>3871</v>
      </c>
      <c r="K254" s="111">
        <v>3.9329999999999999E-3</v>
      </c>
      <c r="L254" s="111">
        <v>4.27E-66</v>
      </c>
      <c r="Z254" s="111"/>
      <c r="AB254" s="111"/>
      <c r="AC254" s="111"/>
    </row>
    <row r="255" spans="1:29" x14ac:dyDescent="0.55000000000000004">
      <c r="A255" t="s">
        <v>3953</v>
      </c>
      <c r="B255">
        <v>0.81530000000000002</v>
      </c>
      <c r="C255">
        <v>0.22559999999999999</v>
      </c>
      <c r="D255" s="111">
        <v>5.3060000000000003E-2</v>
      </c>
      <c r="E255">
        <v>0.80889999999999995</v>
      </c>
      <c r="F255">
        <v>0.76890000000000003</v>
      </c>
      <c r="G255">
        <v>0.67279999999999995</v>
      </c>
      <c r="H255">
        <v>0.42599999999999999</v>
      </c>
      <c r="I255">
        <v>0.42449999999999999</v>
      </c>
      <c r="J255" t="s">
        <v>3871</v>
      </c>
      <c r="K255">
        <v>0</v>
      </c>
      <c r="L255">
        <v>0</v>
      </c>
      <c r="AB255" s="111"/>
      <c r="AC255" s="111"/>
    </row>
    <row r="256" spans="1:29" x14ac:dyDescent="0.55000000000000004">
      <c r="A256" t="s">
        <v>3954</v>
      </c>
      <c r="B256">
        <v>13.51</v>
      </c>
      <c r="C256">
        <v>4.3559999999999999</v>
      </c>
      <c r="D256">
        <v>1.8819999999999999</v>
      </c>
      <c r="E256">
        <v>13.42</v>
      </c>
      <c r="F256">
        <v>12.85</v>
      </c>
      <c r="G256">
        <v>11.29</v>
      </c>
      <c r="H256">
        <v>7.3449999999999998</v>
      </c>
      <c r="I256">
        <v>7.35</v>
      </c>
      <c r="J256" t="s">
        <v>3871</v>
      </c>
      <c r="K256">
        <v>0.93910000000000005</v>
      </c>
      <c r="L256" s="111">
        <v>2.198E-6</v>
      </c>
      <c r="AB256" s="111"/>
      <c r="AC256" s="111"/>
    </row>
    <row r="257" spans="1:29" x14ac:dyDescent="0.55000000000000004">
      <c r="A257" t="s">
        <v>3955</v>
      </c>
      <c r="B257">
        <v>24.49</v>
      </c>
      <c r="C257">
        <v>8.5229999999999997</v>
      </c>
      <c r="D257">
        <v>3.8130000000000002</v>
      </c>
      <c r="E257">
        <v>24.41</v>
      </c>
      <c r="F257">
        <v>23.69</v>
      </c>
      <c r="G257">
        <v>21.27</v>
      </c>
      <c r="H257">
        <v>14.25</v>
      </c>
      <c r="I257">
        <v>14.18</v>
      </c>
      <c r="J257" t="s">
        <v>3871</v>
      </c>
      <c r="K257">
        <v>0.74590000000000001</v>
      </c>
      <c r="L257" s="111">
        <v>2.1480000000000001E-5</v>
      </c>
      <c r="AB257" s="111"/>
      <c r="AC257" s="111"/>
    </row>
    <row r="258" spans="1:29" x14ac:dyDescent="0.55000000000000004">
      <c r="A258" t="s">
        <v>3956</v>
      </c>
      <c r="B258">
        <v>8.1270000000000007</v>
      </c>
      <c r="C258">
        <v>2.5099999999999998</v>
      </c>
      <c r="D258">
        <v>1.0149999999999999</v>
      </c>
      <c r="E258">
        <v>8.048</v>
      </c>
      <c r="F258">
        <v>7.6909999999999998</v>
      </c>
      <c r="G258">
        <v>6.6550000000000002</v>
      </c>
      <c r="H258">
        <v>4.4089999999999998</v>
      </c>
      <c r="I258">
        <v>4.516</v>
      </c>
      <c r="J258" t="s">
        <v>3871</v>
      </c>
      <c r="K258">
        <v>0.31409999999999999</v>
      </c>
      <c r="L258" s="111">
        <v>3.0990000000000002E-9</v>
      </c>
      <c r="AB258" s="111"/>
      <c r="AC258" s="111"/>
    </row>
    <row r="259" spans="1:29" x14ac:dyDescent="0.55000000000000004">
      <c r="A259" t="s">
        <v>3957</v>
      </c>
      <c r="B259">
        <v>5.0469999999999997</v>
      </c>
      <c r="C259">
        <v>1.448</v>
      </c>
      <c r="D259">
        <v>0.53390000000000004</v>
      </c>
      <c r="E259">
        <v>4.9989999999999997</v>
      </c>
      <c r="F259">
        <v>4.7510000000000003</v>
      </c>
      <c r="G259">
        <v>4.1130000000000004</v>
      </c>
      <c r="H259">
        <v>2.7410000000000001</v>
      </c>
      <c r="I259">
        <v>2.73</v>
      </c>
      <c r="J259" t="s">
        <v>3871</v>
      </c>
      <c r="K259" s="111">
        <v>1.6219999999999998E-2</v>
      </c>
      <c r="L259" s="111">
        <v>9.3920000000000006E-29</v>
      </c>
      <c r="X259" s="111"/>
      <c r="Z259" s="111"/>
      <c r="AB259" s="111"/>
      <c r="AC259" s="111"/>
    </row>
    <row r="260" spans="1:29" x14ac:dyDescent="0.55000000000000004">
      <c r="A260" t="s">
        <v>3958</v>
      </c>
      <c r="B260">
        <v>7.8170000000000002</v>
      </c>
      <c r="C260">
        <v>2.1459999999999999</v>
      </c>
      <c r="D260">
        <v>0.66559999999999997</v>
      </c>
      <c r="E260">
        <v>7.7469999999999999</v>
      </c>
      <c r="F260">
        <v>7.3970000000000002</v>
      </c>
      <c r="G260">
        <v>6.5549999999999997</v>
      </c>
      <c r="H260">
        <v>4.0709999999999997</v>
      </c>
      <c r="I260">
        <v>4.0549999999999997</v>
      </c>
      <c r="J260" t="s">
        <v>3871</v>
      </c>
      <c r="K260" s="111">
        <v>3.686E-3</v>
      </c>
      <c r="L260" s="111">
        <v>7.6329999999999995E-45</v>
      </c>
      <c r="M260" s="118"/>
      <c r="N260" s="118"/>
      <c r="AB260" s="111"/>
      <c r="AC260" s="111"/>
    </row>
    <row r="261" spans="1:29" x14ac:dyDescent="0.55000000000000004">
      <c r="A261" t="s">
        <v>3959</v>
      </c>
      <c r="B261">
        <v>7.9720000000000004</v>
      </c>
      <c r="C261">
        <v>2.4500000000000002</v>
      </c>
      <c r="D261">
        <v>1.0920000000000001</v>
      </c>
      <c r="E261">
        <v>7.9089999999999998</v>
      </c>
      <c r="F261">
        <v>7.5709999999999997</v>
      </c>
      <c r="G261">
        <v>6.6630000000000003</v>
      </c>
      <c r="H261">
        <v>4.3019999999999996</v>
      </c>
      <c r="I261">
        <v>4.2830000000000004</v>
      </c>
      <c r="J261" t="s">
        <v>3871</v>
      </c>
      <c r="K261" s="111">
        <v>3.1710000000000002E-3</v>
      </c>
      <c r="L261" s="111">
        <v>1.3820000000000001E-76</v>
      </c>
      <c r="M261" s="118"/>
      <c r="N261" s="118"/>
      <c r="Z261" s="111"/>
      <c r="AB261" s="111"/>
      <c r="AC261" s="111"/>
    </row>
    <row r="262" spans="1:29" x14ac:dyDescent="0.55000000000000004">
      <c r="A262" t="s">
        <v>3960</v>
      </c>
      <c r="B262">
        <v>2.7189999999999999</v>
      </c>
      <c r="C262">
        <v>0.66769999999999996</v>
      </c>
      <c r="D262">
        <v>0.23699999999999999</v>
      </c>
      <c r="E262">
        <v>2.6949999999999998</v>
      </c>
      <c r="F262">
        <v>2.5649999999999999</v>
      </c>
      <c r="G262">
        <v>2.1909999999999998</v>
      </c>
      <c r="H262">
        <v>1.341</v>
      </c>
      <c r="I262">
        <v>1.335</v>
      </c>
      <c r="J262" t="s">
        <v>3871</v>
      </c>
      <c r="K262">
        <v>0.59909999999999997</v>
      </c>
      <c r="L262" s="111">
        <v>5.8940000000000002E-7</v>
      </c>
      <c r="M262" s="118"/>
      <c r="N262" s="118"/>
      <c r="AB262" s="111"/>
      <c r="AC262" s="111"/>
    </row>
    <row r="263" spans="1:29" x14ac:dyDescent="0.55000000000000004">
      <c r="A263" t="s">
        <v>3961</v>
      </c>
      <c r="B263">
        <v>4.1100000000000003</v>
      </c>
      <c r="C263">
        <v>0.89539999999999997</v>
      </c>
      <c r="D263">
        <v>0.25750000000000001</v>
      </c>
      <c r="E263">
        <v>4.0549999999999997</v>
      </c>
      <c r="F263">
        <v>3.7349999999999999</v>
      </c>
      <c r="G263">
        <v>3.1150000000000002</v>
      </c>
      <c r="H263">
        <v>1.8480000000000001</v>
      </c>
      <c r="I263">
        <v>1.8380000000000001</v>
      </c>
      <c r="J263" t="s">
        <v>3871</v>
      </c>
      <c r="K263">
        <v>0.14099999999999999</v>
      </c>
      <c r="L263" s="111">
        <v>5.1439999999999997E-17</v>
      </c>
      <c r="AB263" s="111"/>
      <c r="AC263" s="111"/>
    </row>
    <row r="264" spans="1:29" x14ac:dyDescent="0.55000000000000004">
      <c r="A264" t="s">
        <v>3962</v>
      </c>
      <c r="B264">
        <v>8.3290000000000006</v>
      </c>
      <c r="C264">
        <v>1.7190000000000001</v>
      </c>
      <c r="D264">
        <v>0.4824</v>
      </c>
      <c r="E264">
        <v>8.2040000000000006</v>
      </c>
      <c r="F264">
        <v>7.5410000000000004</v>
      </c>
      <c r="G264">
        <v>6.1619999999999999</v>
      </c>
      <c r="H264">
        <v>3.6339999999999999</v>
      </c>
      <c r="I264">
        <v>3.6150000000000002</v>
      </c>
      <c r="J264" t="s">
        <v>3871</v>
      </c>
      <c r="K264">
        <v>0.1031</v>
      </c>
      <c r="L264" s="111">
        <v>2.8759999999999998E-16</v>
      </c>
      <c r="AB264" s="111"/>
      <c r="AC264" s="111"/>
    </row>
    <row r="265" spans="1:29" x14ac:dyDescent="0.55000000000000004">
      <c r="A265" t="s">
        <v>3963</v>
      </c>
      <c r="B265">
        <v>11.87</v>
      </c>
      <c r="C265">
        <v>4.827</v>
      </c>
      <c r="D265">
        <v>2.2200000000000002</v>
      </c>
      <c r="E265">
        <v>11.82</v>
      </c>
      <c r="F265">
        <v>11.68</v>
      </c>
      <c r="G265">
        <v>10.78</v>
      </c>
      <c r="H265">
        <v>7.8620000000000001</v>
      </c>
      <c r="I265">
        <v>8.0640000000000001</v>
      </c>
      <c r="J265" t="s">
        <v>3871</v>
      </c>
      <c r="K265" s="111">
        <v>5.3160000000000004E-3</v>
      </c>
      <c r="L265" s="111">
        <v>1.083E-38</v>
      </c>
      <c r="M265" s="118"/>
      <c r="N265" s="118"/>
      <c r="AB265" s="111"/>
      <c r="AC265" s="111"/>
    </row>
    <row r="266" spans="1:29" x14ac:dyDescent="0.55000000000000004">
      <c r="A266" t="s">
        <v>3964</v>
      </c>
      <c r="B266">
        <v>1.1890000000000001</v>
      </c>
      <c r="C266">
        <v>0.23250000000000001</v>
      </c>
      <c r="D266" s="111">
        <v>8.5389999999999994E-2</v>
      </c>
      <c r="E266">
        <v>1.196</v>
      </c>
      <c r="F266">
        <v>1.01</v>
      </c>
      <c r="G266">
        <v>0.75249999999999995</v>
      </c>
      <c r="H266">
        <v>0.5716</v>
      </c>
      <c r="I266">
        <v>0.46700000000000003</v>
      </c>
      <c r="J266" t="s">
        <v>3871</v>
      </c>
      <c r="K266" s="111">
        <v>1.768E-3</v>
      </c>
      <c r="L266" s="111">
        <v>2.8859999999999999E-34</v>
      </c>
      <c r="AB266" s="111"/>
      <c r="AC266" s="111"/>
    </row>
    <row r="267" spans="1:29" x14ac:dyDescent="0.55000000000000004">
      <c r="A267" t="s">
        <v>3965</v>
      </c>
      <c r="B267">
        <v>5.1280000000000001</v>
      </c>
      <c r="C267">
        <v>1.9890000000000001</v>
      </c>
      <c r="D267">
        <v>1.038</v>
      </c>
      <c r="E267">
        <v>5.101</v>
      </c>
      <c r="F267">
        <v>4.9859999999999998</v>
      </c>
      <c r="G267">
        <v>4.6189999999999998</v>
      </c>
      <c r="H267">
        <v>3.222</v>
      </c>
      <c r="I267">
        <v>3.2109999999999999</v>
      </c>
      <c r="J267" t="s">
        <v>3871</v>
      </c>
      <c r="K267" s="111">
        <v>2.938E-2</v>
      </c>
      <c r="L267" s="111">
        <v>7.1160000000000003E-19</v>
      </c>
      <c r="AB267" s="111"/>
      <c r="AC267" s="111"/>
    </row>
    <row r="268" spans="1:29" x14ac:dyDescent="0.55000000000000004">
      <c r="A268" t="s">
        <v>3966</v>
      </c>
      <c r="B268">
        <v>2.7949999999999999</v>
      </c>
      <c r="C268">
        <v>1.21</v>
      </c>
      <c r="D268">
        <v>0.3997</v>
      </c>
      <c r="E268">
        <v>2.7839999999999998</v>
      </c>
      <c r="F268">
        <v>2.7189999999999999</v>
      </c>
      <c r="G268">
        <v>2.5179999999999998</v>
      </c>
      <c r="H268">
        <v>2.0350000000000001</v>
      </c>
      <c r="I268">
        <v>2.0649999999999999</v>
      </c>
      <c r="J268" t="s">
        <v>3871</v>
      </c>
      <c r="K268">
        <v>0.14510000000000001</v>
      </c>
      <c r="L268" s="111">
        <v>4.3860000000000004E-9</v>
      </c>
      <c r="AB268" s="111"/>
      <c r="AC268" s="111"/>
    </row>
    <row r="269" spans="1:29" x14ac:dyDescent="0.55000000000000004">
      <c r="A269" t="s">
        <v>3967</v>
      </c>
      <c r="B269">
        <v>4.1390000000000002</v>
      </c>
      <c r="C269">
        <v>0.7399</v>
      </c>
      <c r="D269">
        <v>0.1731</v>
      </c>
      <c r="E269">
        <v>4.1269999999999998</v>
      </c>
      <c r="F269">
        <v>4.0049999999999999</v>
      </c>
      <c r="G269">
        <v>2.81</v>
      </c>
      <c r="H269">
        <v>1.925</v>
      </c>
      <c r="I269">
        <v>1.7789999999999999</v>
      </c>
      <c r="J269" t="s">
        <v>3871</v>
      </c>
      <c r="K269" s="111">
        <v>6.7310000000000004E-4</v>
      </c>
      <c r="L269" s="111">
        <v>2.627E-45</v>
      </c>
      <c r="AB269" s="111"/>
      <c r="AC269" s="111"/>
    </row>
    <row r="270" spans="1:29" x14ac:dyDescent="0.55000000000000004">
      <c r="A270" t="s">
        <v>4121</v>
      </c>
      <c r="B270">
        <v>19.739999999999998</v>
      </c>
      <c r="C270">
        <v>7.5529999999999999</v>
      </c>
      <c r="D270">
        <v>5.2039999999999997</v>
      </c>
      <c r="E270">
        <v>19.48</v>
      </c>
      <c r="F270">
        <v>18.329999999999998</v>
      </c>
      <c r="G270">
        <v>15.95</v>
      </c>
      <c r="H270">
        <v>11.79</v>
      </c>
      <c r="I270">
        <v>11.75</v>
      </c>
      <c r="J270" s="111">
        <v>4.3890000000000002E-5</v>
      </c>
      <c r="K270">
        <v>1.2729999999999999</v>
      </c>
      <c r="L270" s="111">
        <v>4.6199999999999998E-5</v>
      </c>
      <c r="AB270" s="111"/>
      <c r="AC270" s="111"/>
    </row>
    <row r="271" spans="1:29" x14ac:dyDescent="0.55000000000000004">
      <c r="A271" t="s">
        <v>4122</v>
      </c>
      <c r="B271">
        <v>14.77</v>
      </c>
      <c r="C271">
        <v>4.46</v>
      </c>
      <c r="D271">
        <v>2.9580000000000002</v>
      </c>
      <c r="E271">
        <v>14.52</v>
      </c>
      <c r="F271">
        <v>13.51</v>
      </c>
      <c r="G271">
        <v>11.5</v>
      </c>
      <c r="H271">
        <v>7.665</v>
      </c>
      <c r="I271">
        <v>7.6529999999999996</v>
      </c>
      <c r="J271" s="111">
        <v>3.5250000000000003E-5</v>
      </c>
      <c r="K271">
        <v>1.675</v>
      </c>
      <c r="L271" s="111">
        <v>4.4029999999999997E-5</v>
      </c>
      <c r="Z271" s="111"/>
      <c r="AB271" s="111"/>
      <c r="AC271" s="111"/>
    </row>
    <row r="272" spans="1:29" x14ac:dyDescent="0.55000000000000004">
      <c r="A272" t="s">
        <v>4123</v>
      </c>
      <c r="B272">
        <v>14.49</v>
      </c>
      <c r="C272">
        <v>4.2279999999999998</v>
      </c>
      <c r="D272">
        <v>2.6619999999999999</v>
      </c>
      <c r="E272">
        <v>14.31</v>
      </c>
      <c r="F272">
        <v>13.31</v>
      </c>
      <c r="G272">
        <v>11.36</v>
      </c>
      <c r="H272">
        <v>7.6790000000000003</v>
      </c>
      <c r="I272">
        <v>7.742</v>
      </c>
      <c r="J272" s="111">
        <v>1.5770000000000001E-6</v>
      </c>
      <c r="K272">
        <v>1.351</v>
      </c>
      <c r="L272" s="111">
        <v>2.4509999999999999E-6</v>
      </c>
      <c r="AB272" s="111"/>
      <c r="AC272" s="111"/>
    </row>
    <row r="273" spans="1:29" x14ac:dyDescent="0.55000000000000004">
      <c r="A273" t="s">
        <v>4124</v>
      </c>
      <c r="B273">
        <v>12.93</v>
      </c>
      <c r="C273">
        <v>3.2829999999999999</v>
      </c>
      <c r="D273">
        <v>2.0409999999999999</v>
      </c>
      <c r="E273">
        <v>12.73</v>
      </c>
      <c r="F273">
        <v>11.66</v>
      </c>
      <c r="G273">
        <v>9.7080000000000002</v>
      </c>
      <c r="H273">
        <v>6.375</v>
      </c>
      <c r="I273">
        <v>6.34</v>
      </c>
      <c r="J273" s="111">
        <v>2.0660000000000002E-6</v>
      </c>
      <c r="K273">
        <v>1.236</v>
      </c>
      <c r="L273" s="111">
        <v>3.7390000000000001E-6</v>
      </c>
      <c r="AB273" s="111"/>
      <c r="AC273" s="111"/>
    </row>
    <row r="274" spans="1:29" x14ac:dyDescent="0.55000000000000004">
      <c r="A274" t="s">
        <v>4125</v>
      </c>
      <c r="B274">
        <v>26.2</v>
      </c>
      <c r="C274">
        <v>6.0640000000000001</v>
      </c>
      <c r="D274">
        <v>3.669</v>
      </c>
      <c r="E274">
        <v>25.61</v>
      </c>
      <c r="F274">
        <v>23.02</v>
      </c>
      <c r="G274">
        <v>18.600000000000001</v>
      </c>
      <c r="H274">
        <v>12.29</v>
      </c>
      <c r="I274">
        <v>12.21</v>
      </c>
      <c r="J274" s="111">
        <v>6.0120000000000002E-6</v>
      </c>
      <c r="K274">
        <v>1.5089999999999999</v>
      </c>
      <c r="L274" s="111">
        <v>1.291E-5</v>
      </c>
      <c r="AB274" s="111"/>
      <c r="AC274" s="111"/>
    </row>
    <row r="275" spans="1:29" x14ac:dyDescent="0.55000000000000004">
      <c r="A275" t="s">
        <v>4126</v>
      </c>
      <c r="B275">
        <v>16.260000000000002</v>
      </c>
      <c r="C275">
        <v>6.0620000000000003</v>
      </c>
      <c r="D275">
        <v>4.1479999999999997</v>
      </c>
      <c r="E275">
        <v>16.010000000000002</v>
      </c>
      <c r="F275">
        <v>15.04</v>
      </c>
      <c r="G275">
        <v>12.58</v>
      </c>
      <c r="H275">
        <v>9.36</v>
      </c>
      <c r="I275">
        <v>9.3460000000000001</v>
      </c>
      <c r="J275" t="s">
        <v>3871</v>
      </c>
      <c r="K275">
        <v>0.754</v>
      </c>
      <c r="L275" s="111">
        <v>1.2899999999999999E-6</v>
      </c>
      <c r="AB275" s="111"/>
      <c r="AC275" s="111"/>
    </row>
    <row r="276" spans="1:29" x14ac:dyDescent="0.55000000000000004">
      <c r="A276" t="s">
        <v>4127</v>
      </c>
      <c r="B276">
        <v>23.28</v>
      </c>
      <c r="C276">
        <v>6.4820000000000002</v>
      </c>
      <c r="D276">
        <v>3.9359999999999999</v>
      </c>
      <c r="E276">
        <v>22.91</v>
      </c>
      <c r="F276">
        <v>21.24</v>
      </c>
      <c r="G276">
        <v>17.690000000000001</v>
      </c>
      <c r="H276">
        <v>11.71</v>
      </c>
      <c r="I276">
        <v>11.65</v>
      </c>
      <c r="J276" s="111">
        <v>6.0440000000000001E-6</v>
      </c>
      <c r="K276">
        <v>1.371</v>
      </c>
      <c r="L276" s="111">
        <v>8.8349999999999993E-6</v>
      </c>
      <c r="Z276" s="111"/>
      <c r="AB276" s="111"/>
      <c r="AC276" s="111"/>
    </row>
    <row r="277" spans="1:29" x14ac:dyDescent="0.55000000000000004">
      <c r="A277" t="s">
        <v>4128</v>
      </c>
      <c r="B277">
        <v>23.02</v>
      </c>
      <c r="C277">
        <v>6.4429999999999996</v>
      </c>
      <c r="D277">
        <v>3.8159999999999998</v>
      </c>
      <c r="E277">
        <v>22.66</v>
      </c>
      <c r="F277">
        <v>21.23</v>
      </c>
      <c r="G277">
        <v>17.940000000000001</v>
      </c>
      <c r="H277">
        <v>12.04</v>
      </c>
      <c r="I277">
        <v>11.97</v>
      </c>
      <c r="J277" s="111">
        <v>3.1470000000000002E-5</v>
      </c>
      <c r="K277">
        <v>1.524</v>
      </c>
      <c r="L277" s="111">
        <v>4.8010000000000003E-5</v>
      </c>
      <c r="Z277" s="111"/>
      <c r="AB277" s="111"/>
      <c r="AC277" s="111"/>
    </row>
    <row r="278" spans="1:29" x14ac:dyDescent="0.55000000000000004">
      <c r="A278" t="s">
        <v>4129</v>
      </c>
      <c r="B278">
        <v>19.649999999999999</v>
      </c>
      <c r="C278">
        <v>7.2990000000000004</v>
      </c>
      <c r="D278">
        <v>5.0199999999999996</v>
      </c>
      <c r="E278">
        <v>19.39</v>
      </c>
      <c r="F278">
        <v>18.11</v>
      </c>
      <c r="G278">
        <v>15.33</v>
      </c>
      <c r="H278">
        <v>11.05</v>
      </c>
      <c r="I278">
        <v>11.01</v>
      </c>
      <c r="J278" t="s">
        <v>3871</v>
      </c>
      <c r="K278">
        <v>0.42299999999999999</v>
      </c>
      <c r="L278" s="111">
        <v>3.8239999999999997E-8</v>
      </c>
      <c r="Y278" s="111"/>
      <c r="Z278" s="111"/>
      <c r="AB278" s="111"/>
      <c r="AC278" s="111"/>
    </row>
    <row r="279" spans="1:29" x14ac:dyDescent="0.55000000000000004">
      <c r="A279" t="s">
        <v>4130</v>
      </c>
      <c r="B279">
        <v>20.72</v>
      </c>
      <c r="C279">
        <v>5.3920000000000003</v>
      </c>
      <c r="D279">
        <v>3.4180000000000001</v>
      </c>
      <c r="E279">
        <v>20.34</v>
      </c>
      <c r="F279">
        <v>18.27</v>
      </c>
      <c r="G279">
        <v>15.04</v>
      </c>
      <c r="H279">
        <v>9.9480000000000004</v>
      </c>
      <c r="I279">
        <v>9.8940000000000001</v>
      </c>
      <c r="J279" s="111">
        <v>1.207E-6</v>
      </c>
      <c r="K279">
        <v>1.403</v>
      </c>
      <c r="L279" s="111">
        <v>1.486E-6</v>
      </c>
      <c r="Y279" s="111"/>
      <c r="AB279" s="111"/>
      <c r="AC279" s="111"/>
    </row>
    <row r="280" spans="1:29" x14ac:dyDescent="0.55000000000000004">
      <c r="A280" t="s">
        <v>4131</v>
      </c>
      <c r="B280">
        <v>18.600000000000001</v>
      </c>
      <c r="C280">
        <v>6.9729999999999999</v>
      </c>
      <c r="D280">
        <v>4.7439999999999998</v>
      </c>
      <c r="E280">
        <v>18.3</v>
      </c>
      <c r="F280">
        <v>17.2</v>
      </c>
      <c r="G280">
        <v>14.5</v>
      </c>
      <c r="H280">
        <v>10.66</v>
      </c>
      <c r="I280">
        <v>10.62</v>
      </c>
      <c r="J280" t="s">
        <v>3871</v>
      </c>
      <c r="K280" s="111">
        <v>6.0249999999999998E-2</v>
      </c>
      <c r="L280" s="111">
        <v>7.3410000000000001E-19</v>
      </c>
      <c r="AB280" s="111"/>
      <c r="AC280" s="111"/>
    </row>
    <row r="281" spans="1:29" x14ac:dyDescent="0.55000000000000004">
      <c r="A281" t="s">
        <v>4132</v>
      </c>
      <c r="B281">
        <v>9.5470000000000006</v>
      </c>
      <c r="C281">
        <v>4.1070000000000002</v>
      </c>
      <c r="D281">
        <v>2.9020000000000001</v>
      </c>
      <c r="E281">
        <v>9.3789999999999996</v>
      </c>
      <c r="F281">
        <v>8.5790000000000006</v>
      </c>
      <c r="G281">
        <v>7.3869999999999996</v>
      </c>
      <c r="H281">
        <v>5.7080000000000002</v>
      </c>
      <c r="I281">
        <v>5.7</v>
      </c>
      <c r="J281" t="s">
        <v>3871</v>
      </c>
      <c r="K281" s="111">
        <v>6.5820000000000002E-3</v>
      </c>
      <c r="L281" s="111">
        <v>8.5220000000000002E-73</v>
      </c>
      <c r="M281" s="118"/>
      <c r="N281" s="118"/>
      <c r="AB281" s="111"/>
      <c r="AC281" s="111"/>
    </row>
    <row r="282" spans="1:29" x14ac:dyDescent="0.55000000000000004">
      <c r="A282" t="s">
        <v>4133</v>
      </c>
      <c r="B282">
        <v>11.41</v>
      </c>
      <c r="C282">
        <v>3.86</v>
      </c>
      <c r="D282">
        <v>2.4980000000000002</v>
      </c>
      <c r="E282">
        <v>11.24</v>
      </c>
      <c r="F282">
        <v>10.37</v>
      </c>
      <c r="G282">
        <v>9.2919999999999998</v>
      </c>
      <c r="H282">
        <v>6.3789999999999996</v>
      </c>
      <c r="I282">
        <v>6.3449999999999998</v>
      </c>
      <c r="J282" t="s">
        <v>3871</v>
      </c>
      <c r="K282" s="111">
        <v>1.746E-2</v>
      </c>
      <c r="L282" s="111">
        <v>9.7189999999999999E-30</v>
      </c>
      <c r="M282" s="118"/>
      <c r="N282" s="118"/>
      <c r="AB282" s="111"/>
      <c r="AC282" s="111"/>
    </row>
    <row r="283" spans="1:29" x14ac:dyDescent="0.55000000000000004">
      <c r="A283" t="s">
        <v>4134</v>
      </c>
      <c r="B283">
        <v>30.05</v>
      </c>
      <c r="C283">
        <v>7.2270000000000003</v>
      </c>
      <c r="D283">
        <v>4.3220000000000001</v>
      </c>
      <c r="E283">
        <v>29.62</v>
      </c>
      <c r="F283">
        <v>26.9</v>
      </c>
      <c r="G283">
        <v>21.25</v>
      </c>
      <c r="H283">
        <v>13.84</v>
      </c>
      <c r="I283">
        <v>13.76</v>
      </c>
      <c r="J283" t="s">
        <v>3871</v>
      </c>
      <c r="K283">
        <v>0.158</v>
      </c>
      <c r="L283" s="111">
        <v>1.9010000000000001E-11</v>
      </c>
      <c r="M283" s="118"/>
      <c r="N283" s="118"/>
      <c r="AB283" s="111"/>
      <c r="AC283" s="111"/>
    </row>
    <row r="284" spans="1:29" x14ac:dyDescent="0.55000000000000004">
      <c r="A284" t="s">
        <v>4135</v>
      </c>
      <c r="B284">
        <v>18.55</v>
      </c>
      <c r="C284">
        <v>3.786</v>
      </c>
      <c r="D284">
        <v>2.1459999999999999</v>
      </c>
      <c r="E284">
        <v>18.18</v>
      </c>
      <c r="F284">
        <v>15.84</v>
      </c>
      <c r="G284">
        <v>12.72</v>
      </c>
      <c r="H284">
        <v>7.9560000000000004</v>
      </c>
      <c r="I284">
        <v>7.8940000000000001</v>
      </c>
      <c r="J284" s="111">
        <v>8.1969999999999996E-7</v>
      </c>
      <c r="K284">
        <v>1.079</v>
      </c>
      <c r="L284" s="111">
        <v>8.921E-7</v>
      </c>
      <c r="AB284" s="111"/>
      <c r="AC284" s="111"/>
    </row>
    <row r="285" spans="1:29" x14ac:dyDescent="0.55000000000000004">
      <c r="A285" t="s">
        <v>4136</v>
      </c>
      <c r="B285">
        <v>7.5460000000000003</v>
      </c>
      <c r="C285">
        <v>1.8720000000000001</v>
      </c>
      <c r="D285">
        <v>1.385</v>
      </c>
      <c r="E285">
        <v>7.4219999999999997</v>
      </c>
      <c r="F285">
        <v>6.7060000000000004</v>
      </c>
      <c r="G285">
        <v>5.3490000000000002</v>
      </c>
      <c r="H285">
        <v>3.5590000000000002</v>
      </c>
      <c r="I285">
        <v>3.577</v>
      </c>
      <c r="J285" t="s">
        <v>3871</v>
      </c>
      <c r="K285" s="111">
        <v>6.9550000000000005E-4</v>
      </c>
      <c r="L285">
        <v>0</v>
      </c>
      <c r="AB285" s="111"/>
      <c r="AC285" s="111"/>
    </row>
    <row r="286" spans="1:29" x14ac:dyDescent="0.55000000000000004">
      <c r="A286" t="s">
        <v>4137</v>
      </c>
      <c r="B286">
        <v>8.4239999999999995</v>
      </c>
      <c r="C286">
        <v>4.0510000000000002</v>
      </c>
      <c r="D286">
        <v>2.9790000000000001</v>
      </c>
      <c r="E286">
        <v>8.32</v>
      </c>
      <c r="F286">
        <v>7.8490000000000002</v>
      </c>
      <c r="G286">
        <v>6.9480000000000004</v>
      </c>
      <c r="H286">
        <v>5.3710000000000004</v>
      </c>
      <c r="I286">
        <v>5.3630000000000004</v>
      </c>
      <c r="J286" t="s">
        <v>3871</v>
      </c>
      <c r="K286" s="111">
        <v>4.6309999999999997E-3</v>
      </c>
      <c r="L286">
        <v>0</v>
      </c>
      <c r="M286" s="118"/>
      <c r="N286" s="118"/>
      <c r="AB286" s="111"/>
      <c r="AC286" s="111"/>
    </row>
    <row r="287" spans="1:29" x14ac:dyDescent="0.55000000000000004">
      <c r="A287" t="s">
        <v>4138</v>
      </c>
      <c r="B287">
        <v>6.8220000000000001</v>
      </c>
      <c r="C287">
        <v>2.0339999999999998</v>
      </c>
      <c r="D287">
        <v>1.2769999999999999</v>
      </c>
      <c r="E287">
        <v>6.6319999999999997</v>
      </c>
      <c r="F287">
        <v>5.9710000000000001</v>
      </c>
      <c r="G287">
        <v>5.093</v>
      </c>
      <c r="H287">
        <v>4.6059999999999999</v>
      </c>
      <c r="I287">
        <v>4.5199999999999996</v>
      </c>
      <c r="J287" t="s">
        <v>3871</v>
      </c>
      <c r="K287" s="111">
        <v>4.0580000000000001E-5</v>
      </c>
      <c r="L287">
        <v>0</v>
      </c>
      <c r="AB287" s="111"/>
      <c r="AC287" s="111"/>
    </row>
    <row r="288" spans="1:29" x14ac:dyDescent="0.55000000000000004">
      <c r="A288" t="s">
        <v>4139</v>
      </c>
      <c r="B288">
        <v>6.0679999999999996</v>
      </c>
      <c r="C288">
        <v>2.3290000000000002</v>
      </c>
      <c r="D288">
        <v>1.9319999999999999</v>
      </c>
      <c r="E288">
        <v>5.9989999999999997</v>
      </c>
      <c r="F288">
        <v>5.6310000000000002</v>
      </c>
      <c r="G288">
        <v>4.8310000000000004</v>
      </c>
      <c r="H288">
        <v>3.6829999999999998</v>
      </c>
      <c r="I288">
        <v>3.6659999999999999</v>
      </c>
      <c r="J288" t="s">
        <v>3871</v>
      </c>
      <c r="K288" s="111">
        <v>1.134E-3</v>
      </c>
      <c r="L288">
        <v>0</v>
      </c>
      <c r="AB288" s="111"/>
      <c r="AC288" s="111"/>
    </row>
    <row r="289" spans="1:29" x14ac:dyDescent="0.55000000000000004">
      <c r="A289" t="s">
        <v>4140</v>
      </c>
      <c r="B289">
        <v>10.87</v>
      </c>
      <c r="C289">
        <v>5.8570000000000002</v>
      </c>
      <c r="D289">
        <v>3.8450000000000002</v>
      </c>
      <c r="E289">
        <v>10.81</v>
      </c>
      <c r="F289">
        <v>10.62</v>
      </c>
      <c r="G289">
        <v>9.8879999999999999</v>
      </c>
      <c r="H289">
        <v>7.9189999999999996</v>
      </c>
      <c r="I289">
        <v>7.9809999999999999</v>
      </c>
      <c r="J289" t="s">
        <v>3871</v>
      </c>
      <c r="K289">
        <v>0.3518</v>
      </c>
      <c r="L289" s="111">
        <v>2.0500000000000002E-8</v>
      </c>
      <c r="AB289" s="111"/>
      <c r="AC289" s="111"/>
    </row>
    <row r="290" spans="1:29" x14ac:dyDescent="0.55000000000000004">
      <c r="A290" t="s">
        <v>4141</v>
      </c>
      <c r="B290">
        <v>7.0529999999999999</v>
      </c>
      <c r="C290">
        <v>2.7429999999999999</v>
      </c>
      <c r="D290">
        <v>2.2610000000000001</v>
      </c>
      <c r="E290">
        <v>6.9779999999999998</v>
      </c>
      <c r="F290">
        <v>6.5780000000000003</v>
      </c>
      <c r="G290">
        <v>5.7370000000000001</v>
      </c>
      <c r="H290">
        <v>4.2930000000000001</v>
      </c>
      <c r="I290">
        <v>4.3380000000000001</v>
      </c>
      <c r="J290" t="s">
        <v>3871</v>
      </c>
      <c r="K290">
        <v>0.4753</v>
      </c>
      <c r="L290" s="111">
        <v>2.9419999999999997E-7</v>
      </c>
      <c r="AB290" s="111"/>
      <c r="AC290" s="111"/>
    </row>
    <row r="291" spans="1:29" x14ac:dyDescent="0.55000000000000004">
      <c r="A291" t="s">
        <v>4142</v>
      </c>
      <c r="B291">
        <v>17.16</v>
      </c>
      <c r="C291">
        <v>6.3739999999999997</v>
      </c>
      <c r="D291">
        <v>4.0549999999999997</v>
      </c>
      <c r="E291">
        <v>16.899999999999999</v>
      </c>
      <c r="F291">
        <v>15.94</v>
      </c>
      <c r="G291">
        <v>13.8</v>
      </c>
      <c r="H291">
        <v>10.02</v>
      </c>
      <c r="I291">
        <v>10.06</v>
      </c>
      <c r="J291" s="111">
        <v>4.401E-5</v>
      </c>
      <c r="K291">
        <v>1.2729999999999999</v>
      </c>
      <c r="L291" s="111">
        <v>4.6319999999999997E-5</v>
      </c>
      <c r="Z291" s="111"/>
      <c r="AB291" s="111"/>
      <c r="AC291" s="111"/>
    </row>
    <row r="292" spans="1:29" x14ac:dyDescent="0.55000000000000004">
      <c r="A292" t="s">
        <v>4143</v>
      </c>
      <c r="B292">
        <v>12.49</v>
      </c>
      <c r="C292">
        <v>3.5659999999999998</v>
      </c>
      <c r="D292">
        <v>2.0990000000000002</v>
      </c>
      <c r="E292">
        <v>12.27</v>
      </c>
      <c r="F292">
        <v>11.37</v>
      </c>
      <c r="G292">
        <v>9.6</v>
      </c>
      <c r="H292">
        <v>6.2679999999999998</v>
      </c>
      <c r="I292">
        <v>6.2409999999999997</v>
      </c>
      <c r="J292" s="111">
        <v>3.5339999999999997E-5</v>
      </c>
      <c r="K292">
        <v>1.675</v>
      </c>
      <c r="L292" s="111">
        <v>4.4140000000000001E-5</v>
      </c>
      <c r="Z292" s="111"/>
      <c r="AB292" s="111"/>
      <c r="AC292" s="111"/>
    </row>
    <row r="293" spans="1:29" x14ac:dyDescent="0.55000000000000004">
      <c r="A293" t="s">
        <v>4144</v>
      </c>
      <c r="B293">
        <v>12.31</v>
      </c>
      <c r="C293">
        <v>3.472</v>
      </c>
      <c r="D293">
        <v>1.8560000000000001</v>
      </c>
      <c r="E293">
        <v>12.19</v>
      </c>
      <c r="F293">
        <v>11.4</v>
      </c>
      <c r="G293">
        <v>9.516</v>
      </c>
      <c r="H293">
        <v>6.3769999999999998</v>
      </c>
      <c r="I293">
        <v>6.3710000000000004</v>
      </c>
      <c r="J293" s="111">
        <v>1.581E-6</v>
      </c>
      <c r="K293">
        <v>1.351</v>
      </c>
      <c r="L293" s="111">
        <v>2.4569999999999999E-6</v>
      </c>
      <c r="AB293" s="111"/>
      <c r="AC293" s="111"/>
    </row>
    <row r="294" spans="1:29" x14ac:dyDescent="0.55000000000000004">
      <c r="A294" t="s">
        <v>4145</v>
      </c>
      <c r="B294">
        <v>10.72</v>
      </c>
      <c r="C294">
        <v>2.6219999999999999</v>
      </c>
      <c r="D294">
        <v>1.3879999999999999</v>
      </c>
      <c r="E294">
        <v>10.55</v>
      </c>
      <c r="F294">
        <v>9.6549999999999994</v>
      </c>
      <c r="G294">
        <v>7.9349999999999996</v>
      </c>
      <c r="H294">
        <v>5.1589999999999998</v>
      </c>
      <c r="I294">
        <v>5.1310000000000002</v>
      </c>
      <c r="J294" s="111">
        <v>2.0710000000000002E-6</v>
      </c>
      <c r="K294">
        <v>1.236</v>
      </c>
      <c r="L294" s="111">
        <v>3.7479999999999999E-6</v>
      </c>
      <c r="Y294" s="111"/>
      <c r="Z294" s="111"/>
      <c r="AB294" s="111"/>
      <c r="AC294" s="111"/>
    </row>
    <row r="295" spans="1:29" x14ac:dyDescent="0.55000000000000004">
      <c r="A295" t="s">
        <v>4146</v>
      </c>
      <c r="B295">
        <v>23.98</v>
      </c>
      <c r="C295">
        <v>5.4969999999999999</v>
      </c>
      <c r="D295">
        <v>3.056</v>
      </c>
      <c r="E295">
        <v>23.49</v>
      </c>
      <c r="F295">
        <v>21.05</v>
      </c>
      <c r="G295">
        <v>17.079999999999998</v>
      </c>
      <c r="H295">
        <v>11.09</v>
      </c>
      <c r="I295">
        <v>11.02</v>
      </c>
      <c r="J295" s="111">
        <v>6.0279999999999997E-6</v>
      </c>
      <c r="K295">
        <v>1.5089999999999999</v>
      </c>
      <c r="L295" s="111">
        <v>1.294E-5</v>
      </c>
      <c r="AB295" s="111"/>
      <c r="AC295" s="111"/>
    </row>
    <row r="296" spans="1:29" x14ac:dyDescent="0.55000000000000004">
      <c r="A296" t="s">
        <v>4147</v>
      </c>
      <c r="B296">
        <v>14.16</v>
      </c>
      <c r="C296">
        <v>5.0570000000000004</v>
      </c>
      <c r="D296">
        <v>3.1629999999999998</v>
      </c>
      <c r="E296">
        <v>13.94</v>
      </c>
      <c r="F296">
        <v>12.99</v>
      </c>
      <c r="G296">
        <v>10.72</v>
      </c>
      <c r="H296">
        <v>7.9669999999999996</v>
      </c>
      <c r="I296">
        <v>8.0210000000000008</v>
      </c>
      <c r="J296" t="s">
        <v>3871</v>
      </c>
      <c r="K296">
        <v>0.754</v>
      </c>
      <c r="L296" s="111">
        <v>1.2929999999999999E-6</v>
      </c>
      <c r="AB296" s="111"/>
      <c r="AC296" s="111"/>
    </row>
    <row r="297" spans="1:29" x14ac:dyDescent="0.55000000000000004">
      <c r="A297" t="s">
        <v>4148</v>
      </c>
      <c r="B297">
        <v>21.03</v>
      </c>
      <c r="C297">
        <v>5.7359999999999998</v>
      </c>
      <c r="D297">
        <v>3.1659999999999999</v>
      </c>
      <c r="E297">
        <v>20.73</v>
      </c>
      <c r="F297">
        <v>19.22</v>
      </c>
      <c r="G297">
        <v>15.97</v>
      </c>
      <c r="H297">
        <v>10.47</v>
      </c>
      <c r="I297">
        <v>10.41</v>
      </c>
      <c r="J297" s="111">
        <v>6.0599999999999996E-6</v>
      </c>
      <c r="K297">
        <v>1.371</v>
      </c>
      <c r="L297" s="111">
        <v>8.8580000000000006E-6</v>
      </c>
      <c r="AB297" s="111"/>
      <c r="AC297" s="111"/>
    </row>
    <row r="298" spans="1:29" x14ac:dyDescent="0.55000000000000004">
      <c r="A298" t="s">
        <v>4149</v>
      </c>
      <c r="B298">
        <v>20.86</v>
      </c>
      <c r="C298">
        <v>5.6959999999999997</v>
      </c>
      <c r="D298">
        <v>3.069</v>
      </c>
      <c r="E298">
        <v>20.64</v>
      </c>
      <c r="F298">
        <v>19.260000000000002</v>
      </c>
      <c r="G298">
        <v>16.13</v>
      </c>
      <c r="H298">
        <v>10.75</v>
      </c>
      <c r="I298">
        <v>10.7</v>
      </c>
      <c r="J298" s="111">
        <v>3.1550000000000001E-5</v>
      </c>
      <c r="K298">
        <v>1.524</v>
      </c>
      <c r="L298" s="111">
        <v>4.8130000000000002E-5</v>
      </c>
      <c r="Y298" s="111"/>
      <c r="Z298" s="111"/>
      <c r="AB298" s="111"/>
      <c r="AC298" s="111"/>
    </row>
    <row r="299" spans="1:29" x14ac:dyDescent="0.55000000000000004">
      <c r="A299" t="s">
        <v>4150</v>
      </c>
      <c r="B299">
        <v>17.28</v>
      </c>
      <c r="C299">
        <v>6.1879999999999997</v>
      </c>
      <c r="D299">
        <v>3.9049999999999998</v>
      </c>
      <c r="E299">
        <v>17.03</v>
      </c>
      <c r="F299">
        <v>15.94</v>
      </c>
      <c r="G299">
        <v>13.39</v>
      </c>
      <c r="H299">
        <v>9.4499999999999993</v>
      </c>
      <c r="I299">
        <v>9.4329999999999998</v>
      </c>
      <c r="J299" t="s">
        <v>3871</v>
      </c>
      <c r="K299">
        <v>0.42299999999999999</v>
      </c>
      <c r="L299" s="111">
        <v>3.8339999999999998E-8</v>
      </c>
      <c r="AB299" s="111"/>
      <c r="AC299" s="111"/>
    </row>
    <row r="300" spans="1:29" x14ac:dyDescent="0.55000000000000004">
      <c r="A300" t="s">
        <v>4151</v>
      </c>
      <c r="B300">
        <v>18.579999999999998</v>
      </c>
      <c r="C300">
        <v>4.68</v>
      </c>
      <c r="D300">
        <v>2.71</v>
      </c>
      <c r="E300">
        <v>18.260000000000002</v>
      </c>
      <c r="F300">
        <v>16.329999999999998</v>
      </c>
      <c r="G300">
        <v>13.41</v>
      </c>
      <c r="H300">
        <v>8.74</v>
      </c>
      <c r="I300">
        <v>8.6950000000000003</v>
      </c>
      <c r="J300" s="111">
        <v>1.2109999999999999E-6</v>
      </c>
      <c r="K300">
        <v>1.403</v>
      </c>
      <c r="L300" s="111">
        <v>1.4899999999999999E-6</v>
      </c>
      <c r="AB300" s="111"/>
      <c r="AC300" s="111"/>
    </row>
    <row r="301" spans="1:29" x14ac:dyDescent="0.55000000000000004">
      <c r="A301" t="s">
        <v>4152</v>
      </c>
      <c r="B301">
        <v>16.03</v>
      </c>
      <c r="C301">
        <v>5.8440000000000003</v>
      </c>
      <c r="D301">
        <v>3.6429999999999998</v>
      </c>
      <c r="E301">
        <v>15.78</v>
      </c>
      <c r="F301">
        <v>14.69</v>
      </c>
      <c r="G301">
        <v>12.37</v>
      </c>
      <c r="H301">
        <v>9.1300000000000008</v>
      </c>
      <c r="I301">
        <v>9.1</v>
      </c>
      <c r="J301" t="s">
        <v>3871</v>
      </c>
      <c r="K301" s="111">
        <v>6.0249999999999998E-2</v>
      </c>
      <c r="L301" s="111">
        <v>7.3609999999999998E-19</v>
      </c>
      <c r="AB301" s="111"/>
      <c r="AC301" s="111"/>
    </row>
    <row r="302" spans="1:29" x14ac:dyDescent="0.55000000000000004">
      <c r="A302" t="s">
        <v>4153</v>
      </c>
      <c r="B302">
        <v>6.8890000000000002</v>
      </c>
      <c r="C302">
        <v>2.9420000000000002</v>
      </c>
      <c r="D302">
        <v>1.738</v>
      </c>
      <c r="E302">
        <v>6.8040000000000003</v>
      </c>
      <c r="F302">
        <v>6.4560000000000004</v>
      </c>
      <c r="G302">
        <v>5.7619999999999996</v>
      </c>
      <c r="H302">
        <v>4.3289999999999997</v>
      </c>
      <c r="I302">
        <v>4.343</v>
      </c>
      <c r="J302" t="s">
        <v>3871</v>
      </c>
      <c r="K302" s="111">
        <v>6.5820000000000002E-3</v>
      </c>
      <c r="L302" s="111">
        <v>8.5439999999999996E-73</v>
      </c>
      <c r="M302" s="118"/>
      <c r="N302" s="118"/>
      <c r="AB302" s="111"/>
      <c r="AC302" s="111"/>
    </row>
    <row r="303" spans="1:29" x14ac:dyDescent="0.55000000000000004">
      <c r="A303" t="s">
        <v>4154</v>
      </c>
      <c r="B303">
        <v>9.2089999999999996</v>
      </c>
      <c r="C303">
        <v>2.9009999999999998</v>
      </c>
      <c r="D303">
        <v>1.5860000000000001</v>
      </c>
      <c r="E303">
        <v>9.0969999999999995</v>
      </c>
      <c r="F303">
        <v>8.3800000000000008</v>
      </c>
      <c r="G303">
        <v>7.2629999999999999</v>
      </c>
      <c r="H303">
        <v>4.9130000000000003</v>
      </c>
      <c r="I303">
        <v>4.9210000000000003</v>
      </c>
      <c r="J303" t="s">
        <v>3871</v>
      </c>
      <c r="K303" s="111">
        <v>1.746E-2</v>
      </c>
      <c r="L303" s="111">
        <v>9.7450000000000007E-30</v>
      </c>
      <c r="M303" s="118"/>
      <c r="N303" s="118"/>
      <c r="AB303" s="111"/>
      <c r="AC303" s="111"/>
    </row>
    <row r="304" spans="1:29" x14ac:dyDescent="0.55000000000000004">
      <c r="A304" t="s">
        <v>4155</v>
      </c>
      <c r="B304">
        <v>27.95</v>
      </c>
      <c r="C304">
        <v>6.6159999999999997</v>
      </c>
      <c r="D304">
        <v>3.71</v>
      </c>
      <c r="E304">
        <v>27.49</v>
      </c>
      <c r="F304">
        <v>24.89</v>
      </c>
      <c r="G304">
        <v>19.7</v>
      </c>
      <c r="H304">
        <v>12.69</v>
      </c>
      <c r="I304">
        <v>12.66</v>
      </c>
      <c r="J304" t="s">
        <v>3871</v>
      </c>
      <c r="K304">
        <v>0.158</v>
      </c>
      <c r="L304" s="111">
        <v>1.906E-11</v>
      </c>
      <c r="M304" s="118"/>
      <c r="N304" s="118"/>
      <c r="AB304" s="111"/>
      <c r="AC304" s="111"/>
    </row>
    <row r="305" spans="1:29" x14ac:dyDescent="0.55000000000000004">
      <c r="A305" t="s">
        <v>4156</v>
      </c>
      <c r="B305">
        <v>16.559999999999999</v>
      </c>
      <c r="C305">
        <v>3.2719999999999998</v>
      </c>
      <c r="D305">
        <v>1.6479999999999999</v>
      </c>
      <c r="E305">
        <v>16.23</v>
      </c>
      <c r="F305">
        <v>14.26</v>
      </c>
      <c r="G305">
        <v>11.23</v>
      </c>
      <c r="H305">
        <v>6.9050000000000002</v>
      </c>
      <c r="I305">
        <v>6.8540000000000001</v>
      </c>
      <c r="J305" s="111">
        <v>8.2180000000000001E-7</v>
      </c>
      <c r="K305">
        <v>1.079</v>
      </c>
      <c r="L305" s="111">
        <v>8.9449999999999997E-7</v>
      </c>
      <c r="AB305" s="111"/>
      <c r="AC305" s="111"/>
    </row>
    <row r="306" spans="1:29" x14ac:dyDescent="0.55000000000000004">
      <c r="A306" t="s">
        <v>4157</v>
      </c>
      <c r="B306">
        <v>5.0949999999999998</v>
      </c>
      <c r="C306">
        <v>1.2470000000000001</v>
      </c>
      <c r="D306">
        <v>0.75929999999999997</v>
      </c>
      <c r="E306">
        <v>5.0049999999999999</v>
      </c>
      <c r="F306">
        <v>4.5590000000000002</v>
      </c>
      <c r="G306">
        <v>3.6760000000000002</v>
      </c>
      <c r="H306">
        <v>2.411</v>
      </c>
      <c r="I306">
        <v>2.476</v>
      </c>
      <c r="J306" t="s">
        <v>3871</v>
      </c>
      <c r="K306" s="111">
        <v>6.9550000000000005E-4</v>
      </c>
      <c r="L306">
        <v>0</v>
      </c>
      <c r="AB306" s="111"/>
      <c r="AC306" s="111"/>
    </row>
    <row r="307" spans="1:29" x14ac:dyDescent="0.55000000000000004">
      <c r="A307" t="s">
        <v>4158</v>
      </c>
      <c r="B307">
        <v>6.4720000000000004</v>
      </c>
      <c r="C307">
        <v>2.7829999999999999</v>
      </c>
      <c r="D307">
        <v>1.714</v>
      </c>
      <c r="E307">
        <v>6.375</v>
      </c>
      <c r="F307">
        <v>6.0270000000000001</v>
      </c>
      <c r="G307">
        <v>5.2640000000000002</v>
      </c>
      <c r="H307">
        <v>4.1609999999999996</v>
      </c>
      <c r="I307">
        <v>4.1609999999999996</v>
      </c>
      <c r="J307" t="s">
        <v>3871</v>
      </c>
      <c r="K307" s="111">
        <v>4.6309999999999997E-3</v>
      </c>
      <c r="L307">
        <v>0</v>
      </c>
      <c r="M307" s="118"/>
      <c r="N307" s="118"/>
      <c r="AB307" s="111"/>
      <c r="AC307" s="111"/>
    </row>
    <row r="308" spans="1:29" x14ac:dyDescent="0.55000000000000004">
      <c r="A308" t="s">
        <v>4159</v>
      </c>
      <c r="B308">
        <v>6.2910000000000004</v>
      </c>
      <c r="C308">
        <v>1.528</v>
      </c>
      <c r="D308">
        <v>0.73729999999999996</v>
      </c>
      <c r="E308">
        <v>6.1120000000000001</v>
      </c>
      <c r="F308">
        <v>5.7539999999999996</v>
      </c>
      <c r="G308">
        <v>4.7770000000000001</v>
      </c>
      <c r="H308">
        <v>3.9620000000000002</v>
      </c>
      <c r="I308">
        <v>3.7469999999999999</v>
      </c>
      <c r="J308" t="s">
        <v>3871</v>
      </c>
      <c r="K308" s="111">
        <v>4.0580000000000001E-5</v>
      </c>
      <c r="L308">
        <v>0</v>
      </c>
      <c r="AB308" s="111"/>
      <c r="AC308" s="111"/>
    </row>
    <row r="309" spans="1:29" x14ac:dyDescent="0.55000000000000004">
      <c r="A309" t="s">
        <v>4160</v>
      </c>
      <c r="B309">
        <v>3.1110000000000002</v>
      </c>
      <c r="C309">
        <v>1.2270000000000001</v>
      </c>
      <c r="D309">
        <v>0.87339999999999995</v>
      </c>
      <c r="E309">
        <v>3.0750000000000002</v>
      </c>
      <c r="F309">
        <v>2.976</v>
      </c>
      <c r="G309">
        <v>2.7029999999999998</v>
      </c>
      <c r="H309">
        <v>1.958</v>
      </c>
      <c r="I309">
        <v>1.95</v>
      </c>
      <c r="J309" t="s">
        <v>3871</v>
      </c>
      <c r="K309" s="111">
        <v>1.134E-3</v>
      </c>
      <c r="L309">
        <v>0</v>
      </c>
      <c r="AB309" s="111"/>
      <c r="AC309" s="111"/>
    </row>
    <row r="310" spans="1:29" x14ac:dyDescent="0.55000000000000004">
      <c r="A310" t="s">
        <v>4161</v>
      </c>
      <c r="B310">
        <v>8.8889999999999993</v>
      </c>
      <c r="C310">
        <v>4.2750000000000004</v>
      </c>
      <c r="D310">
        <v>2.278</v>
      </c>
      <c r="E310">
        <v>8.7959999999999994</v>
      </c>
      <c r="F310">
        <v>8.375</v>
      </c>
      <c r="G310">
        <v>7.9269999999999996</v>
      </c>
      <c r="H310">
        <v>6.1669999999999998</v>
      </c>
      <c r="I310">
        <v>6.21</v>
      </c>
      <c r="J310" t="s">
        <v>3871</v>
      </c>
      <c r="K310">
        <v>0.3518</v>
      </c>
      <c r="L310" s="111">
        <v>2.0549999999999999E-8</v>
      </c>
      <c r="AB310" s="111"/>
      <c r="AC310" s="111"/>
    </row>
    <row r="311" spans="1:29" x14ac:dyDescent="0.55000000000000004">
      <c r="A311" t="s">
        <v>4162</v>
      </c>
      <c r="B311">
        <v>4.0940000000000003</v>
      </c>
      <c r="C311">
        <v>1.55</v>
      </c>
      <c r="D311">
        <v>1.117</v>
      </c>
      <c r="E311">
        <v>4.0570000000000004</v>
      </c>
      <c r="F311">
        <v>3.8149999999999999</v>
      </c>
      <c r="G311">
        <v>3.4649999999999999</v>
      </c>
      <c r="H311">
        <v>2.5339999999999998</v>
      </c>
      <c r="I311">
        <v>2.6080000000000001</v>
      </c>
      <c r="J311" t="s">
        <v>3871</v>
      </c>
      <c r="K311">
        <v>0.4753</v>
      </c>
      <c r="L311" s="111">
        <v>2.9499999999999998E-7</v>
      </c>
      <c r="AB311" s="111"/>
      <c r="AC311" s="111"/>
    </row>
    <row r="312" spans="1:29" x14ac:dyDescent="0.55000000000000004">
      <c r="A312" t="s">
        <v>4163</v>
      </c>
      <c r="B312">
        <v>33.450000000000003</v>
      </c>
      <c r="C312">
        <v>10.31</v>
      </c>
      <c r="D312">
        <v>7.5819999999999999</v>
      </c>
      <c r="E312">
        <v>32.94</v>
      </c>
      <c r="F312">
        <v>30.22</v>
      </c>
      <c r="G312">
        <v>25.22</v>
      </c>
      <c r="H312">
        <v>16.8</v>
      </c>
      <c r="I312">
        <v>17.22</v>
      </c>
      <c r="J312" s="111">
        <v>2.4859999999999999E-3</v>
      </c>
      <c r="K312">
        <v>2.327</v>
      </c>
      <c r="L312" s="111">
        <v>4.2240000000000003E-3</v>
      </c>
      <c r="AB312" s="111"/>
      <c r="AC312" s="111"/>
    </row>
    <row r="313" spans="1:29" x14ac:dyDescent="0.55000000000000004">
      <c r="A313" t="s">
        <v>4164</v>
      </c>
      <c r="B313">
        <v>40.86</v>
      </c>
      <c r="C313">
        <v>13.04</v>
      </c>
      <c r="D313">
        <v>9.39</v>
      </c>
      <c r="E313">
        <v>40.17</v>
      </c>
      <c r="F313">
        <v>36.96</v>
      </c>
      <c r="G313">
        <v>30.59</v>
      </c>
      <c r="H313">
        <v>20.7</v>
      </c>
      <c r="I313">
        <v>20.69</v>
      </c>
      <c r="J313" s="111">
        <v>2.5730000000000002E-4</v>
      </c>
      <c r="K313">
        <v>1.4950000000000001</v>
      </c>
      <c r="L313" s="111">
        <v>2.8949999999999999E-4</v>
      </c>
      <c r="AB313" s="111"/>
      <c r="AC313" s="111"/>
    </row>
    <row r="314" spans="1:29" x14ac:dyDescent="0.55000000000000004">
      <c r="A314" t="s">
        <v>4165</v>
      </c>
      <c r="B314">
        <v>24.79</v>
      </c>
      <c r="C314">
        <v>5.806</v>
      </c>
      <c r="D314">
        <v>4.3499999999999996</v>
      </c>
      <c r="E314">
        <v>24.34</v>
      </c>
      <c r="F314">
        <v>21.72</v>
      </c>
      <c r="G314">
        <v>17.25</v>
      </c>
      <c r="H314">
        <v>10.67</v>
      </c>
      <c r="I314">
        <v>10.64</v>
      </c>
      <c r="J314" s="111">
        <v>1.054E-4</v>
      </c>
      <c r="K314">
        <v>1.829</v>
      </c>
      <c r="L314" s="111">
        <v>1.247E-4</v>
      </c>
      <c r="AB314" s="111"/>
      <c r="AC314" s="111"/>
    </row>
    <row r="315" spans="1:29" x14ac:dyDescent="0.55000000000000004">
      <c r="A315" t="s">
        <v>4166</v>
      </c>
      <c r="B315">
        <v>16.64</v>
      </c>
      <c r="C315">
        <v>3.5939999999999999</v>
      </c>
      <c r="D315">
        <v>3.1930000000000001</v>
      </c>
      <c r="E315">
        <v>16.23</v>
      </c>
      <c r="F315">
        <v>14.48</v>
      </c>
      <c r="G315">
        <v>11.45</v>
      </c>
      <c r="H315">
        <v>6.9790000000000001</v>
      </c>
      <c r="I315">
        <v>6.9379999999999997</v>
      </c>
      <c r="J315" s="111">
        <v>1.1790000000000001E-4</v>
      </c>
      <c r="K315">
        <v>1.837</v>
      </c>
      <c r="L315" s="111">
        <v>2.565E-4</v>
      </c>
      <c r="AB315" s="111"/>
      <c r="AC315" s="111"/>
    </row>
    <row r="316" spans="1:29" x14ac:dyDescent="0.55000000000000004">
      <c r="A316" t="s">
        <v>4167</v>
      </c>
      <c r="B316">
        <v>16.48</v>
      </c>
      <c r="C316">
        <v>3.6920000000000002</v>
      </c>
      <c r="D316">
        <v>3.4140000000000001</v>
      </c>
      <c r="E316">
        <v>16.22</v>
      </c>
      <c r="F316">
        <v>14.63</v>
      </c>
      <c r="G316">
        <v>11.83</v>
      </c>
      <c r="H316">
        <v>7.3879999999999999</v>
      </c>
      <c r="I316">
        <v>7.3470000000000004</v>
      </c>
      <c r="J316" s="111">
        <v>6.2199999999999994E-5</v>
      </c>
      <c r="K316">
        <v>1.498</v>
      </c>
      <c r="L316" s="111">
        <v>1.8459999999999999E-4</v>
      </c>
      <c r="AB316" s="111"/>
      <c r="AC316" s="111"/>
    </row>
    <row r="317" spans="1:29" x14ac:dyDescent="0.55000000000000004">
      <c r="A317" t="s">
        <v>4168</v>
      </c>
      <c r="B317">
        <v>23</v>
      </c>
      <c r="C317">
        <v>8.32</v>
      </c>
      <c r="D317">
        <v>6.6120000000000001</v>
      </c>
      <c r="E317">
        <v>22.64</v>
      </c>
      <c r="F317">
        <v>21.17</v>
      </c>
      <c r="G317">
        <v>18.12</v>
      </c>
      <c r="H317">
        <v>12.4</v>
      </c>
      <c r="I317">
        <v>12.38</v>
      </c>
      <c r="J317" t="s">
        <v>3871</v>
      </c>
      <c r="K317">
        <v>0.68110000000000004</v>
      </c>
      <c r="L317" s="111">
        <v>3.6040000000000001E-5</v>
      </c>
      <c r="Y317" s="111"/>
      <c r="Z317" s="111"/>
      <c r="AB317" s="111"/>
      <c r="AC317" s="111"/>
    </row>
    <row r="318" spans="1:29" x14ac:dyDescent="0.55000000000000004">
      <c r="A318" t="s">
        <v>4169</v>
      </c>
      <c r="B318">
        <v>25.74</v>
      </c>
      <c r="C318">
        <v>8.1219999999999999</v>
      </c>
      <c r="D318">
        <v>6.2539999999999996</v>
      </c>
      <c r="E318">
        <v>25.27</v>
      </c>
      <c r="F318">
        <v>23.02</v>
      </c>
      <c r="G318">
        <v>19.16</v>
      </c>
      <c r="H318">
        <v>12.78</v>
      </c>
      <c r="I318">
        <v>12.78</v>
      </c>
      <c r="J318" t="s">
        <v>3871</v>
      </c>
      <c r="K318">
        <v>0.62419999999999998</v>
      </c>
      <c r="L318" s="111">
        <v>9.5519999999999998E-7</v>
      </c>
      <c r="AB318" s="111"/>
      <c r="AC318" s="111"/>
    </row>
    <row r="319" spans="1:29" x14ac:dyDescent="0.55000000000000004">
      <c r="A319" t="s">
        <v>4170</v>
      </c>
      <c r="B319">
        <v>30.86</v>
      </c>
      <c r="C319">
        <v>8.109</v>
      </c>
      <c r="D319">
        <v>5.6020000000000003</v>
      </c>
      <c r="E319">
        <v>30.36</v>
      </c>
      <c r="F319">
        <v>27.91</v>
      </c>
      <c r="G319">
        <v>23.28</v>
      </c>
      <c r="H319">
        <v>14.67</v>
      </c>
      <c r="I319">
        <v>14.67</v>
      </c>
      <c r="J319" s="111">
        <v>1.9579999999999999E-4</v>
      </c>
      <c r="K319">
        <v>2.2229999999999999</v>
      </c>
      <c r="L319" s="111">
        <v>3.4170000000000001E-4</v>
      </c>
      <c r="Y319" s="111"/>
      <c r="Z319" s="111"/>
      <c r="AB319" s="111"/>
      <c r="AC319" s="111"/>
    </row>
    <row r="320" spans="1:29" x14ac:dyDescent="0.55000000000000004">
      <c r="A320" t="s">
        <v>4171</v>
      </c>
      <c r="B320">
        <v>28.43</v>
      </c>
      <c r="C320">
        <v>9.9550000000000001</v>
      </c>
      <c r="D320">
        <v>7.5759999999999996</v>
      </c>
      <c r="E320">
        <v>28.04</v>
      </c>
      <c r="F320">
        <v>25.65</v>
      </c>
      <c r="G320">
        <v>21.44</v>
      </c>
      <c r="H320">
        <v>14.82</v>
      </c>
      <c r="I320">
        <v>14.79</v>
      </c>
      <c r="J320" t="s">
        <v>3871</v>
      </c>
      <c r="K320">
        <v>0.46970000000000001</v>
      </c>
      <c r="L320" s="111">
        <v>1.6589999999999999E-6</v>
      </c>
      <c r="AB320" s="111"/>
      <c r="AC320" s="111"/>
    </row>
    <row r="321" spans="1:29" x14ac:dyDescent="0.55000000000000004">
      <c r="A321" t="s">
        <v>4172</v>
      </c>
      <c r="B321">
        <v>25.85</v>
      </c>
      <c r="C321">
        <v>5.5890000000000004</v>
      </c>
      <c r="D321">
        <v>4.1639999999999997</v>
      </c>
      <c r="E321">
        <v>25.3</v>
      </c>
      <c r="F321">
        <v>22.69</v>
      </c>
      <c r="G321">
        <v>17.739999999999998</v>
      </c>
      <c r="H321">
        <v>10.89</v>
      </c>
      <c r="I321">
        <v>10.83</v>
      </c>
      <c r="J321" s="111">
        <v>1.2960000000000001E-4</v>
      </c>
      <c r="K321">
        <v>1.78</v>
      </c>
      <c r="L321" s="111">
        <v>2.7179999999999999E-4</v>
      </c>
      <c r="AB321" s="111"/>
      <c r="AC321" s="111"/>
    </row>
    <row r="322" spans="1:29" x14ac:dyDescent="0.55000000000000004">
      <c r="A322" t="s">
        <v>4173</v>
      </c>
      <c r="B322">
        <v>29.45</v>
      </c>
      <c r="C322">
        <v>12.09</v>
      </c>
      <c r="D322">
        <v>9.0500000000000007</v>
      </c>
      <c r="E322">
        <v>29.02</v>
      </c>
      <c r="F322">
        <v>27.1</v>
      </c>
      <c r="G322">
        <v>23.24</v>
      </c>
      <c r="H322">
        <v>16.940000000000001</v>
      </c>
      <c r="I322">
        <v>16.899999999999999</v>
      </c>
      <c r="J322" t="s">
        <v>3871</v>
      </c>
      <c r="K322">
        <v>0.41199999999999998</v>
      </c>
      <c r="L322" s="111">
        <v>7.8240000000000002E-7</v>
      </c>
      <c r="AB322" s="111"/>
      <c r="AC322" s="111"/>
    </row>
    <row r="323" spans="1:29" x14ac:dyDescent="0.55000000000000004">
      <c r="A323" t="s">
        <v>4174</v>
      </c>
      <c r="B323">
        <v>39.64</v>
      </c>
      <c r="C323">
        <v>9.891</v>
      </c>
      <c r="D323">
        <v>6.76</v>
      </c>
      <c r="E323">
        <v>38.729999999999997</v>
      </c>
      <c r="F323">
        <v>35.06</v>
      </c>
      <c r="G323">
        <v>27.53</v>
      </c>
      <c r="H323">
        <v>17.649999999999999</v>
      </c>
      <c r="I323">
        <v>17.68</v>
      </c>
      <c r="J323" t="s">
        <v>3871</v>
      </c>
      <c r="K323">
        <v>0.85189999999999999</v>
      </c>
      <c r="L323" s="111">
        <v>1.9579999999999999E-5</v>
      </c>
      <c r="M323" s="118"/>
      <c r="N323" s="118"/>
      <c r="AB323" s="111"/>
      <c r="AC323" s="111"/>
    </row>
    <row r="324" spans="1:29" x14ac:dyDescent="0.55000000000000004">
      <c r="A324" t="s">
        <v>4175</v>
      </c>
      <c r="B324">
        <v>25.67</v>
      </c>
      <c r="C324">
        <v>11.09</v>
      </c>
      <c r="D324">
        <v>9.0779999999999994</v>
      </c>
      <c r="E324">
        <v>25.41</v>
      </c>
      <c r="F324">
        <v>23.91</v>
      </c>
      <c r="G324">
        <v>20.67</v>
      </c>
      <c r="H324">
        <v>14.64</v>
      </c>
      <c r="I324">
        <v>14.6</v>
      </c>
      <c r="J324" t="s">
        <v>3871</v>
      </c>
      <c r="K324">
        <v>0.19450000000000001</v>
      </c>
      <c r="L324" s="111">
        <v>7.0879999999999997E-10</v>
      </c>
      <c r="M324" s="118"/>
      <c r="N324" s="118"/>
      <c r="AB324" s="111"/>
      <c r="AC324" s="111"/>
    </row>
    <row r="325" spans="1:29" x14ac:dyDescent="0.55000000000000004">
      <c r="A325" t="s">
        <v>4176</v>
      </c>
      <c r="B325">
        <v>33.58</v>
      </c>
      <c r="C325">
        <v>8.09</v>
      </c>
      <c r="D325">
        <v>5.5410000000000004</v>
      </c>
      <c r="E325">
        <v>32.799999999999997</v>
      </c>
      <c r="F325">
        <v>29.3</v>
      </c>
      <c r="G325">
        <v>22.73</v>
      </c>
      <c r="H325">
        <v>14.32</v>
      </c>
      <c r="I325">
        <v>14.33</v>
      </c>
      <c r="J325" s="111">
        <v>2.209E-5</v>
      </c>
      <c r="K325">
        <v>1.177</v>
      </c>
      <c r="L325" s="111">
        <v>2.4620000000000001E-5</v>
      </c>
      <c r="M325" s="118"/>
      <c r="N325" s="118"/>
      <c r="AB325" s="111"/>
      <c r="AC325" s="111"/>
    </row>
    <row r="326" spans="1:29" x14ac:dyDescent="0.55000000000000004">
      <c r="A326" t="s">
        <v>4177</v>
      </c>
      <c r="B326">
        <v>32.19</v>
      </c>
      <c r="C326">
        <v>6.048</v>
      </c>
      <c r="D326">
        <v>4.1989999999999998</v>
      </c>
      <c r="E326">
        <v>31.5</v>
      </c>
      <c r="F326">
        <v>27.9</v>
      </c>
      <c r="G326">
        <v>21.76</v>
      </c>
      <c r="H326">
        <v>13.17</v>
      </c>
      <c r="I326">
        <v>13.08</v>
      </c>
      <c r="J326" t="s">
        <v>3871</v>
      </c>
      <c r="K326">
        <v>0.53300000000000003</v>
      </c>
      <c r="L326" s="111">
        <v>6.4769999999999996E-7</v>
      </c>
      <c r="Z326" s="111"/>
      <c r="AB326" s="111"/>
      <c r="AC326" s="111"/>
    </row>
    <row r="327" spans="1:29" x14ac:dyDescent="0.55000000000000004">
      <c r="A327" t="s">
        <v>4178</v>
      </c>
      <c r="B327">
        <v>16.75</v>
      </c>
      <c r="C327">
        <v>4.0140000000000002</v>
      </c>
      <c r="D327">
        <v>3.3079999999999998</v>
      </c>
      <c r="E327">
        <v>16.350000000000001</v>
      </c>
      <c r="F327">
        <v>14.64</v>
      </c>
      <c r="G327">
        <v>11.88</v>
      </c>
      <c r="H327">
        <v>7.4329999999999998</v>
      </c>
      <c r="I327">
        <v>7.3890000000000002</v>
      </c>
      <c r="J327" t="s">
        <v>3871</v>
      </c>
      <c r="K327" s="111">
        <v>2.2030000000000001E-3</v>
      </c>
      <c r="L327" s="111">
        <v>2.2329999999999999E-41</v>
      </c>
      <c r="AB327" s="111"/>
      <c r="AC327" s="111"/>
    </row>
    <row r="328" spans="1:29" x14ac:dyDescent="0.55000000000000004">
      <c r="A328" t="s">
        <v>4179</v>
      </c>
      <c r="B328">
        <v>19.170000000000002</v>
      </c>
      <c r="C328">
        <v>7.7009999999999996</v>
      </c>
      <c r="D328">
        <v>7.0739999999999998</v>
      </c>
      <c r="E328">
        <v>18.96</v>
      </c>
      <c r="F328">
        <v>17.940000000000001</v>
      </c>
      <c r="G328">
        <v>15.72</v>
      </c>
      <c r="H328">
        <v>11.29</v>
      </c>
      <c r="I328">
        <v>11.25</v>
      </c>
      <c r="J328" t="s">
        <v>3871</v>
      </c>
      <c r="K328" s="111">
        <v>4.1439999999999998E-2</v>
      </c>
      <c r="L328" s="111">
        <v>3.5200000000000001E-20</v>
      </c>
      <c r="M328" s="118"/>
      <c r="N328" s="118"/>
      <c r="AB328" s="111"/>
      <c r="AC328" s="111"/>
    </row>
    <row r="329" spans="1:29" x14ac:dyDescent="0.55000000000000004">
      <c r="A329" t="s">
        <v>4180</v>
      </c>
      <c r="B329">
        <v>15.42</v>
      </c>
      <c r="C329">
        <v>3.9510000000000001</v>
      </c>
      <c r="D329">
        <v>3.4140000000000001</v>
      </c>
      <c r="E329">
        <v>15.18</v>
      </c>
      <c r="F329">
        <v>13.88</v>
      </c>
      <c r="G329">
        <v>11.35</v>
      </c>
      <c r="H329">
        <v>7.2270000000000003</v>
      </c>
      <c r="I329">
        <v>7.1829999999999998</v>
      </c>
      <c r="J329" t="s">
        <v>3871</v>
      </c>
      <c r="K329" s="111">
        <v>1.593E-3</v>
      </c>
      <c r="L329">
        <v>0</v>
      </c>
      <c r="AB329" s="111"/>
      <c r="AC329" s="111"/>
    </row>
    <row r="330" spans="1:29" x14ac:dyDescent="0.55000000000000004">
      <c r="A330" t="s">
        <v>4181</v>
      </c>
      <c r="B330">
        <v>18.46</v>
      </c>
      <c r="C330">
        <v>6.5620000000000003</v>
      </c>
      <c r="D330">
        <v>5.9130000000000003</v>
      </c>
      <c r="E330">
        <v>18.25</v>
      </c>
      <c r="F330">
        <v>17.100000000000001</v>
      </c>
      <c r="G330">
        <v>14.96</v>
      </c>
      <c r="H330">
        <v>10.32</v>
      </c>
      <c r="I330">
        <v>10.27</v>
      </c>
      <c r="J330" t="s">
        <v>3871</v>
      </c>
      <c r="K330" s="111">
        <v>6.7169999999999994E-2</v>
      </c>
      <c r="L330" s="111">
        <v>3.3750000000000001E-16</v>
      </c>
      <c r="AB330" s="111"/>
      <c r="AC330" s="111"/>
    </row>
    <row r="331" spans="1:29" x14ac:dyDescent="0.55000000000000004">
      <c r="A331" t="s">
        <v>4182</v>
      </c>
      <c r="B331">
        <v>29.91</v>
      </c>
      <c r="C331">
        <v>11.98</v>
      </c>
      <c r="D331">
        <v>8.9179999999999993</v>
      </c>
      <c r="E331">
        <v>29.76</v>
      </c>
      <c r="F331">
        <v>28.78</v>
      </c>
      <c r="G331">
        <v>26.41</v>
      </c>
      <c r="H331">
        <v>18.88</v>
      </c>
      <c r="I331">
        <v>18.84</v>
      </c>
      <c r="J331" s="111">
        <v>1.459E-3</v>
      </c>
      <c r="K331">
        <v>2.6749999999999998</v>
      </c>
      <c r="L331" s="111">
        <v>3.7429999999999998E-3</v>
      </c>
      <c r="AB331" s="111"/>
      <c r="AC331" s="111"/>
    </row>
    <row r="332" spans="1:29" x14ac:dyDescent="0.55000000000000004">
      <c r="A332" t="s">
        <v>4183</v>
      </c>
      <c r="B332">
        <v>22.42</v>
      </c>
      <c r="C332">
        <v>8.4269999999999996</v>
      </c>
      <c r="D332">
        <v>6.4850000000000003</v>
      </c>
      <c r="E332">
        <v>22.24</v>
      </c>
      <c r="F332">
        <v>21.03</v>
      </c>
      <c r="G332">
        <v>18.760000000000002</v>
      </c>
      <c r="H332">
        <v>13.35</v>
      </c>
      <c r="I332">
        <v>13.27</v>
      </c>
      <c r="J332" t="s">
        <v>3871</v>
      </c>
      <c r="K332">
        <v>0.27579999999999999</v>
      </c>
      <c r="L332" s="111">
        <v>8.8999999999999995E-7</v>
      </c>
      <c r="AB332" s="111"/>
      <c r="AC332" s="111"/>
    </row>
    <row r="333" spans="1:29" x14ac:dyDescent="0.55000000000000004">
      <c r="A333" t="s">
        <v>4184</v>
      </c>
      <c r="B333">
        <v>22.13</v>
      </c>
      <c r="C333">
        <v>6.5069999999999997</v>
      </c>
      <c r="D333">
        <v>3.778</v>
      </c>
      <c r="E333">
        <v>21.79</v>
      </c>
      <c r="F333">
        <v>20.13</v>
      </c>
      <c r="G333">
        <v>16.79</v>
      </c>
      <c r="H333">
        <v>11.47</v>
      </c>
      <c r="I333">
        <v>11.8</v>
      </c>
      <c r="J333" s="111">
        <v>2.4989999999999999E-3</v>
      </c>
      <c r="K333">
        <v>2.327</v>
      </c>
      <c r="L333" s="111">
        <v>4.2459999999999998E-3</v>
      </c>
      <c r="Z333" s="111"/>
      <c r="AB333" s="111"/>
      <c r="AC333" s="111"/>
    </row>
    <row r="334" spans="1:29" x14ac:dyDescent="0.55000000000000004">
      <c r="A334" t="s">
        <v>4185</v>
      </c>
      <c r="B334">
        <v>29.64</v>
      </c>
      <c r="C334">
        <v>9.08</v>
      </c>
      <c r="D334">
        <v>5.51</v>
      </c>
      <c r="E334">
        <v>29.13</v>
      </c>
      <c r="F334">
        <v>27.12</v>
      </c>
      <c r="G334">
        <v>22.55</v>
      </c>
      <c r="H334">
        <v>14.91</v>
      </c>
      <c r="I334">
        <v>14.85</v>
      </c>
      <c r="J334" s="111">
        <v>2.586E-4</v>
      </c>
      <c r="K334">
        <v>1.4950000000000001</v>
      </c>
      <c r="L334" s="111">
        <v>2.9109999999999997E-4</v>
      </c>
      <c r="Z334" s="111"/>
      <c r="AB334" s="111"/>
      <c r="AC334" s="111"/>
    </row>
    <row r="335" spans="1:29" x14ac:dyDescent="0.55000000000000004">
      <c r="A335" t="s">
        <v>4186</v>
      </c>
      <c r="B335">
        <v>14.25</v>
      </c>
      <c r="C335">
        <v>3.202</v>
      </c>
      <c r="D335">
        <v>1.7989999999999999</v>
      </c>
      <c r="E335">
        <v>13.98</v>
      </c>
      <c r="F335">
        <v>12.79</v>
      </c>
      <c r="G335">
        <v>9.9770000000000003</v>
      </c>
      <c r="H335">
        <v>6.1260000000000003</v>
      </c>
      <c r="I335">
        <v>6.1319999999999997</v>
      </c>
      <c r="J335" s="111">
        <v>1.059E-4</v>
      </c>
      <c r="K335">
        <v>1.829</v>
      </c>
      <c r="L335" s="111">
        <v>1.2530000000000001E-4</v>
      </c>
      <c r="AB335" s="111"/>
      <c r="AC335" s="111"/>
    </row>
    <row r="336" spans="1:29" x14ac:dyDescent="0.55000000000000004">
      <c r="A336" t="s">
        <v>4187</v>
      </c>
      <c r="B336">
        <v>6.4059999999999997</v>
      </c>
      <c r="C336">
        <v>1.3220000000000001</v>
      </c>
      <c r="D336">
        <v>0.92420000000000002</v>
      </c>
      <c r="E336">
        <v>6.2649999999999997</v>
      </c>
      <c r="F336">
        <v>5.4909999999999997</v>
      </c>
      <c r="G336">
        <v>4.3010000000000002</v>
      </c>
      <c r="H336">
        <v>2.6709999999999998</v>
      </c>
      <c r="I336">
        <v>2.6560000000000001</v>
      </c>
      <c r="J336" s="111">
        <v>1.186E-4</v>
      </c>
      <c r="K336">
        <v>1.837</v>
      </c>
      <c r="L336" s="111">
        <v>2.5789999999999998E-4</v>
      </c>
      <c r="AB336" s="111"/>
      <c r="AC336" s="111"/>
    </row>
    <row r="337" spans="1:29" x14ac:dyDescent="0.55000000000000004">
      <c r="A337" t="s">
        <v>4188</v>
      </c>
      <c r="B337">
        <v>5.54</v>
      </c>
      <c r="C337">
        <v>1.206</v>
      </c>
      <c r="D337">
        <v>0.95</v>
      </c>
      <c r="E337">
        <v>5.4420000000000002</v>
      </c>
      <c r="F337">
        <v>4.9210000000000003</v>
      </c>
      <c r="G337">
        <v>3.93</v>
      </c>
      <c r="H337">
        <v>2.4260000000000002</v>
      </c>
      <c r="I337">
        <v>2.5409999999999999</v>
      </c>
      <c r="J337" s="111">
        <v>6.2520000000000004E-5</v>
      </c>
      <c r="K337">
        <v>1.498</v>
      </c>
      <c r="L337" s="111">
        <v>1.8560000000000001E-4</v>
      </c>
      <c r="AB337" s="111"/>
      <c r="AC337" s="111"/>
    </row>
    <row r="338" spans="1:29" x14ac:dyDescent="0.55000000000000004">
      <c r="A338" t="s">
        <v>4189</v>
      </c>
      <c r="B338">
        <v>11.46</v>
      </c>
      <c r="C338">
        <v>4.0010000000000003</v>
      </c>
      <c r="D338">
        <v>2.4039999999999999</v>
      </c>
      <c r="E338">
        <v>11.33</v>
      </c>
      <c r="F338">
        <v>10.47</v>
      </c>
      <c r="G338">
        <v>8.9250000000000007</v>
      </c>
      <c r="H338">
        <v>6.49</v>
      </c>
      <c r="I338">
        <v>6.4809999999999999</v>
      </c>
      <c r="J338" t="s">
        <v>3871</v>
      </c>
      <c r="K338">
        <v>0.68110000000000004</v>
      </c>
      <c r="L338" s="111">
        <v>3.6229999999999997E-5</v>
      </c>
      <c r="Y338" s="111"/>
      <c r="Z338" s="111"/>
      <c r="AB338" s="111"/>
      <c r="AC338" s="111"/>
    </row>
    <row r="339" spans="1:29" x14ac:dyDescent="0.55000000000000004">
      <c r="A339" t="s">
        <v>4190</v>
      </c>
      <c r="B339">
        <v>14.4</v>
      </c>
      <c r="C339">
        <v>4.2789999999999999</v>
      </c>
      <c r="D339">
        <v>2.5</v>
      </c>
      <c r="E339">
        <v>14.12</v>
      </c>
      <c r="F339">
        <v>12.87</v>
      </c>
      <c r="G339">
        <v>10.44</v>
      </c>
      <c r="H339">
        <v>7.2110000000000003</v>
      </c>
      <c r="I339">
        <v>7.2629999999999999</v>
      </c>
      <c r="J339" t="s">
        <v>3871</v>
      </c>
      <c r="K339">
        <v>0.62419999999999998</v>
      </c>
      <c r="L339" s="111">
        <v>9.6019999999999993E-7</v>
      </c>
      <c r="Y339" s="111"/>
      <c r="Z339" s="111"/>
      <c r="AB339" s="111"/>
      <c r="AC339" s="111"/>
    </row>
    <row r="340" spans="1:29" x14ac:dyDescent="0.55000000000000004">
      <c r="A340" t="s">
        <v>4191</v>
      </c>
      <c r="B340">
        <v>20.14</v>
      </c>
      <c r="C340">
        <v>5.0199999999999996</v>
      </c>
      <c r="D340">
        <v>2.5529999999999999</v>
      </c>
      <c r="E340">
        <v>19.91</v>
      </c>
      <c r="F340">
        <v>18.149999999999999</v>
      </c>
      <c r="G340">
        <v>14.94</v>
      </c>
      <c r="H340">
        <v>9.4</v>
      </c>
      <c r="I340">
        <v>9.407</v>
      </c>
      <c r="J340" s="111">
        <v>1.9680000000000001E-4</v>
      </c>
      <c r="K340">
        <v>2.2229999999999999</v>
      </c>
      <c r="L340" s="111">
        <v>3.435E-4</v>
      </c>
      <c r="Y340" s="111"/>
      <c r="Z340" s="111"/>
      <c r="AB340" s="111"/>
      <c r="AC340" s="111"/>
    </row>
    <row r="341" spans="1:29" x14ac:dyDescent="0.55000000000000004">
      <c r="A341" t="s">
        <v>4192</v>
      </c>
      <c r="B341">
        <v>16.7</v>
      </c>
      <c r="C341">
        <v>5.6890000000000001</v>
      </c>
      <c r="D341">
        <v>3.383</v>
      </c>
      <c r="E341">
        <v>16.46</v>
      </c>
      <c r="F341">
        <v>14.96</v>
      </c>
      <c r="G341">
        <v>12.4</v>
      </c>
      <c r="H341">
        <v>8.9480000000000004</v>
      </c>
      <c r="I341">
        <v>9.0340000000000007</v>
      </c>
      <c r="J341" t="s">
        <v>3871</v>
      </c>
      <c r="K341">
        <v>0.46970000000000001</v>
      </c>
      <c r="L341" s="111">
        <v>1.668E-6</v>
      </c>
      <c r="Y341" s="111"/>
      <c r="Z341" s="111"/>
      <c r="AB341" s="111"/>
      <c r="AC341" s="111"/>
    </row>
    <row r="342" spans="1:29" x14ac:dyDescent="0.55000000000000004">
      <c r="A342" t="s">
        <v>4193</v>
      </c>
      <c r="B342">
        <v>15.07</v>
      </c>
      <c r="C342">
        <v>3.177</v>
      </c>
      <c r="D342">
        <v>1.758</v>
      </c>
      <c r="E342">
        <v>14.72</v>
      </c>
      <c r="F342">
        <v>13.37</v>
      </c>
      <c r="G342">
        <v>10.54</v>
      </c>
      <c r="H342">
        <v>6.4509999999999996</v>
      </c>
      <c r="I342">
        <v>6.4550000000000001</v>
      </c>
      <c r="J342" s="111">
        <v>1.303E-4</v>
      </c>
      <c r="K342">
        <v>1.78</v>
      </c>
      <c r="L342" s="111">
        <v>2.7320000000000003E-4</v>
      </c>
      <c r="AB342" s="111"/>
      <c r="AC342" s="111"/>
    </row>
    <row r="343" spans="1:29" x14ac:dyDescent="0.55000000000000004">
      <c r="A343" t="s">
        <v>4194</v>
      </c>
      <c r="B343">
        <v>17.97</v>
      </c>
      <c r="C343">
        <v>6.9720000000000004</v>
      </c>
      <c r="D343">
        <v>3.8969999999999998</v>
      </c>
      <c r="E343">
        <v>17.66</v>
      </c>
      <c r="F343">
        <v>17.010000000000002</v>
      </c>
      <c r="G343">
        <v>14.77</v>
      </c>
      <c r="H343">
        <v>10.35</v>
      </c>
      <c r="I343">
        <v>10.32</v>
      </c>
      <c r="J343" t="s">
        <v>3871</v>
      </c>
      <c r="K343">
        <v>0.41199999999999998</v>
      </c>
      <c r="L343" s="111">
        <v>7.8650000000000001E-7</v>
      </c>
      <c r="M343" s="118"/>
      <c r="N343" s="118"/>
      <c r="AB343" s="111"/>
      <c r="AC343" s="111"/>
    </row>
    <row r="344" spans="1:29" x14ac:dyDescent="0.55000000000000004">
      <c r="A344" t="s">
        <v>4195</v>
      </c>
      <c r="B344">
        <v>29.5</v>
      </c>
      <c r="C344">
        <v>7.117</v>
      </c>
      <c r="D344">
        <v>4.0119999999999996</v>
      </c>
      <c r="E344">
        <v>29.3</v>
      </c>
      <c r="F344">
        <v>26.17</v>
      </c>
      <c r="G344">
        <v>20.62</v>
      </c>
      <c r="H344">
        <v>13.1</v>
      </c>
      <c r="I344">
        <v>13.12</v>
      </c>
      <c r="J344" t="s">
        <v>3871</v>
      </c>
      <c r="K344">
        <v>0.85189999999999999</v>
      </c>
      <c r="L344" s="111">
        <v>1.9680000000000001E-5</v>
      </c>
      <c r="AB344" s="111"/>
      <c r="AC344" s="111"/>
    </row>
    <row r="345" spans="1:29" x14ac:dyDescent="0.55000000000000004">
      <c r="A345" t="s">
        <v>4196</v>
      </c>
      <c r="B345">
        <v>11.27</v>
      </c>
      <c r="C345">
        <v>4.9809999999999999</v>
      </c>
      <c r="D345">
        <v>3.1139999999999999</v>
      </c>
      <c r="E345">
        <v>11.16</v>
      </c>
      <c r="F345">
        <v>10.47</v>
      </c>
      <c r="G345">
        <v>9.1219999999999999</v>
      </c>
      <c r="H345">
        <v>7.5250000000000004</v>
      </c>
      <c r="I345">
        <v>7.5019999999999998</v>
      </c>
      <c r="J345" t="s">
        <v>3871</v>
      </c>
      <c r="K345">
        <v>0.19450000000000001</v>
      </c>
      <c r="L345" s="111">
        <v>7.1249999999999997E-10</v>
      </c>
      <c r="AB345" s="111"/>
      <c r="AC345" s="111"/>
    </row>
    <row r="346" spans="1:29" x14ac:dyDescent="0.55000000000000004">
      <c r="A346" t="s">
        <v>4197</v>
      </c>
      <c r="B346">
        <v>23.72</v>
      </c>
      <c r="C346">
        <v>5.5380000000000003</v>
      </c>
      <c r="D346">
        <v>3.01</v>
      </c>
      <c r="E346">
        <v>23.25</v>
      </c>
      <c r="F346">
        <v>20.75</v>
      </c>
      <c r="G346">
        <v>15.84</v>
      </c>
      <c r="H346">
        <v>10.08</v>
      </c>
      <c r="I346">
        <v>10.210000000000001</v>
      </c>
      <c r="J346" s="111">
        <v>2.2209999999999999E-5</v>
      </c>
      <c r="K346">
        <v>1.177</v>
      </c>
      <c r="L346" s="111">
        <v>2.4749999999999999E-5</v>
      </c>
      <c r="M346" s="118"/>
      <c r="N346" s="118"/>
      <c r="AB346" s="111"/>
      <c r="AC346" s="111"/>
    </row>
    <row r="347" spans="1:29" x14ac:dyDescent="0.55000000000000004">
      <c r="A347" t="s">
        <v>4198</v>
      </c>
      <c r="B347">
        <v>21.79</v>
      </c>
      <c r="C347">
        <v>4.032</v>
      </c>
      <c r="D347">
        <v>2.2170000000000001</v>
      </c>
      <c r="E347">
        <v>21.28</v>
      </c>
      <c r="F347">
        <v>18.96</v>
      </c>
      <c r="G347">
        <v>14.88</v>
      </c>
      <c r="H347">
        <v>8.8510000000000009</v>
      </c>
      <c r="I347">
        <v>8.7910000000000004</v>
      </c>
      <c r="J347" t="s">
        <v>3871</v>
      </c>
      <c r="K347">
        <v>0.53300000000000003</v>
      </c>
      <c r="L347" s="111">
        <v>6.511E-7</v>
      </c>
      <c r="AB347" s="111"/>
      <c r="AC347" s="111"/>
    </row>
    <row r="348" spans="1:29" x14ac:dyDescent="0.55000000000000004">
      <c r="A348" t="s">
        <v>4199</v>
      </c>
      <c r="B348">
        <v>7.7060000000000004</v>
      </c>
      <c r="C348">
        <v>1.762</v>
      </c>
      <c r="D348">
        <v>1.077</v>
      </c>
      <c r="E348">
        <v>7.4989999999999997</v>
      </c>
      <c r="F348">
        <v>6.6239999999999997</v>
      </c>
      <c r="G348">
        <v>5.1669999999999998</v>
      </c>
      <c r="H348">
        <v>3.468</v>
      </c>
      <c r="I348">
        <v>3.532</v>
      </c>
      <c r="J348" t="s">
        <v>3871</v>
      </c>
      <c r="K348" s="111">
        <v>2.2030000000000001E-3</v>
      </c>
      <c r="L348" s="111">
        <v>2.2449999999999999E-41</v>
      </c>
      <c r="M348" s="118"/>
      <c r="N348" s="118"/>
      <c r="AB348" s="111"/>
      <c r="AC348" s="111"/>
    </row>
    <row r="349" spans="1:29" x14ac:dyDescent="0.55000000000000004">
      <c r="A349" t="s">
        <v>4200</v>
      </c>
      <c r="B349">
        <v>5.5140000000000002</v>
      </c>
      <c r="C349">
        <v>2.44</v>
      </c>
      <c r="D349">
        <v>1.875</v>
      </c>
      <c r="E349">
        <v>5.47</v>
      </c>
      <c r="F349">
        <v>5.226</v>
      </c>
      <c r="G349">
        <v>4.601</v>
      </c>
      <c r="H349">
        <v>3.4460000000000002</v>
      </c>
      <c r="I349">
        <v>3.4329999999999998</v>
      </c>
      <c r="J349" t="s">
        <v>3871</v>
      </c>
      <c r="K349" s="111">
        <v>4.1439999999999998E-2</v>
      </c>
      <c r="L349" s="111">
        <v>3.5390000000000002E-20</v>
      </c>
      <c r="M349" s="118"/>
      <c r="N349" s="118"/>
      <c r="AB349" s="111"/>
      <c r="AC349" s="111"/>
    </row>
    <row r="350" spans="1:29" x14ac:dyDescent="0.55000000000000004">
      <c r="A350" t="s">
        <v>4201</v>
      </c>
      <c r="B350">
        <v>6.1360000000000001</v>
      </c>
      <c r="C350">
        <v>1.4670000000000001</v>
      </c>
      <c r="D350">
        <v>0.98880000000000001</v>
      </c>
      <c r="E350">
        <v>5.9729999999999999</v>
      </c>
      <c r="F350">
        <v>5.1950000000000003</v>
      </c>
      <c r="G350">
        <v>3.992</v>
      </c>
      <c r="H350">
        <v>2.7309999999999999</v>
      </c>
      <c r="I350">
        <v>2.7130000000000001</v>
      </c>
      <c r="J350" t="s">
        <v>3871</v>
      </c>
      <c r="K350" s="111">
        <v>1.593E-3</v>
      </c>
      <c r="L350">
        <v>0</v>
      </c>
      <c r="AB350" s="111"/>
      <c r="AC350" s="111"/>
    </row>
    <row r="351" spans="1:29" x14ac:dyDescent="0.55000000000000004">
      <c r="A351" t="s">
        <v>4202</v>
      </c>
      <c r="B351">
        <v>6.258</v>
      </c>
      <c r="C351">
        <v>2.226</v>
      </c>
      <c r="D351">
        <v>1.613</v>
      </c>
      <c r="E351">
        <v>6.194</v>
      </c>
      <c r="F351">
        <v>5.6529999999999996</v>
      </c>
      <c r="G351">
        <v>4.7560000000000002</v>
      </c>
      <c r="H351">
        <v>3.4830000000000001</v>
      </c>
      <c r="I351">
        <v>3.468</v>
      </c>
      <c r="J351" t="s">
        <v>3871</v>
      </c>
      <c r="K351" s="111">
        <v>6.7169999999999994E-2</v>
      </c>
      <c r="L351" s="111">
        <v>3.3930000000000001E-16</v>
      </c>
      <c r="M351" s="118"/>
      <c r="N351" s="118"/>
      <c r="AB351" s="111"/>
      <c r="AC351" s="111"/>
    </row>
    <row r="352" spans="1:29" x14ac:dyDescent="0.55000000000000004">
      <c r="A352" t="s">
        <v>4203</v>
      </c>
      <c r="B352">
        <v>17.32</v>
      </c>
      <c r="C352">
        <v>6.8410000000000002</v>
      </c>
      <c r="D352">
        <v>3.8450000000000002</v>
      </c>
      <c r="E352">
        <v>17.21</v>
      </c>
      <c r="F352">
        <v>16.66</v>
      </c>
      <c r="G352">
        <v>15.37</v>
      </c>
      <c r="H352">
        <v>10.78</v>
      </c>
      <c r="I352">
        <v>10.76</v>
      </c>
      <c r="J352" s="111">
        <v>1.467E-3</v>
      </c>
      <c r="K352">
        <v>2.6749999999999998</v>
      </c>
      <c r="L352" s="111">
        <v>3.7620000000000002E-3</v>
      </c>
      <c r="Z352" s="111"/>
      <c r="AB352" s="111"/>
      <c r="AC352" s="111"/>
    </row>
    <row r="353" spans="1:29" x14ac:dyDescent="0.55000000000000004">
      <c r="A353" t="s">
        <v>4204</v>
      </c>
      <c r="B353">
        <v>11.44</v>
      </c>
      <c r="C353">
        <v>4.4649999999999999</v>
      </c>
      <c r="D353">
        <v>2.5070000000000001</v>
      </c>
      <c r="E353">
        <v>11.35</v>
      </c>
      <c r="F353">
        <v>10.85</v>
      </c>
      <c r="G353">
        <v>10.19</v>
      </c>
      <c r="H353">
        <v>7.06</v>
      </c>
      <c r="I353">
        <v>7.04</v>
      </c>
      <c r="J353" t="s">
        <v>3871</v>
      </c>
      <c r="K353">
        <v>0.27579999999999999</v>
      </c>
      <c r="L353" s="111">
        <v>8.9469999999999998E-7</v>
      </c>
      <c r="AB353" s="111"/>
      <c r="AC353" s="111"/>
    </row>
    <row r="354" spans="1:29" x14ac:dyDescent="0.55000000000000004">
      <c r="A354" t="s">
        <v>4205</v>
      </c>
      <c r="B354">
        <v>27.42</v>
      </c>
      <c r="C354">
        <v>8.3309999999999995</v>
      </c>
      <c r="D354">
        <v>5.6079999999999997</v>
      </c>
      <c r="E354">
        <v>27.04</v>
      </c>
      <c r="F354">
        <v>24.9</v>
      </c>
      <c r="G354">
        <v>20.79</v>
      </c>
      <c r="H354">
        <v>14.09</v>
      </c>
      <c r="I354">
        <v>14.25</v>
      </c>
      <c r="J354" s="111">
        <v>2.4919999999999999E-3</v>
      </c>
      <c r="K354">
        <v>2.327</v>
      </c>
      <c r="L354" s="111">
        <v>4.2360000000000002E-3</v>
      </c>
      <c r="Z354" s="111"/>
      <c r="AB354" s="111"/>
      <c r="AC354" s="111"/>
    </row>
    <row r="355" spans="1:29" x14ac:dyDescent="0.55000000000000004">
      <c r="A355" t="s">
        <v>4206</v>
      </c>
      <c r="B355">
        <v>34.82</v>
      </c>
      <c r="C355">
        <v>10.98</v>
      </c>
      <c r="D355">
        <v>7.3789999999999996</v>
      </c>
      <c r="E355">
        <v>34.33</v>
      </c>
      <c r="F355">
        <v>32.19</v>
      </c>
      <c r="G355">
        <v>26.45</v>
      </c>
      <c r="H355">
        <v>17.53</v>
      </c>
      <c r="I355">
        <v>17.46</v>
      </c>
      <c r="J355" s="111">
        <v>2.5799999999999998E-4</v>
      </c>
      <c r="K355">
        <v>1.4950000000000001</v>
      </c>
      <c r="L355" s="111">
        <v>2.9030000000000001E-4</v>
      </c>
      <c r="M355" s="118"/>
      <c r="N355" s="118"/>
      <c r="Z355" s="111"/>
      <c r="AB355" s="111"/>
      <c r="AC355" s="111"/>
    </row>
    <row r="356" spans="1:29" x14ac:dyDescent="0.55000000000000004">
      <c r="A356" t="s">
        <v>4207</v>
      </c>
      <c r="B356">
        <v>19.350000000000001</v>
      </c>
      <c r="C356">
        <v>4.4450000000000003</v>
      </c>
      <c r="D356">
        <v>3.032</v>
      </c>
      <c r="E356">
        <v>18.989999999999998</v>
      </c>
      <c r="F356">
        <v>17.04</v>
      </c>
      <c r="G356">
        <v>13.5</v>
      </c>
      <c r="H356">
        <v>8.3010000000000002</v>
      </c>
      <c r="I356">
        <v>8.2690000000000001</v>
      </c>
      <c r="J356" s="111">
        <v>1.0560000000000001E-4</v>
      </c>
      <c r="K356">
        <v>1.829</v>
      </c>
      <c r="L356" s="111">
        <v>1.25E-4</v>
      </c>
      <c r="M356" s="118"/>
      <c r="N356" s="118"/>
      <c r="Z356" s="111"/>
      <c r="AB356" s="111"/>
      <c r="AC356" s="111"/>
    </row>
    <row r="357" spans="1:29" x14ac:dyDescent="0.55000000000000004">
      <c r="A357" t="s">
        <v>4208</v>
      </c>
      <c r="B357">
        <v>11.19</v>
      </c>
      <c r="C357">
        <v>2.42</v>
      </c>
      <c r="D357">
        <v>2.036</v>
      </c>
      <c r="E357">
        <v>10.94</v>
      </c>
      <c r="F357">
        <v>9.6669999999999998</v>
      </c>
      <c r="G357">
        <v>7.8019999999999996</v>
      </c>
      <c r="H357">
        <v>4.7350000000000003</v>
      </c>
      <c r="I357">
        <v>4.7480000000000002</v>
      </c>
      <c r="J357" s="111">
        <v>1.183E-4</v>
      </c>
      <c r="K357">
        <v>1.837</v>
      </c>
      <c r="L357" s="111">
        <v>2.5720000000000002E-4</v>
      </c>
      <c r="AB357" s="111"/>
      <c r="AC357" s="111"/>
    </row>
    <row r="358" spans="1:29" x14ac:dyDescent="0.55000000000000004">
      <c r="A358" t="s">
        <v>4209</v>
      </c>
      <c r="B358">
        <v>10.69</v>
      </c>
      <c r="C358">
        <v>2.3969999999999998</v>
      </c>
      <c r="D358">
        <v>2.133</v>
      </c>
      <c r="E358">
        <v>10.46</v>
      </c>
      <c r="F358">
        <v>9.4540000000000006</v>
      </c>
      <c r="G358">
        <v>7.633</v>
      </c>
      <c r="H358">
        <v>4.7610000000000001</v>
      </c>
      <c r="I358">
        <v>4.734</v>
      </c>
      <c r="J358" s="111">
        <v>6.2370000000000001E-5</v>
      </c>
      <c r="K358">
        <v>1.498</v>
      </c>
      <c r="L358" s="111">
        <v>1.851E-4</v>
      </c>
      <c r="AB358" s="111"/>
      <c r="AC358" s="111"/>
    </row>
    <row r="359" spans="1:29" x14ac:dyDescent="0.55000000000000004">
      <c r="A359" t="s">
        <v>4210</v>
      </c>
      <c r="B359">
        <v>16.93</v>
      </c>
      <c r="C359">
        <v>6.0419999999999998</v>
      </c>
      <c r="D359">
        <v>4.43</v>
      </c>
      <c r="E359">
        <v>16.71</v>
      </c>
      <c r="F359">
        <v>15.42</v>
      </c>
      <c r="G359">
        <v>13.29</v>
      </c>
      <c r="H359">
        <v>9.2159999999999993</v>
      </c>
      <c r="I359">
        <v>9.3170000000000002</v>
      </c>
      <c r="J359" t="s">
        <v>3871</v>
      </c>
      <c r="K359">
        <v>0.68110000000000004</v>
      </c>
      <c r="L359" s="111">
        <v>3.6130000000000001E-5</v>
      </c>
      <c r="M359" s="118"/>
      <c r="N359" s="118"/>
      <c r="Z359" s="111"/>
      <c r="AB359" s="111"/>
      <c r="AC359" s="111"/>
    </row>
    <row r="360" spans="1:29" x14ac:dyDescent="0.55000000000000004">
      <c r="A360" t="s">
        <v>4211</v>
      </c>
      <c r="B360">
        <v>19.77</v>
      </c>
      <c r="C360">
        <v>6.1150000000000002</v>
      </c>
      <c r="D360">
        <v>4.3090000000000002</v>
      </c>
      <c r="E360">
        <v>19.39</v>
      </c>
      <c r="F360">
        <v>17.53</v>
      </c>
      <c r="G360">
        <v>14.64</v>
      </c>
      <c r="H360">
        <v>9.9120000000000008</v>
      </c>
      <c r="I360">
        <v>9.968</v>
      </c>
      <c r="J360" t="s">
        <v>3871</v>
      </c>
      <c r="K360">
        <v>0.62419999999999998</v>
      </c>
      <c r="L360" s="111">
        <v>9.5779999999999996E-7</v>
      </c>
      <c r="AB360" s="111"/>
      <c r="AC360" s="111"/>
    </row>
    <row r="361" spans="1:29" x14ac:dyDescent="0.55000000000000004">
      <c r="A361" t="s">
        <v>4212</v>
      </c>
      <c r="B361">
        <v>25.19</v>
      </c>
      <c r="C361">
        <v>6.5069999999999997</v>
      </c>
      <c r="D361">
        <v>4.0209999999999999</v>
      </c>
      <c r="E361">
        <v>24.83</v>
      </c>
      <c r="F361">
        <v>22.78</v>
      </c>
      <c r="G361">
        <v>18.97</v>
      </c>
      <c r="H361">
        <v>11.93</v>
      </c>
      <c r="I361">
        <v>11.91</v>
      </c>
      <c r="J361" s="111">
        <v>1.963E-4</v>
      </c>
      <c r="K361">
        <v>2.2229999999999999</v>
      </c>
      <c r="L361" s="111">
        <v>3.4269999999999998E-4</v>
      </c>
      <c r="AB361" s="111"/>
      <c r="AC361" s="111"/>
    </row>
    <row r="362" spans="1:29" x14ac:dyDescent="0.55000000000000004">
      <c r="A362" t="s">
        <v>4213</v>
      </c>
      <c r="B362">
        <v>22.21</v>
      </c>
      <c r="C362">
        <v>7.7309999999999999</v>
      </c>
      <c r="D362">
        <v>5.367</v>
      </c>
      <c r="E362">
        <v>21.94</v>
      </c>
      <c r="F362">
        <v>20</v>
      </c>
      <c r="G362">
        <v>16.72</v>
      </c>
      <c r="H362">
        <v>11.69</v>
      </c>
      <c r="I362">
        <v>11.67</v>
      </c>
      <c r="J362" t="s">
        <v>3871</v>
      </c>
      <c r="K362">
        <v>0.46970000000000001</v>
      </c>
      <c r="L362" s="111">
        <v>1.663E-6</v>
      </c>
      <c r="M362" s="118"/>
      <c r="N362" s="118"/>
      <c r="AB362" s="111"/>
      <c r="AC362" s="111"/>
    </row>
    <row r="363" spans="1:29" x14ac:dyDescent="0.55000000000000004">
      <c r="A363" t="s">
        <v>4214</v>
      </c>
      <c r="B363">
        <v>20.16</v>
      </c>
      <c r="C363">
        <v>4.3449999999999998</v>
      </c>
      <c r="D363">
        <v>2.9209999999999998</v>
      </c>
      <c r="E363">
        <v>19.79</v>
      </c>
      <c r="F363">
        <v>17.850000000000001</v>
      </c>
      <c r="G363">
        <v>13.99</v>
      </c>
      <c r="H363">
        <v>8.5299999999999994</v>
      </c>
      <c r="I363">
        <v>8.5579999999999998</v>
      </c>
      <c r="J363" s="111">
        <v>1.2990000000000001E-4</v>
      </c>
      <c r="K363">
        <v>1.78</v>
      </c>
      <c r="L363" s="111">
        <v>2.7250000000000001E-4</v>
      </c>
      <c r="AB363" s="111"/>
      <c r="AC363" s="111"/>
    </row>
    <row r="364" spans="1:29" x14ac:dyDescent="0.55000000000000004">
      <c r="A364" t="s">
        <v>4215</v>
      </c>
      <c r="B364">
        <v>23.74</v>
      </c>
      <c r="C364">
        <v>9.4350000000000005</v>
      </c>
      <c r="D364">
        <v>6.3810000000000002</v>
      </c>
      <c r="E364">
        <v>23.41</v>
      </c>
      <c r="F364">
        <v>21.71</v>
      </c>
      <c r="G364">
        <v>18.75</v>
      </c>
      <c r="H364">
        <v>13.45</v>
      </c>
      <c r="I364">
        <v>13.44</v>
      </c>
      <c r="J364" t="s">
        <v>3871</v>
      </c>
      <c r="K364">
        <v>0.41199999999999998</v>
      </c>
      <c r="L364" s="111">
        <v>7.8459999999999997E-7</v>
      </c>
      <c r="M364" s="118"/>
      <c r="N364" s="118"/>
      <c r="Y364" s="111"/>
      <c r="Z364" s="111"/>
      <c r="AB364" s="111"/>
      <c r="AC364" s="111"/>
    </row>
    <row r="365" spans="1:29" x14ac:dyDescent="0.55000000000000004">
      <c r="A365" t="s">
        <v>4216</v>
      </c>
      <c r="B365">
        <v>34.380000000000003</v>
      </c>
      <c r="C365">
        <v>8.4540000000000006</v>
      </c>
      <c r="D365">
        <v>5.3609999999999998</v>
      </c>
      <c r="E365">
        <v>33.75</v>
      </c>
      <c r="F365">
        <v>30.11</v>
      </c>
      <c r="G365">
        <v>23.66</v>
      </c>
      <c r="H365">
        <v>15.27</v>
      </c>
      <c r="I365">
        <v>15.25</v>
      </c>
      <c r="J365" t="s">
        <v>3871</v>
      </c>
      <c r="K365">
        <v>0.85189999999999999</v>
      </c>
      <c r="L365" s="111">
        <v>1.963E-5</v>
      </c>
      <c r="M365" s="118"/>
      <c r="N365" s="118"/>
      <c r="AB365" s="111"/>
      <c r="AC365" s="111"/>
    </row>
    <row r="366" spans="1:29" x14ac:dyDescent="0.55000000000000004">
      <c r="A366" t="s">
        <v>4217</v>
      </c>
      <c r="B366">
        <v>18.190000000000001</v>
      </c>
      <c r="C366">
        <v>7.9080000000000004</v>
      </c>
      <c r="D366">
        <v>5.9530000000000003</v>
      </c>
      <c r="E366">
        <v>18</v>
      </c>
      <c r="F366">
        <v>16.920000000000002</v>
      </c>
      <c r="G366">
        <v>14.67</v>
      </c>
      <c r="H366">
        <v>10.68</v>
      </c>
      <c r="I366">
        <v>10.89</v>
      </c>
      <c r="J366" t="s">
        <v>3871</v>
      </c>
      <c r="K366">
        <v>0.19450000000000001</v>
      </c>
      <c r="L366" s="111">
        <v>7.1079999999999996E-10</v>
      </c>
      <c r="AB366" s="111"/>
      <c r="AC366" s="111"/>
    </row>
    <row r="367" spans="1:29" x14ac:dyDescent="0.55000000000000004">
      <c r="A367" t="s">
        <v>4218</v>
      </c>
      <c r="B367">
        <v>28.36</v>
      </c>
      <c r="C367">
        <v>6.7450000000000001</v>
      </c>
      <c r="D367">
        <v>4.2240000000000002</v>
      </c>
      <c r="E367">
        <v>27.85</v>
      </c>
      <c r="F367">
        <v>24.7</v>
      </c>
      <c r="G367">
        <v>19.13</v>
      </c>
      <c r="H367">
        <v>12.12</v>
      </c>
      <c r="I367">
        <v>12.08</v>
      </c>
      <c r="J367" s="111">
        <v>2.215E-5</v>
      </c>
      <c r="K367">
        <v>1.177</v>
      </c>
      <c r="L367" s="111">
        <v>2.4689999999999999E-5</v>
      </c>
      <c r="M367" s="118"/>
      <c r="N367" s="118"/>
      <c r="AB367" s="111"/>
      <c r="AC367" s="111"/>
    </row>
    <row r="368" spans="1:29" x14ac:dyDescent="0.55000000000000004">
      <c r="A368" t="s">
        <v>4219</v>
      </c>
      <c r="B368">
        <v>26.76</v>
      </c>
      <c r="C368">
        <v>4.9980000000000002</v>
      </c>
      <c r="D368">
        <v>3.1669999999999998</v>
      </c>
      <c r="E368">
        <v>26.17</v>
      </c>
      <c r="F368">
        <v>23.12</v>
      </c>
      <c r="G368">
        <v>18.18</v>
      </c>
      <c r="H368">
        <v>11.02</v>
      </c>
      <c r="I368">
        <v>10.94</v>
      </c>
      <c r="J368" t="s">
        <v>3871</v>
      </c>
      <c r="K368">
        <v>0.53300000000000003</v>
      </c>
      <c r="L368" s="111">
        <v>6.4949999999999999E-7</v>
      </c>
      <c r="AB368" s="111"/>
      <c r="AC368" s="111"/>
    </row>
    <row r="369" spans="1:29" x14ac:dyDescent="0.55000000000000004">
      <c r="A369" t="s">
        <v>4220</v>
      </c>
      <c r="B369">
        <v>11.37</v>
      </c>
      <c r="C369">
        <v>2.8439999999999999</v>
      </c>
      <c r="D369">
        <v>2.1379999999999999</v>
      </c>
      <c r="E369">
        <v>11.09</v>
      </c>
      <c r="F369">
        <v>9.923</v>
      </c>
      <c r="G369">
        <v>8.1170000000000009</v>
      </c>
      <c r="H369">
        <v>5.1879999999999997</v>
      </c>
      <c r="I369">
        <v>5.157</v>
      </c>
      <c r="J369" t="s">
        <v>3871</v>
      </c>
      <c r="K369" s="111">
        <v>2.2030000000000001E-3</v>
      </c>
      <c r="L369" s="111">
        <v>2.2389999999999999E-41</v>
      </c>
      <c r="AB369" s="111"/>
      <c r="AC369" s="111"/>
    </row>
    <row r="370" spans="1:29" x14ac:dyDescent="0.55000000000000004">
      <c r="A370" t="s">
        <v>4221</v>
      </c>
      <c r="B370">
        <v>12.08</v>
      </c>
      <c r="C370">
        <v>4.9530000000000003</v>
      </c>
      <c r="D370">
        <v>4.367</v>
      </c>
      <c r="E370">
        <v>11.99</v>
      </c>
      <c r="F370">
        <v>11.25</v>
      </c>
      <c r="G370">
        <v>9.8320000000000007</v>
      </c>
      <c r="H370">
        <v>7.1749999999999998</v>
      </c>
      <c r="I370">
        <v>7.15</v>
      </c>
      <c r="J370" t="s">
        <v>3871</v>
      </c>
      <c r="K370" s="111">
        <v>4.1439999999999998E-2</v>
      </c>
      <c r="L370" s="111">
        <v>3.5299999999999998E-20</v>
      </c>
      <c r="AB370" s="111"/>
      <c r="AC370" s="111"/>
    </row>
    <row r="371" spans="1:29" x14ac:dyDescent="0.55000000000000004">
      <c r="A371" t="s">
        <v>4222</v>
      </c>
      <c r="B371">
        <v>9.8770000000000007</v>
      </c>
      <c r="C371">
        <v>2.6760000000000002</v>
      </c>
      <c r="D371">
        <v>2.1619999999999999</v>
      </c>
      <c r="E371">
        <v>9.641</v>
      </c>
      <c r="F371">
        <v>8.7319999999999993</v>
      </c>
      <c r="G371">
        <v>7.31</v>
      </c>
      <c r="H371">
        <v>4.8310000000000004</v>
      </c>
      <c r="I371">
        <v>4.8010000000000002</v>
      </c>
      <c r="J371" t="s">
        <v>3871</v>
      </c>
      <c r="K371" s="111">
        <v>1.593E-3</v>
      </c>
      <c r="L371">
        <v>0</v>
      </c>
      <c r="M371" s="118"/>
      <c r="N371" s="118"/>
      <c r="AB371" s="111"/>
      <c r="AC371" s="111"/>
    </row>
    <row r="372" spans="1:29" x14ac:dyDescent="0.55000000000000004">
      <c r="A372" t="s">
        <v>4223</v>
      </c>
      <c r="B372">
        <v>11.91</v>
      </c>
      <c r="C372">
        <v>4.2450000000000001</v>
      </c>
      <c r="D372">
        <v>3.69</v>
      </c>
      <c r="E372">
        <v>11.79</v>
      </c>
      <c r="F372">
        <v>11.17</v>
      </c>
      <c r="G372">
        <v>9.657</v>
      </c>
      <c r="H372">
        <v>6.7629999999999999</v>
      </c>
      <c r="I372">
        <v>6.7329999999999997</v>
      </c>
      <c r="J372" t="s">
        <v>3871</v>
      </c>
      <c r="K372" s="111">
        <v>6.7169999999999994E-2</v>
      </c>
      <c r="L372" s="111">
        <v>3.3839999999999999E-16</v>
      </c>
      <c r="M372" s="118"/>
      <c r="N372" s="118"/>
      <c r="AB372" s="111"/>
      <c r="AC372" s="111"/>
    </row>
    <row r="373" spans="1:29" x14ac:dyDescent="0.55000000000000004">
      <c r="A373" t="s">
        <v>4224</v>
      </c>
      <c r="B373">
        <v>23.42</v>
      </c>
      <c r="C373">
        <v>9.423</v>
      </c>
      <c r="D373">
        <v>6.2629999999999999</v>
      </c>
      <c r="E373">
        <v>23.28</v>
      </c>
      <c r="F373">
        <v>22.48</v>
      </c>
      <c r="G373">
        <v>20.64</v>
      </c>
      <c r="H373">
        <v>14.7</v>
      </c>
      <c r="I373">
        <v>14.66</v>
      </c>
      <c r="J373" s="111">
        <v>1.4630000000000001E-3</v>
      </c>
      <c r="K373">
        <v>2.6749999999999998</v>
      </c>
      <c r="L373" s="111">
        <v>3.7529999999999998E-3</v>
      </c>
      <c r="Z373" s="111"/>
      <c r="AB373" s="111"/>
      <c r="AC373" s="111"/>
    </row>
    <row r="374" spans="1:29" x14ac:dyDescent="0.55000000000000004">
      <c r="A374" t="s">
        <v>4225</v>
      </c>
      <c r="B374">
        <v>16.75</v>
      </c>
      <c r="C374">
        <v>6.3280000000000003</v>
      </c>
      <c r="D374">
        <v>4.4290000000000003</v>
      </c>
      <c r="E374">
        <v>16.59</v>
      </c>
      <c r="F374">
        <v>15.8</v>
      </c>
      <c r="G374">
        <v>14.41</v>
      </c>
      <c r="H374">
        <v>10.14</v>
      </c>
      <c r="I374">
        <v>10.09</v>
      </c>
      <c r="J374" t="s">
        <v>3871</v>
      </c>
      <c r="K374">
        <v>0.27579999999999999</v>
      </c>
      <c r="L374" s="111">
        <v>8.9250000000000003E-7</v>
      </c>
      <c r="AB374" s="111"/>
      <c r="AC374" s="111"/>
    </row>
    <row r="375" spans="1:29" x14ac:dyDescent="0.55000000000000004">
      <c r="A375" t="s">
        <v>4226</v>
      </c>
      <c r="B375">
        <v>19.28</v>
      </c>
      <c r="C375">
        <v>8.4879999999999995</v>
      </c>
      <c r="D375">
        <v>6.2229999999999999</v>
      </c>
      <c r="E375">
        <v>19.21</v>
      </c>
      <c r="F375">
        <v>18.82</v>
      </c>
      <c r="G375">
        <v>17.63</v>
      </c>
      <c r="H375">
        <v>13.04</v>
      </c>
      <c r="I375">
        <v>13.01</v>
      </c>
      <c r="J375" t="s">
        <v>3871</v>
      </c>
      <c r="K375">
        <v>0.88119999999999998</v>
      </c>
      <c r="L375" s="111">
        <v>2.3779999999999999E-3</v>
      </c>
      <c r="AB375" s="111"/>
      <c r="AC375" s="111"/>
    </row>
    <row r="376" spans="1:29" x14ac:dyDescent="0.55000000000000004">
      <c r="A376" t="s">
        <v>4227</v>
      </c>
      <c r="B376">
        <v>15.47</v>
      </c>
      <c r="C376">
        <v>5.8209999999999997</v>
      </c>
      <c r="D376">
        <v>3.7309999999999999</v>
      </c>
      <c r="E376">
        <v>15.42</v>
      </c>
      <c r="F376">
        <v>15.05</v>
      </c>
      <c r="G376">
        <v>14.09</v>
      </c>
      <c r="H376">
        <v>9.9770000000000003</v>
      </c>
      <c r="I376">
        <v>9.9440000000000008</v>
      </c>
      <c r="J376" t="s">
        <v>3871</v>
      </c>
      <c r="K376">
        <v>0.72789999999999999</v>
      </c>
      <c r="L376" s="111">
        <v>1.274E-5</v>
      </c>
      <c r="M376" s="118"/>
      <c r="N376" s="118"/>
      <c r="AB376" s="111"/>
      <c r="AC376" s="111"/>
    </row>
    <row r="377" spans="1:29" x14ac:dyDescent="0.55000000000000004">
      <c r="A377" t="s">
        <v>4228</v>
      </c>
      <c r="B377">
        <v>15.97</v>
      </c>
      <c r="C377">
        <v>4.92</v>
      </c>
      <c r="D377">
        <v>3.0030000000000001</v>
      </c>
      <c r="E377">
        <v>15.85</v>
      </c>
      <c r="F377">
        <v>15.17</v>
      </c>
      <c r="G377">
        <v>13.65</v>
      </c>
      <c r="H377">
        <v>9.0609999999999999</v>
      </c>
      <c r="I377">
        <v>9.0259999999999998</v>
      </c>
      <c r="J377" t="s">
        <v>3871</v>
      </c>
      <c r="K377">
        <v>0.74929999999999997</v>
      </c>
      <c r="L377" s="111">
        <v>1.655E-6</v>
      </c>
      <c r="AB377" s="111"/>
      <c r="AC377" s="111"/>
    </row>
    <row r="378" spans="1:29" x14ac:dyDescent="0.55000000000000004">
      <c r="A378" t="s">
        <v>4229</v>
      </c>
      <c r="B378">
        <v>20.27</v>
      </c>
      <c r="C378">
        <v>4.327</v>
      </c>
      <c r="D378">
        <v>2.1619999999999999</v>
      </c>
      <c r="E378">
        <v>19.96</v>
      </c>
      <c r="F378">
        <v>18.54</v>
      </c>
      <c r="G378">
        <v>15.11</v>
      </c>
      <c r="H378">
        <v>9.1</v>
      </c>
      <c r="I378">
        <v>9.0510000000000002</v>
      </c>
      <c r="J378" t="s">
        <v>3871</v>
      </c>
      <c r="K378">
        <v>0.71130000000000004</v>
      </c>
      <c r="L378" s="111">
        <v>1.663E-7</v>
      </c>
      <c r="M378" s="118"/>
      <c r="N378" s="118"/>
      <c r="AB378" s="111"/>
      <c r="AC378" s="111"/>
    </row>
    <row r="379" spans="1:29" x14ac:dyDescent="0.55000000000000004">
      <c r="A379" t="s">
        <v>4230</v>
      </c>
      <c r="B379">
        <v>21.68</v>
      </c>
      <c r="C379">
        <v>5.5789999999999997</v>
      </c>
      <c r="D379">
        <v>3.0249999999999999</v>
      </c>
      <c r="E379">
        <v>21.45</v>
      </c>
      <c r="F379">
        <v>20.52</v>
      </c>
      <c r="G379">
        <v>17.96</v>
      </c>
      <c r="H379">
        <v>11.07</v>
      </c>
      <c r="I379">
        <v>11.02</v>
      </c>
      <c r="J379" s="111">
        <v>5.821E-5</v>
      </c>
      <c r="K379">
        <v>1.3240000000000001</v>
      </c>
      <c r="L379" s="111">
        <v>8.9710000000000007E-5</v>
      </c>
      <c r="AB379" s="111"/>
      <c r="AC379" s="111"/>
    </row>
    <row r="380" spans="1:29" x14ac:dyDescent="0.55000000000000004">
      <c r="A380" t="s">
        <v>4231</v>
      </c>
      <c r="B380">
        <v>16.100000000000001</v>
      </c>
      <c r="C380">
        <v>6.4530000000000003</v>
      </c>
      <c r="D380">
        <v>4.4020000000000001</v>
      </c>
      <c r="E380">
        <v>16.03</v>
      </c>
      <c r="F380">
        <v>15.59</v>
      </c>
      <c r="G380">
        <v>14.52</v>
      </c>
      <c r="H380">
        <v>10.48</v>
      </c>
      <c r="I380">
        <v>10.45</v>
      </c>
      <c r="J380" t="s">
        <v>3871</v>
      </c>
      <c r="K380">
        <v>0.75009999999999999</v>
      </c>
      <c r="L380" s="111">
        <v>8.0099999999999995E-4</v>
      </c>
      <c r="AB380" s="111"/>
      <c r="AC380" s="111"/>
    </row>
    <row r="381" spans="1:29" x14ac:dyDescent="0.55000000000000004">
      <c r="A381" t="s">
        <v>4232</v>
      </c>
      <c r="B381">
        <v>16.52</v>
      </c>
      <c r="C381">
        <v>5.2430000000000003</v>
      </c>
      <c r="D381">
        <v>3.2509999999999999</v>
      </c>
      <c r="E381">
        <v>16.38</v>
      </c>
      <c r="F381">
        <v>15.57</v>
      </c>
      <c r="G381">
        <v>13.78</v>
      </c>
      <c r="H381">
        <v>9.234</v>
      </c>
      <c r="I381">
        <v>9.202</v>
      </c>
      <c r="J381" t="s">
        <v>3871</v>
      </c>
      <c r="K381">
        <v>0.53039999999999998</v>
      </c>
      <c r="L381" s="111">
        <v>2.7280000000000001E-7</v>
      </c>
      <c r="M381" s="118"/>
      <c r="N381" s="118"/>
      <c r="AB381" s="111"/>
      <c r="AC381" s="111"/>
    </row>
    <row r="382" spans="1:29" x14ac:dyDescent="0.55000000000000004">
      <c r="A382" t="s">
        <v>4233</v>
      </c>
      <c r="B382">
        <v>21.58</v>
      </c>
      <c r="C382">
        <v>6.085</v>
      </c>
      <c r="D382">
        <v>3.2450000000000001</v>
      </c>
      <c r="E382">
        <v>21.42</v>
      </c>
      <c r="F382">
        <v>20.55</v>
      </c>
      <c r="G382">
        <v>18.09</v>
      </c>
      <c r="H382">
        <v>11.61</v>
      </c>
      <c r="I382">
        <v>11.56</v>
      </c>
      <c r="J382" t="s">
        <v>3871</v>
      </c>
      <c r="K382">
        <v>0.93030000000000002</v>
      </c>
      <c r="L382" s="111">
        <v>5.8950000000000003E-5</v>
      </c>
      <c r="M382" s="118"/>
      <c r="N382" s="118"/>
      <c r="AB382" s="111"/>
      <c r="AC382" s="111"/>
    </row>
    <row r="383" spans="1:29" x14ac:dyDescent="0.55000000000000004">
      <c r="A383" t="s">
        <v>4234</v>
      </c>
      <c r="B383">
        <v>14.14</v>
      </c>
      <c r="C383">
        <v>4.7169999999999996</v>
      </c>
      <c r="D383">
        <v>3.05</v>
      </c>
      <c r="E383">
        <v>14.04</v>
      </c>
      <c r="F383">
        <v>13.47</v>
      </c>
      <c r="G383">
        <v>12.11</v>
      </c>
      <c r="H383">
        <v>8.3849999999999998</v>
      </c>
      <c r="I383">
        <v>8.3529999999999998</v>
      </c>
      <c r="J383" t="s">
        <v>3871</v>
      </c>
      <c r="K383">
        <v>0.21940000000000001</v>
      </c>
      <c r="L383" s="111">
        <v>6.6560000000000001E-11</v>
      </c>
      <c r="M383" s="118"/>
      <c r="N383" s="118"/>
      <c r="AB383" s="111"/>
      <c r="AC383" s="111"/>
    </row>
    <row r="384" spans="1:29" x14ac:dyDescent="0.55000000000000004">
      <c r="A384" t="s">
        <v>4235</v>
      </c>
      <c r="B384">
        <v>29.22</v>
      </c>
      <c r="C384">
        <v>6.6959999999999997</v>
      </c>
      <c r="D384">
        <v>3.7130000000000001</v>
      </c>
      <c r="E384">
        <v>28.9</v>
      </c>
      <c r="F384">
        <v>27.42</v>
      </c>
      <c r="G384">
        <v>22.68</v>
      </c>
      <c r="H384">
        <v>13.71</v>
      </c>
      <c r="I384">
        <v>13.65</v>
      </c>
      <c r="J384" s="111">
        <v>2.418E-4</v>
      </c>
      <c r="K384">
        <v>1.0249999999999999</v>
      </c>
      <c r="L384" s="111">
        <v>2.4420000000000003E-4</v>
      </c>
      <c r="X384" s="111"/>
      <c r="Z384" s="111"/>
      <c r="AB384" s="111"/>
      <c r="AC384" s="111"/>
    </row>
    <row r="385" spans="1:29" x14ac:dyDescent="0.55000000000000004">
      <c r="A385" t="s">
        <v>4236</v>
      </c>
      <c r="B385">
        <v>10.34</v>
      </c>
      <c r="C385">
        <v>4.3099999999999996</v>
      </c>
      <c r="D385">
        <v>3.0779999999999998</v>
      </c>
      <c r="E385">
        <v>10.25</v>
      </c>
      <c r="F385">
        <v>9.8089999999999993</v>
      </c>
      <c r="G385">
        <v>9.234</v>
      </c>
      <c r="H385">
        <v>7.1050000000000004</v>
      </c>
      <c r="I385">
        <v>7.0830000000000002</v>
      </c>
      <c r="J385" t="s">
        <v>3871</v>
      </c>
      <c r="K385" s="111">
        <v>1.086E-13</v>
      </c>
      <c r="L385">
        <v>0</v>
      </c>
      <c r="AB385" s="111"/>
      <c r="AC385" s="111"/>
    </row>
    <row r="386" spans="1:29" x14ac:dyDescent="0.55000000000000004">
      <c r="A386" t="s">
        <v>4237</v>
      </c>
      <c r="B386">
        <v>12.18</v>
      </c>
      <c r="C386">
        <v>3.81</v>
      </c>
      <c r="D386">
        <v>2.6560000000000001</v>
      </c>
      <c r="E386">
        <v>12.12</v>
      </c>
      <c r="F386">
        <v>11.72</v>
      </c>
      <c r="G386">
        <v>10.71</v>
      </c>
      <c r="H386">
        <v>7.1289999999999996</v>
      </c>
      <c r="I386">
        <v>7.1070000000000002</v>
      </c>
      <c r="J386" t="s">
        <v>3871</v>
      </c>
      <c r="K386">
        <v>0.26250000000000001</v>
      </c>
      <c r="L386" s="111">
        <v>1.763E-9</v>
      </c>
      <c r="M386" s="118"/>
      <c r="N386" s="118"/>
      <c r="Z386" s="111"/>
      <c r="AB386" s="111"/>
      <c r="AC386" s="111"/>
    </row>
    <row r="387" spans="1:29" x14ac:dyDescent="0.55000000000000004">
      <c r="A387" t="s">
        <v>4238</v>
      </c>
      <c r="B387">
        <v>11.59</v>
      </c>
      <c r="C387">
        <v>4.3019999999999996</v>
      </c>
      <c r="D387">
        <v>2.6869999999999998</v>
      </c>
      <c r="E387">
        <v>11.53</v>
      </c>
      <c r="F387">
        <v>11.07</v>
      </c>
      <c r="G387">
        <v>9.6669999999999998</v>
      </c>
      <c r="H387">
        <v>7.1</v>
      </c>
      <c r="I387">
        <v>7.0709999999999997</v>
      </c>
      <c r="J387" t="s">
        <v>3871</v>
      </c>
      <c r="K387" s="111">
        <v>4.8540000000000001E-14</v>
      </c>
      <c r="L387">
        <v>0</v>
      </c>
      <c r="M387" s="118"/>
      <c r="N387" s="118"/>
      <c r="Z387" s="111"/>
      <c r="AB387" s="111"/>
      <c r="AC387" s="111"/>
    </row>
    <row r="388" spans="1:29" x14ac:dyDescent="0.55000000000000004">
      <c r="A388" t="s">
        <v>4239</v>
      </c>
      <c r="B388">
        <v>17.28</v>
      </c>
      <c r="C388">
        <v>4.05</v>
      </c>
      <c r="D388">
        <v>2.2269999999999999</v>
      </c>
      <c r="E388">
        <v>17.100000000000001</v>
      </c>
      <c r="F388">
        <v>16.059999999999999</v>
      </c>
      <c r="G388">
        <v>13.77</v>
      </c>
      <c r="H388">
        <v>8.6820000000000004</v>
      </c>
      <c r="I388">
        <v>8.6359999999999992</v>
      </c>
      <c r="J388" t="s">
        <v>3871</v>
      </c>
      <c r="K388" s="111">
        <v>1.2529999999999999E-2</v>
      </c>
      <c r="L388" s="111">
        <v>2.1389999999999999E-27</v>
      </c>
      <c r="Z388" s="111"/>
      <c r="AB388" s="111"/>
      <c r="AC388" s="111"/>
    </row>
    <row r="389" spans="1:29" x14ac:dyDescent="0.55000000000000004">
      <c r="A389" t="s">
        <v>4240</v>
      </c>
      <c r="B389">
        <v>21.3</v>
      </c>
      <c r="C389">
        <v>4.5250000000000004</v>
      </c>
      <c r="D389">
        <v>2.3889999999999998</v>
      </c>
      <c r="E389">
        <v>21</v>
      </c>
      <c r="F389">
        <v>19.43</v>
      </c>
      <c r="G389">
        <v>15.77</v>
      </c>
      <c r="H389">
        <v>9.4700000000000006</v>
      </c>
      <c r="I389">
        <v>9.423</v>
      </c>
      <c r="J389" t="s">
        <v>3871</v>
      </c>
      <c r="K389">
        <v>0.11899999999999999</v>
      </c>
      <c r="L389" s="111">
        <v>1.6210000000000001E-16</v>
      </c>
      <c r="Z389" s="111"/>
      <c r="AB389" s="111"/>
      <c r="AC389" s="111"/>
    </row>
    <row r="390" spans="1:29" x14ac:dyDescent="0.55000000000000004">
      <c r="A390" t="s">
        <v>4241</v>
      </c>
      <c r="B390">
        <v>6.7359999999999998</v>
      </c>
      <c r="C390">
        <v>1.583</v>
      </c>
      <c r="D390">
        <v>1.1679999999999999</v>
      </c>
      <c r="E390">
        <v>6.6589999999999998</v>
      </c>
      <c r="F390">
        <v>6.2050000000000001</v>
      </c>
      <c r="G390">
        <v>5.12</v>
      </c>
      <c r="H390">
        <v>3.395</v>
      </c>
      <c r="I390">
        <v>3.3769999999999998</v>
      </c>
      <c r="J390" t="s">
        <v>3871</v>
      </c>
      <c r="K390" s="111">
        <v>7.2860000000000004E-4</v>
      </c>
      <c r="L390" s="111">
        <v>1.1540000000000001E-54</v>
      </c>
      <c r="AB390" s="111"/>
      <c r="AC390" s="111"/>
    </row>
    <row r="391" spans="1:29" x14ac:dyDescent="0.55000000000000004">
      <c r="A391" t="s">
        <v>4242</v>
      </c>
      <c r="B391">
        <v>7.1280000000000001</v>
      </c>
      <c r="C391">
        <v>3.1909999999999998</v>
      </c>
      <c r="D391">
        <v>2.3809999999999998</v>
      </c>
      <c r="E391">
        <v>7.0970000000000004</v>
      </c>
      <c r="F391">
        <v>6.8289999999999997</v>
      </c>
      <c r="G391">
        <v>6.3019999999999996</v>
      </c>
      <c r="H391">
        <v>5.0039999999999996</v>
      </c>
      <c r="I391">
        <v>4.9870000000000001</v>
      </c>
      <c r="J391" t="s">
        <v>3871</v>
      </c>
      <c r="K391">
        <v>0.31280000000000002</v>
      </c>
      <c r="L391" s="111">
        <v>5.8470000000000001E-6</v>
      </c>
      <c r="AB391" s="111"/>
      <c r="AC391" s="111"/>
    </row>
    <row r="392" spans="1:29" x14ac:dyDescent="0.55000000000000004">
      <c r="A392" t="s">
        <v>4243</v>
      </c>
      <c r="B392">
        <v>7.9349999999999996</v>
      </c>
      <c r="C392">
        <v>2.4119999999999999</v>
      </c>
      <c r="D392">
        <v>1.6950000000000001</v>
      </c>
      <c r="E392">
        <v>7.8680000000000003</v>
      </c>
      <c r="F392">
        <v>7.5010000000000003</v>
      </c>
      <c r="G392">
        <v>6.617</v>
      </c>
      <c r="H392">
        <v>4.5110000000000001</v>
      </c>
      <c r="I392">
        <v>4.4930000000000003</v>
      </c>
      <c r="J392" t="s">
        <v>3871</v>
      </c>
      <c r="K392">
        <v>0</v>
      </c>
      <c r="L392">
        <v>0</v>
      </c>
      <c r="Y392" s="111"/>
      <c r="Z392" s="111"/>
      <c r="AB392" s="111"/>
      <c r="AC392" s="111"/>
    </row>
    <row r="393" spans="1:29" x14ac:dyDescent="0.55000000000000004">
      <c r="A393" t="s">
        <v>4244</v>
      </c>
      <c r="B393">
        <v>5.7290000000000001</v>
      </c>
      <c r="C393">
        <v>2.5609999999999999</v>
      </c>
      <c r="D393">
        <v>2.14</v>
      </c>
      <c r="E393">
        <v>5.7030000000000003</v>
      </c>
      <c r="F393">
        <v>5.5039999999999996</v>
      </c>
      <c r="G393">
        <v>5.1319999999999997</v>
      </c>
      <c r="H393">
        <v>3.8809999999999998</v>
      </c>
      <c r="I393">
        <v>3.871</v>
      </c>
      <c r="J393" t="s">
        <v>3871</v>
      </c>
      <c r="K393" s="111">
        <v>1.0039999999999999E-13</v>
      </c>
      <c r="L393">
        <v>0</v>
      </c>
      <c r="M393" s="118"/>
      <c r="N393" s="118"/>
      <c r="AB393" s="111"/>
      <c r="AC393" s="111"/>
    </row>
    <row r="394" spans="1:29" x14ac:dyDescent="0.55000000000000004">
      <c r="A394" t="s">
        <v>4245</v>
      </c>
      <c r="B394">
        <v>5.73</v>
      </c>
      <c r="C394">
        <v>2.6309999999999998</v>
      </c>
      <c r="D394">
        <v>2.206</v>
      </c>
      <c r="E394">
        <v>5.702</v>
      </c>
      <c r="F394">
        <v>5.548</v>
      </c>
      <c r="G394">
        <v>5.2050000000000001</v>
      </c>
      <c r="H394">
        <v>3.944</v>
      </c>
      <c r="I394">
        <v>3.9359999999999999</v>
      </c>
      <c r="J394" t="s">
        <v>3871</v>
      </c>
      <c r="K394" s="111">
        <v>3.2469999999999999E-2</v>
      </c>
      <c r="L394" s="111">
        <v>4.3539999999999998E-24</v>
      </c>
      <c r="M394" s="118"/>
      <c r="N394" s="118"/>
      <c r="AB394" s="111"/>
      <c r="AC394" s="111"/>
    </row>
    <row r="395" spans="1:29" x14ac:dyDescent="0.55000000000000004">
      <c r="A395" t="s">
        <v>4246</v>
      </c>
      <c r="B395">
        <v>10.41</v>
      </c>
      <c r="C395">
        <v>3.694</v>
      </c>
      <c r="D395">
        <v>2.3029999999999999</v>
      </c>
      <c r="E395">
        <v>10.31</v>
      </c>
      <c r="F395">
        <v>9.8049999999999997</v>
      </c>
      <c r="G395">
        <v>8.9529999999999994</v>
      </c>
      <c r="H395">
        <v>6.3760000000000003</v>
      </c>
      <c r="I395">
        <v>6.359</v>
      </c>
      <c r="J395" t="s">
        <v>3871</v>
      </c>
      <c r="K395">
        <v>0.1515</v>
      </c>
      <c r="L395" s="111">
        <v>1.926E-11</v>
      </c>
      <c r="AB395" s="111"/>
      <c r="AC395" s="111"/>
    </row>
    <row r="396" spans="1:29" x14ac:dyDescent="0.55000000000000004">
      <c r="A396" t="s">
        <v>4247</v>
      </c>
      <c r="B396">
        <v>15.93</v>
      </c>
      <c r="C396">
        <v>6.95</v>
      </c>
      <c r="D396">
        <v>4.5810000000000004</v>
      </c>
      <c r="E396">
        <v>15.87</v>
      </c>
      <c r="F396">
        <v>15.57</v>
      </c>
      <c r="G396">
        <v>14.62</v>
      </c>
      <c r="H396">
        <v>10.62</v>
      </c>
      <c r="I396">
        <v>10.6</v>
      </c>
      <c r="J396" t="s">
        <v>3871</v>
      </c>
      <c r="K396">
        <v>0.88119999999999998</v>
      </c>
      <c r="L396" s="111">
        <v>2.3909999999999999E-3</v>
      </c>
      <c r="AB396" s="111"/>
      <c r="AC396" s="111"/>
    </row>
    <row r="397" spans="1:29" x14ac:dyDescent="0.55000000000000004">
      <c r="A397" t="s">
        <v>4248</v>
      </c>
      <c r="B397">
        <v>12.4</v>
      </c>
      <c r="C397">
        <v>4.6609999999999996</v>
      </c>
      <c r="D397">
        <v>2.5619999999999998</v>
      </c>
      <c r="E397">
        <v>12.35</v>
      </c>
      <c r="F397">
        <v>12.04</v>
      </c>
      <c r="G397">
        <v>11.34</v>
      </c>
      <c r="H397">
        <v>7.9260000000000002</v>
      </c>
      <c r="I397">
        <v>7.9</v>
      </c>
      <c r="J397" t="s">
        <v>3871</v>
      </c>
      <c r="K397">
        <v>0.72789999999999999</v>
      </c>
      <c r="L397" s="111">
        <v>1.2799999999999999E-5</v>
      </c>
      <c r="M397" s="118"/>
      <c r="N397" s="118"/>
      <c r="AB397" s="111"/>
      <c r="AC397" s="111"/>
    </row>
    <row r="398" spans="1:29" x14ac:dyDescent="0.55000000000000004">
      <c r="A398" t="s">
        <v>4249</v>
      </c>
      <c r="B398">
        <v>13.06</v>
      </c>
      <c r="C398">
        <v>3.9940000000000002</v>
      </c>
      <c r="D398">
        <v>2.0619999999999998</v>
      </c>
      <c r="E398">
        <v>12.96</v>
      </c>
      <c r="F398">
        <v>12.4</v>
      </c>
      <c r="G398">
        <v>11.13</v>
      </c>
      <c r="H398">
        <v>7.3440000000000003</v>
      </c>
      <c r="I398">
        <v>7.3150000000000004</v>
      </c>
      <c r="J398" t="s">
        <v>3871</v>
      </c>
      <c r="K398">
        <v>0.74929999999999997</v>
      </c>
      <c r="L398" s="111">
        <v>1.6640000000000001E-6</v>
      </c>
      <c r="AB398" s="111"/>
      <c r="AC398" s="111"/>
    </row>
    <row r="399" spans="1:29" x14ac:dyDescent="0.55000000000000004">
      <c r="A399" t="s">
        <v>4250</v>
      </c>
      <c r="B399">
        <v>17.690000000000001</v>
      </c>
      <c r="C399">
        <v>3.7250000000000001</v>
      </c>
      <c r="D399">
        <v>1.5760000000000001</v>
      </c>
      <c r="E399">
        <v>17.420000000000002</v>
      </c>
      <c r="F399">
        <v>16.23</v>
      </c>
      <c r="G399">
        <v>13.18</v>
      </c>
      <c r="H399">
        <v>7.8730000000000002</v>
      </c>
      <c r="I399">
        <v>7.83</v>
      </c>
      <c r="J399" t="s">
        <v>3871</v>
      </c>
      <c r="K399">
        <v>0.71130000000000004</v>
      </c>
      <c r="L399" s="111">
        <v>1.6719999999999999E-7</v>
      </c>
      <c r="M399" s="118"/>
      <c r="N399" s="118"/>
      <c r="AB399" s="111"/>
      <c r="AC399" s="111"/>
    </row>
    <row r="400" spans="1:29" x14ac:dyDescent="0.55000000000000004">
      <c r="A400" t="s">
        <v>4251</v>
      </c>
      <c r="B400">
        <v>18.940000000000001</v>
      </c>
      <c r="C400">
        <v>4.8890000000000002</v>
      </c>
      <c r="D400">
        <v>2.3159999999999998</v>
      </c>
      <c r="E400">
        <v>18.72</v>
      </c>
      <c r="F400">
        <v>17.82</v>
      </c>
      <c r="G400">
        <v>15.69</v>
      </c>
      <c r="H400">
        <v>9.6690000000000005</v>
      </c>
      <c r="I400">
        <v>9.6219999999999999</v>
      </c>
      <c r="J400" s="111">
        <v>5.8520000000000002E-5</v>
      </c>
      <c r="K400">
        <v>1.3240000000000001</v>
      </c>
      <c r="L400" s="111">
        <v>9.0179999999999994E-5</v>
      </c>
      <c r="AB400" s="111"/>
      <c r="AC400" s="111"/>
    </row>
    <row r="401" spans="1:29" x14ac:dyDescent="0.55000000000000004">
      <c r="A401" t="s">
        <v>4252</v>
      </c>
      <c r="B401">
        <v>12.94</v>
      </c>
      <c r="C401">
        <v>5.0250000000000004</v>
      </c>
      <c r="D401">
        <v>3.0230000000000001</v>
      </c>
      <c r="E401">
        <v>12.89</v>
      </c>
      <c r="F401">
        <v>12.51</v>
      </c>
      <c r="G401">
        <v>11.62</v>
      </c>
      <c r="H401">
        <v>8.2420000000000009</v>
      </c>
      <c r="I401">
        <v>8.218</v>
      </c>
      <c r="J401" t="s">
        <v>3871</v>
      </c>
      <c r="K401">
        <v>0.75009999999999999</v>
      </c>
      <c r="L401" s="111">
        <v>8.0519999999999995E-4</v>
      </c>
      <c r="AB401" s="111"/>
      <c r="AC401" s="111"/>
    </row>
    <row r="402" spans="1:29" x14ac:dyDescent="0.55000000000000004">
      <c r="A402" t="s">
        <v>4253</v>
      </c>
      <c r="B402">
        <v>13.54</v>
      </c>
      <c r="C402">
        <v>4.2389999999999999</v>
      </c>
      <c r="D402">
        <v>2.2170000000000001</v>
      </c>
      <c r="E402">
        <v>13.42</v>
      </c>
      <c r="F402">
        <v>12.86</v>
      </c>
      <c r="G402">
        <v>11.42</v>
      </c>
      <c r="H402">
        <v>7.4740000000000002</v>
      </c>
      <c r="I402">
        <v>7.4470000000000001</v>
      </c>
      <c r="J402" t="s">
        <v>3871</v>
      </c>
      <c r="K402">
        <v>0.53039999999999998</v>
      </c>
      <c r="L402" s="111">
        <v>2.7420000000000001E-7</v>
      </c>
      <c r="M402" s="118"/>
      <c r="N402" s="118"/>
      <c r="AB402" s="111"/>
      <c r="AC402" s="111"/>
    </row>
    <row r="403" spans="1:29" x14ac:dyDescent="0.55000000000000004">
      <c r="A403" t="s">
        <v>4254</v>
      </c>
      <c r="B403">
        <v>18.64</v>
      </c>
      <c r="C403">
        <v>5.2670000000000003</v>
      </c>
      <c r="D403">
        <v>2.4129999999999998</v>
      </c>
      <c r="E403">
        <v>18.5</v>
      </c>
      <c r="F403">
        <v>17.79</v>
      </c>
      <c r="G403">
        <v>15.88</v>
      </c>
      <c r="H403">
        <v>10.029999999999999</v>
      </c>
      <c r="I403">
        <v>9.9930000000000003</v>
      </c>
      <c r="J403" t="s">
        <v>3871</v>
      </c>
      <c r="K403">
        <v>0.93030000000000002</v>
      </c>
      <c r="L403" s="111">
        <v>5.9259999999999998E-5</v>
      </c>
      <c r="M403" s="118"/>
      <c r="N403" s="118"/>
      <c r="AB403" s="111"/>
      <c r="AC403" s="111"/>
    </row>
    <row r="404" spans="1:29" x14ac:dyDescent="0.55000000000000004">
      <c r="A404" t="s">
        <v>4255</v>
      </c>
      <c r="B404">
        <v>11.25</v>
      </c>
      <c r="C404">
        <v>3.62</v>
      </c>
      <c r="D404">
        <v>1.9790000000000001</v>
      </c>
      <c r="E404">
        <v>11.16</v>
      </c>
      <c r="F404">
        <v>10.67</v>
      </c>
      <c r="G404">
        <v>9.577</v>
      </c>
      <c r="H404">
        <v>6.4489999999999998</v>
      </c>
      <c r="I404">
        <v>6.4240000000000004</v>
      </c>
      <c r="J404" t="s">
        <v>3871</v>
      </c>
      <c r="K404">
        <v>0.21940000000000001</v>
      </c>
      <c r="L404" s="111">
        <v>6.6910000000000005E-11</v>
      </c>
      <c r="M404" s="118"/>
      <c r="N404" s="118"/>
      <c r="AB404" s="111"/>
      <c r="AC404" s="111"/>
    </row>
    <row r="405" spans="1:29" x14ac:dyDescent="0.55000000000000004">
      <c r="A405" t="s">
        <v>4256</v>
      </c>
      <c r="B405">
        <v>26.51</v>
      </c>
      <c r="C405">
        <v>6.0659999999999998</v>
      </c>
      <c r="D405">
        <v>3.0670000000000002</v>
      </c>
      <c r="E405">
        <v>26.21</v>
      </c>
      <c r="F405">
        <v>24.88</v>
      </c>
      <c r="G405">
        <v>20.77</v>
      </c>
      <c r="H405">
        <v>12.44</v>
      </c>
      <c r="I405">
        <v>12.37</v>
      </c>
      <c r="J405" s="111">
        <v>2.431E-4</v>
      </c>
      <c r="K405">
        <v>1.0249999999999999</v>
      </c>
      <c r="L405" s="111">
        <v>2.454E-4</v>
      </c>
      <c r="AB405" s="111"/>
      <c r="AC405" s="111"/>
    </row>
    <row r="406" spans="1:29" x14ac:dyDescent="0.55000000000000004">
      <c r="A406" t="s">
        <v>4257</v>
      </c>
      <c r="B406">
        <v>7.6239999999999997</v>
      </c>
      <c r="C406">
        <v>2.9710000000000001</v>
      </c>
      <c r="D406">
        <v>1.8129999999999999</v>
      </c>
      <c r="E406">
        <v>7.5579999999999998</v>
      </c>
      <c r="F406">
        <v>7.23</v>
      </c>
      <c r="G406">
        <v>6.5990000000000002</v>
      </c>
      <c r="H406">
        <v>5.024</v>
      </c>
      <c r="I406">
        <v>5.0069999999999997</v>
      </c>
      <c r="J406" t="s">
        <v>3871</v>
      </c>
      <c r="K406" s="111">
        <v>1.086E-13</v>
      </c>
      <c r="L406">
        <v>0</v>
      </c>
      <c r="AB406" s="111"/>
      <c r="AC406" s="111"/>
    </row>
    <row r="407" spans="1:29" x14ac:dyDescent="0.55000000000000004">
      <c r="A407" t="s">
        <v>4258</v>
      </c>
      <c r="B407">
        <v>9.3249999999999993</v>
      </c>
      <c r="C407">
        <v>2.879</v>
      </c>
      <c r="D407">
        <v>1.702</v>
      </c>
      <c r="E407">
        <v>9.2669999999999995</v>
      </c>
      <c r="F407">
        <v>8.9960000000000004</v>
      </c>
      <c r="G407">
        <v>8.1980000000000004</v>
      </c>
      <c r="H407">
        <v>5.367</v>
      </c>
      <c r="I407">
        <v>5.3419999999999996</v>
      </c>
      <c r="J407" t="s">
        <v>3871</v>
      </c>
      <c r="K407">
        <v>0.26250000000000001</v>
      </c>
      <c r="L407" s="111">
        <v>1.773E-9</v>
      </c>
      <c r="M407" s="118"/>
      <c r="N407" s="118"/>
      <c r="AB407" s="111"/>
      <c r="AC407" s="111"/>
    </row>
    <row r="408" spans="1:29" x14ac:dyDescent="0.55000000000000004">
      <c r="A408" t="s">
        <v>4259</v>
      </c>
      <c r="B408">
        <v>8.8460000000000001</v>
      </c>
      <c r="C408">
        <v>2.9809999999999999</v>
      </c>
      <c r="D408">
        <v>1.4950000000000001</v>
      </c>
      <c r="E408">
        <v>8.7739999999999991</v>
      </c>
      <c r="F408">
        <v>8.4849999999999994</v>
      </c>
      <c r="G408">
        <v>7.4980000000000002</v>
      </c>
      <c r="H408">
        <v>5.0460000000000003</v>
      </c>
      <c r="I408">
        <v>5.0209999999999999</v>
      </c>
      <c r="J408" t="s">
        <v>3871</v>
      </c>
      <c r="K408" s="111">
        <v>4.8540000000000001E-14</v>
      </c>
      <c r="L408">
        <v>0</v>
      </c>
      <c r="M408" s="118"/>
      <c r="N408" s="118"/>
      <c r="AB408" s="111"/>
      <c r="AC408" s="111"/>
    </row>
    <row r="409" spans="1:29" x14ac:dyDescent="0.55000000000000004">
      <c r="A409" t="s">
        <v>4260</v>
      </c>
      <c r="B409">
        <v>14.68</v>
      </c>
      <c r="C409">
        <v>3.34</v>
      </c>
      <c r="D409">
        <v>1.5329999999999999</v>
      </c>
      <c r="E409">
        <v>14.49</v>
      </c>
      <c r="F409">
        <v>13.47</v>
      </c>
      <c r="G409">
        <v>11.67</v>
      </c>
      <c r="H409">
        <v>7.28</v>
      </c>
      <c r="I409">
        <v>7.2469999999999999</v>
      </c>
      <c r="J409" t="s">
        <v>3871</v>
      </c>
      <c r="K409" s="111">
        <v>1.2529999999999999E-2</v>
      </c>
      <c r="L409" s="111">
        <v>2.15E-27</v>
      </c>
      <c r="AB409" s="111"/>
      <c r="AC409" s="111"/>
    </row>
    <row r="410" spans="1:29" x14ac:dyDescent="0.55000000000000004">
      <c r="A410" t="s">
        <v>4261</v>
      </c>
      <c r="B410">
        <v>18.57</v>
      </c>
      <c r="C410">
        <v>3.8319999999999999</v>
      </c>
      <c r="D410">
        <v>1.698</v>
      </c>
      <c r="E410">
        <v>18.41</v>
      </c>
      <c r="F410">
        <v>17.16</v>
      </c>
      <c r="G410">
        <v>13.94</v>
      </c>
      <c r="H410">
        <v>8.1820000000000004</v>
      </c>
      <c r="I410">
        <v>8.1359999999999992</v>
      </c>
      <c r="J410" t="s">
        <v>3871</v>
      </c>
      <c r="K410">
        <v>0.11899999999999999</v>
      </c>
      <c r="L410" s="111">
        <v>1.6289999999999999E-16</v>
      </c>
      <c r="Z410" s="111"/>
      <c r="AB410" s="111"/>
      <c r="AC410" s="111"/>
    </row>
    <row r="411" spans="1:29" x14ac:dyDescent="0.55000000000000004">
      <c r="A411" t="s">
        <v>4262</v>
      </c>
      <c r="B411">
        <v>3.9980000000000002</v>
      </c>
      <c r="C411">
        <v>0.89980000000000004</v>
      </c>
      <c r="D411">
        <v>0.51200000000000001</v>
      </c>
      <c r="E411">
        <v>3.9460000000000002</v>
      </c>
      <c r="F411">
        <v>3.6859999999999999</v>
      </c>
      <c r="G411">
        <v>3.121</v>
      </c>
      <c r="H411">
        <v>1.9850000000000001</v>
      </c>
      <c r="I411">
        <v>1.9710000000000001</v>
      </c>
      <c r="J411" t="s">
        <v>3871</v>
      </c>
      <c r="K411" s="111">
        <v>7.2860000000000004E-4</v>
      </c>
      <c r="L411" s="111">
        <v>1.1610000000000001E-54</v>
      </c>
      <c r="AB411" s="111"/>
      <c r="AC411" s="111"/>
    </row>
    <row r="412" spans="1:29" x14ac:dyDescent="0.55000000000000004">
      <c r="A412" t="s">
        <v>4263</v>
      </c>
      <c r="B412">
        <v>4.0339999999999998</v>
      </c>
      <c r="C412">
        <v>1.6990000000000001</v>
      </c>
      <c r="D412">
        <v>1.02</v>
      </c>
      <c r="E412">
        <v>4.0209999999999999</v>
      </c>
      <c r="F412">
        <v>3.9140000000000001</v>
      </c>
      <c r="G412">
        <v>3.673</v>
      </c>
      <c r="H412">
        <v>2.7210000000000001</v>
      </c>
      <c r="I412">
        <v>2.7679999999999998</v>
      </c>
      <c r="J412" t="s">
        <v>3871</v>
      </c>
      <c r="K412">
        <v>0.31280000000000002</v>
      </c>
      <c r="L412" s="111">
        <v>5.8780000000000003E-6</v>
      </c>
      <c r="AB412" s="111"/>
      <c r="AC412" s="111"/>
    </row>
    <row r="413" spans="1:29" x14ac:dyDescent="0.55000000000000004">
      <c r="A413" t="s">
        <v>4264</v>
      </c>
      <c r="B413">
        <v>5.0460000000000003</v>
      </c>
      <c r="C413">
        <v>1.506</v>
      </c>
      <c r="D413">
        <v>0.80640000000000001</v>
      </c>
      <c r="E413">
        <v>5.0110000000000001</v>
      </c>
      <c r="F413">
        <v>4.7329999999999997</v>
      </c>
      <c r="G413">
        <v>4.2560000000000002</v>
      </c>
      <c r="H413">
        <v>2.8250000000000002</v>
      </c>
      <c r="I413">
        <v>2.8140000000000001</v>
      </c>
      <c r="J413" t="s">
        <v>3871</v>
      </c>
      <c r="K413">
        <v>0</v>
      </c>
      <c r="L413">
        <v>0</v>
      </c>
      <c r="AB413" s="111"/>
      <c r="AC413" s="111"/>
    </row>
    <row r="414" spans="1:29" x14ac:dyDescent="0.55000000000000004">
      <c r="A414" t="s">
        <v>4265</v>
      </c>
      <c r="B414">
        <v>2.6280000000000001</v>
      </c>
      <c r="C414">
        <v>1.0960000000000001</v>
      </c>
      <c r="D414">
        <v>0.80210000000000004</v>
      </c>
      <c r="E414">
        <v>2.62</v>
      </c>
      <c r="F414">
        <v>2.5529999999999999</v>
      </c>
      <c r="G414">
        <v>2.355</v>
      </c>
      <c r="H414">
        <v>1.724</v>
      </c>
      <c r="I414">
        <v>1.72</v>
      </c>
      <c r="J414" t="s">
        <v>3871</v>
      </c>
      <c r="K414" s="111">
        <v>1.0039999999999999E-13</v>
      </c>
      <c r="L414">
        <v>0</v>
      </c>
      <c r="M414" s="118"/>
      <c r="N414" s="118"/>
      <c r="Z414" s="111"/>
      <c r="AB414" s="111"/>
      <c r="AC414" s="111"/>
    </row>
    <row r="415" spans="1:29" x14ac:dyDescent="0.55000000000000004">
      <c r="A415" t="s">
        <v>4266</v>
      </c>
      <c r="B415">
        <v>2.68</v>
      </c>
      <c r="C415">
        <v>1.115</v>
      </c>
      <c r="D415">
        <v>0.72619999999999996</v>
      </c>
      <c r="E415">
        <v>2.66</v>
      </c>
      <c r="F415">
        <v>2.5510000000000002</v>
      </c>
      <c r="G415">
        <v>2.2799999999999998</v>
      </c>
      <c r="H415">
        <v>1.6990000000000001</v>
      </c>
      <c r="I415">
        <v>1.6950000000000001</v>
      </c>
      <c r="J415" t="s">
        <v>3871</v>
      </c>
      <c r="K415" s="111">
        <v>3.2469999999999999E-2</v>
      </c>
      <c r="L415" s="111">
        <v>4.3770000000000003E-24</v>
      </c>
      <c r="M415" s="118"/>
      <c r="N415" s="118"/>
      <c r="AB415" s="111"/>
      <c r="AC415" s="111"/>
    </row>
    <row r="416" spans="1:29" x14ac:dyDescent="0.55000000000000004">
      <c r="A416" t="s">
        <v>4267</v>
      </c>
      <c r="B416">
        <v>7.6989999999999998</v>
      </c>
      <c r="C416">
        <v>2.6960000000000002</v>
      </c>
      <c r="D416">
        <v>1.3260000000000001</v>
      </c>
      <c r="E416">
        <v>7.6269999999999998</v>
      </c>
      <c r="F416">
        <v>7.27</v>
      </c>
      <c r="G416">
        <v>6.6879999999999997</v>
      </c>
      <c r="H416">
        <v>4.6790000000000003</v>
      </c>
      <c r="I416">
        <v>4.6669999999999998</v>
      </c>
      <c r="J416" t="s">
        <v>3871</v>
      </c>
      <c r="K416">
        <v>0.1515</v>
      </c>
      <c r="L416" s="111">
        <v>1.9360000000000002E-11</v>
      </c>
      <c r="R416" s="111"/>
      <c r="AB416" s="111"/>
      <c r="AC416" s="111"/>
    </row>
    <row r="417" spans="1:29" x14ac:dyDescent="0.55000000000000004">
      <c r="A417"/>
      <c r="B417"/>
      <c r="AB417" s="111"/>
      <c r="AC417" s="111"/>
    </row>
    <row r="418" spans="1:29" x14ac:dyDescent="0.55000000000000004">
      <c r="A418"/>
      <c r="B418"/>
      <c r="M418" s="118"/>
      <c r="N418" s="118"/>
      <c r="AB418" s="111"/>
      <c r="AC418" s="111"/>
    </row>
    <row r="419" spans="1:29" x14ac:dyDescent="0.55000000000000004">
      <c r="A419"/>
      <c r="B419"/>
      <c r="AB419" s="111"/>
      <c r="AC419" s="111"/>
    </row>
    <row r="420" spans="1:29" x14ac:dyDescent="0.55000000000000004">
      <c r="A420"/>
      <c r="B420"/>
      <c r="M420" s="118"/>
      <c r="N420" s="118"/>
      <c r="AB420" s="111"/>
      <c r="AC420" s="111"/>
    </row>
    <row r="421" spans="1:29" x14ac:dyDescent="0.55000000000000004">
      <c r="A421"/>
      <c r="B421"/>
      <c r="X421" s="111"/>
      <c r="Z421" s="111"/>
      <c r="AB421" s="111"/>
      <c r="AC421" s="111"/>
    </row>
    <row r="422" spans="1:29" x14ac:dyDescent="0.55000000000000004">
      <c r="A422"/>
      <c r="B422"/>
      <c r="AB422" s="111"/>
      <c r="AC422" s="111"/>
    </row>
    <row r="423" spans="1:29" x14ac:dyDescent="0.55000000000000004">
      <c r="A423"/>
      <c r="B423"/>
      <c r="M423" s="118"/>
      <c r="N423" s="118"/>
      <c r="AB423" s="111"/>
      <c r="AC423" s="111"/>
    </row>
    <row r="424" spans="1:29" x14ac:dyDescent="0.55000000000000004">
      <c r="A424"/>
      <c r="B424"/>
      <c r="M424" s="118"/>
      <c r="N424" s="118"/>
      <c r="AB424" s="111"/>
      <c r="AC424" s="111"/>
    </row>
    <row r="425" spans="1:29" x14ac:dyDescent="0.55000000000000004">
      <c r="A425"/>
      <c r="B425"/>
      <c r="M425" s="118"/>
      <c r="N425" s="118"/>
      <c r="AB425" s="111"/>
      <c r="AC425" s="111"/>
    </row>
    <row r="426" spans="1:29" x14ac:dyDescent="0.55000000000000004">
      <c r="A426"/>
      <c r="B426"/>
      <c r="AB426" s="111"/>
      <c r="AC426" s="111"/>
    </row>
    <row r="427" spans="1:29" x14ac:dyDescent="0.55000000000000004">
      <c r="A427"/>
      <c r="B427"/>
      <c r="AB427" s="111"/>
      <c r="AC427" s="111"/>
    </row>
    <row r="428" spans="1:29" x14ac:dyDescent="0.55000000000000004">
      <c r="A428"/>
      <c r="B428"/>
      <c r="M428" s="118"/>
      <c r="N428" s="118"/>
      <c r="AB428" s="111"/>
      <c r="AC428" s="111"/>
    </row>
    <row r="429" spans="1:29" x14ac:dyDescent="0.55000000000000004">
      <c r="A429"/>
      <c r="B429"/>
      <c r="M429" s="118"/>
      <c r="N429" s="118"/>
      <c r="Z429" s="111"/>
      <c r="AB429" s="111"/>
      <c r="AC429" s="111"/>
    </row>
    <row r="430" spans="1:29" x14ac:dyDescent="0.55000000000000004">
      <c r="A430"/>
      <c r="B430"/>
      <c r="AB430" s="111"/>
      <c r="AC430" s="111"/>
    </row>
    <row r="431" spans="1:29" x14ac:dyDescent="0.55000000000000004">
      <c r="A431"/>
      <c r="B431"/>
      <c r="L431" s="111"/>
      <c r="Z431" s="111"/>
      <c r="AB431" s="111"/>
      <c r="AC431" s="111"/>
    </row>
    <row r="432" spans="1:29" x14ac:dyDescent="0.55000000000000004">
      <c r="A432"/>
      <c r="B432"/>
      <c r="AB432" s="111"/>
      <c r="AC432" s="111"/>
    </row>
    <row r="433" spans="1:29" x14ac:dyDescent="0.55000000000000004">
      <c r="A433"/>
      <c r="B433"/>
      <c r="Z433" s="111"/>
      <c r="AB433" s="111"/>
      <c r="AC433" s="111"/>
    </row>
    <row r="434" spans="1:29" x14ac:dyDescent="0.55000000000000004">
      <c r="A434"/>
      <c r="B434"/>
      <c r="AB434" s="111"/>
      <c r="AC434" s="111"/>
    </row>
    <row r="435" spans="1:29" x14ac:dyDescent="0.55000000000000004">
      <c r="A435"/>
      <c r="B435"/>
      <c r="L435" s="111"/>
      <c r="M435" s="118"/>
      <c r="N435" s="118"/>
      <c r="AB435" s="111"/>
      <c r="AC435" s="111"/>
    </row>
    <row r="436" spans="1:29" x14ac:dyDescent="0.55000000000000004">
      <c r="A436"/>
      <c r="B436"/>
      <c r="M436" s="118"/>
      <c r="N436" s="118"/>
      <c r="Y436" s="111"/>
      <c r="Z436" s="111"/>
      <c r="AB436" s="111"/>
      <c r="AC436" s="111"/>
    </row>
    <row r="437" spans="1:29" x14ac:dyDescent="0.55000000000000004">
      <c r="A437"/>
      <c r="B437"/>
      <c r="D437" s="111"/>
      <c r="AB437" s="111"/>
      <c r="AC437" s="111"/>
    </row>
    <row r="438" spans="1:29" x14ac:dyDescent="0.55000000000000004">
      <c r="A438"/>
      <c r="B438"/>
      <c r="Y438" s="111"/>
      <c r="Z438" s="111"/>
      <c r="AB438" s="111"/>
      <c r="AC438" s="111"/>
    </row>
    <row r="439" spans="1:29" x14ac:dyDescent="0.55000000000000004">
      <c r="A439"/>
      <c r="B439"/>
      <c r="M439" s="118"/>
      <c r="N439" s="118"/>
      <c r="AB439" s="111"/>
      <c r="AC439" s="111"/>
    </row>
    <row r="440" spans="1:29" x14ac:dyDescent="0.55000000000000004">
      <c r="A440"/>
      <c r="B440"/>
      <c r="AB440" s="111"/>
      <c r="AC440" s="111"/>
    </row>
    <row r="441" spans="1:29" x14ac:dyDescent="0.55000000000000004">
      <c r="A441"/>
      <c r="B441"/>
      <c r="M441" s="118"/>
      <c r="N441" s="118"/>
      <c r="X441" s="111"/>
      <c r="Z441" s="111"/>
      <c r="AB441" s="111"/>
      <c r="AC441" s="111"/>
    </row>
    <row r="442" spans="1:29" x14ac:dyDescent="0.55000000000000004">
      <c r="A442"/>
      <c r="B442"/>
      <c r="J442" s="111"/>
      <c r="L442" s="111"/>
      <c r="AB442" s="111"/>
      <c r="AC442" s="111"/>
    </row>
    <row r="443" spans="1:29" x14ac:dyDescent="0.55000000000000004">
      <c r="A443"/>
      <c r="B443"/>
      <c r="AB443" s="111"/>
      <c r="AC443" s="111"/>
    </row>
    <row r="444" spans="1:29" x14ac:dyDescent="0.55000000000000004">
      <c r="A444"/>
      <c r="B444"/>
      <c r="M444" s="118"/>
      <c r="N444" s="118"/>
      <c r="AB444" s="111"/>
      <c r="AC444" s="111"/>
    </row>
    <row r="445" spans="1:29" x14ac:dyDescent="0.55000000000000004">
      <c r="A445"/>
      <c r="B445"/>
      <c r="M445" s="118"/>
      <c r="N445" s="118"/>
      <c r="AB445" s="111"/>
      <c r="AC445" s="111"/>
    </row>
    <row r="446" spans="1:29" x14ac:dyDescent="0.55000000000000004">
      <c r="A446"/>
      <c r="B446"/>
      <c r="M446" s="118"/>
      <c r="N446" s="118"/>
      <c r="AB446" s="111"/>
      <c r="AC446" s="111"/>
    </row>
    <row r="447" spans="1:29" x14ac:dyDescent="0.55000000000000004">
      <c r="A447"/>
      <c r="B447"/>
      <c r="AB447" s="111"/>
      <c r="AC447" s="111"/>
    </row>
    <row r="448" spans="1:29" x14ac:dyDescent="0.55000000000000004">
      <c r="A448"/>
      <c r="B448"/>
      <c r="AB448" s="111"/>
      <c r="AC448" s="111"/>
    </row>
    <row r="449" spans="1:29" x14ac:dyDescent="0.55000000000000004">
      <c r="A449"/>
      <c r="B449"/>
      <c r="M449" s="118"/>
      <c r="N449" s="118"/>
      <c r="AB449" s="111"/>
      <c r="AC449" s="111"/>
    </row>
    <row r="450" spans="1:29" x14ac:dyDescent="0.55000000000000004">
      <c r="A450"/>
      <c r="B450"/>
      <c r="L450" s="111"/>
      <c r="M450" s="118"/>
      <c r="N450" s="118"/>
      <c r="Z450" s="111"/>
      <c r="AB450" s="111"/>
      <c r="AC450" s="111"/>
    </row>
    <row r="451" spans="1:29" x14ac:dyDescent="0.55000000000000004">
      <c r="A451"/>
      <c r="B451"/>
      <c r="AB451" s="111"/>
      <c r="AC451" s="111"/>
    </row>
    <row r="452" spans="1:29" x14ac:dyDescent="0.55000000000000004">
      <c r="A452"/>
      <c r="B452"/>
      <c r="L452" s="111"/>
      <c r="Z452" s="111"/>
      <c r="AB452" s="111"/>
      <c r="AC452" s="111"/>
    </row>
    <row r="453" spans="1:29" x14ac:dyDescent="0.55000000000000004">
      <c r="A453"/>
      <c r="B453"/>
      <c r="Z453" s="111"/>
      <c r="AB453" s="111"/>
      <c r="AC453" s="111"/>
    </row>
    <row r="454" spans="1:29" x14ac:dyDescent="0.55000000000000004">
      <c r="A454"/>
      <c r="B454"/>
      <c r="L454" s="111"/>
      <c r="Z454" s="111"/>
      <c r="AB454" s="111"/>
      <c r="AC454" s="111"/>
    </row>
    <row r="455" spans="1:29" x14ac:dyDescent="0.55000000000000004">
      <c r="A455"/>
      <c r="B455"/>
      <c r="X455" s="111"/>
      <c r="Z455" s="111"/>
      <c r="AB455" s="111"/>
      <c r="AC455" s="111"/>
    </row>
    <row r="456" spans="1:29" x14ac:dyDescent="0.55000000000000004">
      <c r="A456"/>
      <c r="B456"/>
      <c r="M456" s="118"/>
      <c r="N456" s="118"/>
      <c r="AB456" s="111"/>
      <c r="AC456" s="111"/>
    </row>
    <row r="457" spans="1:29" x14ac:dyDescent="0.55000000000000004">
      <c r="A457"/>
      <c r="B457"/>
      <c r="K457" s="111"/>
      <c r="L457" s="111"/>
      <c r="M457" s="118"/>
      <c r="N457" s="118"/>
      <c r="Z457" s="111"/>
      <c r="AB457" s="111"/>
      <c r="AC457" s="111"/>
    </row>
    <row r="458" spans="1:29" x14ac:dyDescent="0.55000000000000004">
      <c r="A458"/>
      <c r="B458"/>
      <c r="AB458" s="111"/>
      <c r="AC458" s="111"/>
    </row>
    <row r="459" spans="1:29" x14ac:dyDescent="0.55000000000000004">
      <c r="A459"/>
      <c r="B459"/>
      <c r="K459" s="111"/>
      <c r="L459" s="111"/>
      <c r="AB459" s="111"/>
      <c r="AC459" s="111"/>
    </row>
    <row r="460" spans="1:29" x14ac:dyDescent="0.55000000000000004">
      <c r="A460"/>
      <c r="B460"/>
      <c r="M460" s="118"/>
      <c r="N460" s="118"/>
      <c r="AB460" s="111"/>
      <c r="AC460" s="111"/>
    </row>
    <row r="461" spans="1:29" x14ac:dyDescent="0.55000000000000004">
      <c r="A461"/>
      <c r="B461"/>
      <c r="Z461" s="111"/>
      <c r="AB461" s="111"/>
      <c r="AC461" s="111"/>
    </row>
    <row r="462" spans="1:29" x14ac:dyDescent="0.55000000000000004">
      <c r="A462"/>
      <c r="B462"/>
      <c r="J462" s="111"/>
      <c r="L462" s="111"/>
      <c r="M462" s="118"/>
      <c r="N462" s="118"/>
      <c r="Z462" s="111"/>
      <c r="AB462" s="111"/>
      <c r="AC462" s="111"/>
    </row>
    <row r="463" spans="1:29" x14ac:dyDescent="0.55000000000000004">
      <c r="A463"/>
      <c r="B463"/>
      <c r="AB463" s="111"/>
      <c r="AC463" s="111"/>
    </row>
    <row r="464" spans="1:29" x14ac:dyDescent="0.55000000000000004">
      <c r="A464"/>
      <c r="B464"/>
      <c r="AB464" s="111"/>
      <c r="AC464" s="111"/>
    </row>
    <row r="465" spans="1:29" x14ac:dyDescent="0.55000000000000004">
      <c r="A465"/>
      <c r="B465"/>
      <c r="M465" s="118"/>
      <c r="N465" s="118"/>
      <c r="AB465" s="111"/>
      <c r="AC465" s="111"/>
    </row>
    <row r="466" spans="1:29" x14ac:dyDescent="0.55000000000000004">
      <c r="A466"/>
      <c r="B466"/>
      <c r="M466" s="118"/>
      <c r="N466" s="118"/>
      <c r="Z466" s="111"/>
      <c r="AB466" s="111"/>
      <c r="AC466" s="111"/>
    </row>
    <row r="467" spans="1:29" x14ac:dyDescent="0.55000000000000004">
      <c r="A467"/>
      <c r="B467"/>
      <c r="M467" s="118"/>
      <c r="N467" s="118"/>
      <c r="Z467" s="111"/>
      <c r="AB467" s="111"/>
      <c r="AC467" s="111"/>
    </row>
    <row r="468" spans="1:29" x14ac:dyDescent="0.55000000000000004">
      <c r="A468"/>
      <c r="B468"/>
      <c r="Y468" s="111"/>
      <c r="Z468" s="111"/>
      <c r="AB468" s="111"/>
      <c r="AC468" s="111"/>
    </row>
    <row r="469" spans="1:29" x14ac:dyDescent="0.55000000000000004">
      <c r="A469"/>
      <c r="B469"/>
      <c r="AB469" s="111"/>
      <c r="AC469" s="111"/>
    </row>
    <row r="470" spans="1:29" x14ac:dyDescent="0.55000000000000004">
      <c r="A470"/>
      <c r="B470"/>
      <c r="M470" s="118"/>
      <c r="N470" s="118"/>
      <c r="AB470" s="111"/>
      <c r="AC470" s="111"/>
    </row>
    <row r="471" spans="1:29" x14ac:dyDescent="0.55000000000000004">
      <c r="A471"/>
      <c r="B471"/>
      <c r="L471" s="111"/>
      <c r="M471" s="118"/>
      <c r="N471" s="118"/>
      <c r="AB471" s="111"/>
      <c r="AC471" s="111"/>
    </row>
    <row r="472" spans="1:29" x14ac:dyDescent="0.55000000000000004">
      <c r="A472"/>
      <c r="B472"/>
      <c r="AB472" s="111"/>
      <c r="AC472" s="111"/>
    </row>
    <row r="473" spans="1:29" x14ac:dyDescent="0.55000000000000004">
      <c r="A473"/>
      <c r="B473"/>
      <c r="L473" s="111"/>
      <c r="Y473" s="111"/>
      <c r="Z473" s="111"/>
      <c r="AB473" s="111"/>
      <c r="AC473" s="111"/>
    </row>
    <row r="474" spans="1:29" x14ac:dyDescent="0.55000000000000004">
      <c r="A474"/>
      <c r="B474"/>
      <c r="L474" s="111"/>
      <c r="AB474" s="111"/>
      <c r="AC474" s="111"/>
    </row>
    <row r="475" spans="1:29" x14ac:dyDescent="0.55000000000000004">
      <c r="A475"/>
      <c r="B475"/>
      <c r="L475" s="111"/>
      <c r="AB475" s="111"/>
      <c r="AC475" s="111"/>
    </row>
    <row r="476" spans="1:29" x14ac:dyDescent="0.55000000000000004">
      <c r="A476"/>
      <c r="B476"/>
      <c r="J476" s="111"/>
      <c r="L476" s="111"/>
      <c r="Y476" s="111"/>
      <c r="Z476" s="111"/>
      <c r="AB476" s="111"/>
      <c r="AC476" s="111"/>
    </row>
    <row r="477" spans="1:29" x14ac:dyDescent="0.55000000000000004">
      <c r="A477"/>
      <c r="B477"/>
      <c r="M477" s="118"/>
      <c r="N477" s="118"/>
      <c r="AB477" s="111"/>
      <c r="AC477" s="111"/>
    </row>
    <row r="478" spans="1:29" x14ac:dyDescent="0.55000000000000004">
      <c r="A478"/>
      <c r="B478"/>
      <c r="L478" s="111"/>
      <c r="M478" s="118"/>
      <c r="N478" s="118"/>
      <c r="AB478" s="111"/>
      <c r="AC478" s="111"/>
    </row>
    <row r="479" spans="1:29" x14ac:dyDescent="0.55000000000000004">
      <c r="A479"/>
      <c r="B479"/>
      <c r="AB479" s="111"/>
      <c r="AC479" s="111"/>
    </row>
    <row r="480" spans="1:29" x14ac:dyDescent="0.55000000000000004">
      <c r="A480"/>
      <c r="B480"/>
      <c r="AB480" s="111"/>
      <c r="AC480" s="111"/>
    </row>
    <row r="481" spans="1:29" x14ac:dyDescent="0.55000000000000004">
      <c r="A481"/>
      <c r="B481"/>
      <c r="M481" s="118"/>
      <c r="N481" s="118"/>
      <c r="AB481" s="111"/>
      <c r="AC481" s="111"/>
    </row>
    <row r="482" spans="1:29" x14ac:dyDescent="0.55000000000000004">
      <c r="A482"/>
      <c r="B482"/>
      <c r="L482" s="111"/>
      <c r="AB482" s="111"/>
      <c r="AC482" s="111"/>
    </row>
    <row r="483" spans="1:29" x14ac:dyDescent="0.55000000000000004">
      <c r="A483"/>
      <c r="B483"/>
      <c r="L483" s="111"/>
      <c r="M483" s="118"/>
      <c r="N483" s="118"/>
      <c r="AB483" s="111"/>
      <c r="AC483" s="111"/>
    </row>
    <row r="484" spans="1:29" x14ac:dyDescent="0.55000000000000004">
      <c r="A484"/>
      <c r="B484"/>
      <c r="AB484" s="111"/>
      <c r="AC484" s="111"/>
    </row>
    <row r="485" spans="1:29" x14ac:dyDescent="0.55000000000000004">
      <c r="A485"/>
      <c r="B485"/>
      <c r="AB485" s="111"/>
      <c r="AC485" s="111"/>
    </row>
    <row r="486" spans="1:29" x14ac:dyDescent="0.55000000000000004">
      <c r="A486"/>
      <c r="B486"/>
      <c r="M486" s="118"/>
      <c r="N486" s="118"/>
      <c r="AB486" s="111"/>
      <c r="AC486" s="111"/>
    </row>
    <row r="487" spans="1:29" x14ac:dyDescent="0.55000000000000004">
      <c r="A487"/>
      <c r="B487"/>
      <c r="L487" s="111"/>
      <c r="M487" s="118"/>
      <c r="N487" s="118"/>
      <c r="Z487" s="111"/>
      <c r="AB487" s="111"/>
      <c r="AC487" s="111"/>
    </row>
    <row r="488" spans="1:29" x14ac:dyDescent="0.55000000000000004">
      <c r="A488"/>
      <c r="B488"/>
      <c r="L488" s="111"/>
      <c r="M488" s="118"/>
      <c r="N488" s="118"/>
      <c r="AB488" s="111"/>
      <c r="AC488" s="111"/>
    </row>
    <row r="489" spans="1:29" x14ac:dyDescent="0.55000000000000004">
      <c r="A489"/>
      <c r="B489"/>
      <c r="K489" s="111"/>
      <c r="L489" s="111"/>
      <c r="Y489" s="111"/>
      <c r="Z489" s="111"/>
      <c r="AB489" s="111"/>
      <c r="AC489" s="111"/>
    </row>
    <row r="490" spans="1:29" x14ac:dyDescent="0.55000000000000004">
      <c r="A490"/>
      <c r="B490"/>
      <c r="AB490" s="111"/>
      <c r="AC490" s="111"/>
    </row>
    <row r="491" spans="1:29" x14ac:dyDescent="0.55000000000000004">
      <c r="A491"/>
      <c r="B491"/>
      <c r="M491" s="118"/>
      <c r="N491" s="118"/>
      <c r="AB491" s="111"/>
      <c r="AC491" s="111"/>
    </row>
    <row r="492" spans="1:29" x14ac:dyDescent="0.55000000000000004">
      <c r="A492"/>
      <c r="B492"/>
      <c r="M492" s="118"/>
      <c r="N492" s="118"/>
      <c r="Z492" s="111"/>
      <c r="AB492" s="111"/>
      <c r="AC492" s="111"/>
    </row>
    <row r="493" spans="1:29" x14ac:dyDescent="0.55000000000000004">
      <c r="A493"/>
      <c r="B493"/>
      <c r="AB493" s="111"/>
      <c r="AC493" s="111"/>
    </row>
    <row r="494" spans="1:29" x14ac:dyDescent="0.55000000000000004">
      <c r="A494"/>
      <c r="B494"/>
      <c r="K494" s="111"/>
      <c r="L494" s="111"/>
      <c r="AB494" s="111"/>
      <c r="AC494" s="111"/>
    </row>
    <row r="495" spans="1:29" x14ac:dyDescent="0.55000000000000004">
      <c r="A495"/>
      <c r="B495"/>
      <c r="AB495" s="111"/>
      <c r="AC495" s="111"/>
    </row>
    <row r="496" spans="1:29" x14ac:dyDescent="0.55000000000000004">
      <c r="A496"/>
      <c r="B496"/>
      <c r="AB496" s="111"/>
      <c r="AC496" s="111"/>
    </row>
    <row r="497" spans="1:29" x14ac:dyDescent="0.55000000000000004">
      <c r="A497"/>
      <c r="B497"/>
      <c r="K497" s="111"/>
      <c r="L497" s="111"/>
      <c r="AB497" s="111"/>
      <c r="AC497" s="111"/>
    </row>
    <row r="498" spans="1:29" x14ac:dyDescent="0.55000000000000004">
      <c r="A498"/>
      <c r="B498"/>
      <c r="M498" s="118"/>
      <c r="N498" s="118"/>
      <c r="AB498" s="111"/>
      <c r="AC498" s="111"/>
    </row>
    <row r="499" spans="1:29" x14ac:dyDescent="0.55000000000000004">
      <c r="A499"/>
      <c r="B499"/>
      <c r="M499" s="118"/>
      <c r="N499" s="118"/>
      <c r="AB499" s="111"/>
      <c r="AC499" s="111"/>
    </row>
    <row r="500" spans="1:29" x14ac:dyDescent="0.55000000000000004">
      <c r="A500"/>
      <c r="B500"/>
      <c r="M500" s="118"/>
      <c r="N500" s="118"/>
      <c r="AB500" s="111"/>
      <c r="AC500" s="111"/>
    </row>
    <row r="501" spans="1:29" x14ac:dyDescent="0.55000000000000004">
      <c r="A501"/>
      <c r="B501"/>
      <c r="AB501" s="111"/>
      <c r="AC501" s="111"/>
    </row>
    <row r="502" spans="1:29" x14ac:dyDescent="0.55000000000000004">
      <c r="A502"/>
      <c r="B502"/>
      <c r="AB502" s="111"/>
      <c r="AC502" s="111"/>
    </row>
    <row r="503" spans="1:29" x14ac:dyDescent="0.55000000000000004">
      <c r="A503"/>
      <c r="B503"/>
      <c r="AB503" s="111"/>
      <c r="AC503" s="111"/>
    </row>
    <row r="504" spans="1:29" x14ac:dyDescent="0.55000000000000004">
      <c r="A504"/>
      <c r="B504"/>
      <c r="AB504" s="111"/>
      <c r="AC504" s="111"/>
    </row>
    <row r="505" spans="1:29" x14ac:dyDescent="0.55000000000000004">
      <c r="A505"/>
      <c r="B505"/>
      <c r="AB505" s="111"/>
      <c r="AC505" s="111"/>
    </row>
    <row r="506" spans="1:29" x14ac:dyDescent="0.55000000000000004">
      <c r="A506"/>
      <c r="B506"/>
      <c r="M506" s="118"/>
      <c r="N506" s="118"/>
      <c r="AB506" s="111"/>
      <c r="AC506" s="111"/>
    </row>
    <row r="507" spans="1:29" x14ac:dyDescent="0.55000000000000004">
      <c r="A507"/>
      <c r="B507"/>
      <c r="AB507" s="111"/>
      <c r="AC507" s="111"/>
    </row>
    <row r="508" spans="1:29" x14ac:dyDescent="0.55000000000000004">
      <c r="A508"/>
      <c r="B508"/>
      <c r="L508" s="111"/>
      <c r="AB508" s="111"/>
      <c r="AC508" s="111"/>
    </row>
    <row r="509" spans="1:29" x14ac:dyDescent="0.55000000000000004">
      <c r="A509"/>
      <c r="B509"/>
      <c r="AB509" s="111"/>
      <c r="AC509" s="111"/>
    </row>
    <row r="510" spans="1:29" x14ac:dyDescent="0.55000000000000004">
      <c r="A510"/>
      <c r="B510"/>
      <c r="K510" s="111"/>
      <c r="L510" s="111"/>
      <c r="Y510" s="111"/>
      <c r="AB510" s="111"/>
      <c r="AC510" s="111"/>
    </row>
    <row r="511" spans="1:29" x14ac:dyDescent="0.55000000000000004">
      <c r="A511"/>
      <c r="B511"/>
      <c r="AB511" s="111"/>
      <c r="AC511" s="111"/>
    </row>
    <row r="512" spans="1:29" x14ac:dyDescent="0.55000000000000004">
      <c r="A512"/>
      <c r="B512"/>
      <c r="AB512" s="111"/>
      <c r="AC512" s="111"/>
    </row>
    <row r="513" spans="1:29" x14ac:dyDescent="0.55000000000000004">
      <c r="A513"/>
      <c r="B513"/>
      <c r="L513" s="111"/>
      <c r="AB513" s="111"/>
      <c r="AC513" s="111"/>
    </row>
    <row r="514" spans="1:29" x14ac:dyDescent="0.55000000000000004">
      <c r="A514"/>
      <c r="B514"/>
      <c r="AB514" s="111"/>
      <c r="AC514" s="111"/>
    </row>
    <row r="515" spans="1:29" x14ac:dyDescent="0.55000000000000004">
      <c r="A515"/>
      <c r="B515"/>
      <c r="AB515" s="111"/>
      <c r="AC515" s="111"/>
    </row>
    <row r="516" spans="1:29" x14ac:dyDescent="0.55000000000000004">
      <c r="A516"/>
      <c r="B516"/>
      <c r="AB516" s="111"/>
      <c r="AC516" s="111"/>
    </row>
    <row r="517" spans="1:29" x14ac:dyDescent="0.55000000000000004">
      <c r="A517"/>
      <c r="B517"/>
      <c r="AB517" s="111"/>
      <c r="AC517" s="111"/>
    </row>
    <row r="518" spans="1:29" x14ac:dyDescent="0.55000000000000004">
      <c r="A518"/>
      <c r="B518"/>
      <c r="AB518" s="111"/>
      <c r="AC518" s="111"/>
    </row>
    <row r="519" spans="1:29" x14ac:dyDescent="0.55000000000000004">
      <c r="A519"/>
      <c r="B519"/>
      <c r="M519" s="118"/>
      <c r="N519" s="118"/>
      <c r="AB519" s="111"/>
      <c r="AC519" s="111"/>
    </row>
    <row r="520" spans="1:29" x14ac:dyDescent="0.55000000000000004">
      <c r="A520"/>
      <c r="B520"/>
      <c r="AB520" s="111"/>
      <c r="AC520" s="111"/>
    </row>
    <row r="521" spans="1:29" x14ac:dyDescent="0.55000000000000004">
      <c r="A521"/>
      <c r="B521"/>
      <c r="M521" s="118"/>
      <c r="N521" s="118"/>
      <c r="AB521" s="111"/>
      <c r="AC521" s="111"/>
    </row>
    <row r="522" spans="1:29" x14ac:dyDescent="0.55000000000000004">
      <c r="A522"/>
      <c r="B522"/>
      <c r="AB522" s="111"/>
      <c r="AC522" s="111"/>
    </row>
    <row r="523" spans="1:29" x14ac:dyDescent="0.55000000000000004">
      <c r="A523"/>
      <c r="B523"/>
      <c r="AB523" s="111"/>
      <c r="AC523" s="111"/>
    </row>
    <row r="524" spans="1:29" x14ac:dyDescent="0.55000000000000004">
      <c r="A524"/>
      <c r="B524"/>
      <c r="AB524" s="111"/>
      <c r="AC524" s="111"/>
    </row>
    <row r="525" spans="1:29" x14ac:dyDescent="0.55000000000000004">
      <c r="A525"/>
      <c r="B525"/>
      <c r="AB525" s="111"/>
      <c r="AC525" s="111"/>
    </row>
    <row r="526" spans="1:29" x14ac:dyDescent="0.55000000000000004">
      <c r="A526"/>
      <c r="B526"/>
      <c r="Z526" s="111"/>
      <c r="AB526" s="111"/>
      <c r="AC526" s="111"/>
    </row>
    <row r="527" spans="1:29" x14ac:dyDescent="0.55000000000000004">
      <c r="A527"/>
      <c r="B527"/>
      <c r="M527" s="118"/>
      <c r="N527" s="118"/>
      <c r="AB527" s="111"/>
      <c r="AC527" s="111"/>
    </row>
    <row r="528" spans="1:29" x14ac:dyDescent="0.55000000000000004">
      <c r="A528"/>
      <c r="B528"/>
      <c r="AB528" s="111"/>
      <c r="AC528" s="111"/>
    </row>
    <row r="529" spans="1:29" x14ac:dyDescent="0.55000000000000004">
      <c r="A529"/>
      <c r="B529"/>
      <c r="AB529" s="111"/>
      <c r="AC529" s="111"/>
    </row>
    <row r="530" spans="1:29" x14ac:dyDescent="0.55000000000000004">
      <c r="A530"/>
      <c r="B530"/>
      <c r="AB530" s="111"/>
      <c r="AC530" s="111"/>
    </row>
    <row r="531" spans="1:29" x14ac:dyDescent="0.55000000000000004">
      <c r="A531"/>
      <c r="B531"/>
      <c r="K531" s="111"/>
      <c r="AB531" s="111"/>
      <c r="AC531" s="111"/>
    </row>
    <row r="532" spans="1:29" x14ac:dyDescent="0.55000000000000004">
      <c r="A532"/>
      <c r="B532"/>
      <c r="AB532" s="111"/>
      <c r="AC532" s="111"/>
    </row>
    <row r="533" spans="1:29" x14ac:dyDescent="0.55000000000000004">
      <c r="A533"/>
      <c r="B533"/>
      <c r="AB533" s="111"/>
      <c r="AC533" s="111"/>
    </row>
    <row r="534" spans="1:29" x14ac:dyDescent="0.55000000000000004">
      <c r="A534"/>
      <c r="B534"/>
      <c r="AB534" s="111"/>
      <c r="AC534" s="111"/>
    </row>
    <row r="535" spans="1:29" x14ac:dyDescent="0.55000000000000004">
      <c r="A535"/>
      <c r="B535"/>
      <c r="AB535" s="111"/>
      <c r="AC535" s="111"/>
    </row>
    <row r="536" spans="1:29" x14ac:dyDescent="0.55000000000000004">
      <c r="A536"/>
      <c r="B536"/>
      <c r="AB536" s="111"/>
      <c r="AC536" s="111"/>
    </row>
    <row r="537" spans="1:29" x14ac:dyDescent="0.55000000000000004">
      <c r="A537"/>
      <c r="B537"/>
      <c r="AB537" s="111"/>
      <c r="AC537" s="111"/>
    </row>
    <row r="538" spans="1:29" x14ac:dyDescent="0.55000000000000004">
      <c r="A538"/>
      <c r="B538"/>
      <c r="AB538" s="111"/>
      <c r="AC538" s="111"/>
    </row>
    <row r="539" spans="1:29" x14ac:dyDescent="0.55000000000000004">
      <c r="A539"/>
      <c r="B539"/>
      <c r="AB539" s="111"/>
      <c r="AC539" s="111"/>
    </row>
    <row r="540" spans="1:29" x14ac:dyDescent="0.55000000000000004">
      <c r="A540"/>
      <c r="B540"/>
      <c r="M540" s="118"/>
      <c r="N540" s="118"/>
      <c r="AB540" s="111"/>
      <c r="AC540" s="111"/>
    </row>
    <row r="541" spans="1:29" x14ac:dyDescent="0.55000000000000004">
      <c r="A541"/>
      <c r="B541"/>
      <c r="AB541" s="111"/>
      <c r="AC541" s="111"/>
    </row>
    <row r="542" spans="1:29" x14ac:dyDescent="0.55000000000000004">
      <c r="A542"/>
      <c r="B542"/>
      <c r="M542" s="118"/>
      <c r="N542" s="118"/>
      <c r="AB542" s="111"/>
      <c r="AC542" s="111"/>
    </row>
    <row r="543" spans="1:29" x14ac:dyDescent="0.55000000000000004">
      <c r="A543"/>
      <c r="B543"/>
      <c r="AB543" s="111"/>
      <c r="AC543" s="111"/>
    </row>
    <row r="544" spans="1:29" x14ac:dyDescent="0.55000000000000004">
      <c r="A544"/>
      <c r="B544"/>
      <c r="O544" s="111"/>
      <c r="P544" s="111"/>
      <c r="Q544" s="111"/>
      <c r="R544" s="111"/>
      <c r="S544" s="111"/>
      <c r="T544" s="111"/>
      <c r="U544" s="111"/>
      <c r="V544" s="111"/>
      <c r="W544" s="111"/>
      <c r="X544" s="111"/>
      <c r="Y544" s="111"/>
      <c r="Z544" s="111"/>
      <c r="AB544" s="111"/>
      <c r="AC544" s="111"/>
    </row>
    <row r="545" spans="1:29" x14ac:dyDescent="0.55000000000000004">
      <c r="A545"/>
      <c r="B545"/>
      <c r="O545" s="111"/>
      <c r="P545" s="111"/>
      <c r="Q545" s="111"/>
      <c r="R545" s="111"/>
      <c r="S545" s="111"/>
      <c r="T545" s="111"/>
      <c r="U545" s="111"/>
      <c r="V545" s="111"/>
      <c r="W545" s="111"/>
      <c r="X545" s="111"/>
      <c r="Y545" s="111"/>
      <c r="Z545" s="111"/>
      <c r="AB545" s="111"/>
      <c r="AC545" s="111"/>
    </row>
    <row r="546" spans="1:29" x14ac:dyDescent="0.55000000000000004">
      <c r="A546"/>
      <c r="B546"/>
      <c r="O546" s="111"/>
      <c r="P546" s="111"/>
      <c r="Q546" s="111"/>
      <c r="R546" s="111"/>
      <c r="S546" s="111"/>
      <c r="T546" s="111"/>
      <c r="U546" s="111"/>
      <c r="V546" s="111"/>
      <c r="W546" s="111"/>
      <c r="X546" s="111"/>
      <c r="Y546" s="111"/>
      <c r="Z546" s="111"/>
      <c r="AB546" s="111"/>
      <c r="AC546" s="111"/>
    </row>
    <row r="547" spans="1:29" x14ac:dyDescent="0.55000000000000004">
      <c r="A547"/>
      <c r="B547"/>
      <c r="L547" s="111"/>
      <c r="O547" s="111"/>
      <c r="P547" s="111"/>
      <c r="Q547" s="111"/>
      <c r="R547" s="111"/>
      <c r="S547" s="111"/>
      <c r="T547" s="111"/>
      <c r="U547" s="111"/>
      <c r="V547" s="111"/>
      <c r="W547" s="111"/>
      <c r="X547" s="111"/>
      <c r="Y547" s="111"/>
      <c r="Z547" s="111"/>
      <c r="AB547" s="111"/>
      <c r="AC547" s="111"/>
    </row>
    <row r="548" spans="1:29" x14ac:dyDescent="0.55000000000000004">
      <c r="A548"/>
      <c r="B548"/>
      <c r="M548" s="118"/>
      <c r="N548" s="118"/>
      <c r="O548" s="111"/>
      <c r="P548" s="111"/>
      <c r="Q548" s="111"/>
      <c r="R548" s="111"/>
      <c r="S548" s="111"/>
      <c r="T548" s="111"/>
      <c r="U548" s="111"/>
      <c r="V548" s="111"/>
      <c r="W548" s="111"/>
      <c r="X548" s="111"/>
      <c r="Y548" s="111"/>
      <c r="Z548" s="111"/>
      <c r="AB548" s="111"/>
      <c r="AC548" s="111"/>
    </row>
    <row r="549" spans="1:29" x14ac:dyDescent="0.55000000000000004">
      <c r="A549"/>
      <c r="B549"/>
      <c r="O549" s="111"/>
      <c r="P549" s="111"/>
      <c r="Q549" s="111"/>
      <c r="R549" s="111"/>
      <c r="S549" s="111"/>
      <c r="T549" s="111"/>
      <c r="U549" s="111"/>
      <c r="V549" s="111"/>
      <c r="W549" s="111"/>
      <c r="X549" s="111"/>
      <c r="Y549" s="111"/>
      <c r="Z549" s="111"/>
      <c r="AB549" s="111"/>
      <c r="AC549" s="111"/>
    </row>
    <row r="550" spans="1:29" x14ac:dyDescent="0.55000000000000004">
      <c r="A550"/>
      <c r="B550"/>
      <c r="O550" s="111"/>
      <c r="P550" s="111"/>
      <c r="Q550" s="111"/>
      <c r="R550" s="111"/>
      <c r="S550" s="111"/>
      <c r="T550" s="111"/>
      <c r="U550" s="111"/>
      <c r="V550" s="111"/>
      <c r="W550" s="111"/>
      <c r="X550" s="111"/>
      <c r="Y550" s="111"/>
      <c r="Z550" s="111"/>
      <c r="AB550" s="111"/>
      <c r="AC550" s="111"/>
    </row>
    <row r="551" spans="1:29" x14ac:dyDescent="0.55000000000000004">
      <c r="A551"/>
      <c r="B551"/>
      <c r="O551" s="111"/>
      <c r="P551" s="111"/>
      <c r="Q551" s="111"/>
      <c r="R551" s="111"/>
      <c r="S551" s="111"/>
      <c r="T551" s="111"/>
      <c r="U551" s="111"/>
      <c r="V551" s="111"/>
      <c r="W551" s="111"/>
      <c r="X551" s="111"/>
      <c r="Y551" s="111"/>
      <c r="Z551" s="111"/>
      <c r="AB551" s="111"/>
      <c r="AC551" s="111"/>
    </row>
    <row r="552" spans="1:29" x14ac:dyDescent="0.55000000000000004">
      <c r="A552"/>
      <c r="B552"/>
      <c r="O552" s="111"/>
      <c r="P552" s="111"/>
      <c r="Q552" s="111"/>
      <c r="R552" s="111"/>
      <c r="S552" s="111"/>
      <c r="T552" s="111"/>
      <c r="U552" s="111"/>
      <c r="V552" s="111"/>
      <c r="W552" s="111"/>
      <c r="X552" s="111"/>
      <c r="Y552" s="111"/>
      <c r="Z552" s="111"/>
      <c r="AB552" s="111"/>
      <c r="AC552" s="111"/>
    </row>
    <row r="553" spans="1:29" x14ac:dyDescent="0.55000000000000004">
      <c r="A553"/>
      <c r="B553"/>
      <c r="O553" s="111"/>
      <c r="P553" s="111"/>
      <c r="Q553" s="111"/>
      <c r="R553" s="111"/>
      <c r="S553" s="111"/>
      <c r="T553" s="111"/>
      <c r="U553" s="111"/>
      <c r="V553" s="111"/>
      <c r="W553" s="111"/>
      <c r="X553" s="111"/>
      <c r="Y553" s="111"/>
      <c r="Z553" s="111"/>
      <c r="AB553" s="111"/>
      <c r="AC553" s="111"/>
    </row>
    <row r="554" spans="1:29" x14ac:dyDescent="0.55000000000000004">
      <c r="A554"/>
      <c r="B554"/>
      <c r="O554" s="111"/>
      <c r="P554" s="111"/>
      <c r="Q554" s="111"/>
      <c r="R554" s="111"/>
      <c r="S554" s="111"/>
      <c r="T554" s="111"/>
      <c r="U554" s="111"/>
      <c r="V554" s="111"/>
      <c r="W554" s="111"/>
      <c r="X554" s="111"/>
      <c r="Y554" s="111"/>
      <c r="Z554" s="111"/>
      <c r="AB554" s="111"/>
      <c r="AC554" s="111"/>
    </row>
    <row r="555" spans="1:29" x14ac:dyDescent="0.55000000000000004">
      <c r="A555"/>
      <c r="B555"/>
      <c r="O555" s="111"/>
      <c r="P555" s="111"/>
      <c r="Q555" s="111"/>
      <c r="R555" s="111"/>
      <c r="S555" s="111"/>
      <c r="T555" s="111"/>
      <c r="U555" s="111"/>
      <c r="V555" s="111"/>
      <c r="W555" s="111"/>
      <c r="X555" s="111"/>
      <c r="Y555" s="111"/>
      <c r="Z555" s="111"/>
      <c r="AB555" s="111"/>
      <c r="AC555" s="111"/>
    </row>
    <row r="556" spans="1:29" x14ac:dyDescent="0.55000000000000004">
      <c r="A556"/>
      <c r="B556"/>
      <c r="O556" s="111"/>
      <c r="P556" s="111"/>
      <c r="Q556" s="111"/>
      <c r="R556" s="111"/>
      <c r="S556" s="111"/>
      <c r="T556" s="111"/>
      <c r="U556" s="111"/>
      <c r="V556" s="111"/>
      <c r="W556" s="111"/>
      <c r="X556" s="111"/>
      <c r="Y556" s="111"/>
      <c r="Z556" s="111"/>
      <c r="AB556" s="111"/>
      <c r="AC556" s="111"/>
    </row>
    <row r="557" spans="1:29" x14ac:dyDescent="0.55000000000000004">
      <c r="A557"/>
      <c r="B557"/>
      <c r="O557" s="111"/>
      <c r="P557" s="111"/>
      <c r="Q557" s="111"/>
      <c r="R557" s="111"/>
      <c r="S557" s="111"/>
      <c r="T557" s="111"/>
      <c r="U557" s="111"/>
      <c r="V557" s="111"/>
      <c r="W557" s="111"/>
      <c r="X557" s="111"/>
      <c r="Y557" s="111"/>
      <c r="Z557" s="111"/>
      <c r="AB557" s="111"/>
      <c r="AC557" s="111"/>
    </row>
    <row r="558" spans="1:29" x14ac:dyDescent="0.55000000000000004">
      <c r="A558"/>
      <c r="B558"/>
      <c r="O558" s="111"/>
      <c r="P558" s="111"/>
      <c r="Q558" s="111"/>
      <c r="R558" s="111"/>
      <c r="S558" s="111"/>
      <c r="T558" s="111"/>
      <c r="U558" s="111"/>
      <c r="V558" s="111"/>
      <c r="W558" s="111"/>
      <c r="X558" s="111"/>
      <c r="Y558" s="111"/>
      <c r="Z558" s="111"/>
      <c r="AB558" s="111"/>
      <c r="AC558" s="111"/>
    </row>
    <row r="559" spans="1:29" x14ac:dyDescent="0.55000000000000004">
      <c r="A559"/>
      <c r="B559"/>
      <c r="O559" s="111"/>
      <c r="P559" s="111"/>
      <c r="Q559" s="111"/>
      <c r="R559" s="111"/>
      <c r="S559" s="111"/>
      <c r="T559" s="111"/>
      <c r="U559" s="111"/>
      <c r="V559" s="111"/>
      <c r="W559" s="111"/>
      <c r="X559" s="111"/>
      <c r="Y559" s="111"/>
      <c r="Z559" s="111"/>
      <c r="AB559" s="111"/>
      <c r="AC559" s="111"/>
    </row>
    <row r="560" spans="1:29" x14ac:dyDescent="0.55000000000000004">
      <c r="A560"/>
      <c r="B560"/>
      <c r="O560" s="111"/>
      <c r="P560" s="111"/>
      <c r="Q560" s="111"/>
      <c r="R560" s="111"/>
      <c r="S560" s="111"/>
      <c r="T560" s="111"/>
      <c r="U560" s="111"/>
      <c r="V560" s="111"/>
      <c r="W560" s="111"/>
      <c r="X560" s="111"/>
      <c r="Y560" s="111"/>
      <c r="Z560" s="111"/>
      <c r="AB560" s="111"/>
      <c r="AC560" s="111"/>
    </row>
    <row r="561" spans="1:29" x14ac:dyDescent="0.55000000000000004">
      <c r="A561"/>
      <c r="B561"/>
      <c r="M561" s="118"/>
      <c r="N561" s="118"/>
      <c r="O561" s="111"/>
      <c r="P561" s="111"/>
      <c r="Q561" s="111"/>
      <c r="R561" s="111"/>
      <c r="S561" s="111"/>
      <c r="T561" s="111"/>
      <c r="U561" s="111"/>
      <c r="V561" s="111"/>
      <c r="W561" s="111"/>
      <c r="X561" s="111"/>
      <c r="Y561" s="111"/>
      <c r="Z561" s="111"/>
      <c r="AB561" s="111"/>
      <c r="AC561" s="111"/>
    </row>
    <row r="562" spans="1:29" x14ac:dyDescent="0.55000000000000004">
      <c r="A562"/>
      <c r="B562"/>
      <c r="O562" s="111"/>
      <c r="P562" s="111"/>
      <c r="Q562" s="111"/>
      <c r="R562" s="111"/>
      <c r="S562" s="111"/>
      <c r="T562" s="111"/>
      <c r="U562" s="111"/>
      <c r="V562" s="111"/>
      <c r="W562" s="111"/>
      <c r="X562" s="111"/>
      <c r="Y562" s="111"/>
      <c r="Z562" s="111"/>
      <c r="AB562" s="111"/>
      <c r="AC562" s="111"/>
    </row>
    <row r="563" spans="1:29" x14ac:dyDescent="0.55000000000000004">
      <c r="A563"/>
      <c r="B563"/>
      <c r="M563" s="118"/>
      <c r="N563" s="118"/>
      <c r="O563" s="111"/>
      <c r="P563" s="111"/>
      <c r="Q563" s="111"/>
      <c r="R563" s="111"/>
      <c r="S563" s="111"/>
      <c r="T563" s="111"/>
      <c r="U563" s="111"/>
      <c r="V563" s="111"/>
      <c r="W563" s="111"/>
      <c r="X563" s="111"/>
      <c r="Y563" s="111"/>
      <c r="Z563" s="111"/>
      <c r="AB563" s="111"/>
      <c r="AC563" s="111"/>
    </row>
    <row r="564" spans="1:29" x14ac:dyDescent="0.55000000000000004">
      <c r="A564"/>
      <c r="B564"/>
      <c r="O564" s="111"/>
      <c r="P564" s="111"/>
      <c r="Q564" s="111"/>
      <c r="R564" s="111"/>
      <c r="S564" s="111"/>
      <c r="T564" s="111"/>
      <c r="U564" s="111"/>
      <c r="V564" s="111"/>
      <c r="W564" s="111"/>
      <c r="X564" s="111"/>
      <c r="Y564" s="111"/>
      <c r="Z564" s="111"/>
      <c r="AB564" s="111"/>
      <c r="AC564" s="111"/>
    </row>
    <row r="565" spans="1:29" x14ac:dyDescent="0.55000000000000004">
      <c r="A565"/>
      <c r="K565" s="111"/>
      <c r="O565" s="111"/>
      <c r="P565" s="111"/>
      <c r="Q565" s="111"/>
      <c r="R565" s="111"/>
      <c r="S565" s="111"/>
      <c r="T565" s="111"/>
      <c r="U565" s="111"/>
      <c r="V565" s="111"/>
      <c r="W565" s="111"/>
      <c r="X565" s="111"/>
      <c r="Y565" s="111"/>
      <c r="Z565" s="111"/>
      <c r="AB565" s="111"/>
      <c r="AC565" s="111"/>
    </row>
    <row r="566" spans="1:29" x14ac:dyDescent="0.55000000000000004">
      <c r="A566"/>
      <c r="K566" s="111"/>
      <c r="O566" s="111"/>
      <c r="P566" s="111"/>
      <c r="Q566" s="111"/>
      <c r="R566" s="111"/>
      <c r="S566" s="111"/>
      <c r="T566" s="111"/>
      <c r="U566" s="111"/>
      <c r="V566" s="111"/>
      <c r="W566" s="111"/>
      <c r="X566" s="111"/>
      <c r="Y566" s="111"/>
      <c r="Z566" s="111"/>
      <c r="AB566" s="111"/>
      <c r="AC566" s="111"/>
    </row>
    <row r="567" spans="1:29" x14ac:dyDescent="0.55000000000000004">
      <c r="A567"/>
      <c r="K567" s="111"/>
      <c r="O567" s="111"/>
      <c r="P567" s="111"/>
      <c r="Q567" s="111"/>
      <c r="R567" s="111"/>
      <c r="S567" s="111"/>
      <c r="T567" s="111"/>
      <c r="U567" s="111"/>
      <c r="V567" s="111"/>
      <c r="W567" s="111"/>
      <c r="X567" s="111"/>
      <c r="Y567" s="111"/>
      <c r="Z567" s="111"/>
      <c r="AB567" s="111"/>
      <c r="AC567" s="111"/>
    </row>
    <row r="568" spans="1:29" x14ac:dyDescent="0.55000000000000004">
      <c r="A568"/>
      <c r="K568" s="111"/>
      <c r="O568" s="111"/>
      <c r="P568" s="111"/>
      <c r="Q568" s="111"/>
      <c r="R568" s="111"/>
      <c r="S568" s="111"/>
      <c r="T568" s="111"/>
      <c r="U568" s="111"/>
      <c r="V568" s="111"/>
      <c r="W568" s="111"/>
      <c r="X568" s="111"/>
      <c r="Y568" s="111"/>
      <c r="Z568" s="111"/>
      <c r="AB568" s="111"/>
      <c r="AC568" s="111"/>
    </row>
    <row r="569" spans="1:29" x14ac:dyDescent="0.55000000000000004">
      <c r="A569"/>
      <c r="K569" s="111"/>
      <c r="L569" s="111"/>
      <c r="M569" s="118"/>
      <c r="N569" s="118"/>
      <c r="O569" s="111"/>
      <c r="P569" s="111"/>
      <c r="Q569" s="111"/>
      <c r="R569" s="111"/>
      <c r="S569" s="111"/>
      <c r="T569" s="111"/>
      <c r="U569" s="111"/>
      <c r="V569" s="111"/>
      <c r="W569" s="111"/>
      <c r="X569" s="111"/>
      <c r="Y569" s="111"/>
      <c r="Z569" s="111"/>
      <c r="AB569" s="111"/>
      <c r="AC569" s="111"/>
    </row>
    <row r="570" spans="1:29" x14ac:dyDescent="0.55000000000000004">
      <c r="A570"/>
      <c r="K570" s="111"/>
      <c r="O570" s="111"/>
      <c r="P570" s="111"/>
      <c r="Q570" s="111"/>
      <c r="R570" s="111"/>
      <c r="S570" s="111"/>
      <c r="T570" s="111"/>
      <c r="U570" s="111"/>
      <c r="V570" s="111"/>
      <c r="W570" s="111"/>
      <c r="X570" s="111"/>
      <c r="Y570" s="111"/>
      <c r="Z570" s="111"/>
      <c r="AB570" s="111"/>
      <c r="AC570" s="111"/>
    </row>
    <row r="571" spans="1:29" x14ac:dyDescent="0.55000000000000004">
      <c r="A571"/>
      <c r="K571" s="111"/>
      <c r="O571" s="111"/>
      <c r="P571" s="111"/>
      <c r="Q571" s="111"/>
      <c r="R571" s="111"/>
      <c r="S571" s="111"/>
      <c r="T571" s="111"/>
      <c r="U571" s="111"/>
      <c r="V571" s="111"/>
      <c r="W571" s="111"/>
      <c r="X571" s="111"/>
      <c r="Y571" s="111"/>
      <c r="Z571" s="111"/>
      <c r="AB571" s="111"/>
      <c r="AC571" s="111"/>
    </row>
    <row r="572" spans="1:29" x14ac:dyDescent="0.55000000000000004">
      <c r="A572"/>
      <c r="K572" s="111"/>
      <c r="O572" s="111"/>
      <c r="P572" s="111"/>
      <c r="Q572" s="111"/>
      <c r="R572" s="111"/>
      <c r="S572" s="111"/>
      <c r="T572" s="111"/>
      <c r="U572" s="111"/>
      <c r="V572" s="111"/>
      <c r="W572" s="111"/>
      <c r="X572" s="111"/>
      <c r="Y572" s="111"/>
      <c r="Z572" s="111"/>
      <c r="AB572" s="111"/>
      <c r="AC572" s="111"/>
    </row>
    <row r="573" spans="1:29" x14ac:dyDescent="0.55000000000000004">
      <c r="A573"/>
      <c r="K573" s="111"/>
      <c r="O573" s="111"/>
      <c r="P573" s="111"/>
      <c r="Q573" s="111"/>
      <c r="R573" s="111"/>
      <c r="S573" s="111"/>
      <c r="T573" s="111"/>
      <c r="U573" s="111"/>
      <c r="V573" s="111"/>
      <c r="W573" s="111"/>
      <c r="X573" s="111"/>
      <c r="Y573" s="111"/>
      <c r="Z573" s="111"/>
      <c r="AB573" s="111"/>
      <c r="AC573" s="111"/>
    </row>
    <row r="574" spans="1:29" x14ac:dyDescent="0.55000000000000004">
      <c r="A574"/>
      <c r="K574" s="111"/>
      <c r="O574" s="111"/>
      <c r="P574" s="111"/>
      <c r="Q574" s="111"/>
      <c r="R574" s="111"/>
      <c r="S574" s="111"/>
      <c r="T574" s="111"/>
      <c r="U574" s="111"/>
      <c r="V574" s="111"/>
      <c r="W574" s="111"/>
      <c r="X574" s="111"/>
      <c r="Y574" s="111"/>
      <c r="Z574" s="111"/>
      <c r="AB574" s="111"/>
      <c r="AC574" s="111"/>
    </row>
    <row r="575" spans="1:29" x14ac:dyDescent="0.55000000000000004">
      <c r="A575"/>
      <c r="K575" s="111"/>
      <c r="O575" s="111"/>
      <c r="P575" s="111"/>
      <c r="Q575" s="111"/>
      <c r="R575" s="111"/>
      <c r="S575" s="111"/>
      <c r="T575" s="111"/>
      <c r="U575" s="111"/>
      <c r="V575" s="111"/>
      <c r="W575" s="111"/>
      <c r="X575" s="111"/>
      <c r="Y575" s="111"/>
      <c r="Z575" s="111"/>
      <c r="AB575" s="111"/>
      <c r="AC575" s="111"/>
    </row>
    <row r="576" spans="1:29" x14ac:dyDescent="0.55000000000000004">
      <c r="A576"/>
      <c r="K576" s="111"/>
      <c r="O576" s="111"/>
      <c r="P576" s="111"/>
      <c r="Q576" s="111"/>
      <c r="R576" s="111"/>
      <c r="S576" s="111"/>
      <c r="T576" s="111"/>
      <c r="U576" s="111"/>
      <c r="V576" s="111"/>
      <c r="W576" s="111"/>
      <c r="X576" s="111"/>
      <c r="Y576" s="111"/>
      <c r="Z576" s="111"/>
      <c r="AB576" s="111"/>
      <c r="AC576" s="111"/>
    </row>
    <row r="577" spans="1:29" x14ac:dyDescent="0.55000000000000004">
      <c r="A577"/>
      <c r="K577" s="111"/>
      <c r="O577" s="111"/>
      <c r="P577" s="111"/>
      <c r="Q577" s="111"/>
      <c r="R577" s="111"/>
      <c r="S577" s="111"/>
      <c r="T577" s="111"/>
      <c r="U577" s="111"/>
      <c r="V577" s="111"/>
      <c r="W577" s="111"/>
      <c r="X577" s="111"/>
      <c r="Y577" s="111"/>
      <c r="Z577" s="111"/>
      <c r="AB577" s="111"/>
      <c r="AC577" s="111"/>
    </row>
    <row r="578" spans="1:29" x14ac:dyDescent="0.55000000000000004">
      <c r="A578"/>
      <c r="D578" s="111"/>
      <c r="K578" s="111"/>
      <c r="O578" s="111"/>
      <c r="P578" s="111"/>
      <c r="Q578" s="111"/>
      <c r="R578" s="111"/>
      <c r="S578" s="111"/>
      <c r="T578" s="111"/>
      <c r="U578" s="111"/>
      <c r="V578" s="111"/>
      <c r="W578" s="111"/>
      <c r="X578" s="111"/>
      <c r="Y578" s="111"/>
      <c r="Z578" s="111"/>
      <c r="AB578" s="111"/>
      <c r="AC578" s="111"/>
    </row>
    <row r="579" spans="1:29" x14ac:dyDescent="0.55000000000000004">
      <c r="A579"/>
      <c r="K579" s="111"/>
      <c r="O579" s="111"/>
      <c r="P579" s="111"/>
      <c r="Q579" s="111"/>
      <c r="R579" s="111"/>
      <c r="S579" s="111"/>
      <c r="T579" s="111"/>
      <c r="U579" s="111"/>
      <c r="V579" s="111"/>
      <c r="W579" s="111"/>
      <c r="X579" s="111"/>
      <c r="Y579" s="111"/>
      <c r="Z579" s="111"/>
      <c r="AB579" s="111"/>
      <c r="AC579" s="111"/>
    </row>
    <row r="580" spans="1:29" x14ac:dyDescent="0.55000000000000004">
      <c r="A580"/>
      <c r="D580" s="111"/>
      <c r="K580" s="111"/>
      <c r="O580" s="111"/>
      <c r="P580" s="111"/>
      <c r="Q580" s="111"/>
      <c r="R580" s="111"/>
      <c r="S580" s="111"/>
      <c r="T580" s="111"/>
      <c r="U580" s="111"/>
      <c r="V580" s="111"/>
      <c r="W580" s="111"/>
      <c r="X580" s="111"/>
      <c r="Y580" s="111"/>
      <c r="Z580" s="111"/>
      <c r="AB580" s="111"/>
      <c r="AC580" s="111"/>
    </row>
    <row r="581" spans="1:29" x14ac:dyDescent="0.55000000000000004">
      <c r="A581"/>
      <c r="K581" s="111"/>
      <c r="O581" s="111"/>
      <c r="P581" s="111"/>
      <c r="Q581" s="111"/>
      <c r="R581" s="111"/>
      <c r="S581" s="111"/>
      <c r="T581" s="111"/>
      <c r="U581" s="111"/>
      <c r="V581" s="111"/>
      <c r="W581" s="111"/>
      <c r="X581" s="111"/>
      <c r="Y581" s="111"/>
      <c r="Z581" s="111"/>
      <c r="AB581" s="111"/>
      <c r="AC581" s="111"/>
    </row>
    <row r="582" spans="1:29" x14ac:dyDescent="0.55000000000000004">
      <c r="A582"/>
      <c r="L582" s="111"/>
      <c r="M582" s="118"/>
      <c r="N582" s="118"/>
      <c r="O582" s="111"/>
      <c r="P582" s="111"/>
      <c r="Q582" s="111"/>
      <c r="R582" s="111"/>
      <c r="S582" s="111"/>
      <c r="T582" s="111"/>
      <c r="U582" s="111"/>
      <c r="V582" s="111"/>
      <c r="W582" s="111"/>
      <c r="X582" s="111"/>
      <c r="Y582" s="111"/>
      <c r="Z582" s="111"/>
      <c r="AB582" s="111"/>
      <c r="AC582" s="111"/>
    </row>
    <row r="583" spans="1:29" x14ac:dyDescent="0.55000000000000004">
      <c r="A583"/>
      <c r="D583" s="111"/>
      <c r="K583" s="111"/>
      <c r="O583" s="111"/>
      <c r="P583" s="111"/>
      <c r="Q583" s="111"/>
      <c r="R583" s="111"/>
      <c r="S583" s="111"/>
      <c r="T583" s="111"/>
      <c r="U583" s="111"/>
      <c r="V583" s="111"/>
      <c r="W583" s="111"/>
      <c r="X583" s="111"/>
      <c r="Y583" s="111"/>
      <c r="Z583" s="111"/>
      <c r="AB583" s="111"/>
      <c r="AC583" s="111"/>
    </row>
    <row r="584" spans="1:29" x14ac:dyDescent="0.55000000000000004">
      <c r="A584"/>
      <c r="L584" s="111"/>
      <c r="O584" s="111"/>
      <c r="P584" s="111"/>
      <c r="Q584" s="111"/>
      <c r="R584" s="111"/>
      <c r="S584" s="111"/>
      <c r="T584" s="111"/>
      <c r="U584" s="111"/>
      <c r="V584" s="111"/>
      <c r="W584" s="111"/>
      <c r="X584" s="111"/>
      <c r="Y584" s="111"/>
      <c r="Z584" s="111"/>
      <c r="AB584" s="111"/>
      <c r="AC584" s="111"/>
    </row>
    <row r="585" spans="1:29" x14ac:dyDescent="0.55000000000000004">
      <c r="A585"/>
      <c r="K585" s="111"/>
      <c r="M585" s="118"/>
      <c r="N585" s="118"/>
      <c r="O585" s="111"/>
      <c r="P585" s="111"/>
      <c r="Q585" s="111"/>
      <c r="R585" s="111"/>
      <c r="S585" s="111"/>
      <c r="T585" s="111"/>
      <c r="U585" s="111"/>
      <c r="V585" s="111"/>
      <c r="W585" s="111"/>
      <c r="X585" s="111"/>
      <c r="Y585" s="111"/>
      <c r="Z585" s="111"/>
      <c r="AB585" s="111"/>
      <c r="AC585" s="111"/>
    </row>
    <row r="586" spans="1:29" x14ac:dyDescent="0.55000000000000004">
      <c r="A586"/>
      <c r="K586" s="111"/>
      <c r="O586" s="111"/>
      <c r="P586" s="111"/>
      <c r="Q586" s="111"/>
      <c r="R586" s="111"/>
      <c r="S586" s="111"/>
      <c r="T586" s="111"/>
      <c r="U586" s="111"/>
      <c r="V586" s="111"/>
      <c r="W586" s="111"/>
      <c r="X586" s="111"/>
      <c r="Y586" s="111"/>
      <c r="Z586" s="111"/>
      <c r="AB586" s="111"/>
      <c r="AC586" s="111"/>
    </row>
    <row r="587" spans="1:29" x14ac:dyDescent="0.55000000000000004">
      <c r="A587"/>
      <c r="K587" s="111"/>
      <c r="O587" s="111"/>
      <c r="P587" s="111"/>
      <c r="Q587" s="111"/>
      <c r="R587" s="111"/>
      <c r="S587" s="111"/>
      <c r="T587" s="111"/>
      <c r="U587" s="111"/>
      <c r="V587" s="111"/>
      <c r="W587" s="111"/>
      <c r="X587" s="111"/>
      <c r="Y587" s="111"/>
      <c r="Z587" s="111"/>
      <c r="AB587" s="111"/>
      <c r="AC587" s="111"/>
    </row>
    <row r="588" spans="1:29" x14ac:dyDescent="0.55000000000000004">
      <c r="A588"/>
      <c r="K588" s="111"/>
      <c r="O588" s="111"/>
      <c r="P588" s="111"/>
      <c r="Q588" s="111"/>
      <c r="R588" s="111"/>
      <c r="S588" s="111"/>
      <c r="T588" s="111"/>
      <c r="U588" s="111"/>
      <c r="V588" s="111"/>
      <c r="W588" s="111"/>
      <c r="X588" s="111"/>
      <c r="Y588" s="111"/>
      <c r="Z588" s="111"/>
      <c r="AB588" s="111"/>
      <c r="AC588" s="111"/>
    </row>
    <row r="589" spans="1:29" x14ac:dyDescent="0.55000000000000004">
      <c r="A589"/>
      <c r="K589" s="111"/>
      <c r="O589" s="111"/>
      <c r="P589" s="111"/>
      <c r="Q589" s="111"/>
      <c r="R589" s="111"/>
      <c r="S589" s="111"/>
      <c r="T589" s="111"/>
      <c r="U589" s="111"/>
      <c r="V589" s="111"/>
      <c r="W589" s="111"/>
      <c r="X589" s="111"/>
      <c r="Y589" s="111"/>
      <c r="Z589" s="111"/>
      <c r="AB589" s="111"/>
      <c r="AC589" s="111"/>
    </row>
    <row r="590" spans="1:29" x14ac:dyDescent="0.55000000000000004">
      <c r="A590"/>
      <c r="K590" s="111"/>
      <c r="L590" s="111"/>
      <c r="M590" s="118"/>
      <c r="N590" s="118"/>
      <c r="O590" s="111"/>
      <c r="P590" s="111"/>
      <c r="Q590" s="111"/>
      <c r="R590" s="111"/>
      <c r="S590" s="111"/>
      <c r="T590" s="111"/>
      <c r="U590" s="111"/>
      <c r="V590" s="111"/>
      <c r="W590" s="111"/>
      <c r="X590" s="111"/>
      <c r="Y590" s="111"/>
      <c r="Z590" s="111"/>
      <c r="AB590" s="111"/>
      <c r="AC590" s="111"/>
    </row>
    <row r="591" spans="1:29" x14ac:dyDescent="0.55000000000000004">
      <c r="A591"/>
      <c r="K591" s="111"/>
      <c r="O591" s="111"/>
      <c r="P591" s="111"/>
      <c r="Q591" s="111"/>
      <c r="R591" s="111"/>
      <c r="S591" s="111"/>
      <c r="T591" s="111"/>
      <c r="U591" s="111"/>
      <c r="V591" s="111"/>
      <c r="W591" s="111"/>
      <c r="X591" s="111"/>
      <c r="Y591" s="111"/>
      <c r="Z591" s="111"/>
      <c r="AB591" s="111"/>
      <c r="AC591" s="111"/>
    </row>
    <row r="592" spans="1:29" x14ac:dyDescent="0.55000000000000004">
      <c r="A592"/>
      <c r="K592" s="111"/>
      <c r="O592" s="111"/>
      <c r="P592" s="111"/>
      <c r="Q592" s="111"/>
      <c r="R592" s="111"/>
      <c r="S592" s="111"/>
      <c r="T592" s="111"/>
      <c r="U592" s="111"/>
      <c r="V592" s="111"/>
      <c r="W592" s="111"/>
      <c r="X592" s="111"/>
      <c r="Y592" s="111"/>
      <c r="Z592" s="111"/>
      <c r="AB592" s="111"/>
      <c r="AC592" s="111"/>
    </row>
    <row r="593" spans="1:29" x14ac:dyDescent="0.55000000000000004">
      <c r="A593"/>
      <c r="K593" s="111"/>
      <c r="O593" s="111"/>
      <c r="P593" s="111"/>
      <c r="Q593" s="111"/>
      <c r="R593" s="111"/>
      <c r="S593" s="111"/>
      <c r="T593" s="111"/>
      <c r="U593" s="111"/>
      <c r="V593" s="111"/>
      <c r="W593" s="111"/>
      <c r="X593" s="111"/>
      <c r="Y593" s="111"/>
      <c r="Z593" s="111"/>
      <c r="AB593" s="111"/>
      <c r="AC593" s="111"/>
    </row>
    <row r="594" spans="1:29" x14ac:dyDescent="0.55000000000000004">
      <c r="A594"/>
      <c r="K594" s="111"/>
      <c r="M594" s="118"/>
      <c r="N594" s="118"/>
      <c r="O594" s="111"/>
      <c r="P594" s="111"/>
      <c r="Q594" s="111"/>
      <c r="R594" s="111"/>
      <c r="S594" s="111"/>
      <c r="T594" s="111"/>
      <c r="U594" s="111"/>
      <c r="V594" s="111"/>
      <c r="W594" s="111"/>
      <c r="X594" s="111"/>
      <c r="Y594" s="111"/>
      <c r="Z594" s="111"/>
      <c r="AB594" s="111"/>
      <c r="AC594" s="111"/>
    </row>
    <row r="595" spans="1:29" x14ac:dyDescent="0.55000000000000004">
      <c r="A595"/>
      <c r="K595" s="111"/>
      <c r="O595" s="111"/>
      <c r="P595" s="111"/>
      <c r="Q595" s="111"/>
      <c r="R595" s="111"/>
      <c r="S595" s="111"/>
      <c r="T595" s="111"/>
      <c r="U595" s="111"/>
      <c r="V595" s="111"/>
      <c r="W595" s="111"/>
      <c r="X595" s="111"/>
      <c r="Y595" s="111"/>
      <c r="Z595" s="111"/>
      <c r="AB595" s="111"/>
      <c r="AC595" s="111"/>
    </row>
    <row r="596" spans="1:29" x14ac:dyDescent="0.55000000000000004">
      <c r="A596"/>
      <c r="K596" s="111"/>
      <c r="O596" s="111"/>
      <c r="P596" s="111"/>
      <c r="Q596" s="111"/>
      <c r="R596" s="111"/>
      <c r="S596" s="111"/>
      <c r="T596" s="111"/>
      <c r="U596" s="111"/>
      <c r="V596" s="111"/>
      <c r="W596" s="111"/>
      <c r="X596" s="111"/>
      <c r="Y596" s="111"/>
      <c r="Z596" s="111"/>
      <c r="AB596" s="111"/>
      <c r="AC596" s="111"/>
    </row>
    <row r="597" spans="1:29" x14ac:dyDescent="0.55000000000000004">
      <c r="A597"/>
      <c r="K597" s="111"/>
      <c r="O597" s="111"/>
      <c r="P597" s="111"/>
      <c r="Q597" s="111"/>
      <c r="R597" s="111"/>
      <c r="S597" s="111"/>
      <c r="T597" s="111"/>
      <c r="U597" s="111"/>
      <c r="V597" s="111"/>
      <c r="W597" s="111"/>
      <c r="X597" s="111"/>
      <c r="Y597" s="111"/>
      <c r="Z597" s="111"/>
      <c r="AB597" s="111"/>
      <c r="AC597" s="111"/>
    </row>
    <row r="598" spans="1:29" x14ac:dyDescent="0.55000000000000004">
      <c r="A598"/>
      <c r="K598" s="111"/>
      <c r="O598" s="111"/>
      <c r="P598" s="111"/>
      <c r="Q598" s="111"/>
      <c r="R598" s="111"/>
      <c r="S598" s="111"/>
      <c r="T598" s="111"/>
      <c r="U598" s="111"/>
      <c r="V598" s="111"/>
      <c r="W598" s="111"/>
      <c r="X598" s="111"/>
      <c r="Y598" s="111"/>
      <c r="Z598" s="111"/>
      <c r="AB598" s="111"/>
      <c r="AC598" s="111"/>
    </row>
    <row r="599" spans="1:29" x14ac:dyDescent="0.55000000000000004">
      <c r="A599"/>
      <c r="K599" s="111"/>
      <c r="M599" s="118"/>
      <c r="N599" s="118"/>
      <c r="O599" s="111"/>
      <c r="P599" s="111"/>
      <c r="Q599" s="111"/>
      <c r="R599" s="111"/>
      <c r="S599" s="111"/>
      <c r="T599" s="111"/>
      <c r="U599" s="111"/>
      <c r="V599" s="111"/>
      <c r="W599" s="111"/>
      <c r="X599" s="111"/>
      <c r="Y599" s="111"/>
      <c r="Z599" s="111"/>
      <c r="AB599" s="111"/>
      <c r="AC599" s="111"/>
    </row>
    <row r="600" spans="1:29" x14ac:dyDescent="0.55000000000000004">
      <c r="A600"/>
      <c r="K600" s="111"/>
      <c r="O600" s="111"/>
      <c r="P600" s="111"/>
      <c r="Q600" s="111"/>
      <c r="R600" s="111"/>
      <c r="S600" s="111"/>
      <c r="T600" s="111"/>
      <c r="U600" s="111"/>
      <c r="V600" s="111"/>
      <c r="W600" s="111"/>
      <c r="X600" s="111"/>
      <c r="Y600" s="111"/>
      <c r="Z600" s="111"/>
      <c r="AB600" s="111"/>
      <c r="AC600" s="111"/>
    </row>
    <row r="601" spans="1:29" x14ac:dyDescent="0.55000000000000004">
      <c r="A601"/>
      <c r="K601" s="111"/>
      <c r="O601" s="111"/>
      <c r="P601" s="111"/>
      <c r="Q601" s="111"/>
      <c r="R601" s="111"/>
      <c r="S601" s="111"/>
      <c r="T601" s="111"/>
      <c r="U601" s="111"/>
      <c r="V601" s="111"/>
      <c r="W601" s="111"/>
      <c r="X601" s="111"/>
      <c r="Y601" s="111"/>
      <c r="Z601" s="111"/>
      <c r="AB601" s="111"/>
      <c r="AC601" s="111"/>
    </row>
    <row r="602" spans="1:29" x14ac:dyDescent="0.55000000000000004">
      <c r="A602"/>
      <c r="K602" s="111"/>
      <c r="M602" s="118"/>
      <c r="N602" s="118"/>
      <c r="O602" s="111"/>
      <c r="P602" s="111"/>
      <c r="Q602" s="111"/>
      <c r="R602" s="111"/>
      <c r="S602" s="111"/>
      <c r="T602" s="111"/>
      <c r="U602" s="111"/>
      <c r="V602" s="111"/>
      <c r="W602" s="111"/>
      <c r="X602" s="111"/>
      <c r="Y602" s="111"/>
      <c r="Z602" s="111"/>
      <c r="AB602" s="111"/>
      <c r="AC602" s="111"/>
    </row>
    <row r="603" spans="1:29" x14ac:dyDescent="0.55000000000000004">
      <c r="A603"/>
      <c r="L603" s="111"/>
      <c r="M603" s="118"/>
      <c r="N603" s="118"/>
      <c r="O603" s="111"/>
      <c r="P603" s="111"/>
      <c r="Q603" s="111"/>
      <c r="R603" s="111"/>
      <c r="S603" s="111"/>
      <c r="T603" s="111"/>
      <c r="U603" s="111"/>
      <c r="V603" s="111"/>
      <c r="W603" s="111"/>
      <c r="X603" s="111"/>
      <c r="Y603" s="111"/>
      <c r="Z603" s="111"/>
      <c r="AB603" s="111"/>
      <c r="AC603" s="111"/>
    </row>
    <row r="604" spans="1:29" x14ac:dyDescent="0.55000000000000004">
      <c r="A604"/>
      <c r="K604" s="111"/>
      <c r="O604" s="111"/>
      <c r="P604" s="111"/>
      <c r="Q604" s="111"/>
      <c r="R604" s="111"/>
      <c r="S604" s="111"/>
      <c r="T604" s="111"/>
      <c r="U604" s="111"/>
      <c r="V604" s="111"/>
      <c r="W604" s="111"/>
      <c r="X604" s="111"/>
      <c r="Y604" s="111"/>
      <c r="Z604" s="111"/>
      <c r="AB604" s="111"/>
      <c r="AC604" s="111"/>
    </row>
    <row r="605" spans="1:29" x14ac:dyDescent="0.55000000000000004">
      <c r="A605"/>
      <c r="K605" s="111"/>
      <c r="M605" s="118"/>
      <c r="N605" s="118"/>
      <c r="O605" s="111"/>
      <c r="P605" s="111"/>
      <c r="Q605" s="111"/>
      <c r="R605" s="111"/>
      <c r="S605" s="111"/>
      <c r="T605" s="111"/>
      <c r="U605" s="111"/>
      <c r="V605" s="111"/>
      <c r="W605" s="111"/>
      <c r="X605" s="111"/>
      <c r="Y605" s="111"/>
      <c r="Z605" s="111"/>
      <c r="AB605" s="111"/>
      <c r="AC605" s="111"/>
    </row>
    <row r="606" spans="1:29" x14ac:dyDescent="0.55000000000000004">
      <c r="A606"/>
      <c r="K606" s="111"/>
      <c r="L606" s="111"/>
      <c r="M606" s="118"/>
      <c r="N606" s="118"/>
      <c r="O606" s="111"/>
      <c r="P606" s="111"/>
      <c r="Q606" s="111"/>
      <c r="R606" s="111"/>
      <c r="S606" s="111"/>
      <c r="T606" s="111"/>
      <c r="U606" s="111"/>
      <c r="V606" s="111"/>
      <c r="W606" s="111"/>
      <c r="X606" s="111"/>
      <c r="Y606" s="111"/>
      <c r="Z606" s="111"/>
      <c r="AB606" s="111"/>
      <c r="AC606" s="111"/>
    </row>
    <row r="607" spans="1:29" x14ac:dyDescent="0.55000000000000004">
      <c r="A607"/>
      <c r="O607" s="111"/>
      <c r="P607" s="111"/>
      <c r="Q607" s="111"/>
      <c r="R607" s="111"/>
      <c r="S607" s="111"/>
      <c r="T607" s="111"/>
      <c r="U607" s="111"/>
      <c r="V607" s="111"/>
      <c r="W607" s="111"/>
      <c r="X607" s="111"/>
      <c r="Y607" s="111"/>
      <c r="Z607" s="111"/>
      <c r="AB607" s="111"/>
      <c r="AC607" s="111"/>
    </row>
    <row r="608" spans="1:29" x14ac:dyDescent="0.55000000000000004">
      <c r="A608"/>
      <c r="K608" s="111"/>
      <c r="O608" s="111"/>
      <c r="P608" s="111"/>
      <c r="Q608" s="111"/>
      <c r="R608" s="111"/>
      <c r="S608" s="111"/>
      <c r="T608" s="111"/>
      <c r="U608" s="111"/>
      <c r="V608" s="111"/>
      <c r="W608" s="111"/>
      <c r="X608" s="111"/>
      <c r="Y608" s="111"/>
      <c r="Z608" s="111"/>
      <c r="AB608" s="111"/>
      <c r="AC608" s="111"/>
    </row>
    <row r="609" spans="1:29" x14ac:dyDescent="0.55000000000000004">
      <c r="A609"/>
      <c r="K609" s="111"/>
      <c r="M609" s="118"/>
      <c r="N609" s="118"/>
      <c r="O609" s="111"/>
      <c r="P609" s="111"/>
      <c r="Q609" s="111"/>
      <c r="R609" s="111"/>
      <c r="S609" s="111"/>
      <c r="T609" s="111"/>
      <c r="U609" s="111"/>
      <c r="V609" s="111"/>
      <c r="W609" s="111"/>
      <c r="X609" s="111"/>
      <c r="Y609" s="111"/>
      <c r="Z609" s="111"/>
      <c r="AB609" s="111"/>
      <c r="AC609" s="111"/>
    </row>
    <row r="610" spans="1:29" x14ac:dyDescent="0.55000000000000004">
      <c r="A610"/>
      <c r="K610" s="111"/>
      <c r="O610" s="111"/>
      <c r="P610" s="111"/>
      <c r="Q610" s="111"/>
      <c r="R610" s="111"/>
      <c r="S610" s="111"/>
      <c r="T610" s="111"/>
      <c r="U610" s="111"/>
      <c r="V610" s="111"/>
      <c r="W610" s="111"/>
      <c r="X610" s="111"/>
      <c r="Y610" s="111"/>
      <c r="Z610" s="111"/>
      <c r="AB610" s="111"/>
      <c r="AC610" s="111"/>
    </row>
    <row r="611" spans="1:29" x14ac:dyDescent="0.55000000000000004">
      <c r="A611"/>
      <c r="D611" s="111"/>
      <c r="K611" s="111"/>
      <c r="L611" s="111"/>
      <c r="M611" s="118"/>
      <c r="N611" s="118"/>
      <c r="O611" s="111"/>
      <c r="P611" s="111"/>
      <c r="Q611" s="111"/>
      <c r="R611" s="111"/>
      <c r="S611" s="111"/>
      <c r="T611" s="111"/>
      <c r="U611" s="111"/>
      <c r="V611" s="111"/>
      <c r="W611" s="111"/>
      <c r="X611" s="111"/>
      <c r="Y611" s="111"/>
      <c r="Z611" s="111"/>
      <c r="AB611" s="111"/>
      <c r="AC611" s="111"/>
    </row>
    <row r="612" spans="1:29" x14ac:dyDescent="0.55000000000000004">
      <c r="A612"/>
      <c r="C612" s="111"/>
      <c r="D612" s="111"/>
      <c r="H612" s="111"/>
      <c r="I612" s="111"/>
      <c r="K612" s="111"/>
      <c r="M612" s="118"/>
      <c r="N612" s="118"/>
      <c r="O612" s="111"/>
      <c r="P612" s="111"/>
      <c r="Q612" s="111"/>
      <c r="R612" s="111"/>
      <c r="S612" s="111"/>
      <c r="T612" s="111"/>
      <c r="U612" s="111"/>
      <c r="V612" s="111"/>
      <c r="W612" s="111"/>
      <c r="X612" s="111"/>
      <c r="Y612" s="111"/>
      <c r="Z612" s="111"/>
      <c r="AB612" s="111"/>
      <c r="AC612" s="111"/>
    </row>
    <row r="613" spans="1:29" x14ac:dyDescent="0.55000000000000004">
      <c r="A613"/>
      <c r="K613" s="111"/>
      <c r="M613" s="118"/>
      <c r="N613" s="118"/>
      <c r="O613" s="111"/>
      <c r="P613" s="111"/>
      <c r="Q613" s="111"/>
      <c r="R613" s="111"/>
      <c r="S613" s="111"/>
      <c r="T613" s="111"/>
      <c r="U613" s="111"/>
      <c r="V613" s="111"/>
      <c r="W613" s="111"/>
      <c r="X613" s="111"/>
      <c r="Y613" s="111"/>
      <c r="Z613" s="111"/>
      <c r="AB613" s="111"/>
      <c r="AC613" s="111"/>
    </row>
    <row r="614" spans="1:29" x14ac:dyDescent="0.55000000000000004">
      <c r="A614"/>
      <c r="K614" s="111"/>
      <c r="M614" s="118"/>
      <c r="N614" s="118"/>
      <c r="O614" s="111"/>
      <c r="P614" s="111"/>
      <c r="Q614" s="111"/>
      <c r="R614" s="111"/>
      <c r="S614" s="111"/>
      <c r="T614" s="111"/>
      <c r="U614" s="111"/>
      <c r="V614" s="111"/>
      <c r="W614" s="111"/>
      <c r="X614" s="111"/>
      <c r="Y614" s="111"/>
      <c r="Z614" s="111"/>
      <c r="AB614" s="111"/>
      <c r="AC614" s="111"/>
    </row>
    <row r="615" spans="1:29" x14ac:dyDescent="0.55000000000000004">
      <c r="A615"/>
      <c r="K615" s="111"/>
      <c r="L615" s="111"/>
      <c r="O615" s="111"/>
      <c r="P615" s="111"/>
      <c r="Q615" s="111"/>
      <c r="R615" s="111"/>
      <c r="S615" s="111"/>
      <c r="T615" s="111"/>
      <c r="U615" s="111"/>
      <c r="V615" s="111"/>
      <c r="W615" s="111"/>
      <c r="X615" s="111"/>
      <c r="Y615" s="111"/>
      <c r="Z615" s="111"/>
      <c r="AB615" s="111"/>
      <c r="AC615" s="111"/>
    </row>
    <row r="616" spans="1:29" x14ac:dyDescent="0.55000000000000004">
      <c r="A616"/>
      <c r="M616" s="118"/>
      <c r="N616" s="118"/>
      <c r="O616" s="111"/>
      <c r="P616" s="111"/>
      <c r="Q616" s="111"/>
      <c r="R616" s="111"/>
      <c r="S616" s="111"/>
      <c r="T616" s="111"/>
      <c r="U616" s="111"/>
      <c r="V616" s="111"/>
      <c r="W616" s="111"/>
      <c r="X616" s="111"/>
      <c r="Y616" s="111"/>
      <c r="Z616" s="111"/>
      <c r="AB616" s="111"/>
      <c r="AC616" s="111"/>
    </row>
    <row r="617" spans="1:29" x14ac:dyDescent="0.55000000000000004">
      <c r="A617"/>
      <c r="K617" s="111"/>
      <c r="M617" s="118"/>
      <c r="N617" s="118"/>
      <c r="O617" s="111"/>
      <c r="P617" s="111"/>
      <c r="Q617" s="111"/>
      <c r="R617" s="111"/>
      <c r="S617" s="111"/>
      <c r="T617" s="111"/>
      <c r="U617" s="111"/>
      <c r="V617" s="111"/>
      <c r="W617" s="111"/>
      <c r="X617" s="111"/>
      <c r="Y617" s="111"/>
      <c r="Z617" s="111"/>
      <c r="AB617" s="111"/>
      <c r="AC617" s="111"/>
    </row>
    <row r="618" spans="1:29" x14ac:dyDescent="0.55000000000000004">
      <c r="A618"/>
      <c r="K618" s="111"/>
      <c r="O618" s="111"/>
      <c r="P618" s="111"/>
      <c r="Q618" s="111"/>
      <c r="R618" s="111"/>
      <c r="S618" s="111"/>
      <c r="T618" s="111"/>
      <c r="U618" s="111"/>
      <c r="V618" s="111"/>
      <c r="W618" s="111"/>
      <c r="X618" s="111"/>
      <c r="Y618" s="111"/>
      <c r="Z618" s="111"/>
      <c r="AB618" s="111"/>
      <c r="AC618" s="111"/>
    </row>
    <row r="619" spans="1:29" x14ac:dyDescent="0.55000000000000004">
      <c r="A619"/>
      <c r="K619" s="111"/>
      <c r="O619" s="111"/>
      <c r="P619" s="111"/>
      <c r="Q619" s="111"/>
      <c r="R619" s="111"/>
      <c r="S619" s="111"/>
      <c r="T619" s="111"/>
      <c r="U619" s="111"/>
      <c r="V619" s="111"/>
      <c r="W619" s="111"/>
      <c r="X619" s="111"/>
      <c r="Y619" s="111"/>
      <c r="Z619" s="111"/>
      <c r="AB619" s="111"/>
      <c r="AC619" s="111"/>
    </row>
    <row r="620" spans="1:29" x14ac:dyDescent="0.55000000000000004">
      <c r="A620"/>
      <c r="K620" s="111"/>
      <c r="L620" s="111"/>
      <c r="M620" s="118"/>
      <c r="N620" s="118"/>
      <c r="O620" s="111"/>
      <c r="P620" s="111"/>
      <c r="Q620" s="111"/>
      <c r="R620" s="111"/>
      <c r="S620" s="111"/>
      <c r="T620" s="111"/>
      <c r="U620" s="111"/>
      <c r="V620" s="111"/>
      <c r="W620" s="111"/>
      <c r="X620" s="111"/>
      <c r="Y620" s="111"/>
      <c r="Z620" s="111"/>
      <c r="AB620" s="111"/>
      <c r="AC620" s="111"/>
    </row>
    <row r="621" spans="1:29" x14ac:dyDescent="0.55000000000000004">
      <c r="A621"/>
      <c r="D621" s="111"/>
      <c r="K621" s="111"/>
      <c r="O621" s="111"/>
      <c r="P621" s="111"/>
      <c r="Q621" s="111"/>
      <c r="R621" s="111"/>
      <c r="S621" s="111"/>
      <c r="T621" s="111"/>
      <c r="U621" s="111"/>
      <c r="V621" s="111"/>
      <c r="W621" s="111"/>
      <c r="X621" s="111"/>
      <c r="Y621" s="111"/>
      <c r="Z621" s="111"/>
      <c r="AB621" s="111"/>
      <c r="AC621" s="111"/>
    </row>
    <row r="622" spans="1:29" x14ac:dyDescent="0.55000000000000004">
      <c r="A622"/>
      <c r="K622" s="111"/>
      <c r="M622" s="118"/>
      <c r="N622" s="118"/>
      <c r="O622" s="111"/>
      <c r="P622" s="111"/>
      <c r="Q622" s="111"/>
      <c r="R622" s="111"/>
      <c r="S622" s="111"/>
      <c r="T622" s="111"/>
      <c r="U622" s="111"/>
      <c r="V622" s="111"/>
      <c r="W622" s="111"/>
      <c r="X622" s="111"/>
      <c r="Y622" s="111"/>
      <c r="Z622" s="111"/>
      <c r="AB622" s="111"/>
      <c r="AC622" s="111"/>
    </row>
    <row r="623" spans="1:29" x14ac:dyDescent="0.55000000000000004">
      <c r="A623"/>
      <c r="L623" s="111"/>
      <c r="M623" s="118"/>
      <c r="N623" s="118"/>
      <c r="O623" s="111"/>
      <c r="P623" s="111"/>
      <c r="Q623" s="111"/>
      <c r="R623" s="111"/>
      <c r="S623" s="111"/>
      <c r="T623" s="111"/>
      <c r="U623" s="111"/>
      <c r="V623" s="111"/>
      <c r="W623" s="111"/>
      <c r="X623" s="111"/>
      <c r="Y623" s="111"/>
      <c r="Z623" s="111"/>
      <c r="AB623" s="111"/>
      <c r="AC623" s="111"/>
    </row>
    <row r="624" spans="1:29" x14ac:dyDescent="0.55000000000000004">
      <c r="A624"/>
      <c r="L624" s="111"/>
      <c r="M624" s="118"/>
      <c r="N624" s="118"/>
      <c r="O624" s="111"/>
      <c r="P624" s="111"/>
      <c r="Q624" s="111"/>
      <c r="R624" s="111"/>
      <c r="S624" s="111"/>
      <c r="T624" s="111"/>
      <c r="U624" s="111"/>
      <c r="V624" s="111"/>
      <c r="W624" s="111"/>
      <c r="X624" s="111"/>
      <c r="Y624" s="111"/>
      <c r="Z624" s="111"/>
      <c r="AB624" s="111"/>
      <c r="AC624" s="111"/>
    </row>
    <row r="625" spans="1:29" x14ac:dyDescent="0.55000000000000004">
      <c r="A625"/>
      <c r="K625" s="111"/>
      <c r="M625" s="118"/>
      <c r="N625" s="118"/>
      <c r="O625" s="111"/>
      <c r="P625" s="111"/>
      <c r="Q625" s="111"/>
      <c r="R625" s="111"/>
      <c r="S625" s="111"/>
      <c r="T625" s="111"/>
      <c r="U625" s="111"/>
      <c r="V625" s="111"/>
      <c r="W625" s="111"/>
      <c r="X625" s="111"/>
      <c r="Y625" s="111"/>
      <c r="Z625" s="111"/>
      <c r="AB625" s="111"/>
      <c r="AC625" s="111"/>
    </row>
    <row r="626" spans="1:29" x14ac:dyDescent="0.55000000000000004">
      <c r="A626"/>
      <c r="L626" s="111"/>
      <c r="O626" s="111"/>
      <c r="P626" s="111"/>
      <c r="Q626" s="111"/>
      <c r="R626" s="111"/>
      <c r="S626" s="111"/>
      <c r="T626" s="111"/>
      <c r="U626" s="111"/>
      <c r="V626" s="111"/>
      <c r="W626" s="111"/>
      <c r="X626" s="111"/>
      <c r="Y626" s="111"/>
      <c r="Z626" s="111"/>
      <c r="AB626" s="111"/>
      <c r="AC626" s="111"/>
    </row>
    <row r="627" spans="1:29" x14ac:dyDescent="0.55000000000000004">
      <c r="A627"/>
      <c r="K627" s="111"/>
      <c r="L627" s="111"/>
      <c r="M627" s="118"/>
      <c r="N627" s="118"/>
      <c r="O627" s="111"/>
      <c r="P627" s="111"/>
      <c r="Q627" s="111"/>
      <c r="R627" s="111"/>
      <c r="S627" s="111"/>
      <c r="T627" s="111"/>
      <c r="U627" s="111"/>
      <c r="V627" s="111"/>
      <c r="W627" s="111"/>
      <c r="X627" s="111"/>
      <c r="Y627" s="111"/>
      <c r="Z627" s="111"/>
      <c r="AB627" s="111"/>
      <c r="AC627" s="111"/>
    </row>
    <row r="628" spans="1:29" x14ac:dyDescent="0.55000000000000004">
      <c r="A628"/>
      <c r="K628" s="111"/>
      <c r="M628" s="118"/>
      <c r="N628" s="118"/>
      <c r="O628" s="111"/>
      <c r="P628" s="111"/>
      <c r="Q628" s="111"/>
      <c r="R628" s="111"/>
      <c r="S628" s="111"/>
      <c r="T628" s="111"/>
      <c r="U628" s="111"/>
      <c r="V628" s="111"/>
      <c r="W628" s="111"/>
      <c r="X628" s="111"/>
      <c r="Y628" s="111"/>
      <c r="Z628" s="111"/>
      <c r="AB628" s="111"/>
      <c r="AC628" s="111"/>
    </row>
    <row r="629" spans="1:29" x14ac:dyDescent="0.55000000000000004">
      <c r="A629"/>
      <c r="K629" s="111"/>
      <c r="O629" s="111"/>
      <c r="P629" s="111"/>
      <c r="Q629" s="111"/>
      <c r="R629" s="111"/>
      <c r="S629" s="111"/>
      <c r="T629" s="111"/>
      <c r="U629" s="111"/>
      <c r="V629" s="111"/>
      <c r="W629" s="111"/>
      <c r="X629" s="111"/>
      <c r="Y629" s="111"/>
      <c r="Z629" s="111"/>
      <c r="AB629" s="111"/>
      <c r="AC629" s="111"/>
    </row>
    <row r="630" spans="1:29" x14ac:dyDescent="0.55000000000000004">
      <c r="A630"/>
      <c r="L630" s="111"/>
      <c r="O630" s="111"/>
      <c r="P630" s="111"/>
      <c r="Q630" s="111"/>
      <c r="R630" s="111"/>
      <c r="S630" s="111"/>
      <c r="T630" s="111"/>
      <c r="U630" s="111"/>
      <c r="V630" s="111"/>
      <c r="W630" s="111"/>
      <c r="X630" s="111"/>
      <c r="Y630" s="111"/>
      <c r="Z630" s="111"/>
      <c r="AB630" s="111"/>
      <c r="AC630" s="111"/>
    </row>
    <row r="631" spans="1:29" x14ac:dyDescent="0.55000000000000004">
      <c r="A631"/>
      <c r="C631" s="111"/>
      <c r="D631" s="111"/>
      <c r="K631" s="111"/>
      <c r="M631" s="118"/>
      <c r="N631" s="118"/>
      <c r="O631" s="111"/>
      <c r="P631" s="111"/>
      <c r="Q631" s="111"/>
      <c r="R631" s="111"/>
      <c r="S631" s="111"/>
      <c r="T631" s="111"/>
      <c r="U631" s="111"/>
      <c r="V631" s="111"/>
      <c r="W631" s="111"/>
      <c r="X631" s="111"/>
      <c r="Y631" s="111"/>
      <c r="Z631" s="111"/>
      <c r="AB631" s="111"/>
      <c r="AC631" s="111"/>
    </row>
    <row r="632" spans="1:29" x14ac:dyDescent="0.55000000000000004">
      <c r="A632"/>
      <c r="L632" s="111"/>
      <c r="O632" s="111"/>
      <c r="P632" s="111"/>
      <c r="Q632" s="111"/>
      <c r="R632" s="111"/>
      <c r="S632" s="111"/>
      <c r="T632" s="111"/>
      <c r="U632" s="111"/>
      <c r="V632" s="111"/>
      <c r="W632" s="111"/>
      <c r="X632" s="111"/>
      <c r="Y632" s="111"/>
      <c r="Z632" s="111"/>
      <c r="AB632" s="111"/>
      <c r="AC632" s="111"/>
    </row>
    <row r="633" spans="1:29" x14ac:dyDescent="0.55000000000000004">
      <c r="A633"/>
      <c r="K633" s="111"/>
      <c r="L633" s="111"/>
      <c r="M633" s="118"/>
      <c r="N633" s="118"/>
      <c r="O633" s="111"/>
      <c r="P633" s="111"/>
      <c r="Q633" s="111"/>
      <c r="R633" s="111"/>
      <c r="S633" s="111"/>
      <c r="T633" s="111"/>
      <c r="U633" s="111"/>
      <c r="V633" s="111"/>
      <c r="W633" s="111"/>
      <c r="X633" s="111"/>
      <c r="Y633" s="111"/>
      <c r="Z633" s="111"/>
      <c r="AB633" s="111"/>
      <c r="AC633" s="111"/>
    </row>
    <row r="634" spans="1:29" x14ac:dyDescent="0.55000000000000004">
      <c r="A634"/>
      <c r="L634" s="111"/>
      <c r="M634" s="118"/>
      <c r="N634" s="118"/>
      <c r="O634" s="111"/>
      <c r="P634" s="111"/>
      <c r="Q634" s="111"/>
      <c r="R634" s="111"/>
      <c r="S634" s="111"/>
      <c r="T634" s="111"/>
      <c r="U634" s="111"/>
      <c r="V634" s="111"/>
      <c r="W634" s="111"/>
      <c r="X634" s="111"/>
      <c r="Y634" s="111"/>
      <c r="Z634" s="111"/>
      <c r="AB634" s="111"/>
      <c r="AC634" s="111"/>
    </row>
    <row r="635" spans="1:29" x14ac:dyDescent="0.55000000000000004">
      <c r="A635"/>
      <c r="L635" s="111"/>
      <c r="M635" s="118"/>
      <c r="N635" s="118"/>
      <c r="O635" s="111"/>
      <c r="P635" s="111"/>
      <c r="Q635" s="111"/>
      <c r="R635" s="111"/>
      <c r="S635" s="111"/>
      <c r="T635" s="111"/>
      <c r="U635" s="111"/>
      <c r="V635" s="111"/>
      <c r="W635" s="111"/>
      <c r="X635" s="111"/>
      <c r="Y635" s="111"/>
      <c r="Z635" s="111"/>
      <c r="AB635" s="111"/>
      <c r="AC635" s="111"/>
    </row>
    <row r="636" spans="1:29" x14ac:dyDescent="0.55000000000000004">
      <c r="A636"/>
      <c r="K636" s="111"/>
      <c r="M636" s="118"/>
      <c r="N636" s="118"/>
      <c r="O636" s="111"/>
      <c r="P636" s="111"/>
      <c r="Q636" s="111"/>
      <c r="R636" s="111"/>
      <c r="S636" s="111"/>
      <c r="T636" s="111"/>
      <c r="U636" s="111"/>
      <c r="V636" s="111"/>
      <c r="W636" s="111"/>
      <c r="X636" s="111"/>
      <c r="Y636" s="111"/>
      <c r="Z636" s="111"/>
      <c r="AB636" s="111"/>
      <c r="AC636" s="111"/>
    </row>
    <row r="637" spans="1:29" x14ac:dyDescent="0.55000000000000004">
      <c r="A637"/>
      <c r="L637" s="111"/>
      <c r="O637" s="111"/>
      <c r="P637" s="111"/>
      <c r="Q637" s="111"/>
      <c r="R637" s="111"/>
      <c r="S637" s="111"/>
      <c r="T637" s="111"/>
      <c r="U637" s="111"/>
      <c r="V637" s="111"/>
      <c r="W637" s="111"/>
      <c r="X637" s="111"/>
      <c r="Y637" s="111"/>
      <c r="Z637" s="111"/>
      <c r="AB637" s="111"/>
      <c r="AC637" s="111"/>
    </row>
    <row r="638" spans="1:29" x14ac:dyDescent="0.55000000000000004">
      <c r="A638"/>
      <c r="K638" s="111"/>
      <c r="L638" s="111"/>
      <c r="M638" s="118"/>
      <c r="N638" s="118"/>
      <c r="O638" s="111"/>
      <c r="P638" s="111"/>
      <c r="Q638" s="111"/>
      <c r="R638" s="111"/>
      <c r="S638" s="111"/>
      <c r="T638" s="111"/>
      <c r="U638" s="111"/>
      <c r="V638" s="111"/>
      <c r="W638" s="111"/>
      <c r="X638" s="111"/>
      <c r="Y638" s="111"/>
      <c r="Z638" s="111"/>
      <c r="AB638" s="111"/>
      <c r="AC638" s="111"/>
    </row>
    <row r="639" spans="1:29" x14ac:dyDescent="0.55000000000000004">
      <c r="A639"/>
      <c r="K639" s="111"/>
      <c r="M639" s="118"/>
      <c r="N639" s="118"/>
      <c r="O639" s="111"/>
      <c r="P639" s="111"/>
      <c r="Q639" s="111"/>
      <c r="R639" s="111"/>
      <c r="S639" s="111"/>
      <c r="T639" s="111"/>
      <c r="U639" s="111"/>
      <c r="V639" s="111"/>
      <c r="W639" s="111"/>
      <c r="X639" s="111"/>
      <c r="Y639" s="111"/>
      <c r="Z639" s="111"/>
      <c r="AB639" s="111"/>
      <c r="AC639" s="111"/>
    </row>
    <row r="640" spans="1:29" x14ac:dyDescent="0.55000000000000004">
      <c r="A640"/>
      <c r="K640" s="111"/>
      <c r="O640" s="111"/>
      <c r="P640" s="111"/>
      <c r="Q640" s="111"/>
      <c r="R640" s="111"/>
      <c r="S640" s="111"/>
      <c r="T640" s="111"/>
      <c r="U640" s="111"/>
      <c r="V640" s="111"/>
      <c r="W640" s="111"/>
      <c r="X640" s="111"/>
      <c r="Y640" s="111"/>
      <c r="Z640" s="111"/>
      <c r="AB640" s="111"/>
      <c r="AC640" s="111"/>
    </row>
    <row r="641" spans="1:29" x14ac:dyDescent="0.55000000000000004">
      <c r="A641"/>
      <c r="L641" s="111"/>
      <c r="O641" s="111"/>
      <c r="P641" s="111"/>
      <c r="Q641" s="111"/>
      <c r="R641" s="111"/>
      <c r="S641" s="111"/>
      <c r="T641" s="111"/>
      <c r="U641" s="111"/>
      <c r="V641" s="111"/>
      <c r="W641" s="111"/>
      <c r="X641" s="111"/>
      <c r="Y641" s="111"/>
      <c r="Z641" s="111"/>
      <c r="AB641" s="111"/>
      <c r="AC641" s="111"/>
    </row>
    <row r="642" spans="1:29" x14ac:dyDescent="0.55000000000000004">
      <c r="A642"/>
      <c r="C642" s="111"/>
      <c r="D642" s="111"/>
      <c r="K642" s="111"/>
      <c r="M642" s="118"/>
      <c r="N642" s="118"/>
      <c r="O642" s="111"/>
      <c r="P642" s="111"/>
      <c r="Q642" s="111"/>
      <c r="R642" s="111"/>
      <c r="S642" s="111"/>
      <c r="T642" s="111"/>
      <c r="U642" s="111"/>
      <c r="V642" s="111"/>
      <c r="W642" s="111"/>
      <c r="X642" s="111"/>
      <c r="Y642" s="111"/>
      <c r="Z642" s="111"/>
      <c r="AB642" s="111"/>
      <c r="AC642" s="111"/>
    </row>
    <row r="643" spans="1:29" x14ac:dyDescent="0.55000000000000004">
      <c r="A643"/>
      <c r="L643" s="111"/>
      <c r="O643" s="111"/>
      <c r="P643" s="111"/>
      <c r="Q643" s="111"/>
      <c r="R643" s="111"/>
      <c r="S643" s="111"/>
      <c r="T643" s="111"/>
      <c r="U643" s="111"/>
      <c r="V643" s="111"/>
      <c r="W643" s="111"/>
      <c r="X643" s="111"/>
      <c r="Y643" s="111"/>
      <c r="Z643" s="111"/>
      <c r="AB643" s="111"/>
      <c r="AC643" s="111"/>
    </row>
    <row r="644" spans="1:29" x14ac:dyDescent="0.55000000000000004">
      <c r="A644"/>
      <c r="K644" s="111"/>
      <c r="L644" s="111"/>
      <c r="M644" s="118"/>
      <c r="N644" s="118"/>
      <c r="O644" s="111"/>
      <c r="P644" s="111"/>
      <c r="Q644" s="111"/>
      <c r="R644" s="111"/>
      <c r="S644" s="111"/>
      <c r="T644" s="111"/>
      <c r="U644" s="111"/>
      <c r="V644" s="111"/>
      <c r="W644" s="111"/>
      <c r="X644" s="111"/>
      <c r="Y644" s="111"/>
      <c r="Z644" s="111"/>
      <c r="AB644" s="111"/>
      <c r="AC644" s="111"/>
    </row>
    <row r="645" spans="1:29" x14ac:dyDescent="0.55000000000000004">
      <c r="A645"/>
      <c r="L645" s="111"/>
      <c r="M645" s="118"/>
      <c r="N645" s="118"/>
      <c r="O645" s="111"/>
      <c r="P645" s="111"/>
      <c r="Q645" s="111"/>
      <c r="R645" s="111"/>
      <c r="S645" s="111"/>
      <c r="T645" s="111"/>
      <c r="U645" s="111"/>
      <c r="V645" s="111"/>
      <c r="W645" s="111"/>
      <c r="X645" s="111"/>
      <c r="Y645" s="111"/>
      <c r="Z645" s="111"/>
      <c r="AB645" s="111"/>
      <c r="AC645" s="111"/>
    </row>
    <row r="646" spans="1:29" x14ac:dyDescent="0.55000000000000004">
      <c r="A646"/>
      <c r="L646" s="111"/>
      <c r="M646" s="118"/>
      <c r="N646" s="118"/>
      <c r="O646" s="111"/>
      <c r="P646" s="111"/>
      <c r="Q646" s="111"/>
      <c r="R646" s="111"/>
      <c r="S646" s="111"/>
      <c r="T646" s="111"/>
      <c r="U646" s="111"/>
      <c r="V646" s="111"/>
      <c r="W646" s="111"/>
      <c r="X646" s="111"/>
      <c r="Y646" s="111"/>
      <c r="Z646" s="111"/>
      <c r="AB646" s="111"/>
      <c r="AC646" s="111"/>
    </row>
    <row r="647" spans="1:29" x14ac:dyDescent="0.55000000000000004">
      <c r="A647"/>
      <c r="K647" s="111"/>
      <c r="O647" s="111"/>
      <c r="P647" s="111"/>
      <c r="Q647" s="111"/>
      <c r="R647" s="111"/>
      <c r="S647" s="111"/>
      <c r="T647" s="111"/>
      <c r="U647" s="111"/>
      <c r="V647" s="111"/>
      <c r="W647" s="111"/>
      <c r="X647" s="111"/>
      <c r="Y647" s="111"/>
      <c r="Z647" s="111"/>
      <c r="AB647" s="111"/>
      <c r="AC647" s="111"/>
    </row>
    <row r="648" spans="1:29" x14ac:dyDescent="0.55000000000000004">
      <c r="A648"/>
      <c r="L648" s="111"/>
      <c r="O648" s="111"/>
      <c r="P648" s="111"/>
      <c r="Q648" s="111"/>
      <c r="R648" s="111"/>
      <c r="S648" s="111"/>
      <c r="T648" s="111"/>
      <c r="U648" s="111"/>
      <c r="V648" s="111"/>
      <c r="W648" s="111"/>
      <c r="X648" s="111"/>
      <c r="Y648" s="111"/>
      <c r="Z648" s="111"/>
      <c r="AB648" s="111"/>
      <c r="AC648" s="111"/>
    </row>
    <row r="649" spans="1:29" x14ac:dyDescent="0.55000000000000004">
      <c r="A649"/>
      <c r="K649" s="111"/>
      <c r="L649" s="111"/>
      <c r="M649" s="118"/>
      <c r="N649" s="118"/>
      <c r="O649" s="111"/>
      <c r="P649" s="111"/>
      <c r="Q649" s="111"/>
      <c r="R649" s="111"/>
      <c r="S649" s="111"/>
      <c r="T649" s="111"/>
      <c r="U649" s="111"/>
      <c r="V649" s="111"/>
      <c r="W649" s="111"/>
      <c r="X649" s="111"/>
      <c r="Y649" s="111"/>
      <c r="Z649" s="111"/>
      <c r="AB649" s="111"/>
      <c r="AC649" s="111"/>
    </row>
    <row r="650" spans="1:29" x14ac:dyDescent="0.55000000000000004">
      <c r="A650"/>
      <c r="K650" s="111"/>
      <c r="M650" s="118"/>
      <c r="N650" s="118"/>
      <c r="O650" s="111"/>
      <c r="P650" s="111"/>
      <c r="Q650" s="111"/>
      <c r="R650" s="111"/>
      <c r="S650" s="111"/>
      <c r="T650" s="111"/>
      <c r="U650" s="111"/>
      <c r="V650" s="111"/>
      <c r="W650" s="111"/>
      <c r="X650" s="111"/>
      <c r="Y650" s="111"/>
      <c r="Z650" s="111"/>
      <c r="AB650" s="111"/>
      <c r="AC650" s="111"/>
    </row>
    <row r="651" spans="1:29" x14ac:dyDescent="0.55000000000000004">
      <c r="A651"/>
      <c r="K651" s="111"/>
      <c r="O651" s="111"/>
      <c r="P651" s="111"/>
      <c r="Q651" s="111"/>
      <c r="R651" s="111"/>
      <c r="S651" s="111"/>
      <c r="T651" s="111"/>
      <c r="U651" s="111"/>
      <c r="V651" s="111"/>
      <c r="W651" s="111"/>
      <c r="X651" s="111"/>
      <c r="Y651" s="111"/>
      <c r="Z651" s="111"/>
      <c r="AB651" s="111"/>
      <c r="AC651" s="111"/>
    </row>
    <row r="652" spans="1:29" x14ac:dyDescent="0.55000000000000004">
      <c r="A652"/>
      <c r="L652" s="111"/>
      <c r="O652" s="111"/>
      <c r="P652" s="111"/>
      <c r="Q652" s="111"/>
      <c r="R652" s="111"/>
      <c r="S652" s="111"/>
      <c r="T652" s="111"/>
      <c r="U652" s="111"/>
      <c r="V652" s="111"/>
      <c r="W652" s="111"/>
      <c r="X652" s="111"/>
      <c r="Y652" s="111"/>
      <c r="Z652" s="111"/>
      <c r="AB652" s="111"/>
      <c r="AC652" s="111"/>
    </row>
    <row r="653" spans="1:29" x14ac:dyDescent="0.55000000000000004">
      <c r="A653"/>
      <c r="D653" s="111"/>
      <c r="K653" s="111"/>
      <c r="M653" s="118"/>
      <c r="N653" s="118"/>
      <c r="O653" s="111"/>
      <c r="P653" s="111"/>
      <c r="Q653" s="111"/>
      <c r="R653" s="111"/>
      <c r="S653" s="111"/>
      <c r="T653" s="111"/>
      <c r="U653" s="111"/>
      <c r="V653" s="111"/>
      <c r="W653" s="111"/>
      <c r="X653" s="111"/>
      <c r="Y653" s="111"/>
      <c r="Z653" s="111"/>
      <c r="AB653" s="111"/>
      <c r="AC653" s="111"/>
    </row>
    <row r="654" spans="1:29" x14ac:dyDescent="0.55000000000000004">
      <c r="A654"/>
      <c r="L654" s="111"/>
      <c r="O654" s="111"/>
      <c r="P654" s="111"/>
      <c r="Q654" s="111"/>
      <c r="R654" s="111"/>
      <c r="S654" s="111"/>
      <c r="T654" s="111"/>
      <c r="U654" s="111"/>
      <c r="V654" s="111"/>
      <c r="W654" s="111"/>
      <c r="X654" s="111"/>
      <c r="Y654" s="111"/>
      <c r="Z654" s="111"/>
      <c r="AB654" s="111"/>
      <c r="AC654" s="111"/>
    </row>
    <row r="655" spans="1:29" x14ac:dyDescent="0.55000000000000004">
      <c r="A655"/>
      <c r="K655" s="111"/>
      <c r="L655" s="111"/>
      <c r="M655" s="118"/>
      <c r="N655" s="118"/>
      <c r="O655" s="111"/>
      <c r="P655" s="111"/>
      <c r="Q655" s="111"/>
      <c r="R655" s="111"/>
      <c r="S655" s="111"/>
      <c r="T655" s="111"/>
      <c r="U655" s="111"/>
      <c r="V655" s="111"/>
      <c r="W655" s="111"/>
      <c r="X655" s="111"/>
      <c r="Y655" s="111"/>
      <c r="Z655" s="111"/>
      <c r="AB655" s="111"/>
      <c r="AC655" s="111"/>
    </row>
    <row r="656" spans="1:29" x14ac:dyDescent="0.55000000000000004">
      <c r="A656"/>
      <c r="L656" s="111"/>
      <c r="O656" s="111"/>
      <c r="P656" s="111"/>
      <c r="Q656" s="111"/>
      <c r="R656" s="111"/>
      <c r="S656" s="111"/>
      <c r="T656" s="111"/>
      <c r="U656" s="111"/>
      <c r="V656" s="111"/>
      <c r="W656" s="111"/>
      <c r="X656" s="111"/>
      <c r="Y656" s="111"/>
      <c r="Z656" s="111"/>
      <c r="AB656" s="111"/>
      <c r="AC656" s="111"/>
    </row>
    <row r="657" spans="1:29" x14ac:dyDescent="0.55000000000000004">
      <c r="A657"/>
      <c r="L657" s="111"/>
      <c r="O657" s="111"/>
      <c r="P657" s="111"/>
      <c r="Q657" s="111"/>
      <c r="R657" s="111"/>
      <c r="S657" s="111"/>
      <c r="T657" s="111"/>
      <c r="U657" s="111"/>
      <c r="V657" s="111"/>
      <c r="W657" s="111"/>
      <c r="X657" s="111"/>
      <c r="Y657" s="111"/>
      <c r="Z657" s="111"/>
      <c r="AB657" s="111"/>
      <c r="AC657" s="111"/>
    </row>
    <row r="658" spans="1:29" x14ac:dyDescent="0.55000000000000004">
      <c r="A658"/>
      <c r="K658" s="111"/>
      <c r="O658" s="111"/>
      <c r="P658" s="111"/>
      <c r="Q658" s="111"/>
      <c r="R658" s="111"/>
      <c r="S658" s="111"/>
      <c r="T658" s="111"/>
      <c r="U658" s="111"/>
      <c r="V658" s="111"/>
      <c r="W658" s="111"/>
      <c r="X658" s="111"/>
      <c r="Y658" s="111"/>
      <c r="Z658" s="111"/>
      <c r="AB658" s="111"/>
      <c r="AC658" s="111"/>
    </row>
    <row r="659" spans="1:29" x14ac:dyDescent="0.55000000000000004">
      <c r="A659"/>
      <c r="L659" s="111"/>
      <c r="O659" s="111"/>
      <c r="P659" s="111"/>
      <c r="Q659" s="111"/>
      <c r="R659" s="111"/>
      <c r="S659" s="111"/>
      <c r="T659" s="111"/>
      <c r="U659" s="111"/>
      <c r="V659" s="111"/>
      <c r="W659" s="111"/>
      <c r="X659" s="111"/>
      <c r="Y659" s="111"/>
      <c r="Z659" s="111"/>
      <c r="AB659" s="111"/>
      <c r="AC659" s="111"/>
    </row>
    <row r="660" spans="1:29" x14ac:dyDescent="0.55000000000000004">
      <c r="A660"/>
      <c r="K660" s="111"/>
      <c r="L660" s="111"/>
      <c r="M660" s="118"/>
      <c r="N660" s="118"/>
      <c r="O660" s="111"/>
      <c r="P660" s="111"/>
      <c r="Q660" s="111"/>
      <c r="R660" s="111"/>
      <c r="S660" s="111"/>
      <c r="T660" s="111"/>
      <c r="U660" s="111"/>
      <c r="V660" s="111"/>
      <c r="W660" s="111"/>
      <c r="X660" s="111"/>
      <c r="Y660" s="111"/>
      <c r="Z660" s="111"/>
      <c r="AB660" s="111"/>
      <c r="AC660" s="111"/>
    </row>
    <row r="661" spans="1:29" x14ac:dyDescent="0.55000000000000004">
      <c r="A661"/>
      <c r="K661" s="111"/>
      <c r="O661" s="111"/>
      <c r="P661" s="111"/>
      <c r="Q661" s="111"/>
      <c r="R661" s="111"/>
      <c r="S661" s="111"/>
      <c r="T661" s="111"/>
      <c r="U661" s="111"/>
      <c r="V661" s="111"/>
      <c r="W661" s="111"/>
      <c r="X661" s="111"/>
      <c r="Y661" s="111"/>
      <c r="Z661" s="111"/>
      <c r="AB661" s="111"/>
      <c r="AC661" s="111"/>
    </row>
    <row r="662" spans="1:29" x14ac:dyDescent="0.55000000000000004">
      <c r="A662"/>
      <c r="K662" s="111"/>
      <c r="O662" s="111"/>
      <c r="P662" s="111"/>
      <c r="Q662" s="111"/>
      <c r="R662" s="111"/>
      <c r="S662" s="111"/>
      <c r="T662" s="111"/>
      <c r="U662" s="111"/>
      <c r="V662" s="111"/>
      <c r="W662" s="111"/>
      <c r="X662" s="111"/>
      <c r="Y662" s="111"/>
      <c r="Z662" s="111"/>
      <c r="AB662" s="111"/>
      <c r="AC662" s="111"/>
    </row>
    <row r="663" spans="1:29" x14ac:dyDescent="0.55000000000000004">
      <c r="A663"/>
      <c r="L663" s="111"/>
      <c r="O663" s="111"/>
      <c r="P663" s="111"/>
      <c r="Q663" s="111"/>
      <c r="R663" s="111"/>
      <c r="S663" s="111"/>
      <c r="T663" s="111"/>
      <c r="U663" s="111"/>
      <c r="V663" s="111"/>
      <c r="W663" s="111"/>
      <c r="X663" s="111"/>
      <c r="Y663" s="111"/>
      <c r="Z663" s="111"/>
      <c r="AB663" s="111"/>
      <c r="AC663" s="111"/>
    </row>
    <row r="664" spans="1:29" x14ac:dyDescent="0.55000000000000004">
      <c r="A664"/>
      <c r="D664" s="111"/>
      <c r="K664" s="111"/>
      <c r="M664" s="118"/>
      <c r="N664" s="118"/>
      <c r="O664" s="111"/>
      <c r="P664" s="111"/>
      <c r="Q664" s="111"/>
      <c r="R664" s="111"/>
      <c r="S664" s="111"/>
      <c r="T664" s="111"/>
      <c r="U664" s="111"/>
      <c r="V664" s="111"/>
      <c r="W664" s="111"/>
      <c r="X664" s="111"/>
      <c r="Y664" s="111"/>
      <c r="Z664" s="111"/>
      <c r="AB664" s="111"/>
      <c r="AC664" s="111"/>
    </row>
    <row r="665" spans="1:29" x14ac:dyDescent="0.55000000000000004">
      <c r="A665"/>
      <c r="L665" s="111"/>
      <c r="O665" s="111"/>
      <c r="P665" s="111"/>
      <c r="Q665" s="111"/>
      <c r="R665" s="111"/>
      <c r="S665" s="111"/>
      <c r="T665" s="111"/>
      <c r="U665" s="111"/>
      <c r="V665" s="111"/>
      <c r="W665" s="111"/>
      <c r="X665" s="111"/>
      <c r="Y665" s="111"/>
      <c r="Z665" s="111"/>
      <c r="AB665" s="111"/>
      <c r="AC665" s="111"/>
    </row>
    <row r="666" spans="1:29" x14ac:dyDescent="0.55000000000000004">
      <c r="A666"/>
      <c r="K666" s="111"/>
      <c r="L666" s="111"/>
      <c r="O666" s="111"/>
      <c r="P666" s="111"/>
      <c r="Q666" s="111"/>
      <c r="R666" s="111"/>
      <c r="S666" s="111"/>
      <c r="T666" s="111"/>
      <c r="U666" s="111"/>
      <c r="V666" s="111"/>
      <c r="W666" s="111"/>
      <c r="X666" s="111"/>
      <c r="Y666" s="111"/>
      <c r="Z666" s="111"/>
      <c r="AB666" s="111"/>
      <c r="AC666" s="111"/>
    </row>
    <row r="667" spans="1:29" x14ac:dyDescent="0.55000000000000004">
      <c r="A667"/>
      <c r="L667" s="111"/>
      <c r="M667" s="118"/>
      <c r="N667" s="118"/>
      <c r="O667" s="111"/>
      <c r="P667" s="111"/>
      <c r="Q667" s="111"/>
      <c r="R667" s="111"/>
      <c r="S667" s="111"/>
      <c r="T667" s="111"/>
      <c r="U667" s="111"/>
      <c r="V667" s="111"/>
      <c r="W667" s="111"/>
      <c r="X667" s="111"/>
      <c r="Y667" s="111"/>
      <c r="Z667" s="111"/>
      <c r="AB667" s="111"/>
      <c r="AC667" s="111"/>
    </row>
    <row r="668" spans="1:29" x14ac:dyDescent="0.55000000000000004">
      <c r="A668"/>
      <c r="K668" s="111"/>
      <c r="M668" s="118"/>
      <c r="N668" s="118"/>
      <c r="O668" s="111"/>
      <c r="P668" s="111"/>
      <c r="Q668" s="111"/>
      <c r="R668" s="111"/>
      <c r="S668" s="111"/>
      <c r="T668" s="111"/>
      <c r="U668" s="111"/>
      <c r="V668" s="111"/>
      <c r="W668" s="111"/>
      <c r="X668" s="111"/>
      <c r="Y668" s="111"/>
      <c r="Z668" s="111"/>
      <c r="AB668" s="111"/>
      <c r="AC668" s="111"/>
    </row>
    <row r="669" spans="1:29" x14ac:dyDescent="0.55000000000000004">
      <c r="A669"/>
      <c r="K669" s="111"/>
      <c r="O669" s="111"/>
      <c r="P669" s="111"/>
      <c r="Q669" s="111"/>
      <c r="R669" s="111"/>
      <c r="S669" s="111"/>
      <c r="T669" s="111"/>
      <c r="U669" s="111"/>
      <c r="V669" s="111"/>
      <c r="W669" s="111"/>
      <c r="X669" s="111"/>
      <c r="Y669" s="111"/>
      <c r="Z669" s="111"/>
      <c r="AB669" s="111"/>
      <c r="AC669" s="111"/>
    </row>
    <row r="670" spans="1:29" x14ac:dyDescent="0.55000000000000004">
      <c r="A670"/>
      <c r="K670" s="111"/>
      <c r="L670" s="111"/>
      <c r="O670" s="111"/>
      <c r="P670" s="111"/>
      <c r="Q670" s="111"/>
      <c r="R670" s="111"/>
      <c r="S670" s="111"/>
      <c r="T670" s="111"/>
      <c r="U670" s="111"/>
      <c r="V670" s="111"/>
      <c r="W670" s="111"/>
      <c r="X670" s="111"/>
      <c r="Y670" s="111"/>
      <c r="Z670" s="111"/>
      <c r="AB670" s="111"/>
      <c r="AC670" s="111"/>
    </row>
    <row r="671" spans="1:29" x14ac:dyDescent="0.55000000000000004">
      <c r="A671"/>
      <c r="K671" s="111"/>
      <c r="L671" s="111"/>
      <c r="M671" s="118"/>
      <c r="N671" s="118"/>
      <c r="O671" s="111"/>
      <c r="P671" s="111"/>
      <c r="Q671" s="111"/>
      <c r="R671" s="111"/>
      <c r="S671" s="111"/>
      <c r="T671" s="111"/>
      <c r="U671" s="111"/>
      <c r="V671" s="111"/>
      <c r="W671" s="111"/>
      <c r="X671" s="111"/>
      <c r="Y671" s="111"/>
      <c r="Z671" s="111"/>
      <c r="AB671" s="111"/>
      <c r="AC671" s="111"/>
    </row>
    <row r="672" spans="1:29" x14ac:dyDescent="0.55000000000000004">
      <c r="A672"/>
      <c r="K672" s="111"/>
      <c r="O672" s="111"/>
      <c r="P672" s="111"/>
      <c r="Q672" s="111"/>
      <c r="R672" s="111"/>
      <c r="S672" s="111"/>
      <c r="T672" s="111"/>
      <c r="U672" s="111"/>
      <c r="V672" s="111"/>
      <c r="W672" s="111"/>
      <c r="X672" s="111"/>
      <c r="Y672" s="111"/>
      <c r="Z672" s="111"/>
      <c r="AB672" s="111"/>
      <c r="AC672" s="111"/>
    </row>
    <row r="673" spans="1:29" x14ac:dyDescent="0.55000000000000004">
      <c r="A673"/>
      <c r="K673" s="111"/>
      <c r="M673" s="118"/>
      <c r="N673" s="118"/>
      <c r="O673" s="111"/>
      <c r="P673" s="111"/>
      <c r="Q673" s="111"/>
      <c r="R673" s="111"/>
      <c r="S673" s="111"/>
      <c r="T673" s="111"/>
      <c r="U673" s="111"/>
      <c r="V673" s="111"/>
      <c r="W673" s="111"/>
      <c r="X673" s="111"/>
      <c r="Y673" s="111"/>
      <c r="Z673" s="111"/>
      <c r="AB673" s="111"/>
      <c r="AC673" s="111"/>
    </row>
    <row r="674" spans="1:29" x14ac:dyDescent="0.55000000000000004">
      <c r="A674"/>
      <c r="L674" s="111"/>
      <c r="O674" s="111"/>
      <c r="P674" s="111"/>
      <c r="Q674" s="111"/>
      <c r="R674" s="111"/>
      <c r="S674" s="111"/>
      <c r="T674" s="111"/>
      <c r="U674" s="111"/>
      <c r="V674" s="111"/>
      <c r="W674" s="111"/>
      <c r="X674" s="111"/>
      <c r="Y674" s="111"/>
      <c r="Z674" s="111"/>
      <c r="AB674" s="111"/>
      <c r="AC674" s="111"/>
    </row>
    <row r="675" spans="1:29" x14ac:dyDescent="0.55000000000000004">
      <c r="A675"/>
      <c r="K675" s="111"/>
      <c r="O675" s="111"/>
      <c r="P675" s="111"/>
      <c r="Q675" s="111"/>
      <c r="R675" s="111"/>
      <c r="S675" s="111"/>
      <c r="T675" s="111"/>
      <c r="U675" s="111"/>
      <c r="V675" s="111"/>
      <c r="W675" s="111"/>
      <c r="X675" s="111"/>
      <c r="Y675" s="111"/>
      <c r="Z675" s="111"/>
      <c r="AB675" s="111"/>
      <c r="AC675" s="111"/>
    </row>
    <row r="676" spans="1:29" x14ac:dyDescent="0.55000000000000004">
      <c r="A676"/>
      <c r="L676" s="111"/>
      <c r="O676" s="111"/>
      <c r="P676" s="111"/>
      <c r="Q676" s="111"/>
      <c r="R676" s="111"/>
      <c r="S676" s="111"/>
      <c r="T676" s="111"/>
      <c r="U676" s="111"/>
      <c r="V676" s="111"/>
      <c r="W676" s="111"/>
      <c r="X676" s="111"/>
      <c r="Y676" s="111"/>
      <c r="Z676" s="111"/>
      <c r="AB676" s="111"/>
      <c r="AC676" s="111"/>
    </row>
    <row r="677" spans="1:29" x14ac:dyDescent="0.55000000000000004">
      <c r="A677"/>
      <c r="K677" s="111"/>
      <c r="O677" s="111"/>
      <c r="P677" s="111"/>
      <c r="Q677" s="111"/>
      <c r="R677" s="111"/>
      <c r="S677" s="111"/>
      <c r="T677" s="111"/>
      <c r="U677" s="111"/>
      <c r="V677" s="111"/>
      <c r="W677" s="111"/>
      <c r="X677" s="111"/>
      <c r="Y677" s="111"/>
      <c r="Z677" s="111"/>
      <c r="AB677" s="111"/>
      <c r="AC677" s="111"/>
    </row>
    <row r="678" spans="1:29" x14ac:dyDescent="0.55000000000000004">
      <c r="A678"/>
      <c r="K678" s="111"/>
      <c r="M678" s="118"/>
      <c r="N678" s="118"/>
      <c r="O678" s="111"/>
      <c r="P678" s="111"/>
      <c r="Q678" s="111"/>
      <c r="R678" s="111"/>
      <c r="S678" s="111"/>
      <c r="T678" s="111"/>
      <c r="U678" s="111"/>
      <c r="V678" s="111"/>
      <c r="W678" s="111"/>
      <c r="X678" s="111"/>
      <c r="Y678" s="111"/>
      <c r="Z678" s="111"/>
      <c r="AB678" s="111"/>
      <c r="AC678" s="111"/>
    </row>
    <row r="679" spans="1:29" x14ac:dyDescent="0.55000000000000004">
      <c r="A679"/>
      <c r="K679" s="111"/>
      <c r="O679" s="111"/>
      <c r="P679" s="111"/>
      <c r="Q679" s="111"/>
      <c r="R679" s="111"/>
      <c r="S679" s="111"/>
      <c r="T679" s="111"/>
      <c r="U679" s="111"/>
      <c r="V679" s="111"/>
      <c r="W679" s="111"/>
      <c r="X679" s="111"/>
      <c r="Y679" s="111"/>
      <c r="Z679" s="111"/>
      <c r="AB679" s="111"/>
      <c r="AC679" s="111"/>
    </row>
    <row r="680" spans="1:29" x14ac:dyDescent="0.55000000000000004">
      <c r="A680"/>
      <c r="K680" s="111"/>
      <c r="O680" s="111"/>
      <c r="P680" s="111"/>
      <c r="Q680" s="111"/>
      <c r="R680" s="111"/>
      <c r="S680" s="111"/>
      <c r="T680" s="111"/>
      <c r="U680" s="111"/>
      <c r="V680" s="111"/>
      <c r="W680" s="111"/>
      <c r="X680" s="111"/>
      <c r="Y680" s="111"/>
      <c r="Z680" s="111"/>
      <c r="AB680" s="111"/>
      <c r="AC680" s="111"/>
    </row>
    <row r="681" spans="1:29" x14ac:dyDescent="0.55000000000000004">
      <c r="A681"/>
      <c r="K681" s="111"/>
      <c r="L681" s="111"/>
      <c r="O681" s="111"/>
      <c r="P681" s="111"/>
      <c r="Q681" s="111"/>
      <c r="R681" s="111"/>
      <c r="S681" s="111"/>
      <c r="T681" s="111"/>
      <c r="U681" s="111"/>
      <c r="V681" s="111"/>
      <c r="W681" s="111"/>
      <c r="X681" s="111"/>
      <c r="Y681" s="111"/>
      <c r="Z681" s="111"/>
      <c r="AB681" s="111"/>
      <c r="AC681" s="111"/>
    </row>
    <row r="682" spans="1:29" x14ac:dyDescent="0.55000000000000004">
      <c r="A682"/>
      <c r="K682" s="111"/>
      <c r="M682" s="118"/>
      <c r="N682" s="118"/>
      <c r="O682" s="111"/>
      <c r="P682" s="111"/>
      <c r="Q682" s="111"/>
      <c r="R682" s="111"/>
      <c r="S682" s="111"/>
      <c r="T682" s="111"/>
      <c r="U682" s="111"/>
      <c r="V682" s="111"/>
      <c r="W682" s="111"/>
      <c r="X682" s="111"/>
      <c r="Y682" s="111"/>
      <c r="Z682" s="111"/>
      <c r="AB682" s="111"/>
      <c r="AC682" s="111"/>
    </row>
    <row r="683" spans="1:29" x14ac:dyDescent="0.55000000000000004">
      <c r="A683"/>
      <c r="K683" s="111"/>
      <c r="O683" s="111"/>
      <c r="P683" s="111"/>
      <c r="Q683" s="111"/>
      <c r="R683" s="111"/>
      <c r="S683" s="111"/>
      <c r="T683" s="111"/>
      <c r="U683" s="111"/>
      <c r="V683" s="111"/>
      <c r="W683" s="111"/>
      <c r="X683" s="111"/>
      <c r="Y683" s="111"/>
      <c r="Z683" s="111"/>
      <c r="AB683" s="111"/>
      <c r="AC683" s="111"/>
    </row>
    <row r="684" spans="1:29" x14ac:dyDescent="0.55000000000000004">
      <c r="A684"/>
      <c r="K684" s="111"/>
      <c r="O684" s="111"/>
      <c r="P684" s="111"/>
      <c r="Q684" s="111"/>
      <c r="R684" s="111"/>
      <c r="S684" s="111"/>
      <c r="T684" s="111"/>
      <c r="U684" s="111"/>
      <c r="V684" s="111"/>
      <c r="W684" s="111"/>
      <c r="X684" s="111"/>
      <c r="Y684" s="111"/>
      <c r="Z684" s="111"/>
      <c r="AB684" s="111"/>
      <c r="AC684" s="111"/>
    </row>
    <row r="685" spans="1:29" x14ac:dyDescent="0.55000000000000004">
      <c r="A685"/>
      <c r="L685" s="111"/>
      <c r="M685" s="118"/>
      <c r="N685" s="118"/>
      <c r="O685" s="111"/>
      <c r="P685" s="111"/>
      <c r="Q685" s="111"/>
      <c r="R685" s="111"/>
      <c r="S685" s="111"/>
      <c r="T685" s="111"/>
      <c r="U685" s="111"/>
      <c r="V685" s="111"/>
      <c r="W685" s="111"/>
      <c r="X685" s="111"/>
      <c r="Y685" s="111"/>
      <c r="Z685" s="111"/>
      <c r="AB685" s="111"/>
      <c r="AC685" s="111"/>
    </row>
    <row r="686" spans="1:29" x14ac:dyDescent="0.55000000000000004">
      <c r="A686"/>
      <c r="K686" s="111"/>
      <c r="M686" s="118"/>
      <c r="N686" s="118"/>
      <c r="O686" s="111"/>
      <c r="P686" s="111"/>
      <c r="Q686" s="111"/>
      <c r="R686" s="111"/>
      <c r="S686" s="111"/>
      <c r="T686" s="111"/>
      <c r="U686" s="111"/>
      <c r="V686" s="111"/>
      <c r="W686" s="111"/>
      <c r="X686" s="111"/>
      <c r="Y686" s="111"/>
      <c r="Z686" s="111"/>
      <c r="AB686" s="111"/>
      <c r="AC686" s="111"/>
    </row>
    <row r="687" spans="1:29" x14ac:dyDescent="0.55000000000000004">
      <c r="A687"/>
      <c r="K687" s="111"/>
      <c r="O687" s="111"/>
      <c r="P687" s="111"/>
      <c r="Q687" s="111"/>
      <c r="R687" s="111"/>
      <c r="S687" s="111"/>
      <c r="T687" s="111"/>
      <c r="U687" s="111"/>
      <c r="V687" s="111"/>
      <c r="W687" s="111"/>
      <c r="X687" s="111"/>
      <c r="Y687" s="111"/>
      <c r="Z687" s="111"/>
      <c r="AB687" s="111"/>
      <c r="AC687" s="111"/>
    </row>
    <row r="688" spans="1:29" x14ac:dyDescent="0.55000000000000004">
      <c r="A688"/>
      <c r="K688" s="111"/>
      <c r="L688" s="111"/>
      <c r="O688" s="111"/>
      <c r="P688" s="111"/>
      <c r="Q688" s="111"/>
      <c r="R688" s="111"/>
      <c r="S688" s="111"/>
      <c r="T688" s="111"/>
      <c r="U688" s="111"/>
      <c r="V688" s="111"/>
      <c r="W688" s="111"/>
      <c r="X688" s="111"/>
      <c r="Y688" s="111"/>
      <c r="Z688" s="111"/>
      <c r="AB688" s="111"/>
      <c r="AC688" s="111"/>
    </row>
    <row r="689" spans="1:29" x14ac:dyDescent="0.55000000000000004">
      <c r="A689"/>
      <c r="K689" s="111"/>
      <c r="L689" s="111"/>
      <c r="M689" s="118"/>
      <c r="N689" s="118"/>
      <c r="O689" s="111"/>
      <c r="P689" s="111"/>
      <c r="Q689" s="111"/>
      <c r="R689" s="111"/>
      <c r="S689" s="111"/>
      <c r="T689" s="111"/>
      <c r="U689" s="111"/>
      <c r="V689" s="111"/>
      <c r="W689" s="111"/>
      <c r="X689" s="111"/>
      <c r="Y689" s="111"/>
      <c r="Z689" s="111"/>
      <c r="AB689" s="111"/>
      <c r="AC689" s="111"/>
    </row>
    <row r="690" spans="1:29" x14ac:dyDescent="0.55000000000000004">
      <c r="A690"/>
      <c r="K690" s="111"/>
      <c r="O690" s="111"/>
      <c r="P690" s="111"/>
      <c r="Q690" s="111"/>
      <c r="R690" s="111"/>
      <c r="S690" s="111"/>
      <c r="T690" s="111"/>
      <c r="U690" s="111"/>
      <c r="V690" s="111"/>
      <c r="W690" s="111"/>
      <c r="X690" s="111"/>
      <c r="Y690" s="111"/>
      <c r="Z690" s="111"/>
      <c r="AB690" s="111"/>
      <c r="AC690" s="111"/>
    </row>
    <row r="691" spans="1:29" x14ac:dyDescent="0.55000000000000004">
      <c r="A691"/>
      <c r="K691" s="111"/>
      <c r="M691" s="118"/>
      <c r="N691" s="118"/>
      <c r="O691" s="111"/>
      <c r="P691" s="111"/>
      <c r="Q691" s="111"/>
      <c r="R691" s="111"/>
      <c r="S691" s="111"/>
      <c r="T691" s="111"/>
      <c r="U691" s="111"/>
      <c r="V691" s="111"/>
      <c r="W691" s="111"/>
      <c r="X691" s="111"/>
      <c r="Y691" s="111"/>
      <c r="Z691" s="111"/>
      <c r="AB691" s="111"/>
      <c r="AC691" s="111"/>
    </row>
    <row r="692" spans="1:29" x14ac:dyDescent="0.55000000000000004">
      <c r="A692"/>
      <c r="L692" s="111"/>
      <c r="O692" s="111"/>
      <c r="P692" s="111"/>
      <c r="Q692" s="111"/>
      <c r="R692" s="111"/>
      <c r="S692" s="111"/>
      <c r="T692" s="111"/>
      <c r="U692" s="111"/>
      <c r="V692" s="111"/>
      <c r="W692" s="111"/>
      <c r="X692" s="111"/>
      <c r="Y692" s="111"/>
      <c r="Z692" s="111"/>
      <c r="AB692" s="111"/>
      <c r="AC692" s="111"/>
    </row>
    <row r="693" spans="1:29" x14ac:dyDescent="0.55000000000000004">
      <c r="A693"/>
      <c r="K693" s="111"/>
      <c r="O693" s="111"/>
      <c r="P693" s="111"/>
      <c r="Q693" s="111"/>
      <c r="R693" s="111"/>
      <c r="S693" s="111"/>
      <c r="T693" s="111"/>
      <c r="U693" s="111"/>
      <c r="V693" s="111"/>
      <c r="W693" s="111"/>
      <c r="X693" s="111"/>
      <c r="Y693" s="111"/>
      <c r="Z693" s="111"/>
      <c r="AB693" s="111"/>
      <c r="AC693" s="111"/>
    </row>
    <row r="694" spans="1:29" x14ac:dyDescent="0.55000000000000004">
      <c r="A694"/>
      <c r="L694" s="111"/>
      <c r="O694" s="111"/>
      <c r="P694" s="111"/>
      <c r="Q694" s="111"/>
      <c r="R694" s="111"/>
      <c r="S694" s="111"/>
      <c r="T694" s="111"/>
      <c r="U694" s="111"/>
      <c r="V694" s="111"/>
      <c r="W694" s="111"/>
      <c r="X694" s="111"/>
      <c r="Y694" s="111"/>
      <c r="Z694" s="111"/>
      <c r="AB694" s="111"/>
      <c r="AC694" s="111"/>
    </row>
    <row r="695" spans="1:29" x14ac:dyDescent="0.55000000000000004">
      <c r="A695"/>
      <c r="K695" s="111"/>
      <c r="O695" s="111"/>
      <c r="P695" s="111"/>
      <c r="Q695" s="111"/>
      <c r="R695" s="111"/>
      <c r="S695" s="111"/>
      <c r="T695" s="111"/>
      <c r="U695" s="111"/>
      <c r="V695" s="111"/>
      <c r="W695" s="111"/>
      <c r="X695" s="111"/>
      <c r="Y695" s="111"/>
      <c r="Z695" s="111"/>
      <c r="AB695" s="111"/>
      <c r="AC695" s="111"/>
    </row>
    <row r="696" spans="1:29" x14ac:dyDescent="0.55000000000000004">
      <c r="A696"/>
      <c r="K696" s="111"/>
      <c r="M696" s="118"/>
      <c r="N696" s="118"/>
      <c r="O696" s="111"/>
      <c r="P696" s="111"/>
      <c r="Q696" s="111"/>
      <c r="R696" s="111"/>
      <c r="S696" s="111"/>
      <c r="T696" s="111"/>
      <c r="U696" s="111"/>
      <c r="V696" s="111"/>
      <c r="W696" s="111"/>
      <c r="X696" s="111"/>
      <c r="Y696" s="111"/>
      <c r="Z696" s="111"/>
      <c r="AB696" s="111"/>
      <c r="AC696" s="111"/>
    </row>
    <row r="697" spans="1:29" x14ac:dyDescent="0.55000000000000004">
      <c r="A697"/>
      <c r="K697" s="111"/>
      <c r="O697" s="111"/>
      <c r="P697" s="111"/>
      <c r="Q697" s="111"/>
      <c r="R697" s="111"/>
      <c r="S697" s="111"/>
      <c r="T697" s="111"/>
      <c r="U697" s="111"/>
      <c r="V697" s="111"/>
      <c r="W697" s="111"/>
      <c r="X697" s="111"/>
      <c r="Y697" s="111"/>
      <c r="Z697" s="111"/>
      <c r="AB697" s="111"/>
      <c r="AC697" s="111"/>
    </row>
    <row r="698" spans="1:29" x14ac:dyDescent="0.55000000000000004">
      <c r="A698"/>
      <c r="K698" s="111"/>
      <c r="O698" s="111"/>
      <c r="P698" s="111"/>
      <c r="Q698" s="111"/>
      <c r="R698" s="111"/>
      <c r="S698" s="111"/>
      <c r="T698" s="111"/>
      <c r="U698" s="111"/>
      <c r="V698" s="111"/>
      <c r="W698" s="111"/>
      <c r="X698" s="111"/>
      <c r="Y698" s="111"/>
      <c r="Z698" s="111"/>
      <c r="AB698" s="111"/>
      <c r="AC698" s="111"/>
    </row>
    <row r="699" spans="1:29" x14ac:dyDescent="0.55000000000000004">
      <c r="A699"/>
      <c r="K699" s="111"/>
      <c r="L699" s="111"/>
      <c r="O699" s="111"/>
      <c r="P699" s="111"/>
      <c r="Q699" s="111"/>
      <c r="R699" s="111"/>
      <c r="S699" s="111"/>
      <c r="T699" s="111"/>
      <c r="U699" s="111"/>
      <c r="V699" s="111"/>
      <c r="W699" s="111"/>
      <c r="X699" s="111"/>
      <c r="Y699" s="111"/>
      <c r="Z699" s="111"/>
      <c r="AB699" s="111"/>
      <c r="AC699" s="111"/>
    </row>
    <row r="700" spans="1:29" x14ac:dyDescent="0.55000000000000004">
      <c r="A700"/>
      <c r="K700" s="111"/>
      <c r="M700" s="118"/>
      <c r="N700" s="118"/>
      <c r="O700" s="111"/>
      <c r="P700" s="111"/>
      <c r="Q700" s="111"/>
      <c r="R700" s="111"/>
      <c r="S700" s="111"/>
      <c r="T700" s="111"/>
      <c r="U700" s="111"/>
      <c r="V700" s="111"/>
      <c r="W700" s="111"/>
      <c r="X700" s="111"/>
      <c r="Y700" s="111"/>
      <c r="Z700" s="111"/>
      <c r="AB700" s="111"/>
      <c r="AC700" s="111"/>
    </row>
    <row r="701" spans="1:29" x14ac:dyDescent="0.55000000000000004">
      <c r="A701"/>
      <c r="K701" s="111"/>
      <c r="O701" s="111"/>
      <c r="P701" s="111"/>
      <c r="Q701" s="111"/>
      <c r="R701" s="111"/>
      <c r="S701" s="111"/>
      <c r="T701" s="111"/>
      <c r="U701" s="111"/>
      <c r="V701" s="111"/>
      <c r="W701" s="111"/>
      <c r="X701" s="111"/>
      <c r="Y701" s="111"/>
      <c r="Z701" s="111"/>
      <c r="AB701" s="111"/>
      <c r="AC701" s="111"/>
    </row>
    <row r="702" spans="1:29" x14ac:dyDescent="0.55000000000000004">
      <c r="A702"/>
      <c r="K702" s="111"/>
      <c r="O702" s="111"/>
      <c r="P702" s="111"/>
      <c r="Q702" s="111"/>
      <c r="R702" s="111"/>
      <c r="S702" s="111"/>
      <c r="T702" s="111"/>
      <c r="U702" s="111"/>
      <c r="V702" s="111"/>
      <c r="W702" s="111"/>
      <c r="X702" s="111"/>
      <c r="Y702" s="111"/>
      <c r="Z702" s="111"/>
      <c r="AB702" s="111"/>
      <c r="AC702" s="111"/>
    </row>
    <row r="703" spans="1:29" x14ac:dyDescent="0.55000000000000004">
      <c r="A703"/>
      <c r="L703" s="111"/>
      <c r="M703" s="118"/>
      <c r="N703" s="118"/>
      <c r="O703" s="111"/>
      <c r="P703" s="111"/>
      <c r="Q703" s="111"/>
      <c r="R703" s="111"/>
      <c r="S703" s="111"/>
      <c r="T703" s="111"/>
      <c r="U703" s="111"/>
      <c r="V703" s="111"/>
      <c r="W703" s="111"/>
      <c r="X703" s="111"/>
      <c r="Y703" s="111"/>
      <c r="Z703" s="111"/>
      <c r="AB703" s="111"/>
      <c r="AC703" s="111"/>
    </row>
    <row r="704" spans="1:29" x14ac:dyDescent="0.55000000000000004">
      <c r="A704"/>
      <c r="K704" s="111"/>
      <c r="M704" s="118"/>
      <c r="N704" s="118"/>
      <c r="O704" s="111"/>
      <c r="P704" s="111"/>
      <c r="Q704" s="111"/>
      <c r="R704" s="111"/>
      <c r="S704" s="111"/>
      <c r="T704" s="111"/>
      <c r="U704" s="111"/>
      <c r="V704" s="111"/>
      <c r="W704" s="111"/>
      <c r="X704" s="111"/>
      <c r="Y704" s="111"/>
      <c r="Z704" s="111"/>
      <c r="AB704" s="111"/>
      <c r="AC704" s="111"/>
    </row>
    <row r="705" spans="1:29" x14ac:dyDescent="0.55000000000000004">
      <c r="A705"/>
      <c r="K705" s="111"/>
      <c r="O705" s="111"/>
      <c r="P705" s="111"/>
      <c r="Q705" s="111"/>
      <c r="R705" s="111"/>
      <c r="S705" s="111"/>
      <c r="T705" s="111"/>
      <c r="U705" s="111"/>
      <c r="V705" s="111"/>
      <c r="W705" s="111"/>
      <c r="X705" s="111"/>
      <c r="Y705" s="111"/>
      <c r="Z705" s="111"/>
      <c r="AB705" s="111"/>
      <c r="AC705" s="111"/>
    </row>
    <row r="706" spans="1:29" x14ac:dyDescent="0.55000000000000004">
      <c r="A706"/>
      <c r="K706" s="111"/>
      <c r="L706" s="111"/>
      <c r="O706" s="111"/>
      <c r="P706" s="111"/>
      <c r="Q706" s="111"/>
      <c r="R706" s="111"/>
      <c r="S706" s="111"/>
      <c r="T706" s="111"/>
      <c r="U706" s="111"/>
      <c r="V706" s="111"/>
      <c r="W706" s="111"/>
      <c r="X706" s="111"/>
      <c r="Y706" s="111"/>
      <c r="Z706" s="111"/>
      <c r="AB706" s="111"/>
      <c r="AC706" s="111"/>
    </row>
    <row r="707" spans="1:29" x14ac:dyDescent="0.55000000000000004">
      <c r="A707"/>
      <c r="K707" s="111"/>
      <c r="L707" s="111"/>
      <c r="M707" s="118"/>
      <c r="N707" s="118"/>
      <c r="O707" s="111"/>
      <c r="P707" s="111"/>
      <c r="Q707" s="111"/>
      <c r="R707" s="111"/>
      <c r="S707" s="111"/>
      <c r="T707" s="111"/>
      <c r="U707" s="111"/>
      <c r="V707" s="111"/>
      <c r="W707" s="111"/>
      <c r="X707" s="111"/>
      <c r="Y707" s="111"/>
      <c r="Z707" s="111"/>
      <c r="AB707" s="111"/>
      <c r="AC707" s="111"/>
    </row>
    <row r="708" spans="1:29" x14ac:dyDescent="0.55000000000000004">
      <c r="A708"/>
      <c r="K708" s="111"/>
      <c r="O708" s="111"/>
      <c r="P708" s="111"/>
      <c r="Q708" s="111"/>
      <c r="R708" s="111"/>
      <c r="S708" s="111"/>
      <c r="T708" s="111"/>
      <c r="U708" s="111"/>
      <c r="V708" s="111"/>
      <c r="W708" s="111"/>
      <c r="X708" s="111"/>
      <c r="Y708" s="111"/>
      <c r="Z708" s="111"/>
      <c r="AB708" s="111"/>
      <c r="AC708" s="111"/>
    </row>
    <row r="709" spans="1:29" x14ac:dyDescent="0.55000000000000004">
      <c r="A709"/>
      <c r="K709" s="111"/>
      <c r="M709" s="118"/>
      <c r="N709" s="118"/>
      <c r="O709" s="111"/>
      <c r="P709" s="111"/>
      <c r="Q709" s="111"/>
      <c r="R709" s="111"/>
      <c r="S709" s="111"/>
      <c r="T709" s="111"/>
      <c r="U709" s="111"/>
      <c r="V709" s="111"/>
      <c r="W709" s="111"/>
      <c r="X709" s="111"/>
      <c r="Y709" s="111"/>
      <c r="Z709" s="111"/>
      <c r="AB709" s="111"/>
      <c r="AC709" s="111"/>
    </row>
    <row r="710" spans="1:29" x14ac:dyDescent="0.55000000000000004">
      <c r="A710"/>
      <c r="L710" s="111"/>
      <c r="O710" s="111"/>
      <c r="P710" s="111"/>
      <c r="Q710" s="111"/>
      <c r="R710" s="111"/>
      <c r="S710" s="111"/>
      <c r="T710" s="111"/>
      <c r="U710" s="111"/>
      <c r="V710" s="111"/>
      <c r="W710" s="111"/>
      <c r="X710" s="111"/>
      <c r="Y710" s="111"/>
      <c r="Z710" s="111"/>
      <c r="AB710" s="111"/>
      <c r="AC710" s="111"/>
    </row>
    <row r="711" spans="1:29" x14ac:dyDescent="0.55000000000000004">
      <c r="A711"/>
      <c r="K711" s="111"/>
      <c r="O711" s="111"/>
      <c r="P711" s="111"/>
      <c r="Q711" s="111"/>
      <c r="R711" s="111"/>
      <c r="S711" s="111"/>
      <c r="T711" s="111"/>
      <c r="U711" s="111"/>
      <c r="V711" s="111"/>
      <c r="W711" s="111"/>
      <c r="X711" s="111"/>
      <c r="Y711" s="111"/>
      <c r="Z711" s="111"/>
      <c r="AB711" s="111"/>
      <c r="AC711" s="111"/>
    </row>
    <row r="712" spans="1:29" x14ac:dyDescent="0.55000000000000004">
      <c r="A712"/>
      <c r="L712" s="111"/>
      <c r="O712" s="111"/>
      <c r="P712" s="111"/>
      <c r="Q712" s="111"/>
      <c r="R712" s="111"/>
      <c r="S712" s="111"/>
      <c r="T712" s="111"/>
      <c r="U712" s="111"/>
      <c r="V712" s="111"/>
      <c r="W712" s="111"/>
      <c r="X712" s="111"/>
      <c r="Y712" s="111"/>
      <c r="Z712" s="111"/>
      <c r="AB712" s="111"/>
      <c r="AC712" s="111"/>
    </row>
    <row r="713" spans="1:29" x14ac:dyDescent="0.55000000000000004">
      <c r="A713"/>
      <c r="K713" s="111"/>
      <c r="O713" s="111"/>
      <c r="P713" s="111"/>
      <c r="Q713" s="111"/>
      <c r="R713" s="111"/>
      <c r="S713" s="111"/>
      <c r="T713" s="111"/>
      <c r="U713" s="111"/>
      <c r="V713" s="111"/>
      <c r="W713" s="111"/>
      <c r="X713" s="111"/>
      <c r="Y713" s="111"/>
      <c r="Z713" s="111"/>
      <c r="AB713" s="111"/>
      <c r="AC713" s="111"/>
    </row>
    <row r="714" spans="1:29" x14ac:dyDescent="0.55000000000000004">
      <c r="A714"/>
      <c r="K714" s="111"/>
      <c r="M714" s="118"/>
      <c r="N714" s="118"/>
      <c r="O714" s="111"/>
      <c r="P714" s="111"/>
      <c r="Q714" s="111"/>
      <c r="R714" s="111"/>
      <c r="S714" s="111"/>
      <c r="T714" s="111"/>
      <c r="U714" s="111"/>
      <c r="V714" s="111"/>
      <c r="W714" s="111"/>
      <c r="X714" s="111"/>
      <c r="Y714" s="111"/>
      <c r="Z714" s="111"/>
      <c r="AB714" s="111"/>
      <c r="AC714" s="111"/>
    </row>
    <row r="715" spans="1:29" x14ac:dyDescent="0.55000000000000004">
      <c r="A715"/>
      <c r="K715" s="111"/>
      <c r="O715" s="111"/>
      <c r="P715" s="111"/>
      <c r="Q715" s="111"/>
      <c r="R715" s="111"/>
      <c r="S715" s="111"/>
      <c r="T715" s="111"/>
      <c r="U715" s="111"/>
      <c r="V715" s="111"/>
      <c r="W715" s="111"/>
      <c r="X715" s="111"/>
      <c r="Y715" s="111"/>
      <c r="Z715" s="111"/>
      <c r="AB715" s="111"/>
      <c r="AC715" s="111"/>
    </row>
    <row r="716" spans="1:29" x14ac:dyDescent="0.55000000000000004">
      <c r="A716"/>
      <c r="K716" s="111"/>
      <c r="O716" s="111"/>
      <c r="P716" s="111"/>
      <c r="Q716" s="111"/>
      <c r="R716" s="111"/>
      <c r="S716" s="111"/>
      <c r="T716" s="111"/>
      <c r="U716" s="111"/>
      <c r="V716" s="111"/>
      <c r="W716" s="111"/>
      <c r="X716" s="111"/>
      <c r="Y716" s="111"/>
      <c r="Z716" s="111"/>
      <c r="AB716" s="111"/>
      <c r="AC716" s="111"/>
    </row>
    <row r="717" spans="1:29" x14ac:dyDescent="0.55000000000000004">
      <c r="A717"/>
      <c r="K717" s="111"/>
      <c r="L717" s="111"/>
      <c r="O717" s="111"/>
      <c r="P717" s="111"/>
      <c r="Q717" s="111"/>
      <c r="R717" s="111"/>
      <c r="S717" s="111"/>
      <c r="T717" s="111"/>
      <c r="U717" s="111"/>
      <c r="V717" s="111"/>
      <c r="W717" s="111"/>
      <c r="X717" s="111"/>
      <c r="Y717" s="111"/>
      <c r="Z717" s="111"/>
      <c r="AB717" s="111"/>
      <c r="AC717" s="111"/>
    </row>
    <row r="718" spans="1:29" x14ac:dyDescent="0.55000000000000004">
      <c r="A718"/>
      <c r="K718" s="111"/>
      <c r="M718" s="118"/>
      <c r="N718" s="118"/>
      <c r="O718" s="111"/>
      <c r="P718" s="111"/>
      <c r="Q718" s="111"/>
      <c r="R718" s="111"/>
      <c r="S718" s="111"/>
      <c r="T718" s="111"/>
      <c r="U718" s="111"/>
      <c r="V718" s="111"/>
      <c r="W718" s="111"/>
      <c r="X718" s="111"/>
      <c r="Y718" s="111"/>
      <c r="Z718" s="111"/>
      <c r="AB718" s="111"/>
      <c r="AC718" s="111"/>
    </row>
    <row r="719" spans="1:29" x14ac:dyDescent="0.55000000000000004">
      <c r="A719"/>
      <c r="K719" s="111"/>
      <c r="O719" s="111"/>
      <c r="P719" s="111"/>
      <c r="Q719" s="111"/>
      <c r="R719" s="111"/>
      <c r="S719" s="111"/>
      <c r="T719" s="111"/>
      <c r="U719" s="111"/>
      <c r="V719" s="111"/>
      <c r="W719" s="111"/>
      <c r="X719" s="111"/>
      <c r="Y719" s="111"/>
      <c r="Z719" s="111"/>
      <c r="AB719" s="111"/>
      <c r="AC719" s="111"/>
    </row>
    <row r="720" spans="1:29" x14ac:dyDescent="0.55000000000000004">
      <c r="A720"/>
      <c r="K720" s="111"/>
      <c r="O720" s="111"/>
      <c r="P720" s="111"/>
      <c r="Q720" s="111"/>
      <c r="R720" s="111"/>
      <c r="S720" s="111"/>
      <c r="T720" s="111"/>
      <c r="U720" s="111"/>
      <c r="V720" s="111"/>
      <c r="W720" s="111"/>
      <c r="X720" s="111"/>
      <c r="Y720" s="111"/>
      <c r="Z720" s="111"/>
      <c r="AB720" s="111"/>
      <c r="AC720" s="111"/>
    </row>
    <row r="721" spans="1:29" x14ac:dyDescent="0.55000000000000004">
      <c r="A721"/>
      <c r="L721" s="111"/>
      <c r="O721" s="111"/>
      <c r="P721" s="111"/>
      <c r="Q721" s="111"/>
      <c r="R721" s="111"/>
      <c r="S721" s="111"/>
      <c r="T721" s="111"/>
      <c r="U721" s="111"/>
      <c r="V721" s="111"/>
      <c r="W721" s="111"/>
      <c r="X721" s="111"/>
      <c r="Y721" s="111"/>
      <c r="Z721" s="111"/>
      <c r="AB721" s="111"/>
      <c r="AC721" s="111"/>
    </row>
    <row r="722" spans="1:29" x14ac:dyDescent="0.55000000000000004">
      <c r="A722"/>
      <c r="K722" s="111"/>
      <c r="O722" s="111"/>
      <c r="P722" s="111"/>
      <c r="Q722" s="111"/>
      <c r="R722" s="111"/>
      <c r="S722" s="111"/>
      <c r="T722" s="111"/>
      <c r="U722" s="111"/>
      <c r="V722" s="111"/>
      <c r="W722" s="111"/>
      <c r="X722" s="111"/>
      <c r="Y722" s="111"/>
      <c r="Z722" s="111"/>
      <c r="AB722" s="111"/>
      <c r="AC722" s="111"/>
    </row>
    <row r="723" spans="1:29" x14ac:dyDescent="0.55000000000000004">
      <c r="A723"/>
      <c r="K723" s="111"/>
      <c r="O723" s="111"/>
      <c r="P723" s="111"/>
      <c r="Q723" s="111"/>
      <c r="R723" s="111"/>
      <c r="S723" s="111"/>
      <c r="T723" s="111"/>
      <c r="U723" s="111"/>
      <c r="V723" s="111"/>
      <c r="W723" s="111"/>
      <c r="X723" s="111"/>
      <c r="Y723" s="111"/>
      <c r="Z723" s="111"/>
      <c r="AB723" s="111"/>
      <c r="AC723" s="111"/>
    </row>
    <row r="724" spans="1:29" x14ac:dyDescent="0.55000000000000004">
      <c r="A724"/>
      <c r="K724" s="111"/>
      <c r="L724" s="111"/>
      <c r="M724" s="118"/>
      <c r="N724" s="118"/>
      <c r="O724" s="111"/>
      <c r="P724" s="111"/>
      <c r="Q724" s="111"/>
      <c r="R724" s="111"/>
      <c r="S724" s="111"/>
      <c r="T724" s="111"/>
      <c r="U724" s="111"/>
      <c r="V724" s="111"/>
      <c r="W724" s="111"/>
      <c r="X724" s="111"/>
      <c r="Y724" s="111"/>
      <c r="Z724" s="111"/>
      <c r="AB724" s="111"/>
      <c r="AC724" s="111"/>
    </row>
    <row r="725" spans="1:29" x14ac:dyDescent="0.55000000000000004">
      <c r="A725"/>
      <c r="K725" s="111"/>
      <c r="L725" s="111"/>
      <c r="O725" s="111"/>
      <c r="P725" s="111"/>
      <c r="Q725" s="111"/>
      <c r="R725" s="111"/>
      <c r="S725" s="111"/>
      <c r="T725" s="111"/>
      <c r="U725" s="111"/>
      <c r="V725" s="111"/>
      <c r="W725" s="111"/>
      <c r="X725" s="111"/>
      <c r="Y725" s="111"/>
      <c r="Z725" s="111"/>
      <c r="AB725" s="111"/>
      <c r="AC725" s="111"/>
    </row>
    <row r="726" spans="1:29" x14ac:dyDescent="0.55000000000000004">
      <c r="A726"/>
      <c r="K726" s="111"/>
      <c r="O726" s="111"/>
      <c r="P726" s="111"/>
      <c r="Q726" s="111"/>
      <c r="R726" s="111"/>
      <c r="S726" s="111"/>
      <c r="T726" s="111"/>
      <c r="U726" s="111"/>
      <c r="V726" s="111"/>
      <c r="W726" s="111"/>
      <c r="X726" s="111"/>
      <c r="Y726" s="111"/>
      <c r="Z726" s="111"/>
      <c r="AB726" s="111"/>
      <c r="AC726" s="111"/>
    </row>
    <row r="727" spans="1:29" x14ac:dyDescent="0.55000000000000004">
      <c r="A727"/>
      <c r="K727" s="111"/>
      <c r="O727" s="111"/>
      <c r="P727" s="111"/>
      <c r="Q727" s="111"/>
      <c r="R727" s="111"/>
      <c r="S727" s="111"/>
      <c r="T727" s="111"/>
      <c r="U727" s="111"/>
      <c r="V727" s="111"/>
      <c r="W727" s="111"/>
      <c r="X727" s="111"/>
      <c r="Y727" s="111"/>
      <c r="Z727" s="111"/>
      <c r="AB727" s="111"/>
      <c r="AC727" s="111"/>
    </row>
    <row r="728" spans="1:29" x14ac:dyDescent="0.55000000000000004">
      <c r="A728"/>
      <c r="L728" s="111"/>
      <c r="O728" s="111"/>
      <c r="P728" s="111"/>
      <c r="Q728" s="111"/>
      <c r="R728" s="111"/>
      <c r="S728" s="111"/>
      <c r="T728" s="111"/>
      <c r="U728" s="111"/>
      <c r="V728" s="111"/>
      <c r="W728" s="111"/>
      <c r="X728" s="111"/>
      <c r="Y728" s="111"/>
      <c r="Z728" s="111"/>
      <c r="AB728" s="111"/>
      <c r="AC728" s="111"/>
    </row>
    <row r="729" spans="1:29" x14ac:dyDescent="0.55000000000000004">
      <c r="A729"/>
      <c r="K729" s="111"/>
      <c r="O729" s="111"/>
      <c r="P729" s="111"/>
      <c r="Q729" s="111"/>
      <c r="R729" s="111"/>
      <c r="S729" s="111"/>
      <c r="T729" s="111"/>
      <c r="U729" s="111"/>
      <c r="V729" s="111"/>
      <c r="W729" s="111"/>
      <c r="X729" s="111"/>
      <c r="Y729" s="111"/>
      <c r="Z729" s="111"/>
      <c r="AB729" s="111"/>
      <c r="AC729" s="111"/>
    </row>
    <row r="730" spans="1:29" x14ac:dyDescent="0.55000000000000004">
      <c r="A730"/>
      <c r="L730" s="111"/>
      <c r="O730" s="111"/>
      <c r="P730" s="111"/>
      <c r="Q730" s="111"/>
      <c r="R730" s="111"/>
      <c r="S730" s="111"/>
      <c r="T730" s="111"/>
      <c r="U730" s="111"/>
      <c r="V730" s="111"/>
      <c r="W730" s="111"/>
      <c r="X730" s="111"/>
      <c r="Y730" s="111"/>
      <c r="Z730" s="111"/>
      <c r="AB730" s="111"/>
      <c r="AC730" s="111"/>
    </row>
    <row r="731" spans="1:29" x14ac:dyDescent="0.55000000000000004">
      <c r="A731"/>
      <c r="K731" s="111"/>
      <c r="O731" s="111"/>
      <c r="P731" s="111"/>
      <c r="Q731" s="111"/>
      <c r="R731" s="111"/>
      <c r="S731" s="111"/>
      <c r="T731" s="111"/>
      <c r="U731" s="111"/>
      <c r="V731" s="111"/>
      <c r="W731" s="111"/>
      <c r="X731" s="111"/>
      <c r="Y731" s="111"/>
      <c r="Z731" s="111"/>
      <c r="AB731" s="111"/>
      <c r="AC731" s="111"/>
    </row>
    <row r="732" spans="1:29" x14ac:dyDescent="0.55000000000000004">
      <c r="A732"/>
      <c r="K732" s="111"/>
      <c r="O732" s="111"/>
      <c r="P732" s="111"/>
      <c r="Q732" s="111"/>
      <c r="R732" s="111"/>
      <c r="S732" s="111"/>
      <c r="T732" s="111"/>
      <c r="U732" s="111"/>
      <c r="V732" s="111"/>
      <c r="W732" s="111"/>
      <c r="X732" s="111"/>
      <c r="Y732" s="111"/>
      <c r="Z732" s="111"/>
      <c r="AB732" s="111"/>
      <c r="AC732" s="111"/>
    </row>
    <row r="733" spans="1:29" x14ac:dyDescent="0.55000000000000004">
      <c r="A733"/>
      <c r="K733" s="111"/>
      <c r="O733" s="111"/>
      <c r="P733" s="111"/>
      <c r="Q733" s="111"/>
      <c r="R733" s="111"/>
      <c r="S733" s="111"/>
      <c r="T733" s="111"/>
      <c r="U733" s="111"/>
      <c r="V733" s="111"/>
      <c r="W733" s="111"/>
      <c r="X733" s="111"/>
      <c r="Y733" s="111"/>
      <c r="Z733" s="111"/>
      <c r="AB733" s="111"/>
      <c r="AC733" s="111"/>
    </row>
    <row r="734" spans="1:29" x14ac:dyDescent="0.55000000000000004">
      <c r="A734"/>
      <c r="K734" s="111"/>
      <c r="O734" s="111"/>
      <c r="P734" s="111"/>
      <c r="Q734" s="111"/>
      <c r="R734" s="111"/>
      <c r="S734" s="111"/>
      <c r="T734" s="111"/>
      <c r="U734" s="111"/>
      <c r="V734" s="111"/>
      <c r="W734" s="111"/>
      <c r="X734" s="111"/>
      <c r="Y734" s="111"/>
      <c r="Z734" s="111"/>
      <c r="AB734" s="111"/>
      <c r="AC734" s="111"/>
    </row>
    <row r="735" spans="1:29" x14ac:dyDescent="0.55000000000000004">
      <c r="A735"/>
      <c r="K735" s="111"/>
      <c r="L735" s="111"/>
      <c r="O735" s="111"/>
      <c r="P735" s="111"/>
      <c r="Q735" s="111"/>
      <c r="R735" s="111"/>
      <c r="S735" s="111"/>
      <c r="T735" s="111"/>
      <c r="U735" s="111"/>
      <c r="V735" s="111"/>
      <c r="W735" s="111"/>
      <c r="X735" s="111"/>
      <c r="Y735" s="111"/>
      <c r="Z735" s="111"/>
      <c r="AB735" s="111"/>
      <c r="AC735" s="111"/>
    </row>
    <row r="736" spans="1:29" x14ac:dyDescent="0.55000000000000004">
      <c r="A736"/>
      <c r="K736" s="111"/>
      <c r="O736" s="111"/>
      <c r="P736" s="111"/>
      <c r="Q736" s="111"/>
      <c r="R736" s="111"/>
      <c r="S736" s="111"/>
      <c r="T736" s="111"/>
      <c r="U736" s="111"/>
      <c r="V736" s="111"/>
      <c r="W736" s="111"/>
      <c r="X736" s="111"/>
      <c r="Y736" s="111"/>
      <c r="Z736" s="111"/>
      <c r="AB736" s="111"/>
      <c r="AC736" s="111"/>
    </row>
    <row r="737" spans="1:29" x14ac:dyDescent="0.55000000000000004">
      <c r="A737"/>
      <c r="K737" s="111"/>
      <c r="M737" s="118"/>
      <c r="N737" s="118"/>
      <c r="O737" s="111"/>
      <c r="P737" s="111"/>
      <c r="Q737" s="111"/>
      <c r="R737" s="111"/>
      <c r="S737" s="111"/>
      <c r="T737" s="111"/>
      <c r="U737" s="111"/>
      <c r="V737" s="111"/>
      <c r="W737" s="111"/>
      <c r="X737" s="111"/>
      <c r="Y737" s="111"/>
      <c r="Z737" s="111"/>
      <c r="AB737" s="111"/>
      <c r="AC737" s="111"/>
    </row>
    <row r="738" spans="1:29" x14ac:dyDescent="0.55000000000000004">
      <c r="A738"/>
      <c r="K738" s="111"/>
      <c r="O738" s="111"/>
      <c r="P738" s="111"/>
      <c r="Q738" s="111"/>
      <c r="R738" s="111"/>
      <c r="S738" s="111"/>
      <c r="T738" s="111"/>
      <c r="U738" s="111"/>
      <c r="V738" s="111"/>
      <c r="W738" s="111"/>
      <c r="X738" s="111"/>
      <c r="Y738" s="111"/>
      <c r="Z738" s="111"/>
      <c r="AB738" s="111"/>
      <c r="AC738" s="111"/>
    </row>
    <row r="739" spans="1:29" x14ac:dyDescent="0.55000000000000004">
      <c r="A739"/>
      <c r="L739" s="111"/>
      <c r="O739" s="111"/>
      <c r="P739" s="111"/>
      <c r="Q739" s="111"/>
      <c r="R739" s="111"/>
      <c r="S739" s="111"/>
      <c r="T739" s="111"/>
      <c r="U739" s="111"/>
      <c r="V739" s="111"/>
      <c r="W739" s="111"/>
      <c r="X739" s="111"/>
      <c r="Y739" s="111"/>
      <c r="Z739" s="111"/>
      <c r="AB739" s="111"/>
      <c r="AC739" s="111"/>
    </row>
    <row r="740" spans="1:29" x14ac:dyDescent="0.55000000000000004">
      <c r="A740"/>
      <c r="K740" s="111"/>
      <c r="O740" s="111"/>
      <c r="P740" s="111"/>
      <c r="Q740" s="111"/>
      <c r="R740" s="111"/>
      <c r="S740" s="111"/>
      <c r="T740" s="111"/>
      <c r="U740" s="111"/>
      <c r="V740" s="111"/>
      <c r="W740" s="111"/>
      <c r="X740" s="111"/>
      <c r="Y740" s="111"/>
      <c r="Z740" s="111"/>
      <c r="AB740" s="111"/>
      <c r="AC740" s="111"/>
    </row>
    <row r="741" spans="1:29" x14ac:dyDescent="0.55000000000000004">
      <c r="A741"/>
      <c r="K741" s="111"/>
      <c r="M741" s="118"/>
      <c r="N741" s="118"/>
      <c r="O741" s="111"/>
      <c r="P741" s="111"/>
      <c r="Q741" s="111"/>
      <c r="R741" s="111"/>
      <c r="S741" s="111"/>
      <c r="T741" s="111"/>
      <c r="U741" s="111"/>
      <c r="V741" s="111"/>
      <c r="W741" s="111"/>
      <c r="X741" s="111"/>
      <c r="Y741" s="111"/>
      <c r="Z741" s="111"/>
      <c r="AB741" s="111"/>
      <c r="AC741" s="111"/>
    </row>
    <row r="742" spans="1:29" x14ac:dyDescent="0.55000000000000004">
      <c r="A742"/>
      <c r="K742" s="111"/>
      <c r="M742" s="118"/>
      <c r="N742" s="118"/>
      <c r="O742" s="111"/>
      <c r="P742" s="111"/>
      <c r="Q742" s="111"/>
      <c r="R742" s="111"/>
      <c r="S742" s="111"/>
      <c r="T742" s="111"/>
      <c r="U742" s="111"/>
      <c r="V742" s="111"/>
      <c r="W742" s="111"/>
      <c r="X742" s="111"/>
      <c r="Y742" s="111"/>
      <c r="Z742" s="111"/>
      <c r="AB742" s="111"/>
      <c r="AC742" s="111"/>
    </row>
    <row r="743" spans="1:29" x14ac:dyDescent="0.55000000000000004">
      <c r="A743"/>
      <c r="K743" s="111"/>
      <c r="M743" s="118"/>
      <c r="N743" s="118"/>
      <c r="O743" s="111"/>
      <c r="P743" s="111"/>
      <c r="Q743" s="111"/>
      <c r="R743" s="111"/>
      <c r="S743" s="111"/>
      <c r="T743" s="111"/>
      <c r="U743" s="111"/>
      <c r="V743" s="111"/>
      <c r="W743" s="111"/>
      <c r="X743" s="111"/>
      <c r="Y743" s="111"/>
      <c r="Z743" s="111"/>
      <c r="AB743" s="111"/>
      <c r="AC743" s="111"/>
    </row>
    <row r="744" spans="1:29" x14ac:dyDescent="0.55000000000000004">
      <c r="A744"/>
      <c r="K744" s="111"/>
      <c r="O744" s="111"/>
      <c r="P744" s="111"/>
      <c r="Q744" s="111"/>
      <c r="R744" s="111"/>
      <c r="S744" s="111"/>
      <c r="T744" s="111"/>
      <c r="U744" s="111"/>
      <c r="V744" s="111"/>
      <c r="W744" s="111"/>
      <c r="X744" s="111"/>
      <c r="Y744" s="111"/>
      <c r="Z744" s="111"/>
      <c r="AB744" s="111"/>
      <c r="AC744" s="111"/>
    </row>
    <row r="745" spans="1:29" x14ac:dyDescent="0.55000000000000004">
      <c r="A745"/>
      <c r="K745" s="111"/>
      <c r="L745" s="111"/>
      <c r="O745" s="111"/>
      <c r="P745" s="111"/>
      <c r="Q745" s="111"/>
      <c r="R745" s="111"/>
      <c r="S745" s="111"/>
      <c r="T745" s="111"/>
      <c r="U745" s="111"/>
      <c r="V745" s="111"/>
      <c r="W745" s="111"/>
      <c r="X745" s="111"/>
      <c r="Y745" s="111"/>
      <c r="Z745" s="111"/>
      <c r="AB745" s="111"/>
      <c r="AC745" s="111"/>
    </row>
    <row r="746" spans="1:29" x14ac:dyDescent="0.55000000000000004">
      <c r="A746"/>
      <c r="K746" s="111"/>
      <c r="M746" s="118"/>
      <c r="N746" s="118"/>
      <c r="O746" s="111"/>
      <c r="P746" s="111"/>
      <c r="Q746" s="111"/>
      <c r="R746" s="111"/>
      <c r="S746" s="111"/>
      <c r="T746" s="111"/>
      <c r="U746" s="111"/>
      <c r="V746" s="111"/>
      <c r="W746" s="111"/>
      <c r="X746" s="111"/>
      <c r="Y746" s="111"/>
      <c r="Z746" s="111"/>
      <c r="AB746" s="111"/>
      <c r="AC746" s="111"/>
    </row>
    <row r="747" spans="1:29" x14ac:dyDescent="0.55000000000000004">
      <c r="A747"/>
      <c r="K747" s="111"/>
      <c r="O747" s="111"/>
      <c r="P747" s="111"/>
      <c r="Q747" s="111"/>
      <c r="R747" s="111"/>
      <c r="S747" s="111"/>
      <c r="T747" s="111"/>
      <c r="U747" s="111"/>
      <c r="V747" s="111"/>
      <c r="W747" s="111"/>
      <c r="X747" s="111"/>
      <c r="Y747" s="111"/>
      <c r="Z747" s="111"/>
      <c r="AB747" s="111"/>
      <c r="AC747" s="111"/>
    </row>
    <row r="748" spans="1:29" x14ac:dyDescent="0.55000000000000004">
      <c r="A748"/>
      <c r="K748" s="111"/>
      <c r="O748" s="111"/>
      <c r="P748" s="111"/>
      <c r="Q748" s="111"/>
      <c r="R748" s="111"/>
      <c r="S748" s="111"/>
      <c r="T748" s="111"/>
      <c r="U748" s="111"/>
      <c r="V748" s="111"/>
      <c r="W748" s="111"/>
      <c r="X748" s="111"/>
      <c r="Y748" s="111"/>
      <c r="Z748" s="111"/>
      <c r="AB748" s="111"/>
      <c r="AC748" s="111"/>
    </row>
    <row r="749" spans="1:29" x14ac:dyDescent="0.55000000000000004">
      <c r="A749"/>
      <c r="K749" s="111"/>
      <c r="O749" s="111"/>
      <c r="P749" s="111"/>
      <c r="Q749" s="111"/>
      <c r="R749" s="111"/>
      <c r="S749" s="111"/>
      <c r="T749" s="111"/>
      <c r="U749" s="111"/>
      <c r="V749" s="111"/>
      <c r="W749" s="111"/>
      <c r="X749" s="111"/>
      <c r="Y749" s="111"/>
      <c r="Z749" s="111"/>
      <c r="AB749" s="111"/>
      <c r="AC749" s="111"/>
    </row>
    <row r="750" spans="1:29" x14ac:dyDescent="0.55000000000000004">
      <c r="A750"/>
      <c r="K750" s="111"/>
      <c r="O750" s="111"/>
      <c r="P750" s="111"/>
      <c r="Q750" s="111"/>
      <c r="R750" s="111"/>
      <c r="S750" s="111"/>
      <c r="T750" s="111"/>
      <c r="U750" s="111"/>
      <c r="V750" s="111"/>
      <c r="W750" s="111"/>
      <c r="X750" s="111"/>
      <c r="Y750" s="111"/>
      <c r="Z750" s="111"/>
      <c r="AB750" s="111"/>
      <c r="AC750" s="111"/>
    </row>
    <row r="751" spans="1:29" x14ac:dyDescent="0.55000000000000004">
      <c r="A751"/>
      <c r="K751" s="111"/>
      <c r="O751" s="111"/>
      <c r="P751" s="111"/>
      <c r="Q751" s="111"/>
      <c r="R751" s="111"/>
      <c r="S751" s="111"/>
      <c r="T751" s="111"/>
      <c r="U751" s="111"/>
      <c r="V751" s="111"/>
      <c r="W751" s="111"/>
      <c r="X751" s="111"/>
      <c r="Y751" s="111"/>
      <c r="Z751" s="111"/>
      <c r="AB751" s="111"/>
      <c r="AC751" s="111"/>
    </row>
    <row r="752" spans="1:29" x14ac:dyDescent="0.55000000000000004">
      <c r="A752"/>
      <c r="K752" s="111"/>
      <c r="O752" s="111"/>
      <c r="P752" s="111"/>
      <c r="Q752" s="111"/>
      <c r="R752" s="111"/>
      <c r="S752" s="111"/>
      <c r="T752" s="111"/>
      <c r="U752" s="111"/>
      <c r="V752" s="111"/>
      <c r="W752" s="111"/>
      <c r="X752" s="111"/>
      <c r="Y752" s="111"/>
      <c r="Z752" s="111"/>
      <c r="AB752" s="111"/>
      <c r="AC752" s="111"/>
    </row>
    <row r="753" spans="1:29" x14ac:dyDescent="0.55000000000000004">
      <c r="A753"/>
      <c r="K753" s="111"/>
      <c r="O753" s="111"/>
      <c r="P753" s="111"/>
      <c r="Q753" s="111"/>
      <c r="R753" s="111"/>
      <c r="S753" s="111"/>
      <c r="T753" s="111"/>
      <c r="U753" s="111"/>
      <c r="V753" s="111"/>
      <c r="W753" s="111"/>
      <c r="X753" s="111"/>
      <c r="Y753" s="111"/>
      <c r="Z753" s="111"/>
      <c r="AB753" s="111"/>
      <c r="AC753" s="111"/>
    </row>
    <row r="754" spans="1:29" x14ac:dyDescent="0.55000000000000004">
      <c r="A754"/>
      <c r="D754" s="111"/>
      <c r="K754" s="111"/>
      <c r="O754" s="111"/>
      <c r="P754" s="111"/>
      <c r="Q754" s="111"/>
      <c r="R754" s="111"/>
      <c r="S754" s="111"/>
      <c r="T754" s="111"/>
      <c r="U754" s="111"/>
      <c r="V754" s="111"/>
      <c r="W754" s="111"/>
      <c r="X754" s="111"/>
      <c r="Y754" s="111"/>
      <c r="Z754" s="111"/>
      <c r="AB754" s="111"/>
      <c r="AC754" s="111"/>
    </row>
    <row r="755" spans="1:29" x14ac:dyDescent="0.55000000000000004">
      <c r="A755"/>
      <c r="K755" s="111"/>
      <c r="O755" s="111"/>
      <c r="P755" s="111"/>
      <c r="Q755" s="111"/>
      <c r="R755" s="111"/>
      <c r="S755" s="111"/>
      <c r="T755" s="111"/>
      <c r="U755" s="111"/>
      <c r="V755" s="111"/>
      <c r="W755" s="111"/>
      <c r="X755" s="111"/>
      <c r="Y755" s="111"/>
      <c r="Z755" s="111"/>
      <c r="AB755" s="111"/>
      <c r="AC755" s="111"/>
    </row>
    <row r="756" spans="1:29" x14ac:dyDescent="0.55000000000000004">
      <c r="A756"/>
      <c r="C756" s="111"/>
      <c r="D756" s="111"/>
      <c r="K756" s="111"/>
      <c r="O756" s="111"/>
      <c r="P756" s="111"/>
      <c r="Q756" s="111"/>
      <c r="R756" s="111"/>
      <c r="S756" s="111"/>
      <c r="T756" s="111"/>
      <c r="U756" s="111"/>
      <c r="V756" s="111"/>
      <c r="W756" s="111"/>
      <c r="X756" s="111"/>
      <c r="Y756" s="111"/>
      <c r="Z756" s="111"/>
      <c r="AB756" s="111"/>
      <c r="AC756" s="111"/>
    </row>
    <row r="757" spans="1:29" x14ac:dyDescent="0.55000000000000004">
      <c r="A757"/>
      <c r="D757" s="111"/>
      <c r="K757" s="111"/>
      <c r="O757" s="111"/>
      <c r="P757" s="111"/>
      <c r="Q757" s="111"/>
      <c r="R757" s="111"/>
      <c r="S757" s="111"/>
      <c r="T757" s="111"/>
      <c r="U757" s="111"/>
      <c r="V757" s="111"/>
      <c r="W757" s="111"/>
      <c r="X757" s="111"/>
      <c r="Y757" s="111"/>
      <c r="Z757" s="111"/>
      <c r="AB757" s="111"/>
      <c r="AC757" s="111"/>
    </row>
    <row r="758" spans="1:29" x14ac:dyDescent="0.55000000000000004">
      <c r="A758"/>
      <c r="L758" s="111"/>
      <c r="O758" s="111"/>
      <c r="P758" s="111"/>
      <c r="Q758" s="111"/>
      <c r="R758" s="111"/>
      <c r="S758" s="111"/>
      <c r="T758" s="111"/>
      <c r="U758" s="111"/>
      <c r="V758" s="111"/>
      <c r="W758" s="111"/>
      <c r="X758" s="111"/>
      <c r="Y758" s="111"/>
      <c r="Z758" s="111"/>
      <c r="AB758" s="111"/>
      <c r="AC758" s="111"/>
    </row>
    <row r="759" spans="1:29" x14ac:dyDescent="0.55000000000000004">
      <c r="A759"/>
      <c r="C759" s="111"/>
      <c r="D759" s="111"/>
      <c r="K759" s="111"/>
      <c r="O759" s="111"/>
      <c r="P759" s="111"/>
      <c r="Q759" s="111"/>
      <c r="R759" s="111"/>
      <c r="S759" s="111"/>
      <c r="T759" s="111"/>
      <c r="U759" s="111"/>
      <c r="V759" s="111"/>
      <c r="W759" s="111"/>
      <c r="X759" s="111"/>
      <c r="Y759" s="111"/>
      <c r="Z759" s="111"/>
      <c r="AB759" s="111"/>
      <c r="AC759" s="111"/>
    </row>
    <row r="760" spans="1:29" x14ac:dyDescent="0.55000000000000004">
      <c r="A760"/>
      <c r="O760" s="111"/>
      <c r="P760" s="111"/>
      <c r="Q760" s="111"/>
      <c r="R760" s="111"/>
      <c r="S760" s="111"/>
      <c r="T760" s="111"/>
      <c r="U760" s="111"/>
      <c r="V760" s="111"/>
      <c r="W760" s="111"/>
      <c r="X760" s="111"/>
      <c r="Y760" s="111"/>
      <c r="Z760" s="111"/>
      <c r="AB760" s="111"/>
      <c r="AC760" s="111"/>
    </row>
    <row r="761" spans="1:29" x14ac:dyDescent="0.55000000000000004">
      <c r="A761"/>
      <c r="K761" s="111"/>
      <c r="O761" s="111"/>
      <c r="P761" s="111"/>
      <c r="Q761" s="111"/>
      <c r="R761" s="111"/>
      <c r="S761" s="111"/>
      <c r="T761" s="111"/>
      <c r="U761" s="111"/>
      <c r="V761" s="111"/>
      <c r="W761" s="111"/>
      <c r="X761" s="111"/>
      <c r="Y761" s="111"/>
      <c r="Z761" s="111"/>
      <c r="AB761" s="111"/>
      <c r="AC761" s="111"/>
    </row>
    <row r="762" spans="1:29" x14ac:dyDescent="0.55000000000000004">
      <c r="A762"/>
      <c r="C762" s="111"/>
      <c r="D762" s="111"/>
      <c r="L762" s="111"/>
      <c r="M762" s="118"/>
      <c r="N762" s="118"/>
      <c r="O762" s="111"/>
      <c r="P762" s="111"/>
      <c r="Q762" s="111"/>
      <c r="R762" s="111"/>
      <c r="S762" s="111"/>
      <c r="T762" s="111"/>
      <c r="U762" s="111"/>
      <c r="V762" s="111"/>
      <c r="W762" s="111"/>
      <c r="X762" s="111"/>
      <c r="Y762" s="111"/>
      <c r="Z762" s="111"/>
      <c r="AB762" s="111"/>
      <c r="AC762" s="111"/>
    </row>
    <row r="763" spans="1:29" x14ac:dyDescent="0.55000000000000004">
      <c r="A763"/>
      <c r="C763" s="111"/>
      <c r="D763" s="111"/>
      <c r="H763" s="111"/>
      <c r="I763" s="111"/>
      <c r="L763" s="111"/>
      <c r="M763" s="118"/>
      <c r="N763" s="118"/>
      <c r="O763" s="111"/>
      <c r="P763" s="111"/>
      <c r="Q763" s="111"/>
      <c r="R763" s="111"/>
      <c r="S763" s="111"/>
      <c r="T763" s="111"/>
      <c r="U763" s="111"/>
      <c r="V763" s="111"/>
      <c r="W763" s="111"/>
      <c r="X763" s="111"/>
      <c r="Y763" s="111"/>
      <c r="Z763" s="111"/>
      <c r="AB763" s="111"/>
      <c r="AC763" s="111"/>
    </row>
    <row r="764" spans="1:29" x14ac:dyDescent="0.55000000000000004">
      <c r="A764"/>
      <c r="L764" s="111"/>
      <c r="M764" s="118"/>
      <c r="N764" s="118"/>
      <c r="O764" s="111"/>
      <c r="P764" s="111"/>
      <c r="Q764" s="111"/>
      <c r="R764" s="111"/>
      <c r="S764" s="111"/>
      <c r="T764" s="111"/>
      <c r="U764" s="111"/>
      <c r="V764" s="111"/>
      <c r="W764" s="111"/>
      <c r="X764" s="111"/>
      <c r="Y764" s="111"/>
      <c r="Z764" s="111"/>
      <c r="AB764" s="111"/>
      <c r="AC764" s="111"/>
    </row>
    <row r="765" spans="1:29" x14ac:dyDescent="0.55000000000000004">
      <c r="A765"/>
      <c r="K765" s="111"/>
      <c r="O765" s="111"/>
      <c r="P765" s="111"/>
      <c r="Q765" s="111"/>
      <c r="R765" s="111"/>
      <c r="S765" s="111"/>
      <c r="T765" s="111"/>
      <c r="U765" s="111"/>
      <c r="V765" s="111"/>
      <c r="W765" s="111"/>
      <c r="X765" s="111"/>
      <c r="Y765" s="111"/>
      <c r="Z765" s="111"/>
      <c r="AB765" s="111"/>
      <c r="AC765" s="111"/>
    </row>
    <row r="766" spans="1:29" x14ac:dyDescent="0.55000000000000004">
      <c r="A766"/>
      <c r="K766" s="111"/>
      <c r="O766" s="111"/>
      <c r="P766" s="111"/>
      <c r="Q766" s="111"/>
      <c r="R766" s="111"/>
      <c r="S766" s="111"/>
      <c r="T766" s="111"/>
      <c r="U766" s="111"/>
      <c r="V766" s="111"/>
      <c r="W766" s="111"/>
      <c r="X766" s="111"/>
      <c r="Y766" s="111"/>
      <c r="Z766" s="111"/>
      <c r="AB766" s="111"/>
      <c r="AC766" s="111"/>
    </row>
    <row r="767" spans="1:29" x14ac:dyDescent="0.55000000000000004">
      <c r="A767"/>
      <c r="C767" s="111"/>
      <c r="D767" s="111"/>
      <c r="L767" s="111"/>
      <c r="M767" s="118"/>
      <c r="N767" s="118"/>
      <c r="O767" s="111"/>
      <c r="P767" s="111"/>
      <c r="Q767" s="111"/>
      <c r="R767" s="111"/>
      <c r="S767" s="111"/>
      <c r="T767" s="111"/>
      <c r="U767" s="111"/>
      <c r="V767" s="111"/>
      <c r="W767" s="111"/>
      <c r="X767" s="111"/>
      <c r="Y767" s="111"/>
      <c r="Z767" s="111"/>
      <c r="AB767" s="111"/>
      <c r="AC767" s="111"/>
    </row>
    <row r="768" spans="1:29" x14ac:dyDescent="0.55000000000000004">
      <c r="A768"/>
      <c r="K768" s="111"/>
      <c r="O768" s="111"/>
      <c r="P768" s="111"/>
      <c r="Q768" s="111"/>
      <c r="R768" s="111"/>
      <c r="S768" s="111"/>
      <c r="T768" s="111"/>
      <c r="U768" s="111"/>
      <c r="V768" s="111"/>
      <c r="W768" s="111"/>
      <c r="X768" s="111"/>
      <c r="Y768" s="111"/>
      <c r="Z768" s="111"/>
      <c r="AB768" s="111"/>
      <c r="AC768" s="111"/>
    </row>
    <row r="769" spans="1:29" x14ac:dyDescent="0.55000000000000004">
      <c r="A769"/>
      <c r="C769" s="111"/>
      <c r="D769" s="111"/>
      <c r="O769" s="111"/>
      <c r="P769" s="111"/>
      <c r="Q769" s="111"/>
      <c r="R769" s="111"/>
      <c r="S769" s="111"/>
      <c r="T769" s="111"/>
      <c r="U769" s="111"/>
      <c r="V769" s="111"/>
      <c r="W769" s="111"/>
      <c r="X769" s="111"/>
      <c r="Y769" s="111"/>
      <c r="Z769" s="111"/>
      <c r="AB769" s="111"/>
      <c r="AC769" s="111"/>
    </row>
    <row r="770" spans="1:29" x14ac:dyDescent="0.55000000000000004">
      <c r="A770"/>
      <c r="K770" s="111"/>
      <c r="O770" s="111"/>
      <c r="P770" s="111"/>
      <c r="Q770" s="111"/>
      <c r="R770" s="111"/>
      <c r="S770" s="111"/>
      <c r="T770" s="111"/>
      <c r="U770" s="111"/>
      <c r="V770" s="111"/>
      <c r="W770" s="111"/>
      <c r="X770" s="111"/>
      <c r="Y770" s="111"/>
      <c r="Z770" s="111"/>
      <c r="AB770" s="111"/>
      <c r="AC770" s="111"/>
    </row>
    <row r="771" spans="1:29" x14ac:dyDescent="0.55000000000000004">
      <c r="A771"/>
      <c r="D771" s="111"/>
      <c r="K771" s="111"/>
      <c r="O771" s="111"/>
      <c r="P771" s="111"/>
      <c r="Q771" s="111"/>
      <c r="R771" s="111"/>
      <c r="S771" s="111"/>
      <c r="T771" s="111"/>
      <c r="U771" s="111"/>
      <c r="V771" s="111"/>
      <c r="W771" s="111"/>
      <c r="X771" s="111"/>
      <c r="Y771" s="111"/>
      <c r="Z771" s="111"/>
      <c r="AB771" s="111"/>
      <c r="AC771" s="111"/>
    </row>
    <row r="772" spans="1:29" x14ac:dyDescent="0.55000000000000004">
      <c r="A772"/>
      <c r="K772" s="111"/>
      <c r="O772" s="111"/>
      <c r="P772" s="111"/>
      <c r="Q772" s="111"/>
      <c r="R772" s="111"/>
      <c r="S772" s="111"/>
      <c r="T772" s="111"/>
      <c r="U772" s="111"/>
      <c r="V772" s="111"/>
      <c r="W772" s="111"/>
      <c r="X772" s="111"/>
      <c r="Y772" s="111"/>
      <c r="Z772" s="111"/>
      <c r="AB772" s="111"/>
      <c r="AC772" s="111"/>
    </row>
    <row r="773" spans="1:29" x14ac:dyDescent="0.55000000000000004">
      <c r="A773"/>
      <c r="K773" s="111"/>
      <c r="O773" s="111"/>
      <c r="P773" s="111"/>
      <c r="Q773" s="111"/>
      <c r="R773" s="111"/>
      <c r="S773" s="111"/>
      <c r="T773" s="111"/>
      <c r="U773" s="111"/>
      <c r="V773" s="111"/>
      <c r="W773" s="111"/>
      <c r="X773" s="111"/>
      <c r="Y773" s="111"/>
      <c r="Z773" s="111"/>
      <c r="AB773" s="111"/>
      <c r="AC773" s="111"/>
    </row>
    <row r="774" spans="1:29" x14ac:dyDescent="0.55000000000000004">
      <c r="A774"/>
      <c r="D774" s="111"/>
      <c r="K774" s="111"/>
      <c r="O774" s="111"/>
      <c r="P774" s="111"/>
      <c r="Q774" s="111"/>
      <c r="R774" s="111"/>
      <c r="S774" s="111"/>
      <c r="T774" s="111"/>
      <c r="U774" s="111"/>
      <c r="V774" s="111"/>
      <c r="W774" s="111"/>
      <c r="X774" s="111"/>
      <c r="Y774" s="111"/>
      <c r="Z774" s="111"/>
      <c r="AB774" s="111"/>
      <c r="AC774" s="111"/>
    </row>
    <row r="775" spans="1:29" x14ac:dyDescent="0.55000000000000004">
      <c r="A775"/>
      <c r="C775" s="111"/>
      <c r="D775" s="111"/>
      <c r="G775" s="111"/>
      <c r="H775" s="111"/>
      <c r="I775" s="111"/>
      <c r="K775" s="111"/>
      <c r="O775" s="111"/>
      <c r="P775" s="111"/>
      <c r="Q775" s="111"/>
      <c r="R775" s="111"/>
      <c r="S775" s="111"/>
      <c r="T775" s="111"/>
      <c r="U775" s="111"/>
      <c r="V775" s="111"/>
      <c r="W775" s="111"/>
      <c r="X775" s="111"/>
      <c r="Y775" s="111"/>
      <c r="Z775" s="111"/>
      <c r="AB775" s="111"/>
      <c r="AC775" s="111"/>
    </row>
    <row r="776" spans="1:29" x14ac:dyDescent="0.55000000000000004">
      <c r="A776"/>
      <c r="D776" s="111"/>
      <c r="K776" s="111"/>
      <c r="O776" s="111"/>
      <c r="P776" s="111"/>
      <c r="Q776" s="111"/>
      <c r="R776" s="111"/>
      <c r="S776" s="111"/>
      <c r="T776" s="111"/>
      <c r="U776" s="111"/>
      <c r="V776" s="111"/>
      <c r="W776" s="111"/>
      <c r="X776" s="111"/>
      <c r="Y776" s="111"/>
      <c r="Z776" s="111"/>
      <c r="AB776" s="111"/>
      <c r="AC776" s="111"/>
    </row>
    <row r="777" spans="1:29" x14ac:dyDescent="0.55000000000000004">
      <c r="A777"/>
      <c r="C777" s="111"/>
      <c r="D777" s="111"/>
      <c r="H777" s="111"/>
      <c r="I777" s="111"/>
      <c r="K777" s="111"/>
      <c r="O777" s="111"/>
      <c r="P777" s="111"/>
      <c r="Q777" s="111"/>
      <c r="R777" s="111"/>
      <c r="S777" s="111"/>
      <c r="T777" s="111"/>
      <c r="U777" s="111"/>
      <c r="V777" s="111"/>
      <c r="W777" s="111"/>
      <c r="X777" s="111"/>
      <c r="Y777" s="111"/>
      <c r="Z777" s="111"/>
      <c r="AB777" s="111"/>
      <c r="AC777" s="111"/>
    </row>
    <row r="778" spans="1:29" x14ac:dyDescent="0.55000000000000004">
      <c r="A778"/>
      <c r="D778" s="111"/>
      <c r="K778" s="111"/>
      <c r="O778" s="111"/>
      <c r="P778" s="111"/>
      <c r="Q778" s="111"/>
      <c r="R778" s="111"/>
      <c r="S778" s="111"/>
      <c r="T778" s="111"/>
      <c r="U778" s="111"/>
      <c r="V778" s="111"/>
      <c r="W778" s="111"/>
      <c r="X778" s="111"/>
      <c r="Y778" s="111"/>
      <c r="Z778" s="111"/>
      <c r="AB778" s="111"/>
      <c r="AC778" s="111"/>
    </row>
    <row r="779" spans="1:29" x14ac:dyDescent="0.55000000000000004">
      <c r="A779"/>
      <c r="O779" s="111"/>
      <c r="P779" s="111"/>
      <c r="Q779" s="111"/>
      <c r="R779" s="111"/>
      <c r="S779" s="111"/>
      <c r="T779" s="111"/>
      <c r="U779" s="111"/>
      <c r="V779" s="111"/>
      <c r="W779" s="111"/>
      <c r="X779" s="111"/>
      <c r="Y779" s="111"/>
      <c r="Z779" s="111"/>
      <c r="AB779" s="111"/>
      <c r="AC779" s="111"/>
    </row>
    <row r="780" spans="1:29" x14ac:dyDescent="0.55000000000000004">
      <c r="A780"/>
      <c r="K780" s="111"/>
      <c r="O780" s="111"/>
      <c r="P780" s="111"/>
      <c r="Q780" s="111"/>
      <c r="R780" s="111"/>
      <c r="S780" s="111"/>
      <c r="T780" s="111"/>
      <c r="U780" s="111"/>
      <c r="V780" s="111"/>
      <c r="W780" s="111"/>
      <c r="X780" s="111"/>
      <c r="Y780" s="111"/>
      <c r="Z780" s="111"/>
      <c r="AB780" s="111"/>
      <c r="AC780" s="111"/>
    </row>
    <row r="781" spans="1:29" x14ac:dyDescent="0.55000000000000004">
      <c r="A781"/>
      <c r="M781" s="118"/>
      <c r="N781" s="118"/>
      <c r="O781" s="111"/>
      <c r="P781" s="111"/>
      <c r="Q781" s="111"/>
      <c r="R781" s="111"/>
      <c r="S781" s="111"/>
      <c r="T781" s="111"/>
      <c r="U781" s="111"/>
      <c r="V781" s="111"/>
      <c r="W781" s="111"/>
      <c r="X781" s="111"/>
      <c r="Y781" s="111"/>
      <c r="Z781" s="111"/>
      <c r="AB781" s="111"/>
      <c r="AC781" s="111"/>
    </row>
    <row r="782" spans="1:29" x14ac:dyDescent="0.55000000000000004">
      <c r="A782"/>
      <c r="K782" s="111"/>
      <c r="O782" s="111"/>
      <c r="P782" s="111"/>
      <c r="Q782" s="111"/>
      <c r="R782" s="111"/>
      <c r="S782" s="111"/>
      <c r="T782" s="111"/>
      <c r="U782" s="111"/>
      <c r="V782" s="111"/>
      <c r="W782" s="111"/>
      <c r="X782" s="111"/>
      <c r="Y782" s="111"/>
      <c r="Z782" s="111"/>
      <c r="AB782" s="111"/>
      <c r="AC782" s="111"/>
    </row>
    <row r="783" spans="1:29" x14ac:dyDescent="0.55000000000000004">
      <c r="A783"/>
      <c r="C783" s="111"/>
      <c r="D783" s="111"/>
      <c r="L783" s="111"/>
      <c r="O783" s="111"/>
      <c r="P783" s="111"/>
      <c r="Q783" s="111"/>
      <c r="R783" s="111"/>
      <c r="S783" s="111"/>
      <c r="T783" s="111"/>
      <c r="U783" s="111"/>
      <c r="V783" s="111"/>
      <c r="W783" s="111"/>
      <c r="X783" s="111"/>
      <c r="Y783" s="111"/>
      <c r="Z783" s="111"/>
      <c r="AB783" s="111"/>
      <c r="AC783" s="111"/>
    </row>
    <row r="784" spans="1:29" x14ac:dyDescent="0.55000000000000004">
      <c r="A784"/>
      <c r="C784" s="111"/>
      <c r="D784" s="111"/>
      <c r="H784" s="111"/>
      <c r="I784" s="111"/>
      <c r="L784" s="111"/>
      <c r="O784" s="111"/>
      <c r="P784" s="111"/>
      <c r="Q784" s="111"/>
      <c r="R784" s="111"/>
      <c r="S784" s="111"/>
      <c r="T784" s="111"/>
      <c r="U784" s="111"/>
      <c r="V784" s="111"/>
      <c r="W784" s="111"/>
      <c r="X784" s="111"/>
      <c r="Y784" s="111"/>
      <c r="Z784" s="111"/>
      <c r="AB784" s="111"/>
      <c r="AC784" s="111"/>
    </row>
    <row r="785" spans="1:29" x14ac:dyDescent="0.55000000000000004">
      <c r="A785"/>
      <c r="L785" s="111"/>
      <c r="O785" s="111"/>
      <c r="P785" s="111"/>
      <c r="Q785" s="111"/>
      <c r="R785" s="111"/>
      <c r="S785" s="111"/>
      <c r="T785" s="111"/>
      <c r="U785" s="111"/>
      <c r="V785" s="111"/>
      <c r="W785" s="111"/>
      <c r="X785" s="111"/>
      <c r="Y785" s="111"/>
      <c r="Z785" s="111"/>
      <c r="AB785" s="111"/>
      <c r="AC785" s="111"/>
    </row>
    <row r="786" spans="1:29" x14ac:dyDescent="0.55000000000000004">
      <c r="A786"/>
      <c r="K786" s="111"/>
      <c r="O786" s="111"/>
      <c r="P786" s="111"/>
      <c r="Q786" s="111"/>
      <c r="R786" s="111"/>
      <c r="S786" s="111"/>
      <c r="T786" s="111"/>
      <c r="U786" s="111"/>
      <c r="V786" s="111"/>
      <c r="W786" s="111"/>
      <c r="X786" s="111"/>
      <c r="Y786" s="111"/>
      <c r="Z786" s="111"/>
      <c r="AB786" s="111"/>
      <c r="AC786" s="111"/>
    </row>
    <row r="787" spans="1:29" x14ac:dyDescent="0.55000000000000004">
      <c r="A787"/>
      <c r="K787" s="111"/>
      <c r="M787" s="118"/>
      <c r="N787" s="118"/>
      <c r="O787" s="111"/>
      <c r="P787" s="111"/>
      <c r="Q787" s="111"/>
      <c r="R787" s="111"/>
      <c r="S787" s="111"/>
      <c r="T787" s="111"/>
      <c r="U787" s="111"/>
      <c r="V787" s="111"/>
      <c r="W787" s="111"/>
      <c r="X787" s="111"/>
      <c r="Y787" s="111"/>
      <c r="Z787" s="111"/>
      <c r="AB787" s="111"/>
      <c r="AC787" s="111"/>
    </row>
    <row r="788" spans="1:29" x14ac:dyDescent="0.55000000000000004">
      <c r="A788"/>
      <c r="D788" s="111"/>
      <c r="L788" s="111"/>
      <c r="O788" s="111"/>
      <c r="P788" s="111"/>
      <c r="Q788" s="111"/>
      <c r="R788" s="111"/>
      <c r="S788" s="111"/>
      <c r="T788" s="111"/>
      <c r="U788" s="111"/>
      <c r="V788" s="111"/>
      <c r="W788" s="111"/>
      <c r="X788" s="111"/>
      <c r="Y788" s="111"/>
      <c r="Z788" s="111"/>
      <c r="AB788" s="111"/>
      <c r="AC788" s="111"/>
    </row>
    <row r="789" spans="1:29" x14ac:dyDescent="0.55000000000000004">
      <c r="A789"/>
      <c r="K789" s="111"/>
      <c r="O789" s="111"/>
      <c r="P789" s="111"/>
      <c r="Q789" s="111"/>
      <c r="R789" s="111"/>
      <c r="S789" s="111"/>
      <c r="T789" s="111"/>
      <c r="U789" s="111"/>
      <c r="V789" s="111"/>
      <c r="W789" s="111"/>
      <c r="X789" s="111"/>
      <c r="Y789" s="111"/>
      <c r="Z789" s="111"/>
      <c r="AB789" s="111"/>
      <c r="AC789" s="111"/>
    </row>
    <row r="790" spans="1:29" x14ac:dyDescent="0.55000000000000004">
      <c r="A790"/>
      <c r="D790" s="111"/>
      <c r="O790" s="111"/>
      <c r="P790" s="111"/>
      <c r="Q790" s="111"/>
      <c r="R790" s="111"/>
      <c r="S790" s="111"/>
      <c r="T790" s="111"/>
      <c r="U790" s="111"/>
      <c r="V790" s="111"/>
      <c r="W790" s="111"/>
      <c r="X790" s="111"/>
      <c r="Y790" s="111"/>
      <c r="Z790" s="111"/>
      <c r="AB790" s="111"/>
      <c r="AC790" s="111"/>
    </row>
    <row r="791" spans="1:29" x14ac:dyDescent="0.55000000000000004">
      <c r="A791"/>
      <c r="K791" s="111"/>
      <c r="O791" s="111"/>
      <c r="P791" s="111"/>
      <c r="Q791" s="111"/>
      <c r="R791" s="111"/>
      <c r="S791" s="111"/>
      <c r="T791" s="111"/>
      <c r="U791" s="111"/>
      <c r="V791" s="111"/>
      <c r="W791" s="111"/>
      <c r="X791" s="111"/>
      <c r="Y791" s="111"/>
      <c r="Z791" s="111"/>
      <c r="AB791" s="111"/>
      <c r="AC791" s="111"/>
    </row>
    <row r="792" spans="1:29" x14ac:dyDescent="0.55000000000000004">
      <c r="A792"/>
      <c r="D792" s="111"/>
      <c r="K792" s="111"/>
      <c r="O792" s="111"/>
      <c r="P792" s="111"/>
      <c r="Q792" s="111"/>
      <c r="R792" s="111"/>
      <c r="S792" s="111"/>
      <c r="T792" s="111"/>
      <c r="U792" s="111"/>
      <c r="V792" s="111"/>
      <c r="W792" s="111"/>
      <c r="X792" s="111"/>
      <c r="Y792" s="111"/>
      <c r="Z792" s="111"/>
      <c r="AB792" s="111"/>
      <c r="AC792" s="111"/>
    </row>
    <row r="793" spans="1:29" x14ac:dyDescent="0.55000000000000004">
      <c r="A793"/>
      <c r="K793" s="111"/>
      <c r="O793" s="111"/>
      <c r="P793" s="111"/>
      <c r="Q793" s="111"/>
      <c r="R793" s="111"/>
      <c r="S793" s="111"/>
      <c r="T793" s="111"/>
      <c r="U793" s="111"/>
      <c r="V793" s="111"/>
      <c r="W793" s="111"/>
      <c r="X793" s="111"/>
      <c r="Y793" s="111"/>
      <c r="Z793" s="111"/>
      <c r="AB793" s="111"/>
      <c r="AC793" s="111"/>
    </row>
    <row r="794" spans="1:29" x14ac:dyDescent="0.55000000000000004">
      <c r="A794"/>
      <c r="K794" s="111"/>
      <c r="O794" s="111"/>
      <c r="P794" s="111"/>
      <c r="Q794" s="111"/>
      <c r="R794" s="111"/>
      <c r="S794" s="111"/>
      <c r="T794" s="111"/>
      <c r="U794" s="111"/>
      <c r="V794" s="111"/>
      <c r="W794" s="111"/>
      <c r="X794" s="111"/>
      <c r="Y794" s="111"/>
      <c r="Z794" s="111"/>
      <c r="AB794" s="111"/>
      <c r="AC794" s="111"/>
    </row>
    <row r="795" spans="1:29" x14ac:dyDescent="0.55000000000000004">
      <c r="A795"/>
      <c r="K795" s="111"/>
      <c r="O795" s="111"/>
      <c r="P795" s="111"/>
      <c r="Q795" s="111"/>
      <c r="R795" s="111"/>
      <c r="S795" s="111"/>
      <c r="T795" s="111"/>
      <c r="U795" s="111"/>
      <c r="V795" s="111"/>
      <c r="W795" s="111"/>
      <c r="X795" s="111"/>
      <c r="Y795" s="111"/>
      <c r="Z795" s="111"/>
      <c r="AB795" s="111"/>
      <c r="AC795" s="111"/>
    </row>
    <row r="796" spans="1:29" x14ac:dyDescent="0.55000000000000004">
      <c r="A796"/>
      <c r="C796" s="111"/>
      <c r="D796" s="111"/>
      <c r="G796" s="111"/>
      <c r="H796" s="111"/>
      <c r="I796" s="111"/>
      <c r="K796" s="111"/>
      <c r="O796" s="111"/>
      <c r="P796" s="111"/>
      <c r="Q796" s="111"/>
      <c r="R796" s="111"/>
      <c r="S796" s="111"/>
      <c r="T796" s="111"/>
      <c r="U796" s="111"/>
      <c r="V796" s="111"/>
      <c r="W796" s="111"/>
      <c r="X796" s="111"/>
      <c r="Y796" s="111"/>
      <c r="Z796" s="111"/>
      <c r="AB796" s="111"/>
      <c r="AC796" s="111"/>
    </row>
    <row r="797" spans="1:29" x14ac:dyDescent="0.55000000000000004">
      <c r="A797"/>
      <c r="K797" s="111"/>
      <c r="O797" s="111"/>
      <c r="P797" s="111"/>
      <c r="Q797" s="111"/>
      <c r="R797" s="111"/>
      <c r="S797" s="111"/>
      <c r="T797" s="111"/>
      <c r="U797" s="111"/>
      <c r="V797" s="111"/>
      <c r="W797" s="111"/>
      <c r="X797" s="111"/>
      <c r="Y797" s="111"/>
      <c r="Z797" s="111"/>
      <c r="AB797" s="111"/>
      <c r="AC797" s="111"/>
    </row>
    <row r="798" spans="1:29" x14ac:dyDescent="0.55000000000000004">
      <c r="A798"/>
      <c r="C798" s="111"/>
      <c r="D798" s="111"/>
      <c r="K798" s="111"/>
      <c r="O798" s="111"/>
      <c r="P798" s="111"/>
      <c r="Q798" s="111"/>
      <c r="R798" s="111"/>
      <c r="S798" s="111"/>
      <c r="T798" s="111"/>
      <c r="U798" s="111"/>
      <c r="V798" s="111"/>
      <c r="W798" s="111"/>
      <c r="X798" s="111"/>
      <c r="Y798" s="111"/>
      <c r="Z798" s="111"/>
      <c r="AB798" s="111"/>
      <c r="AC798" s="111"/>
    </row>
    <row r="799" spans="1:29" x14ac:dyDescent="0.55000000000000004">
      <c r="A799"/>
      <c r="D799" s="111"/>
      <c r="K799" s="111"/>
      <c r="O799" s="111"/>
      <c r="P799" s="111"/>
      <c r="Q799" s="111"/>
      <c r="R799" s="111"/>
      <c r="S799" s="111"/>
      <c r="T799" s="111"/>
      <c r="U799" s="111"/>
      <c r="V799" s="111"/>
      <c r="W799" s="111"/>
      <c r="X799" s="111"/>
      <c r="Y799" s="111"/>
      <c r="Z799" s="111"/>
      <c r="AB799" s="111"/>
      <c r="AC799" s="111"/>
    </row>
    <row r="800" spans="1:29" x14ac:dyDescent="0.55000000000000004">
      <c r="A800"/>
      <c r="M800" s="118"/>
      <c r="N800" s="118"/>
      <c r="O800" s="111"/>
      <c r="P800" s="111"/>
      <c r="Q800" s="111"/>
      <c r="R800" s="111"/>
      <c r="S800" s="111"/>
      <c r="T800" s="111"/>
      <c r="U800" s="111"/>
      <c r="V800" s="111"/>
      <c r="W800" s="111"/>
      <c r="X800" s="111"/>
      <c r="Y800" s="111"/>
      <c r="Z800" s="111"/>
      <c r="AB800" s="111"/>
      <c r="AC800" s="111"/>
    </row>
    <row r="801" spans="1:29" x14ac:dyDescent="0.55000000000000004">
      <c r="A801"/>
      <c r="K801" s="111"/>
      <c r="O801" s="111"/>
      <c r="P801" s="111"/>
      <c r="Q801" s="111"/>
      <c r="R801" s="111"/>
      <c r="S801" s="111"/>
      <c r="T801" s="111"/>
      <c r="U801" s="111"/>
      <c r="V801" s="111"/>
      <c r="W801" s="111"/>
      <c r="X801" s="111"/>
      <c r="Y801" s="111"/>
      <c r="Z801" s="111"/>
      <c r="AB801" s="111"/>
      <c r="AC801" s="111"/>
    </row>
    <row r="802" spans="1:29" x14ac:dyDescent="0.55000000000000004">
      <c r="A802"/>
      <c r="L802" s="111"/>
      <c r="O802" s="111"/>
      <c r="P802" s="111"/>
      <c r="Q802" s="111"/>
      <c r="R802" s="111"/>
      <c r="S802" s="111"/>
      <c r="T802" s="111"/>
      <c r="U802" s="111"/>
      <c r="V802" s="111"/>
      <c r="W802" s="111"/>
      <c r="X802" s="111"/>
      <c r="Y802" s="111"/>
      <c r="Z802" s="111"/>
      <c r="AB802" s="111"/>
      <c r="AC802" s="111"/>
    </row>
    <row r="803" spans="1:29" x14ac:dyDescent="0.55000000000000004">
      <c r="A803"/>
      <c r="K803" s="111"/>
      <c r="M803" s="118"/>
      <c r="N803" s="118"/>
      <c r="O803" s="111"/>
      <c r="P803" s="111"/>
      <c r="Q803" s="111"/>
      <c r="R803" s="111"/>
      <c r="S803" s="111"/>
      <c r="T803" s="111"/>
      <c r="U803" s="111"/>
      <c r="V803" s="111"/>
      <c r="W803" s="111"/>
      <c r="X803" s="111"/>
      <c r="Y803" s="111"/>
      <c r="Z803" s="111"/>
      <c r="AB803" s="111"/>
      <c r="AC803" s="111"/>
    </row>
    <row r="804" spans="1:29" x14ac:dyDescent="0.55000000000000004">
      <c r="A804"/>
      <c r="K804" s="111"/>
      <c r="O804" s="111"/>
      <c r="P804" s="111"/>
      <c r="Q804" s="111"/>
      <c r="R804" s="111"/>
      <c r="S804" s="111"/>
      <c r="T804" s="111"/>
      <c r="U804" s="111"/>
      <c r="V804" s="111"/>
      <c r="W804" s="111"/>
      <c r="X804" s="111"/>
      <c r="Y804" s="111"/>
      <c r="Z804" s="111"/>
      <c r="AB804" s="111"/>
      <c r="AC804" s="111"/>
    </row>
    <row r="805" spans="1:29" x14ac:dyDescent="0.55000000000000004">
      <c r="A805"/>
      <c r="K805" s="111"/>
      <c r="O805" s="111"/>
      <c r="P805" s="111"/>
      <c r="Q805" s="111"/>
      <c r="R805" s="111"/>
      <c r="S805" s="111"/>
      <c r="T805" s="111"/>
      <c r="U805" s="111"/>
      <c r="V805" s="111"/>
      <c r="W805" s="111"/>
      <c r="X805" s="111"/>
      <c r="Y805" s="111"/>
      <c r="Z805" s="111"/>
      <c r="AB805" s="111"/>
      <c r="AC805" s="111"/>
    </row>
    <row r="806" spans="1:29" x14ac:dyDescent="0.55000000000000004">
      <c r="A806"/>
      <c r="K806" s="111"/>
      <c r="O806" s="111"/>
      <c r="P806" s="111"/>
      <c r="Q806" s="111"/>
      <c r="R806" s="111"/>
      <c r="S806" s="111"/>
      <c r="T806" s="111"/>
      <c r="U806" s="111"/>
      <c r="V806" s="111"/>
      <c r="W806" s="111"/>
      <c r="X806" s="111"/>
      <c r="Y806" s="111"/>
      <c r="Z806" s="111"/>
      <c r="AB806" s="111"/>
      <c r="AC806" s="111"/>
    </row>
    <row r="807" spans="1:29" x14ac:dyDescent="0.55000000000000004">
      <c r="A807"/>
      <c r="K807" s="111"/>
      <c r="O807" s="111"/>
      <c r="P807" s="111"/>
      <c r="Q807" s="111"/>
      <c r="R807" s="111"/>
      <c r="S807" s="111"/>
      <c r="T807" s="111"/>
      <c r="U807" s="111"/>
      <c r="V807" s="111"/>
      <c r="W807" s="111"/>
      <c r="X807" s="111"/>
      <c r="Y807" s="111"/>
      <c r="Z807" s="111"/>
      <c r="AB807" s="111"/>
      <c r="AC807" s="111"/>
    </row>
    <row r="808" spans="1:29" x14ac:dyDescent="0.55000000000000004">
      <c r="A808"/>
      <c r="K808" s="111"/>
      <c r="L808" s="111"/>
      <c r="M808" s="118"/>
      <c r="N808" s="118"/>
      <c r="O808" s="111"/>
      <c r="P808" s="111"/>
      <c r="Q808" s="111"/>
      <c r="R808" s="111"/>
      <c r="S808" s="111"/>
      <c r="T808" s="111"/>
      <c r="U808" s="111"/>
      <c r="V808" s="111"/>
      <c r="W808" s="111"/>
      <c r="X808" s="111"/>
      <c r="Y808" s="111"/>
      <c r="Z808" s="111"/>
      <c r="AB808" s="111"/>
      <c r="AC808" s="111"/>
    </row>
    <row r="809" spans="1:29" x14ac:dyDescent="0.55000000000000004">
      <c r="A809"/>
      <c r="K809" s="111"/>
      <c r="O809" s="111"/>
      <c r="P809" s="111"/>
      <c r="Q809" s="111"/>
      <c r="R809" s="111"/>
      <c r="S809" s="111"/>
      <c r="T809" s="111"/>
      <c r="U809" s="111"/>
      <c r="V809" s="111"/>
      <c r="W809" s="111"/>
      <c r="X809" s="111"/>
      <c r="Y809" s="111"/>
      <c r="Z809" s="111"/>
      <c r="AB809" s="111"/>
      <c r="AC809" s="111"/>
    </row>
    <row r="810" spans="1:29" x14ac:dyDescent="0.55000000000000004">
      <c r="A810"/>
      <c r="K810" s="111"/>
      <c r="O810" s="111"/>
      <c r="P810" s="111"/>
      <c r="Q810" s="111"/>
      <c r="R810" s="111"/>
      <c r="S810" s="111"/>
      <c r="T810" s="111"/>
      <c r="U810" s="111"/>
      <c r="V810" s="111"/>
      <c r="W810" s="111"/>
      <c r="X810" s="111"/>
      <c r="Y810" s="111"/>
      <c r="Z810" s="111"/>
      <c r="AB810" s="111"/>
      <c r="AC810" s="111"/>
    </row>
    <row r="811" spans="1:29" x14ac:dyDescent="0.55000000000000004">
      <c r="A811"/>
      <c r="K811" s="111"/>
      <c r="O811" s="111"/>
      <c r="P811" s="111"/>
      <c r="Q811" s="111"/>
      <c r="R811" s="111"/>
      <c r="S811" s="111"/>
      <c r="T811" s="111"/>
      <c r="U811" s="111"/>
      <c r="V811" s="111"/>
      <c r="W811" s="111"/>
      <c r="X811" s="111"/>
      <c r="Y811" s="111"/>
      <c r="Z811" s="111"/>
      <c r="AB811" s="111"/>
      <c r="AC811" s="111"/>
    </row>
    <row r="812" spans="1:29" x14ac:dyDescent="0.55000000000000004">
      <c r="A812"/>
      <c r="K812" s="111"/>
      <c r="O812" s="111"/>
      <c r="P812" s="111"/>
      <c r="Q812" s="111"/>
      <c r="R812" s="111"/>
      <c r="S812" s="111"/>
      <c r="T812" s="111"/>
      <c r="U812" s="111"/>
      <c r="V812" s="111"/>
      <c r="W812" s="111"/>
      <c r="X812" s="111"/>
      <c r="Y812" s="111"/>
      <c r="Z812" s="111"/>
      <c r="AB812" s="111"/>
      <c r="AC812" s="111"/>
    </row>
    <row r="813" spans="1:29" x14ac:dyDescent="0.55000000000000004">
      <c r="A813"/>
      <c r="K813" s="111"/>
      <c r="M813" s="118"/>
      <c r="N813" s="118"/>
      <c r="O813" s="111"/>
      <c r="P813" s="111"/>
      <c r="Q813" s="111"/>
      <c r="R813" s="111"/>
      <c r="S813" s="111"/>
      <c r="T813" s="111"/>
      <c r="U813" s="111"/>
      <c r="V813" s="111"/>
      <c r="W813" s="111"/>
      <c r="X813" s="111"/>
      <c r="Y813" s="111"/>
      <c r="Z813" s="111"/>
      <c r="AB813" s="111"/>
      <c r="AC813" s="111"/>
    </row>
    <row r="814" spans="1:29" x14ac:dyDescent="0.55000000000000004">
      <c r="A814"/>
      <c r="K814" s="111"/>
      <c r="O814" s="111"/>
      <c r="P814" s="111"/>
      <c r="Q814" s="111"/>
      <c r="R814" s="111"/>
      <c r="S814" s="111"/>
      <c r="T814" s="111"/>
      <c r="U814" s="111"/>
      <c r="V814" s="111"/>
      <c r="W814" s="111"/>
      <c r="X814" s="111"/>
      <c r="Y814" s="111"/>
      <c r="Z814" s="111"/>
      <c r="AB814" s="111"/>
      <c r="AC814" s="111"/>
    </row>
    <row r="815" spans="1:29" x14ac:dyDescent="0.55000000000000004">
      <c r="A815"/>
      <c r="K815" s="111"/>
      <c r="M815" s="118"/>
      <c r="N815" s="118"/>
      <c r="O815" s="111"/>
      <c r="P815" s="111"/>
      <c r="Q815" s="111"/>
      <c r="R815" s="111"/>
      <c r="S815" s="111"/>
      <c r="T815" s="111"/>
      <c r="U815" s="111"/>
      <c r="V815" s="111"/>
      <c r="W815" s="111"/>
      <c r="X815" s="111"/>
      <c r="Y815" s="111"/>
      <c r="Z815" s="111"/>
      <c r="AB815" s="111"/>
      <c r="AC815" s="111"/>
    </row>
    <row r="816" spans="1:29" x14ac:dyDescent="0.55000000000000004">
      <c r="A816"/>
      <c r="K816" s="111"/>
      <c r="O816" s="111"/>
      <c r="P816" s="111"/>
      <c r="Q816" s="111"/>
      <c r="R816" s="111"/>
      <c r="S816" s="111"/>
      <c r="T816" s="111"/>
      <c r="U816" s="111"/>
      <c r="V816" s="111"/>
      <c r="W816" s="111"/>
      <c r="X816" s="111"/>
      <c r="Y816" s="111"/>
      <c r="Z816" s="111"/>
      <c r="AB816" s="111"/>
      <c r="AC816" s="111"/>
    </row>
    <row r="817" spans="1:29" x14ac:dyDescent="0.55000000000000004">
      <c r="A817"/>
      <c r="D817" s="111"/>
      <c r="K817" s="111"/>
      <c r="O817" s="111"/>
      <c r="P817" s="111"/>
      <c r="Q817" s="111"/>
      <c r="R817" s="111"/>
      <c r="S817" s="111"/>
      <c r="T817" s="111"/>
      <c r="U817" s="111"/>
      <c r="V817" s="111"/>
      <c r="W817" s="111"/>
      <c r="X817" s="111"/>
      <c r="Y817" s="111"/>
      <c r="Z817" s="111"/>
      <c r="AB817" s="111"/>
      <c r="AC817" s="111"/>
    </row>
    <row r="818" spans="1:29" x14ac:dyDescent="0.55000000000000004">
      <c r="A818"/>
      <c r="K818" s="111"/>
      <c r="M818" s="118"/>
      <c r="N818" s="118"/>
      <c r="O818" s="111"/>
      <c r="P818" s="111"/>
      <c r="Q818" s="111"/>
      <c r="R818" s="111"/>
      <c r="S818" s="111"/>
      <c r="T818" s="111"/>
      <c r="U818" s="111"/>
      <c r="V818" s="111"/>
      <c r="W818" s="111"/>
      <c r="X818" s="111"/>
      <c r="Y818" s="111"/>
      <c r="Z818" s="111"/>
      <c r="AB818" s="111"/>
      <c r="AC818" s="111"/>
    </row>
    <row r="819" spans="1:29" x14ac:dyDescent="0.55000000000000004">
      <c r="A819"/>
      <c r="C819" s="111"/>
      <c r="D819" s="111"/>
      <c r="K819" s="111"/>
      <c r="M819" s="118"/>
      <c r="N819" s="118"/>
      <c r="O819" s="111"/>
      <c r="P819" s="111"/>
      <c r="Q819" s="111"/>
      <c r="R819" s="111"/>
      <c r="S819" s="111"/>
      <c r="T819" s="111"/>
      <c r="U819" s="111"/>
      <c r="V819" s="111"/>
      <c r="W819" s="111"/>
      <c r="X819" s="111"/>
      <c r="Y819" s="111"/>
      <c r="Z819" s="111"/>
      <c r="AB819" s="111"/>
      <c r="AC819" s="111"/>
    </row>
    <row r="820" spans="1:29" x14ac:dyDescent="0.55000000000000004">
      <c r="A820"/>
      <c r="D820" s="111"/>
      <c r="K820" s="111"/>
      <c r="M820" s="118"/>
      <c r="N820" s="118"/>
      <c r="O820" s="111"/>
      <c r="P820" s="111"/>
      <c r="Q820" s="111"/>
      <c r="R820" s="111"/>
      <c r="S820" s="111"/>
      <c r="T820" s="111"/>
      <c r="U820" s="111"/>
      <c r="V820" s="111"/>
      <c r="W820" s="111"/>
      <c r="X820" s="111"/>
      <c r="Y820" s="111"/>
      <c r="Z820" s="111"/>
      <c r="AB820" s="111"/>
      <c r="AC820" s="111"/>
    </row>
    <row r="821" spans="1:29" x14ac:dyDescent="0.55000000000000004">
      <c r="A821"/>
      <c r="L821" s="111"/>
      <c r="O821" s="111"/>
      <c r="P821" s="111"/>
      <c r="Q821" s="111"/>
      <c r="R821" s="111"/>
      <c r="S821" s="111"/>
      <c r="T821" s="111"/>
      <c r="U821" s="111"/>
      <c r="V821" s="111"/>
      <c r="W821" s="111"/>
      <c r="X821" s="111"/>
      <c r="Y821" s="111"/>
      <c r="Z821" s="111"/>
      <c r="AB821" s="111"/>
      <c r="AC821" s="111"/>
    </row>
    <row r="822" spans="1:29" x14ac:dyDescent="0.55000000000000004">
      <c r="A822"/>
      <c r="C822" s="111"/>
      <c r="D822" s="111"/>
      <c r="K822" s="111"/>
      <c r="O822" s="111"/>
      <c r="P822" s="111"/>
      <c r="Q822" s="111"/>
      <c r="R822" s="111"/>
      <c r="S822" s="111"/>
      <c r="T822" s="111"/>
      <c r="U822" s="111"/>
      <c r="V822" s="111"/>
      <c r="W822" s="111"/>
      <c r="X822" s="111"/>
      <c r="Y822" s="111"/>
      <c r="Z822" s="111"/>
      <c r="AB822" s="111"/>
      <c r="AC822" s="111"/>
    </row>
    <row r="823" spans="1:29" x14ac:dyDescent="0.55000000000000004">
      <c r="A823"/>
      <c r="K823" s="111"/>
      <c r="M823" s="118"/>
      <c r="N823" s="118"/>
      <c r="O823" s="111"/>
      <c r="P823" s="111"/>
      <c r="Q823" s="111"/>
      <c r="R823" s="111"/>
      <c r="S823" s="111"/>
      <c r="T823" s="111"/>
      <c r="U823" s="111"/>
      <c r="V823" s="111"/>
      <c r="W823" s="111"/>
      <c r="X823" s="111"/>
      <c r="Y823" s="111"/>
      <c r="Z823" s="111"/>
      <c r="AB823" s="111"/>
      <c r="AC823" s="111"/>
    </row>
    <row r="824" spans="1:29" x14ac:dyDescent="0.55000000000000004">
      <c r="A824"/>
      <c r="K824" s="111"/>
      <c r="L824" s="111"/>
      <c r="M824" s="118"/>
      <c r="N824" s="118"/>
      <c r="O824" s="111"/>
      <c r="P824" s="111"/>
      <c r="Q824" s="111"/>
      <c r="R824" s="111"/>
      <c r="S824" s="111"/>
      <c r="T824" s="111"/>
      <c r="U824" s="111"/>
      <c r="V824" s="111"/>
      <c r="W824" s="111"/>
      <c r="X824" s="111"/>
      <c r="Y824" s="111"/>
      <c r="Z824" s="111"/>
      <c r="AB824" s="111"/>
      <c r="AC824" s="111"/>
    </row>
    <row r="825" spans="1:29" x14ac:dyDescent="0.55000000000000004">
      <c r="A825"/>
      <c r="O825" s="111"/>
      <c r="P825" s="111"/>
      <c r="Q825" s="111"/>
      <c r="R825" s="111"/>
      <c r="S825" s="111"/>
      <c r="T825" s="111"/>
      <c r="U825" s="111"/>
      <c r="V825" s="111"/>
      <c r="W825" s="111"/>
      <c r="X825" s="111"/>
      <c r="Y825" s="111"/>
      <c r="Z825" s="111"/>
      <c r="AB825" s="111"/>
      <c r="AC825" s="111"/>
    </row>
    <row r="826" spans="1:29" x14ac:dyDescent="0.55000000000000004">
      <c r="A826"/>
      <c r="K826" s="111"/>
      <c r="O826" s="111"/>
      <c r="P826" s="111"/>
      <c r="Q826" s="111"/>
      <c r="R826" s="111"/>
      <c r="S826" s="111"/>
      <c r="T826" s="111"/>
      <c r="U826" s="111"/>
      <c r="V826" s="111"/>
      <c r="W826" s="111"/>
      <c r="X826" s="111"/>
      <c r="Y826" s="111"/>
      <c r="Z826" s="111"/>
      <c r="AB826" s="111"/>
      <c r="AC826" s="111"/>
    </row>
    <row r="827" spans="1:29" x14ac:dyDescent="0.55000000000000004">
      <c r="A827"/>
      <c r="K827" s="111"/>
      <c r="O827" s="111"/>
      <c r="P827" s="111"/>
      <c r="Q827" s="111"/>
      <c r="R827" s="111"/>
      <c r="S827" s="111"/>
      <c r="T827" s="111"/>
      <c r="U827" s="111"/>
      <c r="V827" s="111"/>
      <c r="W827" s="111"/>
      <c r="X827" s="111"/>
      <c r="Y827" s="111"/>
      <c r="Z827" s="111"/>
      <c r="AB827" s="111"/>
      <c r="AC827" s="111"/>
    </row>
    <row r="828" spans="1:29" x14ac:dyDescent="0.55000000000000004">
      <c r="A828"/>
      <c r="K828" s="111"/>
      <c r="O828" s="111"/>
      <c r="P828" s="111"/>
      <c r="Q828" s="111"/>
      <c r="R828" s="111"/>
      <c r="S828" s="111"/>
      <c r="T828" s="111"/>
      <c r="U828" s="111"/>
      <c r="V828" s="111"/>
      <c r="W828" s="111"/>
      <c r="X828" s="111"/>
      <c r="Y828" s="111"/>
      <c r="Z828" s="111"/>
      <c r="AB828" s="111"/>
      <c r="AC828" s="111"/>
    </row>
    <row r="829" spans="1:29" x14ac:dyDescent="0.55000000000000004">
      <c r="A829"/>
      <c r="D829" s="111"/>
      <c r="K829" s="111"/>
      <c r="L829" s="111"/>
      <c r="O829" s="111"/>
      <c r="P829" s="111"/>
      <c r="Q829" s="111"/>
      <c r="R829" s="111"/>
      <c r="S829" s="111"/>
      <c r="T829" s="111"/>
      <c r="U829" s="111"/>
      <c r="V829" s="111"/>
      <c r="W829" s="111"/>
      <c r="X829" s="111"/>
      <c r="Y829" s="111"/>
      <c r="Z829" s="111"/>
      <c r="AB829" s="111"/>
      <c r="AC829" s="111"/>
    </row>
    <row r="830" spans="1:29" x14ac:dyDescent="0.55000000000000004">
      <c r="A830"/>
      <c r="C830" s="111"/>
      <c r="D830" s="111"/>
      <c r="G830" s="111"/>
      <c r="H830" s="111"/>
      <c r="I830" s="111"/>
      <c r="K830" s="111"/>
      <c r="M830" s="118"/>
      <c r="N830" s="118"/>
      <c r="O830" s="111"/>
      <c r="P830" s="111"/>
      <c r="Q830" s="111"/>
      <c r="R830" s="111"/>
      <c r="S830" s="111"/>
      <c r="T830" s="111"/>
      <c r="U830" s="111"/>
      <c r="V830" s="111"/>
      <c r="W830" s="111"/>
      <c r="X830" s="111"/>
      <c r="Y830" s="111"/>
      <c r="Z830" s="111"/>
      <c r="AB830" s="111"/>
      <c r="AC830" s="111"/>
    </row>
    <row r="831" spans="1:29" x14ac:dyDescent="0.55000000000000004">
      <c r="A831"/>
      <c r="D831" s="111"/>
      <c r="K831" s="111"/>
      <c r="M831" s="118"/>
      <c r="N831" s="118"/>
      <c r="O831" s="111"/>
      <c r="P831" s="111"/>
      <c r="Q831" s="111"/>
      <c r="R831" s="111"/>
      <c r="S831" s="111"/>
      <c r="T831" s="111"/>
      <c r="U831" s="111"/>
      <c r="V831" s="111"/>
      <c r="W831" s="111"/>
      <c r="X831" s="111"/>
      <c r="Y831" s="111"/>
      <c r="Z831" s="111"/>
      <c r="AB831" s="111"/>
      <c r="AC831" s="111"/>
    </row>
    <row r="832" spans="1:29" x14ac:dyDescent="0.55000000000000004">
      <c r="A832"/>
      <c r="K832" s="111"/>
      <c r="O832" s="111"/>
      <c r="P832" s="111"/>
      <c r="Q832" s="111"/>
      <c r="R832" s="111"/>
      <c r="S832" s="111"/>
      <c r="T832" s="111"/>
      <c r="U832" s="111"/>
      <c r="V832" s="111"/>
      <c r="W832" s="111"/>
      <c r="X832" s="111"/>
      <c r="Y832" s="111"/>
      <c r="Z832" s="111"/>
      <c r="AB832" s="111"/>
      <c r="AC832" s="111"/>
    </row>
    <row r="833" spans="1:29" x14ac:dyDescent="0.55000000000000004">
      <c r="A833"/>
      <c r="K833" s="111"/>
      <c r="M833" s="118"/>
      <c r="N833" s="118"/>
      <c r="O833" s="111"/>
      <c r="P833" s="111"/>
      <c r="Q833" s="111"/>
      <c r="R833" s="111"/>
      <c r="S833" s="111"/>
      <c r="T833" s="111"/>
      <c r="U833" s="111"/>
      <c r="V833" s="111"/>
      <c r="W833" s="111"/>
      <c r="X833" s="111"/>
      <c r="Y833" s="111"/>
      <c r="Z833" s="111"/>
      <c r="AB833" s="111"/>
      <c r="AC833" s="111"/>
    </row>
    <row r="834" spans="1:29" x14ac:dyDescent="0.55000000000000004">
      <c r="A834"/>
      <c r="K834" s="111"/>
      <c r="L834" s="111"/>
      <c r="O834" s="111"/>
      <c r="P834" s="111"/>
      <c r="Q834" s="111"/>
      <c r="R834" s="111"/>
      <c r="S834" s="111"/>
      <c r="T834" s="111"/>
      <c r="U834" s="111"/>
      <c r="V834" s="111"/>
      <c r="W834" s="111"/>
      <c r="X834" s="111"/>
      <c r="Y834" s="111"/>
      <c r="Z834" s="111"/>
      <c r="AB834" s="111"/>
      <c r="AC834" s="111"/>
    </row>
    <row r="835" spans="1:29" x14ac:dyDescent="0.55000000000000004">
      <c r="A835"/>
      <c r="C835" s="111"/>
      <c r="D835" s="111"/>
      <c r="K835" s="111"/>
      <c r="O835" s="111"/>
      <c r="P835" s="111"/>
      <c r="Q835" s="111"/>
      <c r="R835" s="111"/>
      <c r="S835" s="111"/>
      <c r="T835" s="111"/>
      <c r="U835" s="111"/>
      <c r="V835" s="111"/>
      <c r="W835" s="111"/>
      <c r="X835" s="111"/>
      <c r="Y835" s="111"/>
      <c r="Z835" s="111"/>
      <c r="AB835" s="111"/>
      <c r="AC835" s="111"/>
    </row>
    <row r="836" spans="1:29" x14ac:dyDescent="0.55000000000000004">
      <c r="A836"/>
      <c r="L836" s="111"/>
      <c r="M836" s="118"/>
      <c r="N836" s="118"/>
      <c r="O836" s="111"/>
      <c r="P836" s="111"/>
      <c r="Q836" s="111"/>
      <c r="R836" s="111"/>
      <c r="S836" s="111"/>
      <c r="T836" s="111"/>
      <c r="U836" s="111"/>
      <c r="V836" s="111"/>
      <c r="W836" s="111"/>
      <c r="X836" s="111"/>
      <c r="Y836" s="111"/>
      <c r="Z836" s="111"/>
      <c r="AB836" s="111"/>
      <c r="AC836" s="111"/>
    </row>
    <row r="837" spans="1:29" x14ac:dyDescent="0.55000000000000004">
      <c r="A837"/>
      <c r="D837" s="111"/>
      <c r="K837" s="111"/>
      <c r="O837" s="111"/>
      <c r="P837" s="111"/>
      <c r="Q837" s="111"/>
      <c r="R837" s="111"/>
      <c r="S837" s="111"/>
      <c r="T837" s="111"/>
      <c r="U837" s="111"/>
      <c r="V837" s="111"/>
      <c r="W837" s="111"/>
      <c r="X837" s="111"/>
      <c r="Y837" s="111"/>
      <c r="Z837" s="111"/>
      <c r="AB837" s="111"/>
      <c r="AC837" s="111"/>
    </row>
    <row r="838" spans="1:29" x14ac:dyDescent="0.55000000000000004">
      <c r="A838"/>
      <c r="D838" s="111"/>
      <c r="K838" s="111"/>
      <c r="M838" s="118"/>
      <c r="N838" s="118"/>
      <c r="O838" s="111"/>
      <c r="P838" s="111"/>
      <c r="Q838" s="111"/>
      <c r="R838" s="111"/>
      <c r="S838" s="111"/>
      <c r="T838" s="111"/>
      <c r="U838" s="111"/>
      <c r="V838" s="111"/>
      <c r="W838" s="111"/>
      <c r="X838" s="111"/>
      <c r="Y838" s="111"/>
      <c r="Z838" s="111"/>
      <c r="AB838" s="111"/>
      <c r="AC838" s="111"/>
    </row>
    <row r="839" spans="1:29" x14ac:dyDescent="0.55000000000000004">
      <c r="A839"/>
      <c r="C839" s="111"/>
      <c r="D839" s="111"/>
      <c r="L839" s="111"/>
      <c r="M839" s="118"/>
      <c r="N839" s="118"/>
      <c r="O839" s="111"/>
      <c r="P839" s="111"/>
      <c r="Q839" s="111"/>
      <c r="R839" s="111"/>
      <c r="S839" s="111"/>
      <c r="T839" s="111"/>
      <c r="U839" s="111"/>
      <c r="V839" s="111"/>
      <c r="W839" s="111"/>
      <c r="X839" s="111"/>
      <c r="Y839" s="111"/>
      <c r="Z839" s="111"/>
      <c r="AB839" s="111"/>
      <c r="AC839" s="111"/>
    </row>
    <row r="840" spans="1:29" x14ac:dyDescent="0.55000000000000004">
      <c r="A840"/>
      <c r="D840" s="111"/>
      <c r="K840" s="111"/>
      <c r="L840" s="111"/>
      <c r="O840" s="111"/>
      <c r="P840" s="111"/>
      <c r="Q840" s="111"/>
      <c r="R840" s="111"/>
      <c r="S840" s="111"/>
      <c r="T840" s="111"/>
      <c r="U840" s="111"/>
      <c r="V840" s="111"/>
      <c r="W840" s="111"/>
      <c r="X840" s="111"/>
      <c r="Y840" s="111"/>
      <c r="Z840" s="111"/>
      <c r="AB840" s="111"/>
      <c r="AC840" s="111"/>
    </row>
    <row r="841" spans="1:29" x14ac:dyDescent="0.55000000000000004">
      <c r="A841"/>
      <c r="K841" s="111"/>
      <c r="L841" s="111"/>
      <c r="M841" s="118"/>
      <c r="N841" s="118"/>
      <c r="O841" s="111"/>
      <c r="P841" s="111"/>
      <c r="Q841" s="111"/>
      <c r="R841" s="111"/>
      <c r="S841" s="111"/>
      <c r="T841" s="111"/>
      <c r="U841" s="111"/>
      <c r="V841" s="111"/>
      <c r="W841" s="111"/>
      <c r="X841" s="111"/>
      <c r="Y841" s="111"/>
      <c r="Z841" s="111"/>
      <c r="AB841" s="111"/>
      <c r="AC841" s="111"/>
    </row>
    <row r="842" spans="1:29" x14ac:dyDescent="0.55000000000000004">
      <c r="A842"/>
      <c r="D842" s="111"/>
      <c r="K842" s="111"/>
      <c r="O842" s="111"/>
      <c r="P842" s="111"/>
      <c r="Q842" s="111"/>
      <c r="R842" s="111"/>
      <c r="S842" s="111"/>
      <c r="T842" s="111"/>
      <c r="U842" s="111"/>
      <c r="V842" s="111"/>
      <c r="W842" s="111"/>
      <c r="X842" s="111"/>
      <c r="Y842" s="111"/>
      <c r="Z842" s="111"/>
      <c r="AB842" s="111"/>
      <c r="AC842" s="111"/>
    </row>
    <row r="843" spans="1:29" x14ac:dyDescent="0.55000000000000004">
      <c r="A843"/>
      <c r="K843" s="111"/>
      <c r="O843" s="111"/>
      <c r="P843" s="111"/>
      <c r="Q843" s="111"/>
      <c r="R843" s="111"/>
      <c r="S843" s="111"/>
      <c r="T843" s="111"/>
      <c r="U843" s="111"/>
      <c r="V843" s="111"/>
      <c r="W843" s="111"/>
      <c r="X843" s="111"/>
      <c r="Y843" s="111"/>
      <c r="Z843" s="111"/>
      <c r="AB843" s="111"/>
      <c r="AC843" s="111"/>
    </row>
    <row r="844" spans="1:29" s="113" customFormat="1" x14ac:dyDescent="0.55000000000000004">
      <c r="A844"/>
      <c r="B844" s="110"/>
      <c r="C844"/>
      <c r="D844"/>
      <c r="E844"/>
      <c r="F844"/>
      <c r="G844"/>
      <c r="H844"/>
      <c r="I844"/>
      <c r="J844"/>
      <c r="K844" s="111"/>
      <c r="L844" s="111"/>
      <c r="M844" s="6"/>
      <c r="N844" s="6"/>
      <c r="O844" s="111"/>
      <c r="P844" s="111"/>
      <c r="Q844" s="111"/>
      <c r="R844" s="111"/>
      <c r="S844" s="111"/>
      <c r="T844" s="111"/>
      <c r="U844" s="111"/>
      <c r="V844" s="111"/>
      <c r="W844" s="111"/>
      <c r="X844" s="111"/>
      <c r="Y844" s="111"/>
      <c r="Z844" s="111"/>
      <c r="AA844"/>
      <c r="AB844" s="111"/>
      <c r="AC844" s="111"/>
    </row>
    <row r="845" spans="1:29" s="113" customFormat="1" x14ac:dyDescent="0.55000000000000004">
      <c r="A845"/>
      <c r="B845" s="110"/>
      <c r="C845"/>
      <c r="D845"/>
      <c r="E845"/>
      <c r="F845"/>
      <c r="G845"/>
      <c r="H845"/>
      <c r="I845"/>
      <c r="J845"/>
      <c r="K845" s="111"/>
      <c r="L845" s="111"/>
      <c r="M845" s="118"/>
      <c r="N845" s="118"/>
      <c r="O845" s="111"/>
      <c r="P845" s="111"/>
      <c r="Q845" s="111"/>
      <c r="R845" s="111"/>
      <c r="S845" s="111"/>
      <c r="T845" s="111"/>
      <c r="U845" s="111"/>
      <c r="V845" s="111"/>
      <c r="W845" s="111"/>
      <c r="X845" s="111"/>
      <c r="Y845" s="111"/>
      <c r="Z845" s="111"/>
      <c r="AA845"/>
      <c r="AB845" s="111"/>
      <c r="AC845" s="111"/>
    </row>
    <row r="846" spans="1:29" s="113" customFormat="1" x14ac:dyDescent="0.55000000000000004">
      <c r="A846"/>
      <c r="B846" s="110"/>
      <c r="C846"/>
      <c r="D846"/>
      <c r="E846"/>
      <c r="F846"/>
      <c r="G846"/>
      <c r="H846"/>
      <c r="I846"/>
      <c r="J846"/>
      <c r="K846" s="111"/>
      <c r="L846"/>
      <c r="M846" s="118"/>
      <c r="N846" s="118"/>
      <c r="O846" s="111"/>
      <c r="P846" s="111"/>
      <c r="Q846" s="111"/>
      <c r="R846" s="111"/>
      <c r="S846" s="111"/>
      <c r="T846" s="111"/>
      <c r="U846" s="111"/>
      <c r="V846" s="111"/>
      <c r="W846" s="111"/>
      <c r="X846" s="111"/>
      <c r="Y846" s="111"/>
      <c r="Z846" s="111"/>
      <c r="AA846"/>
      <c r="AB846" s="111"/>
      <c r="AC846" s="111"/>
    </row>
    <row r="847" spans="1:29" s="113" customFormat="1" x14ac:dyDescent="0.55000000000000004">
      <c r="A847"/>
      <c r="B847" s="110"/>
      <c r="C847" s="111"/>
      <c r="D847" s="111"/>
      <c r="E847"/>
      <c r="F847"/>
      <c r="G847"/>
      <c r="H847" s="111"/>
      <c r="I847" s="111"/>
      <c r="J847"/>
      <c r="K847" s="111"/>
      <c r="L847"/>
      <c r="M847" s="6"/>
      <c r="N847" s="6"/>
      <c r="O847" s="111"/>
      <c r="P847" s="111"/>
      <c r="Q847" s="111"/>
      <c r="R847" s="111"/>
      <c r="S847" s="111"/>
      <c r="T847" s="111"/>
      <c r="U847" s="111"/>
      <c r="V847" s="111"/>
      <c r="W847" s="111"/>
      <c r="X847" s="111"/>
      <c r="Y847" s="111"/>
      <c r="Z847" s="111"/>
      <c r="AA847"/>
      <c r="AB847" s="111"/>
      <c r="AC847" s="111"/>
    </row>
    <row r="848" spans="1:29" s="113" customFormat="1" x14ac:dyDescent="0.55000000000000004">
      <c r="A848"/>
      <c r="B848" s="110"/>
      <c r="C848" s="111"/>
      <c r="D848" s="111"/>
      <c r="E848"/>
      <c r="F848"/>
      <c r="G848" s="111"/>
      <c r="H848" s="111"/>
      <c r="I848" s="111"/>
      <c r="J848"/>
      <c r="K848" s="111"/>
      <c r="L848"/>
      <c r="M848" s="118"/>
      <c r="N848" s="118"/>
      <c r="O848" s="111"/>
      <c r="P848" s="111"/>
      <c r="Q848" s="111"/>
      <c r="R848" s="111"/>
      <c r="S848" s="111"/>
      <c r="T848" s="111"/>
      <c r="U848" s="111"/>
      <c r="V848" s="111"/>
      <c r="W848" s="111"/>
      <c r="X848" s="111"/>
      <c r="Y848" s="111"/>
      <c r="Z848" s="111"/>
      <c r="AA848"/>
      <c r="AB848" s="111"/>
      <c r="AC848" s="111"/>
    </row>
    <row r="849" spans="1:29" s="113" customFormat="1" x14ac:dyDescent="0.55000000000000004">
      <c r="A849"/>
      <c r="B849" s="112"/>
      <c r="C849" s="111"/>
      <c r="D849" s="111"/>
      <c r="E849" s="111"/>
      <c r="F849" s="111"/>
      <c r="G849" s="111"/>
      <c r="H849" s="111"/>
      <c r="I849" s="111"/>
      <c r="J849"/>
      <c r="K849" s="111"/>
      <c r="L849"/>
      <c r="M849" s="118"/>
      <c r="N849" s="118"/>
      <c r="O849" s="111"/>
      <c r="P849" s="111"/>
      <c r="Q849" s="111"/>
      <c r="R849" s="111"/>
      <c r="S849" s="111"/>
      <c r="T849" s="111"/>
      <c r="U849" s="111"/>
      <c r="V849" s="111"/>
      <c r="W849" s="111"/>
      <c r="X849" s="111"/>
      <c r="Y849" s="111"/>
      <c r="Z849" s="111"/>
      <c r="AA849"/>
      <c r="AB849" s="111"/>
      <c r="AC849" s="111"/>
    </row>
    <row r="850" spans="1:29" s="113" customFormat="1" x14ac:dyDescent="0.55000000000000004">
      <c r="A850"/>
      <c r="B850" s="110"/>
      <c r="C850" s="111"/>
      <c r="D850" s="111"/>
      <c r="E850"/>
      <c r="F850" s="111"/>
      <c r="G850" s="111"/>
      <c r="H850" s="111"/>
      <c r="I850" s="111"/>
      <c r="J850"/>
      <c r="K850" s="111"/>
      <c r="L850"/>
      <c r="M850" s="6"/>
      <c r="N850" s="6"/>
      <c r="O850" s="111"/>
      <c r="P850" s="111"/>
      <c r="Q850" s="111"/>
      <c r="R850" s="111"/>
      <c r="S850" s="111"/>
      <c r="T850" s="111"/>
      <c r="U850" s="111"/>
      <c r="V850" s="111"/>
      <c r="W850" s="111"/>
      <c r="X850" s="111"/>
      <c r="Y850" s="111"/>
      <c r="Z850" s="111"/>
      <c r="AA850"/>
      <c r="AB850" s="111"/>
      <c r="AC850" s="111"/>
    </row>
    <row r="851" spans="1:29" s="113" customFormat="1" x14ac:dyDescent="0.55000000000000004">
      <c r="A851"/>
      <c r="B851" s="110"/>
      <c r="C851"/>
      <c r="D851" s="111"/>
      <c r="E851"/>
      <c r="F851"/>
      <c r="G851"/>
      <c r="H851"/>
      <c r="I851"/>
      <c r="J851"/>
      <c r="K851"/>
      <c r="L851" s="111"/>
      <c r="M851" s="6"/>
      <c r="N851" s="6"/>
      <c r="O851" s="111"/>
      <c r="P851" s="111"/>
      <c r="Q851" s="111"/>
      <c r="R851" s="111"/>
      <c r="S851" s="111"/>
      <c r="T851" s="111"/>
      <c r="U851" s="111"/>
      <c r="V851" s="111"/>
      <c r="W851" s="111"/>
      <c r="X851" s="111"/>
      <c r="Y851" s="111"/>
      <c r="Z851" s="111"/>
      <c r="AA851"/>
      <c r="AB851" s="111"/>
      <c r="AC851" s="111"/>
    </row>
    <row r="852" spans="1:29" s="113" customFormat="1" x14ac:dyDescent="0.55000000000000004">
      <c r="A852"/>
      <c r="B852" s="110"/>
      <c r="C852" s="111"/>
      <c r="D852" s="111"/>
      <c r="E852"/>
      <c r="F852"/>
      <c r="G852"/>
      <c r="H852"/>
      <c r="I852"/>
      <c r="J852"/>
      <c r="K852" s="111"/>
      <c r="L852" s="111"/>
      <c r="M852" s="118"/>
      <c r="N852" s="118"/>
      <c r="O852" s="111"/>
      <c r="P852" s="111"/>
      <c r="Q852" s="111"/>
      <c r="R852" s="111"/>
      <c r="S852" s="111"/>
      <c r="T852" s="111"/>
      <c r="U852" s="111"/>
      <c r="V852" s="111"/>
      <c r="W852" s="111"/>
      <c r="X852" s="111"/>
      <c r="Y852" s="111"/>
      <c r="Z852" s="111"/>
      <c r="AA852"/>
      <c r="AB852" s="111"/>
      <c r="AC852" s="111"/>
    </row>
    <row r="853" spans="1:29" s="113" customFormat="1" x14ac:dyDescent="0.55000000000000004">
      <c r="A853"/>
      <c r="B853" s="110"/>
      <c r="C853"/>
      <c r="D853"/>
      <c r="E853"/>
      <c r="F853"/>
      <c r="G853"/>
      <c r="H853"/>
      <c r="I853"/>
      <c r="J853"/>
      <c r="K853" s="111"/>
      <c r="L853"/>
      <c r="M853" s="118"/>
      <c r="N853" s="118"/>
      <c r="O853" s="111"/>
      <c r="P853" s="111"/>
      <c r="Q853" s="111"/>
      <c r="R853" s="111"/>
      <c r="S853" s="111"/>
      <c r="T853" s="111"/>
      <c r="U853" s="111"/>
      <c r="V853" s="111"/>
      <c r="W853" s="111"/>
      <c r="X853" s="111"/>
      <c r="Y853" s="111"/>
      <c r="Z853" s="111"/>
      <c r="AA853"/>
      <c r="AB853" s="111"/>
      <c r="AC853" s="111"/>
    </row>
    <row r="854" spans="1:29" s="113" customFormat="1" x14ac:dyDescent="0.55000000000000004">
      <c r="A854"/>
      <c r="B854" s="110"/>
      <c r="C854"/>
      <c r="D854"/>
      <c r="E854"/>
      <c r="F854"/>
      <c r="G854"/>
      <c r="H854"/>
      <c r="I854"/>
      <c r="J854"/>
      <c r="K854"/>
      <c r="L854" s="111"/>
      <c r="M854" s="6"/>
      <c r="N854" s="6"/>
      <c r="O854" s="111"/>
      <c r="P854" s="111"/>
      <c r="Q854" s="111"/>
      <c r="R854" s="111"/>
      <c r="S854" s="111"/>
      <c r="T854" s="111"/>
      <c r="U854" s="111"/>
      <c r="V854" s="111"/>
      <c r="W854" s="111"/>
      <c r="X854" s="111"/>
      <c r="Y854" s="111"/>
      <c r="Z854" s="111"/>
      <c r="AA854"/>
      <c r="AB854" s="111"/>
      <c r="AC854" s="111"/>
    </row>
    <row r="855" spans="1:29" s="113" customFormat="1" x14ac:dyDescent="0.55000000000000004">
      <c r="A855"/>
      <c r="B855" s="110"/>
      <c r="C855"/>
      <c r="D855"/>
      <c r="E855"/>
      <c r="F855"/>
      <c r="G855"/>
      <c r="H855"/>
      <c r="I855"/>
      <c r="J855"/>
      <c r="K855"/>
      <c r="L855"/>
      <c r="M855" s="118"/>
      <c r="N855" s="118"/>
      <c r="O855" s="111"/>
      <c r="P855" s="111"/>
      <c r="Q855" s="111"/>
      <c r="R855" s="111"/>
      <c r="S855" s="111"/>
      <c r="T855" s="111"/>
      <c r="U855" s="111"/>
      <c r="V855" s="111"/>
      <c r="W855" s="111"/>
      <c r="X855" s="111"/>
      <c r="Y855" s="111"/>
      <c r="Z855" s="111"/>
      <c r="AA855"/>
      <c r="AB855" s="111"/>
      <c r="AC855" s="111"/>
    </row>
    <row r="856" spans="1:29" s="113" customFormat="1" x14ac:dyDescent="0.55000000000000004">
      <c r="A856"/>
      <c r="B856" s="110"/>
      <c r="C856" s="111"/>
      <c r="D856" s="111"/>
      <c r="E856"/>
      <c r="F856"/>
      <c r="G856"/>
      <c r="H856" s="111"/>
      <c r="I856" s="111"/>
      <c r="J856"/>
      <c r="K856" s="111"/>
      <c r="L856"/>
      <c r="M856" s="6"/>
      <c r="N856" s="6"/>
      <c r="O856" s="111"/>
      <c r="P856" s="111"/>
      <c r="Q856" s="111"/>
      <c r="R856" s="111"/>
      <c r="S856" s="111"/>
      <c r="T856" s="111"/>
      <c r="U856" s="111"/>
      <c r="V856" s="111"/>
      <c r="W856" s="111"/>
      <c r="X856" s="111"/>
      <c r="Y856" s="111"/>
      <c r="Z856" s="111"/>
      <c r="AA856"/>
      <c r="AB856" s="111"/>
      <c r="AC856" s="111"/>
    </row>
    <row r="857" spans="1:29" s="113" customFormat="1" x14ac:dyDescent="0.55000000000000004">
      <c r="A857"/>
      <c r="B857" s="110"/>
      <c r="C857"/>
      <c r="D857"/>
      <c r="E857"/>
      <c r="F857"/>
      <c r="G857"/>
      <c r="H857"/>
      <c r="I857"/>
      <c r="J857"/>
      <c r="K857" s="111"/>
      <c r="L857" s="111"/>
      <c r="M857" s="6"/>
      <c r="N857" s="6"/>
      <c r="O857" s="111"/>
      <c r="P857" s="111"/>
      <c r="Q857" s="111"/>
      <c r="R857" s="111"/>
      <c r="S857" s="111"/>
      <c r="T857" s="111"/>
      <c r="U857" s="111"/>
      <c r="V857" s="111"/>
      <c r="W857" s="111"/>
      <c r="X857" s="111"/>
      <c r="Y857" s="111"/>
      <c r="Z857" s="111"/>
      <c r="AA857"/>
      <c r="AB857" s="111"/>
      <c r="AC857" s="111"/>
    </row>
    <row r="858" spans="1:29" s="113" customFormat="1" x14ac:dyDescent="0.55000000000000004">
      <c r="A858"/>
      <c r="B858" s="110"/>
      <c r="C858"/>
      <c r="D858" s="111"/>
      <c r="E858"/>
      <c r="F858"/>
      <c r="G858"/>
      <c r="H858"/>
      <c r="I858"/>
      <c r="J858"/>
      <c r="K858" s="111"/>
      <c r="L858"/>
      <c r="M858" s="6"/>
      <c r="N858" s="6"/>
      <c r="O858" s="111"/>
      <c r="P858" s="111"/>
      <c r="Q858" s="111"/>
      <c r="R858" s="111"/>
      <c r="S858" s="111"/>
      <c r="T858" s="111"/>
      <c r="U858" s="111"/>
      <c r="V858" s="111"/>
      <c r="W858" s="111"/>
      <c r="X858" s="111"/>
      <c r="Y858" s="111"/>
      <c r="Z858" s="111"/>
      <c r="AA858"/>
      <c r="AB858" s="111"/>
      <c r="AC858" s="111"/>
    </row>
    <row r="859" spans="1:29" s="113" customFormat="1" x14ac:dyDescent="0.55000000000000004">
      <c r="A859"/>
      <c r="B859" s="110"/>
      <c r="C859"/>
      <c r="D859" s="111"/>
      <c r="E859"/>
      <c r="F859"/>
      <c r="G859"/>
      <c r="H859"/>
      <c r="I859"/>
      <c r="J859"/>
      <c r="K859"/>
      <c r="L859" s="111"/>
      <c r="M859" s="6"/>
      <c r="N859" s="6"/>
      <c r="O859" s="111"/>
      <c r="P859" s="111"/>
      <c r="Q859" s="111"/>
      <c r="R859" s="111"/>
      <c r="S859" s="111"/>
      <c r="T859" s="111"/>
      <c r="U859" s="111"/>
      <c r="V859" s="111"/>
      <c r="W859" s="111"/>
      <c r="X859" s="111"/>
      <c r="Y859" s="111"/>
      <c r="Z859" s="111"/>
      <c r="AA859"/>
      <c r="AB859" s="111"/>
      <c r="AC859" s="111"/>
    </row>
    <row r="860" spans="1:29" s="113" customFormat="1" x14ac:dyDescent="0.55000000000000004">
      <c r="A860"/>
      <c r="B860" s="110"/>
      <c r="C860"/>
      <c r="D860" s="111"/>
      <c r="E860"/>
      <c r="F860"/>
      <c r="G860"/>
      <c r="H860"/>
      <c r="I860"/>
      <c r="J860"/>
      <c r="K860"/>
      <c r="L860" s="111"/>
      <c r="M860" s="6"/>
      <c r="N860" s="6"/>
      <c r="O860" s="111"/>
      <c r="P860" s="111"/>
      <c r="Q860" s="111"/>
      <c r="R860" s="111"/>
      <c r="S860" s="111"/>
      <c r="T860" s="111"/>
      <c r="U860" s="111"/>
      <c r="V860" s="111"/>
      <c r="W860" s="111"/>
      <c r="X860" s="111"/>
      <c r="Y860" s="111"/>
      <c r="Z860" s="111"/>
      <c r="AA860"/>
      <c r="AB860" s="111"/>
      <c r="AC860" s="111"/>
    </row>
    <row r="861" spans="1:29" s="113" customFormat="1" x14ac:dyDescent="0.55000000000000004">
      <c r="A861"/>
      <c r="B861" s="110"/>
      <c r="C861"/>
      <c r="D861" s="111"/>
      <c r="E861"/>
      <c r="F861"/>
      <c r="G861"/>
      <c r="H861"/>
      <c r="I861"/>
      <c r="J861"/>
      <c r="K861" s="111"/>
      <c r="L861"/>
      <c r="M861" s="6"/>
      <c r="N861" s="6"/>
      <c r="O861" s="111"/>
      <c r="P861" s="111"/>
      <c r="Q861" s="111"/>
      <c r="R861" s="111"/>
      <c r="S861" s="111"/>
      <c r="T861" s="111"/>
      <c r="U861" s="111"/>
      <c r="V861" s="111"/>
      <c r="W861" s="111"/>
      <c r="X861" s="111"/>
      <c r="Y861" s="111"/>
      <c r="Z861" s="111"/>
      <c r="AA861"/>
      <c r="AB861" s="111"/>
      <c r="AC861" s="111"/>
    </row>
    <row r="862" spans="1:29" x14ac:dyDescent="0.55000000000000004">
      <c r="A862"/>
      <c r="D862" s="111"/>
      <c r="K862" s="111"/>
      <c r="L862" s="111"/>
    </row>
    <row r="863" spans="1:29" x14ac:dyDescent="0.55000000000000004">
      <c r="A863"/>
      <c r="C863" s="111"/>
      <c r="D863" s="111"/>
      <c r="K863" s="111"/>
    </row>
    <row r="864" spans="1:29" x14ac:dyDescent="0.55000000000000004">
      <c r="A864"/>
      <c r="C864" s="111"/>
      <c r="D864" s="111"/>
      <c r="H864" s="111"/>
      <c r="I864" s="111"/>
      <c r="K864" s="111"/>
    </row>
    <row r="865" spans="1:14" x14ac:dyDescent="0.55000000000000004">
      <c r="A865"/>
      <c r="B865" s="112"/>
      <c r="C865" s="111"/>
      <c r="D865" s="111"/>
      <c r="E865" s="111"/>
      <c r="F865" s="111"/>
      <c r="G865" s="111"/>
      <c r="H865" s="111"/>
      <c r="I865" s="111"/>
      <c r="K865" s="111"/>
    </row>
    <row r="866" spans="1:14" x14ac:dyDescent="0.55000000000000004">
      <c r="A866"/>
      <c r="L866" s="111"/>
    </row>
    <row r="867" spans="1:14" x14ac:dyDescent="0.55000000000000004">
      <c r="A867"/>
      <c r="L867" s="111"/>
    </row>
    <row r="868" spans="1:14" x14ac:dyDescent="0.55000000000000004">
      <c r="A868"/>
      <c r="D868" s="111"/>
      <c r="K868" s="111"/>
    </row>
    <row r="869" spans="1:14" x14ac:dyDescent="0.55000000000000004">
      <c r="A869"/>
      <c r="K869" s="111"/>
      <c r="L869" s="111"/>
      <c r="M869" s="118"/>
      <c r="N869" s="118"/>
    </row>
    <row r="870" spans="1:14" x14ac:dyDescent="0.55000000000000004">
      <c r="A870"/>
      <c r="D870" s="111"/>
      <c r="K870" s="111"/>
      <c r="L870" s="111"/>
    </row>
    <row r="871" spans="1:14" x14ac:dyDescent="0.55000000000000004">
      <c r="A871"/>
      <c r="K871" s="111"/>
      <c r="M871" s="118"/>
      <c r="N871" s="118"/>
    </row>
    <row r="872" spans="1:14" x14ac:dyDescent="0.55000000000000004">
      <c r="A872"/>
      <c r="K872" s="111"/>
      <c r="M872" s="118"/>
      <c r="N872" s="118"/>
    </row>
    <row r="873" spans="1:14" x14ac:dyDescent="0.55000000000000004">
      <c r="A873"/>
      <c r="K873" s="111"/>
      <c r="L873" s="111"/>
      <c r="M873" s="118"/>
      <c r="N873" s="118"/>
    </row>
    <row r="874" spans="1:14" x14ac:dyDescent="0.55000000000000004">
      <c r="A874"/>
      <c r="L874" s="111"/>
    </row>
    <row r="875" spans="1:14" x14ac:dyDescent="0.55000000000000004">
      <c r="A875"/>
      <c r="K875" s="111"/>
    </row>
    <row r="876" spans="1:14" x14ac:dyDescent="0.55000000000000004">
      <c r="A876"/>
      <c r="K876" s="111"/>
      <c r="L876" s="111"/>
    </row>
    <row r="877" spans="1:14" x14ac:dyDescent="0.55000000000000004">
      <c r="A877"/>
      <c r="K877" s="111"/>
    </row>
    <row r="878" spans="1:14" x14ac:dyDescent="0.55000000000000004">
      <c r="A878"/>
      <c r="K878" s="111"/>
      <c r="M878" s="118"/>
      <c r="N878" s="118"/>
    </row>
    <row r="879" spans="1:14" x14ac:dyDescent="0.55000000000000004">
      <c r="A879"/>
      <c r="K879" s="111"/>
    </row>
    <row r="880" spans="1:14" x14ac:dyDescent="0.55000000000000004">
      <c r="A880"/>
      <c r="K880" s="111"/>
    </row>
    <row r="881" spans="1:14" x14ac:dyDescent="0.55000000000000004">
      <c r="A881"/>
      <c r="K881" s="111"/>
    </row>
    <row r="882" spans="1:14" x14ac:dyDescent="0.55000000000000004">
      <c r="A882"/>
      <c r="D882" s="111"/>
      <c r="K882" s="111"/>
    </row>
    <row r="883" spans="1:14" x14ac:dyDescent="0.55000000000000004">
      <c r="A883"/>
      <c r="K883" s="111"/>
    </row>
    <row r="884" spans="1:14" x14ac:dyDescent="0.55000000000000004">
      <c r="A884"/>
      <c r="D884" s="111"/>
      <c r="K884" s="111"/>
    </row>
    <row r="885" spans="1:14" x14ac:dyDescent="0.55000000000000004">
      <c r="A885"/>
      <c r="D885" s="111"/>
      <c r="K885" s="111"/>
    </row>
    <row r="886" spans="1:14" x14ac:dyDescent="0.55000000000000004">
      <c r="A886"/>
      <c r="C886" s="111"/>
      <c r="D886" s="111"/>
      <c r="H886" s="111"/>
      <c r="I886" s="111"/>
      <c r="K886" s="111"/>
    </row>
    <row r="887" spans="1:14" x14ac:dyDescent="0.55000000000000004">
      <c r="A887"/>
      <c r="K887" s="111"/>
    </row>
    <row r="888" spans="1:14" x14ac:dyDescent="0.55000000000000004">
      <c r="A888"/>
      <c r="K888" s="111"/>
    </row>
    <row r="889" spans="1:14" x14ac:dyDescent="0.55000000000000004">
      <c r="A889"/>
      <c r="C889" s="111"/>
      <c r="D889" s="111"/>
      <c r="K889" s="111"/>
      <c r="M889" s="118"/>
      <c r="N889" s="118"/>
    </row>
    <row r="890" spans="1:14" x14ac:dyDescent="0.55000000000000004">
      <c r="A890"/>
      <c r="L890" s="111"/>
      <c r="M890" s="118"/>
      <c r="N890" s="118"/>
    </row>
    <row r="891" spans="1:14" x14ac:dyDescent="0.55000000000000004">
      <c r="A891"/>
      <c r="K891" s="111"/>
      <c r="M891" s="118"/>
      <c r="N891" s="118"/>
    </row>
    <row r="892" spans="1:14" x14ac:dyDescent="0.55000000000000004">
      <c r="A892"/>
      <c r="D892" s="111"/>
      <c r="L892" s="111"/>
    </row>
    <row r="893" spans="1:14" x14ac:dyDescent="0.55000000000000004">
      <c r="A893"/>
      <c r="K893" s="111"/>
      <c r="L893" s="111"/>
      <c r="M893" s="118"/>
      <c r="N893" s="118"/>
    </row>
    <row r="894" spans="1:14" x14ac:dyDescent="0.55000000000000004">
      <c r="A894"/>
      <c r="K894" s="111"/>
      <c r="L894" s="111"/>
      <c r="M894" s="118"/>
      <c r="N894" s="118"/>
    </row>
    <row r="895" spans="1:14" x14ac:dyDescent="0.55000000000000004">
      <c r="A895"/>
      <c r="K895" s="111"/>
    </row>
    <row r="896" spans="1:14" x14ac:dyDescent="0.55000000000000004">
      <c r="A896"/>
      <c r="K896" s="111"/>
    </row>
    <row r="897" spans="1:14" x14ac:dyDescent="0.55000000000000004">
      <c r="A897"/>
      <c r="K897" s="111"/>
      <c r="M897" s="118"/>
      <c r="N897" s="118"/>
    </row>
    <row r="898" spans="1:14" x14ac:dyDescent="0.55000000000000004">
      <c r="A898"/>
      <c r="K898" s="111"/>
    </row>
    <row r="899" spans="1:14" x14ac:dyDescent="0.55000000000000004">
      <c r="A899"/>
      <c r="K899" s="111"/>
      <c r="L899" s="111"/>
      <c r="M899" s="118"/>
      <c r="N899" s="118"/>
    </row>
    <row r="900" spans="1:14" x14ac:dyDescent="0.55000000000000004">
      <c r="A900"/>
      <c r="K900" s="111"/>
      <c r="M900" s="118"/>
      <c r="N900" s="118"/>
    </row>
    <row r="901" spans="1:14" x14ac:dyDescent="0.55000000000000004">
      <c r="A901"/>
      <c r="K901" s="111"/>
      <c r="M901" s="118"/>
      <c r="N901" s="118"/>
    </row>
    <row r="902" spans="1:14" x14ac:dyDescent="0.55000000000000004">
      <c r="A902"/>
      <c r="C902" s="111"/>
      <c r="D902" s="111"/>
      <c r="K902" s="111"/>
      <c r="M902" s="118"/>
      <c r="N902" s="118"/>
    </row>
    <row r="903" spans="1:14" x14ac:dyDescent="0.55000000000000004">
      <c r="A903"/>
      <c r="K903" s="111"/>
      <c r="M903" s="118"/>
      <c r="N903" s="118"/>
    </row>
    <row r="904" spans="1:14" x14ac:dyDescent="0.55000000000000004">
      <c r="A904"/>
      <c r="D904" s="111"/>
      <c r="K904" s="111"/>
      <c r="M904" s="118"/>
      <c r="N904" s="118"/>
    </row>
    <row r="905" spans="1:14" x14ac:dyDescent="0.55000000000000004">
      <c r="A905"/>
      <c r="D905" s="111"/>
      <c r="K905" s="111"/>
      <c r="M905" s="118"/>
      <c r="N905" s="118"/>
    </row>
    <row r="906" spans="1:14" x14ac:dyDescent="0.55000000000000004">
      <c r="A906"/>
      <c r="K906" s="111"/>
    </row>
    <row r="907" spans="1:14" x14ac:dyDescent="0.55000000000000004">
      <c r="A907"/>
      <c r="C907" s="111"/>
      <c r="D907" s="111"/>
      <c r="G907" s="111"/>
      <c r="H907" s="111"/>
      <c r="I907" s="111"/>
    </row>
    <row r="908" spans="1:14" x14ac:dyDescent="0.55000000000000004">
      <c r="A908"/>
      <c r="K908" s="111"/>
      <c r="M908" s="118"/>
      <c r="N908" s="118"/>
    </row>
    <row r="909" spans="1:14" x14ac:dyDescent="0.55000000000000004">
      <c r="A909"/>
      <c r="K909" s="111"/>
    </row>
    <row r="910" spans="1:14" x14ac:dyDescent="0.55000000000000004">
      <c r="A910"/>
      <c r="K910" s="111"/>
      <c r="L910" s="111"/>
    </row>
    <row r="911" spans="1:14" x14ac:dyDescent="0.55000000000000004">
      <c r="A911"/>
      <c r="L911" s="111"/>
    </row>
    <row r="912" spans="1:14" x14ac:dyDescent="0.55000000000000004">
      <c r="A912"/>
      <c r="C912" s="111"/>
      <c r="D912" s="111"/>
      <c r="H912" s="111"/>
      <c r="I912" s="111"/>
      <c r="L912" s="111"/>
    </row>
    <row r="913" spans="1:14" x14ac:dyDescent="0.55000000000000004">
      <c r="A913"/>
      <c r="C913" s="111"/>
      <c r="D913" s="111"/>
      <c r="H913" s="111"/>
      <c r="I913" s="111"/>
      <c r="K913" s="111"/>
      <c r="M913" s="118"/>
      <c r="N913" s="118"/>
    </row>
    <row r="914" spans="1:14" x14ac:dyDescent="0.55000000000000004">
      <c r="A914"/>
      <c r="D914" s="111"/>
      <c r="L914" s="111"/>
    </row>
    <row r="915" spans="1:14" x14ac:dyDescent="0.55000000000000004">
      <c r="A915"/>
      <c r="K915" s="111"/>
      <c r="L915" s="111"/>
    </row>
    <row r="916" spans="1:14" x14ac:dyDescent="0.55000000000000004">
      <c r="A916"/>
      <c r="K916" s="111"/>
    </row>
    <row r="917" spans="1:14" x14ac:dyDescent="0.55000000000000004">
      <c r="A917"/>
      <c r="K917" s="111"/>
    </row>
    <row r="918" spans="1:14" x14ac:dyDescent="0.55000000000000004">
      <c r="A918"/>
      <c r="C918" s="111"/>
      <c r="D918" s="111"/>
      <c r="L918" s="111"/>
    </row>
    <row r="919" spans="1:14" x14ac:dyDescent="0.55000000000000004">
      <c r="A919"/>
      <c r="B919" s="112"/>
      <c r="C919" s="111"/>
      <c r="D919" s="111"/>
      <c r="E919" s="111"/>
      <c r="F919" s="111"/>
      <c r="G919" s="111"/>
      <c r="H919" s="111"/>
      <c r="I919" s="111"/>
      <c r="K919" s="111"/>
    </row>
    <row r="920" spans="1:14" x14ac:dyDescent="0.55000000000000004">
      <c r="A920"/>
      <c r="L920" s="111"/>
    </row>
    <row r="921" spans="1:14" x14ac:dyDescent="0.55000000000000004">
      <c r="A921"/>
      <c r="C921" s="111"/>
      <c r="D921" s="111"/>
      <c r="H921" s="111"/>
      <c r="I921" s="111"/>
      <c r="K921" s="111"/>
      <c r="L921" s="111"/>
    </row>
    <row r="922" spans="1:14" x14ac:dyDescent="0.55000000000000004">
      <c r="A922"/>
      <c r="L922" s="111"/>
      <c r="M922" s="118"/>
      <c r="N922" s="118"/>
    </row>
    <row r="923" spans="1:14" x14ac:dyDescent="0.55000000000000004">
      <c r="A923"/>
      <c r="K923" s="111"/>
      <c r="L923" s="111"/>
    </row>
    <row r="924" spans="1:14" x14ac:dyDescent="0.55000000000000004">
      <c r="A924"/>
      <c r="K924" s="111"/>
      <c r="L924" s="111"/>
    </row>
    <row r="925" spans="1:14" x14ac:dyDescent="0.55000000000000004">
      <c r="A925"/>
      <c r="K925" s="111"/>
      <c r="L925" s="111"/>
      <c r="M925" s="118"/>
      <c r="N925" s="118"/>
    </row>
    <row r="926" spans="1:14" x14ac:dyDescent="0.55000000000000004">
      <c r="A926"/>
      <c r="L926" s="111"/>
      <c r="M926" s="118"/>
      <c r="N926" s="118"/>
    </row>
    <row r="927" spans="1:14" x14ac:dyDescent="0.55000000000000004">
      <c r="A927"/>
      <c r="K927" s="111"/>
    </row>
    <row r="928" spans="1:14" x14ac:dyDescent="0.55000000000000004">
      <c r="A928"/>
      <c r="K928" s="111"/>
    </row>
    <row r="929" spans="1:14" x14ac:dyDescent="0.55000000000000004">
      <c r="A929"/>
      <c r="K929" s="111"/>
      <c r="L929" s="111"/>
      <c r="M929" s="118"/>
      <c r="N929" s="118"/>
    </row>
    <row r="930" spans="1:14" x14ac:dyDescent="0.55000000000000004">
      <c r="A930"/>
      <c r="K930" s="111"/>
    </row>
    <row r="931" spans="1:14" x14ac:dyDescent="0.55000000000000004">
      <c r="A931"/>
      <c r="K931" s="111"/>
      <c r="M931" s="118"/>
      <c r="N931" s="118"/>
    </row>
    <row r="932" spans="1:14" x14ac:dyDescent="0.55000000000000004">
      <c r="A932"/>
      <c r="K932" s="111"/>
    </row>
    <row r="933" spans="1:14" x14ac:dyDescent="0.55000000000000004">
      <c r="A933"/>
      <c r="K933" s="111"/>
    </row>
    <row r="934" spans="1:14" x14ac:dyDescent="0.55000000000000004">
      <c r="A934"/>
      <c r="K934" s="111"/>
      <c r="L934" s="111"/>
    </row>
    <row r="935" spans="1:14" x14ac:dyDescent="0.55000000000000004">
      <c r="A935"/>
      <c r="K935" s="111"/>
    </row>
    <row r="936" spans="1:14" x14ac:dyDescent="0.55000000000000004">
      <c r="A936"/>
      <c r="K936" s="111"/>
      <c r="M936" s="118"/>
      <c r="N936" s="118"/>
    </row>
    <row r="937" spans="1:14" x14ac:dyDescent="0.55000000000000004">
      <c r="A937"/>
      <c r="D937" s="111"/>
      <c r="K937" s="111"/>
    </row>
    <row r="938" spans="1:14" x14ac:dyDescent="0.55000000000000004">
      <c r="A938"/>
      <c r="K938" s="111"/>
    </row>
    <row r="939" spans="1:14" x14ac:dyDescent="0.55000000000000004">
      <c r="A939"/>
      <c r="C939" s="111"/>
      <c r="D939" s="111"/>
      <c r="H939" s="111"/>
      <c r="I939" s="111"/>
      <c r="K939" s="111"/>
    </row>
    <row r="940" spans="1:14" x14ac:dyDescent="0.55000000000000004">
      <c r="A940"/>
      <c r="K940" s="111"/>
    </row>
    <row r="941" spans="1:14" x14ac:dyDescent="0.55000000000000004">
      <c r="A941"/>
      <c r="K941" s="111"/>
    </row>
    <row r="942" spans="1:14" x14ac:dyDescent="0.55000000000000004">
      <c r="A942"/>
      <c r="K942" s="111"/>
    </row>
    <row r="943" spans="1:14" x14ac:dyDescent="0.55000000000000004">
      <c r="A943"/>
      <c r="L943" s="111"/>
    </row>
    <row r="944" spans="1:14" x14ac:dyDescent="0.55000000000000004">
      <c r="A944"/>
      <c r="K944" s="111"/>
      <c r="M944" s="118"/>
      <c r="N944" s="118"/>
    </row>
    <row r="945" spans="1:14" x14ac:dyDescent="0.55000000000000004">
      <c r="A945"/>
      <c r="K945" s="111"/>
    </row>
    <row r="946" spans="1:14" x14ac:dyDescent="0.55000000000000004">
      <c r="A946"/>
      <c r="K946" s="111"/>
      <c r="L946" s="111"/>
    </row>
    <row r="947" spans="1:14" x14ac:dyDescent="0.55000000000000004">
      <c r="A947"/>
      <c r="K947" s="111"/>
      <c r="L947" s="111"/>
    </row>
    <row r="948" spans="1:14" x14ac:dyDescent="0.55000000000000004">
      <c r="A948"/>
      <c r="K948" s="111"/>
    </row>
    <row r="949" spans="1:14" x14ac:dyDescent="0.55000000000000004">
      <c r="A949"/>
      <c r="K949" s="111"/>
      <c r="M949" s="118"/>
      <c r="N949" s="118"/>
    </row>
    <row r="950" spans="1:14" x14ac:dyDescent="0.55000000000000004">
      <c r="A950"/>
      <c r="L950" s="111"/>
    </row>
    <row r="951" spans="1:14" x14ac:dyDescent="0.55000000000000004">
      <c r="A951"/>
      <c r="K951" s="111"/>
    </row>
    <row r="952" spans="1:14" x14ac:dyDescent="0.55000000000000004">
      <c r="A952"/>
      <c r="L952" s="111"/>
    </row>
    <row r="953" spans="1:14" x14ac:dyDescent="0.55000000000000004">
      <c r="A953"/>
      <c r="K953" s="111"/>
    </row>
    <row r="954" spans="1:14" x14ac:dyDescent="0.55000000000000004">
      <c r="A954"/>
      <c r="K954" s="111"/>
      <c r="M954" s="118"/>
      <c r="N954" s="118"/>
    </row>
    <row r="955" spans="1:14" x14ac:dyDescent="0.55000000000000004">
      <c r="A955"/>
      <c r="K955" s="111"/>
    </row>
    <row r="956" spans="1:14" x14ac:dyDescent="0.55000000000000004">
      <c r="A956"/>
      <c r="K956" s="111"/>
    </row>
    <row r="957" spans="1:14" x14ac:dyDescent="0.55000000000000004">
      <c r="A957"/>
      <c r="K957" s="111"/>
      <c r="L957" s="111"/>
    </row>
    <row r="958" spans="1:14" x14ac:dyDescent="0.55000000000000004">
      <c r="A958"/>
      <c r="D958" s="111"/>
      <c r="K958" s="111"/>
      <c r="M958" s="118"/>
      <c r="N958" s="118"/>
    </row>
    <row r="959" spans="1:14" x14ac:dyDescent="0.55000000000000004">
      <c r="A959"/>
      <c r="K959" s="111"/>
    </row>
    <row r="960" spans="1:14" x14ac:dyDescent="0.55000000000000004">
      <c r="A960"/>
      <c r="K960" s="111"/>
    </row>
    <row r="961" spans="1:14" x14ac:dyDescent="0.55000000000000004">
      <c r="A961"/>
      <c r="K961" s="111"/>
    </row>
    <row r="962" spans="1:14" x14ac:dyDescent="0.55000000000000004">
      <c r="A962"/>
      <c r="K962" s="111"/>
    </row>
    <row r="963" spans="1:14" x14ac:dyDescent="0.55000000000000004">
      <c r="A963"/>
      <c r="K963" s="111"/>
      <c r="M963" s="118"/>
      <c r="N963" s="118"/>
    </row>
    <row r="964" spans="1:14" x14ac:dyDescent="0.55000000000000004">
      <c r="A964"/>
      <c r="D964" s="111"/>
      <c r="M964" s="118"/>
      <c r="N964" s="118"/>
    </row>
    <row r="965" spans="1:14" x14ac:dyDescent="0.55000000000000004">
      <c r="A965"/>
      <c r="L965" s="111"/>
      <c r="M965" s="118"/>
      <c r="N965" s="118"/>
    </row>
    <row r="966" spans="1:14" x14ac:dyDescent="0.55000000000000004">
      <c r="A966"/>
      <c r="K966" s="111"/>
    </row>
    <row r="967" spans="1:14" x14ac:dyDescent="0.55000000000000004">
      <c r="A967"/>
      <c r="K967" s="111"/>
    </row>
    <row r="968" spans="1:14" x14ac:dyDescent="0.55000000000000004">
      <c r="A968"/>
      <c r="K968" s="111"/>
      <c r="M968" s="118"/>
      <c r="N968" s="118"/>
    </row>
    <row r="969" spans="1:14" x14ac:dyDescent="0.55000000000000004">
      <c r="A969"/>
      <c r="K969" s="111"/>
    </row>
    <row r="970" spans="1:14" x14ac:dyDescent="0.55000000000000004">
      <c r="A970"/>
      <c r="K970" s="111"/>
      <c r="L970" s="111"/>
    </row>
    <row r="971" spans="1:14" x14ac:dyDescent="0.55000000000000004">
      <c r="A971"/>
      <c r="K971" s="111"/>
    </row>
    <row r="972" spans="1:14" x14ac:dyDescent="0.55000000000000004">
      <c r="A972"/>
      <c r="K972" s="111"/>
    </row>
    <row r="973" spans="1:14" x14ac:dyDescent="0.55000000000000004">
      <c r="A973"/>
      <c r="K973" s="111"/>
    </row>
    <row r="974" spans="1:14" x14ac:dyDescent="0.55000000000000004">
      <c r="A974"/>
      <c r="C974" s="111"/>
      <c r="D974" s="111"/>
      <c r="K974" s="111"/>
    </row>
    <row r="975" spans="1:14" x14ac:dyDescent="0.55000000000000004">
      <c r="A975"/>
      <c r="K975" s="111"/>
      <c r="L975" s="111"/>
    </row>
    <row r="976" spans="1:14" x14ac:dyDescent="0.55000000000000004">
      <c r="A976"/>
      <c r="D976" s="111"/>
      <c r="K976" s="111"/>
    </row>
    <row r="977" spans="1:14" x14ac:dyDescent="0.55000000000000004">
      <c r="A977"/>
      <c r="K977" s="111"/>
    </row>
    <row r="978" spans="1:14" x14ac:dyDescent="0.55000000000000004">
      <c r="A978"/>
      <c r="D978" s="111"/>
      <c r="K978" s="111"/>
    </row>
    <row r="979" spans="1:14" x14ac:dyDescent="0.55000000000000004">
      <c r="A979"/>
      <c r="K979" s="111"/>
      <c r="L979" s="111"/>
    </row>
    <row r="980" spans="1:14" x14ac:dyDescent="0.55000000000000004">
      <c r="A980"/>
      <c r="D980" s="111"/>
      <c r="K980" s="111"/>
    </row>
    <row r="981" spans="1:14" x14ac:dyDescent="0.55000000000000004">
      <c r="A981"/>
      <c r="K981" s="111"/>
    </row>
    <row r="982" spans="1:14" x14ac:dyDescent="0.55000000000000004">
      <c r="A982"/>
      <c r="M982" s="118"/>
      <c r="N982" s="118"/>
    </row>
    <row r="983" spans="1:14" x14ac:dyDescent="0.55000000000000004">
      <c r="A983"/>
      <c r="K983" s="111"/>
    </row>
    <row r="984" spans="1:14" x14ac:dyDescent="0.55000000000000004">
      <c r="A984"/>
      <c r="D984" s="111"/>
      <c r="L984" s="111"/>
    </row>
    <row r="985" spans="1:14" x14ac:dyDescent="0.55000000000000004">
      <c r="A985"/>
      <c r="D985" s="111"/>
      <c r="L985" s="111"/>
    </row>
    <row r="986" spans="1:14" x14ac:dyDescent="0.55000000000000004">
      <c r="A986"/>
      <c r="L986" s="111"/>
    </row>
    <row r="987" spans="1:14" x14ac:dyDescent="0.55000000000000004">
      <c r="A987"/>
      <c r="K987" s="111"/>
      <c r="M987" s="118"/>
      <c r="N987" s="118"/>
    </row>
    <row r="988" spans="1:14" x14ac:dyDescent="0.55000000000000004">
      <c r="A988"/>
      <c r="K988" s="111"/>
    </row>
    <row r="989" spans="1:14" x14ac:dyDescent="0.55000000000000004">
      <c r="A989"/>
      <c r="L989" s="111"/>
    </row>
    <row r="990" spans="1:14" x14ac:dyDescent="0.55000000000000004">
      <c r="A990"/>
      <c r="K990" s="111"/>
    </row>
    <row r="991" spans="1:14" x14ac:dyDescent="0.55000000000000004">
      <c r="A991"/>
    </row>
    <row r="992" spans="1:14" x14ac:dyDescent="0.55000000000000004">
      <c r="A992"/>
      <c r="K992" s="111"/>
    </row>
    <row r="993" spans="1:14" x14ac:dyDescent="0.55000000000000004">
      <c r="A993"/>
      <c r="K993" s="111"/>
      <c r="M993" s="118"/>
      <c r="N993" s="118"/>
    </row>
    <row r="994" spans="1:14" x14ac:dyDescent="0.55000000000000004">
      <c r="A994"/>
      <c r="K994" s="111"/>
    </row>
    <row r="995" spans="1:14" x14ac:dyDescent="0.55000000000000004">
      <c r="A995"/>
      <c r="K995" s="111"/>
    </row>
    <row r="996" spans="1:14" x14ac:dyDescent="0.55000000000000004">
      <c r="A996"/>
      <c r="K996" s="111"/>
    </row>
    <row r="997" spans="1:14" x14ac:dyDescent="0.55000000000000004">
      <c r="A997"/>
      <c r="C997" s="111"/>
      <c r="D997" s="111"/>
      <c r="K997" s="111"/>
    </row>
    <row r="998" spans="1:14" x14ac:dyDescent="0.55000000000000004">
      <c r="A998"/>
      <c r="K998" s="111"/>
      <c r="M998" s="118"/>
      <c r="N998" s="118"/>
    </row>
    <row r="999" spans="1:14" x14ac:dyDescent="0.55000000000000004">
      <c r="A999"/>
      <c r="C999" s="111"/>
      <c r="D999" s="111"/>
      <c r="K999" s="111"/>
    </row>
    <row r="1000" spans="1:14" x14ac:dyDescent="0.55000000000000004">
      <c r="A1000"/>
      <c r="K1000" s="111"/>
      <c r="M1000" s="118"/>
      <c r="N1000" s="118"/>
    </row>
    <row r="1001" spans="1:14" x14ac:dyDescent="0.55000000000000004">
      <c r="A1001"/>
    </row>
    <row r="1002" spans="1:14" x14ac:dyDescent="0.55000000000000004">
      <c r="A1002"/>
      <c r="K1002" s="111"/>
      <c r="M1002" s="118"/>
      <c r="N1002" s="118"/>
    </row>
    <row r="1003" spans="1:14" x14ac:dyDescent="0.55000000000000004">
      <c r="A1003"/>
      <c r="L1003" s="111"/>
    </row>
    <row r="1004" spans="1:14" x14ac:dyDescent="0.55000000000000004">
      <c r="A1004"/>
      <c r="K1004" s="111"/>
      <c r="M1004" s="118"/>
      <c r="N1004" s="118"/>
    </row>
    <row r="1005" spans="1:14" x14ac:dyDescent="0.55000000000000004">
      <c r="A1005"/>
      <c r="K1005" s="111"/>
      <c r="M1005" s="118"/>
      <c r="N1005" s="118"/>
    </row>
    <row r="1006" spans="1:14" x14ac:dyDescent="0.55000000000000004">
      <c r="A1006"/>
      <c r="K1006" s="111"/>
    </row>
    <row r="1007" spans="1:14" x14ac:dyDescent="0.55000000000000004">
      <c r="A1007"/>
      <c r="K1007" s="111"/>
    </row>
    <row r="1008" spans="1:14" x14ac:dyDescent="0.55000000000000004">
      <c r="A1008"/>
      <c r="K1008" s="111"/>
      <c r="L1008" s="111"/>
    </row>
    <row r="1009" spans="1:14" x14ac:dyDescent="0.55000000000000004">
      <c r="A1009"/>
      <c r="K1009" s="111"/>
    </row>
    <row r="1010" spans="1:14" x14ac:dyDescent="0.55000000000000004">
      <c r="A1010"/>
      <c r="D1010" s="111"/>
      <c r="K1010" s="111"/>
    </row>
    <row r="1011" spans="1:14" x14ac:dyDescent="0.55000000000000004">
      <c r="A1011"/>
      <c r="K1011" s="111"/>
    </row>
    <row r="1012" spans="1:14" x14ac:dyDescent="0.55000000000000004">
      <c r="A1012"/>
      <c r="C1012" s="111"/>
      <c r="D1012" s="111"/>
      <c r="H1012" s="111"/>
      <c r="I1012" s="111"/>
      <c r="K1012" s="111"/>
    </row>
    <row r="1013" spans="1:14" x14ac:dyDescent="0.55000000000000004">
      <c r="A1013"/>
      <c r="C1013" s="111"/>
      <c r="D1013" s="111"/>
      <c r="K1013" s="111"/>
    </row>
    <row r="1014" spans="1:14" x14ac:dyDescent="0.55000000000000004">
      <c r="A1014"/>
      <c r="K1014" s="111"/>
      <c r="L1014" s="111"/>
    </row>
    <row r="1015" spans="1:14" x14ac:dyDescent="0.55000000000000004">
      <c r="A1015"/>
      <c r="K1015" s="111"/>
      <c r="M1015" s="118"/>
      <c r="N1015" s="118"/>
    </row>
    <row r="1016" spans="1:14" x14ac:dyDescent="0.55000000000000004">
      <c r="A1016"/>
      <c r="K1016" s="111"/>
    </row>
    <row r="1017" spans="1:14" x14ac:dyDescent="0.55000000000000004">
      <c r="A1017"/>
      <c r="K1017" s="111"/>
      <c r="M1017" s="118"/>
      <c r="N1017" s="118"/>
    </row>
    <row r="1018" spans="1:14" x14ac:dyDescent="0.55000000000000004">
      <c r="A1018"/>
      <c r="K1018" s="111"/>
    </row>
    <row r="1019" spans="1:14" x14ac:dyDescent="0.55000000000000004">
      <c r="A1019"/>
      <c r="L1019" s="111"/>
    </row>
    <row r="1020" spans="1:14" x14ac:dyDescent="0.55000000000000004">
      <c r="A1020"/>
      <c r="K1020" s="111"/>
    </row>
    <row r="1021" spans="1:14" x14ac:dyDescent="0.55000000000000004">
      <c r="A1021"/>
      <c r="L1021" s="111"/>
      <c r="M1021" s="118"/>
      <c r="N1021" s="118"/>
    </row>
    <row r="1022" spans="1:14" x14ac:dyDescent="0.55000000000000004">
      <c r="A1022"/>
      <c r="K1022" s="111"/>
      <c r="M1022" s="118"/>
      <c r="N1022" s="118"/>
    </row>
    <row r="1023" spans="1:14" x14ac:dyDescent="0.55000000000000004">
      <c r="A1023"/>
      <c r="K1023" s="111"/>
      <c r="L1023" s="111"/>
    </row>
    <row r="1024" spans="1:14" x14ac:dyDescent="0.55000000000000004">
      <c r="A1024"/>
      <c r="K1024" s="111"/>
      <c r="M1024" s="118"/>
      <c r="N1024" s="118"/>
    </row>
    <row r="1025" spans="1:14" x14ac:dyDescent="0.55000000000000004">
      <c r="A1025"/>
      <c r="K1025" s="111"/>
      <c r="L1025" s="111"/>
      <c r="M1025" s="118"/>
      <c r="N1025" s="118"/>
    </row>
    <row r="1026" spans="1:14" x14ac:dyDescent="0.55000000000000004">
      <c r="A1026"/>
      <c r="K1026" s="111"/>
      <c r="L1026" s="111"/>
      <c r="M1026" s="118"/>
      <c r="N1026" s="118"/>
    </row>
    <row r="1027" spans="1:14" x14ac:dyDescent="0.55000000000000004">
      <c r="A1027"/>
      <c r="K1027" s="111"/>
    </row>
    <row r="1028" spans="1:14" x14ac:dyDescent="0.55000000000000004">
      <c r="A1028"/>
      <c r="K1028" s="111"/>
    </row>
    <row r="1029" spans="1:14" x14ac:dyDescent="0.55000000000000004">
      <c r="A1029"/>
      <c r="D1029" s="111"/>
      <c r="K1029" s="111"/>
    </row>
    <row r="1030" spans="1:14" x14ac:dyDescent="0.55000000000000004">
      <c r="A1030"/>
      <c r="D1030" s="111"/>
      <c r="K1030" s="111"/>
      <c r="M1030" s="118"/>
      <c r="N1030" s="118"/>
    </row>
    <row r="1031" spans="1:14" x14ac:dyDescent="0.55000000000000004">
      <c r="A1031"/>
      <c r="K1031" s="111"/>
      <c r="M1031" s="118"/>
      <c r="N1031" s="118"/>
    </row>
    <row r="1032" spans="1:14" x14ac:dyDescent="0.55000000000000004">
      <c r="A1032"/>
      <c r="C1032" s="111"/>
      <c r="D1032" s="111"/>
      <c r="K1032" s="111"/>
    </row>
    <row r="1033" spans="1:14" x14ac:dyDescent="0.55000000000000004">
      <c r="A1033"/>
      <c r="K1033" s="111"/>
      <c r="M1033" s="118"/>
      <c r="N1033" s="118"/>
    </row>
    <row r="1034" spans="1:14" x14ac:dyDescent="0.55000000000000004">
      <c r="A1034"/>
      <c r="C1034" s="111"/>
      <c r="D1034" s="111"/>
      <c r="H1034" s="111"/>
      <c r="I1034" s="111"/>
      <c r="K1034" s="111"/>
      <c r="M1034" s="118"/>
      <c r="N1034" s="118"/>
    </row>
    <row r="1035" spans="1:14" x14ac:dyDescent="0.55000000000000004">
      <c r="A1035"/>
      <c r="K1035" s="111"/>
      <c r="M1035" s="118"/>
      <c r="N1035" s="118"/>
    </row>
    <row r="1036" spans="1:14" x14ac:dyDescent="0.55000000000000004">
      <c r="A1036"/>
      <c r="L1036" s="111"/>
    </row>
    <row r="1037" spans="1:14" x14ac:dyDescent="0.55000000000000004">
      <c r="A1037"/>
      <c r="D1037" s="111"/>
      <c r="K1037" s="111"/>
    </row>
    <row r="1038" spans="1:14" x14ac:dyDescent="0.55000000000000004">
      <c r="A1038"/>
      <c r="L1038" s="111"/>
    </row>
    <row r="1039" spans="1:14" x14ac:dyDescent="0.55000000000000004">
      <c r="A1039"/>
      <c r="K1039" s="111"/>
      <c r="M1039" s="118"/>
      <c r="N1039" s="118"/>
    </row>
    <row r="1040" spans="1:14" x14ac:dyDescent="0.55000000000000004">
      <c r="A1040"/>
      <c r="K1040" s="111"/>
      <c r="M1040" s="118"/>
      <c r="N1040" s="118"/>
    </row>
    <row r="1041" spans="1:14" x14ac:dyDescent="0.55000000000000004">
      <c r="A1041"/>
      <c r="K1041" s="111"/>
    </row>
    <row r="1042" spans="1:14" x14ac:dyDescent="0.55000000000000004">
      <c r="A1042"/>
      <c r="L1042" s="111"/>
      <c r="M1042" s="118"/>
      <c r="N1042" s="118"/>
    </row>
    <row r="1043" spans="1:14" x14ac:dyDescent="0.55000000000000004">
      <c r="A1043"/>
      <c r="K1043" s="111"/>
      <c r="L1043" s="111"/>
      <c r="M1043" s="118"/>
      <c r="N1043" s="118"/>
    </row>
    <row r="1044" spans="1:14" x14ac:dyDescent="0.55000000000000004">
      <c r="A1044"/>
      <c r="K1044" s="111"/>
      <c r="M1044" s="118"/>
      <c r="N1044" s="118"/>
    </row>
    <row r="1045" spans="1:14" x14ac:dyDescent="0.55000000000000004">
      <c r="A1045"/>
      <c r="L1045" s="111"/>
    </row>
    <row r="1046" spans="1:14" x14ac:dyDescent="0.55000000000000004">
      <c r="A1046"/>
      <c r="L1046" s="111"/>
    </row>
    <row r="1047" spans="1:14" x14ac:dyDescent="0.55000000000000004">
      <c r="A1047"/>
      <c r="L1047" s="111"/>
    </row>
    <row r="1048" spans="1:14" x14ac:dyDescent="0.55000000000000004">
      <c r="A1048"/>
      <c r="K1048" s="111"/>
      <c r="M1048" s="118"/>
      <c r="N1048" s="118"/>
    </row>
    <row r="1049" spans="1:14" x14ac:dyDescent="0.55000000000000004">
      <c r="A1049"/>
      <c r="K1049" s="111"/>
      <c r="M1049" s="118"/>
      <c r="N1049" s="118"/>
    </row>
    <row r="1050" spans="1:14" x14ac:dyDescent="0.55000000000000004">
      <c r="A1050"/>
      <c r="K1050" s="111"/>
    </row>
    <row r="1051" spans="1:14" x14ac:dyDescent="0.55000000000000004">
      <c r="A1051"/>
      <c r="L1051" s="111"/>
      <c r="M1051" s="118"/>
      <c r="N1051" s="118"/>
    </row>
    <row r="1052" spans="1:14" x14ac:dyDescent="0.55000000000000004">
      <c r="A1052"/>
      <c r="K1052" s="111"/>
      <c r="L1052" s="111"/>
      <c r="M1052" s="118"/>
      <c r="N1052" s="118"/>
    </row>
    <row r="1053" spans="1:14" x14ac:dyDescent="0.55000000000000004">
      <c r="A1053"/>
      <c r="K1053" s="111"/>
      <c r="M1053" s="118"/>
      <c r="N1053" s="118"/>
    </row>
    <row r="1054" spans="1:14" x14ac:dyDescent="0.55000000000000004">
      <c r="A1054"/>
      <c r="L1054" s="111"/>
    </row>
    <row r="1055" spans="1:14" x14ac:dyDescent="0.55000000000000004">
      <c r="A1055"/>
      <c r="L1055" s="111"/>
    </row>
    <row r="1056" spans="1:14" x14ac:dyDescent="0.55000000000000004">
      <c r="A1056"/>
      <c r="L1056" s="111"/>
    </row>
    <row r="1057" spans="1:14" x14ac:dyDescent="0.55000000000000004">
      <c r="A1057"/>
      <c r="K1057" s="111"/>
      <c r="M1057" s="118"/>
      <c r="N1057" s="118"/>
    </row>
    <row r="1058" spans="1:14" x14ac:dyDescent="0.55000000000000004">
      <c r="A1058"/>
      <c r="K1058" s="111"/>
      <c r="M1058" s="118"/>
      <c r="N1058" s="118"/>
    </row>
    <row r="1059" spans="1:14" x14ac:dyDescent="0.55000000000000004">
      <c r="A1059"/>
      <c r="K1059" s="111"/>
    </row>
    <row r="1060" spans="1:14" x14ac:dyDescent="0.55000000000000004">
      <c r="A1060"/>
      <c r="L1060" s="111"/>
      <c r="M1060" s="118"/>
      <c r="N1060" s="118"/>
    </row>
    <row r="1061" spans="1:14" x14ac:dyDescent="0.55000000000000004">
      <c r="A1061"/>
      <c r="K1061" s="111"/>
      <c r="L1061" s="111"/>
      <c r="M1061" s="118"/>
      <c r="N1061" s="118"/>
    </row>
    <row r="1062" spans="1:14" x14ac:dyDescent="0.55000000000000004">
      <c r="A1062"/>
      <c r="K1062" s="111"/>
      <c r="M1062" s="118"/>
      <c r="N1062" s="118"/>
    </row>
    <row r="1063" spans="1:14" x14ac:dyDescent="0.55000000000000004">
      <c r="A1063"/>
      <c r="L1063" s="111"/>
    </row>
    <row r="1064" spans="1:14" x14ac:dyDescent="0.55000000000000004">
      <c r="A1064"/>
      <c r="L1064" s="111"/>
    </row>
    <row r="1065" spans="1:14" x14ac:dyDescent="0.55000000000000004">
      <c r="A1065"/>
      <c r="L1065" s="111"/>
    </row>
    <row r="1066" spans="1:14" x14ac:dyDescent="0.55000000000000004">
      <c r="A1066"/>
      <c r="K1066" s="111"/>
      <c r="M1066" s="118"/>
      <c r="N1066" s="118"/>
    </row>
    <row r="1067" spans="1:14" x14ac:dyDescent="0.55000000000000004">
      <c r="A1067"/>
      <c r="K1067" s="111"/>
      <c r="M1067" s="118"/>
      <c r="N1067" s="118"/>
    </row>
    <row r="1068" spans="1:14" x14ac:dyDescent="0.55000000000000004">
      <c r="A1068"/>
      <c r="K1068" s="111"/>
    </row>
    <row r="1069" spans="1:14" x14ac:dyDescent="0.55000000000000004">
      <c r="A1069"/>
      <c r="L1069" s="111"/>
      <c r="M1069" s="118"/>
      <c r="N1069" s="118"/>
    </row>
    <row r="1070" spans="1:14" x14ac:dyDescent="0.55000000000000004">
      <c r="A1070"/>
      <c r="K1070" s="111"/>
      <c r="L1070" s="111"/>
      <c r="M1070" s="118"/>
      <c r="N1070" s="118"/>
    </row>
    <row r="1071" spans="1:14" x14ac:dyDescent="0.55000000000000004">
      <c r="A1071"/>
      <c r="K1071" s="111"/>
      <c r="M1071" s="118"/>
      <c r="N1071" s="118"/>
    </row>
    <row r="1072" spans="1:14" x14ac:dyDescent="0.55000000000000004">
      <c r="A1072"/>
      <c r="L1072" s="111"/>
    </row>
    <row r="1073" spans="1:14" x14ac:dyDescent="0.55000000000000004">
      <c r="A1073"/>
      <c r="L1073" s="111"/>
    </row>
    <row r="1074" spans="1:14" x14ac:dyDescent="0.55000000000000004">
      <c r="A1074"/>
      <c r="L1074" s="111"/>
    </row>
    <row r="1075" spans="1:14" x14ac:dyDescent="0.55000000000000004">
      <c r="A1075"/>
      <c r="K1075" s="111"/>
      <c r="M1075" s="118"/>
      <c r="N1075" s="118"/>
    </row>
    <row r="1076" spans="1:14" x14ac:dyDescent="0.55000000000000004">
      <c r="A1076"/>
      <c r="K1076" s="111"/>
      <c r="M1076" s="118"/>
      <c r="N1076" s="118"/>
    </row>
    <row r="1077" spans="1:14" x14ac:dyDescent="0.55000000000000004">
      <c r="A1077"/>
      <c r="K1077" s="111"/>
    </row>
    <row r="1078" spans="1:14" x14ac:dyDescent="0.55000000000000004">
      <c r="A1078"/>
      <c r="L1078" s="111"/>
      <c r="M1078" s="118"/>
      <c r="N1078" s="118"/>
    </row>
    <row r="1079" spans="1:14" x14ac:dyDescent="0.55000000000000004">
      <c r="A1079"/>
      <c r="D1079" s="111"/>
      <c r="K1079" s="111"/>
      <c r="L1079" s="111"/>
      <c r="M1079" s="118"/>
      <c r="N1079" s="118"/>
    </row>
    <row r="1080" spans="1:14" x14ac:dyDescent="0.55000000000000004">
      <c r="A1080"/>
      <c r="K1080" s="111"/>
      <c r="M1080" s="118"/>
      <c r="N1080" s="118"/>
    </row>
    <row r="1081" spans="1:14" x14ac:dyDescent="0.55000000000000004">
      <c r="A1081"/>
      <c r="L1081" s="111"/>
    </row>
    <row r="1082" spans="1:14" x14ac:dyDescent="0.55000000000000004">
      <c r="A1082"/>
      <c r="L1082" s="111"/>
    </row>
    <row r="1083" spans="1:14" x14ac:dyDescent="0.55000000000000004">
      <c r="A1083"/>
      <c r="L1083" s="111"/>
    </row>
    <row r="1084" spans="1:14" x14ac:dyDescent="0.55000000000000004">
      <c r="A1084"/>
      <c r="K1084" s="111"/>
      <c r="M1084" s="118"/>
      <c r="N1084" s="118"/>
    </row>
    <row r="1085" spans="1:14" x14ac:dyDescent="0.55000000000000004">
      <c r="A1085"/>
      <c r="K1085" s="111"/>
      <c r="M1085" s="118"/>
      <c r="N1085" s="118"/>
    </row>
    <row r="1086" spans="1:14" x14ac:dyDescent="0.55000000000000004">
      <c r="A1086"/>
      <c r="K1086" s="111"/>
    </row>
    <row r="1087" spans="1:14" x14ac:dyDescent="0.55000000000000004">
      <c r="A1087"/>
      <c r="L1087" s="111"/>
      <c r="M1087" s="118"/>
      <c r="N1087" s="118"/>
    </row>
    <row r="1088" spans="1:14" x14ac:dyDescent="0.55000000000000004">
      <c r="A1088"/>
      <c r="K1088" s="111"/>
      <c r="L1088" s="111"/>
      <c r="M1088" s="118"/>
      <c r="N1088" s="118"/>
    </row>
    <row r="1089" spans="1:29" x14ac:dyDescent="0.55000000000000004">
      <c r="A1089"/>
      <c r="K1089" s="111"/>
      <c r="O1089" s="111"/>
      <c r="P1089" s="111"/>
      <c r="Q1089" s="111"/>
      <c r="R1089" s="111"/>
      <c r="S1089" s="111"/>
      <c r="T1089" s="111"/>
      <c r="U1089" s="111"/>
      <c r="V1089" s="111"/>
      <c r="W1089" s="111"/>
      <c r="X1089" s="111"/>
      <c r="Y1089" s="111"/>
      <c r="AB1089" s="111"/>
      <c r="AC1089" s="111"/>
    </row>
    <row r="1090" spans="1:29" x14ac:dyDescent="0.55000000000000004">
      <c r="A1090"/>
      <c r="L1090" s="111"/>
      <c r="O1090" s="111"/>
      <c r="P1090" s="111"/>
      <c r="Q1090" s="111"/>
      <c r="R1090" s="111"/>
      <c r="S1090" s="111"/>
      <c r="T1090" s="111"/>
      <c r="U1090" s="111"/>
      <c r="V1090" s="111"/>
      <c r="W1090" s="111"/>
      <c r="X1090" s="111"/>
      <c r="Y1090" s="111"/>
      <c r="AB1090" s="111"/>
      <c r="AC1090" s="111"/>
    </row>
    <row r="1091" spans="1:29" x14ac:dyDescent="0.55000000000000004">
      <c r="A1091"/>
      <c r="L1091" s="111"/>
      <c r="M1091" s="118"/>
      <c r="N1091" s="118"/>
      <c r="O1091" s="111"/>
      <c r="P1091" s="111"/>
      <c r="Q1091" s="111"/>
      <c r="R1091" s="111"/>
      <c r="S1091" s="111"/>
      <c r="T1091" s="111"/>
      <c r="U1091" s="111"/>
      <c r="V1091" s="111"/>
      <c r="W1091" s="111"/>
      <c r="X1091" s="111"/>
      <c r="Y1091" s="111"/>
      <c r="AB1091" s="111"/>
      <c r="AC1091" s="111"/>
    </row>
    <row r="1092" spans="1:29" x14ac:dyDescent="0.55000000000000004">
      <c r="A1092"/>
      <c r="L1092" s="111"/>
      <c r="O1092" s="111"/>
      <c r="P1092" s="111"/>
      <c r="Q1092" s="111"/>
      <c r="R1092" s="111"/>
      <c r="S1092" s="111"/>
      <c r="T1092" s="111"/>
      <c r="U1092" s="111"/>
      <c r="V1092" s="111"/>
      <c r="W1092" s="111"/>
      <c r="X1092" s="111"/>
      <c r="Y1092" s="111"/>
      <c r="AB1092" s="111"/>
      <c r="AC1092" s="111"/>
    </row>
    <row r="1093" spans="1:29" x14ac:dyDescent="0.55000000000000004">
      <c r="A1093"/>
      <c r="K1093" s="111"/>
      <c r="M1093" s="118"/>
      <c r="N1093" s="118"/>
      <c r="O1093" s="111"/>
      <c r="P1093" s="111"/>
      <c r="Q1093" s="111"/>
      <c r="R1093" s="111"/>
      <c r="S1093" s="111"/>
      <c r="T1093" s="111"/>
      <c r="U1093" s="111"/>
      <c r="V1093" s="111"/>
      <c r="W1093" s="111"/>
      <c r="X1093" s="111"/>
      <c r="Y1093" s="111"/>
      <c r="AB1093" s="111"/>
      <c r="AC1093" s="111"/>
    </row>
    <row r="1094" spans="1:29" x14ac:dyDescent="0.55000000000000004">
      <c r="A1094"/>
      <c r="K1094" s="111"/>
      <c r="O1094" s="111"/>
      <c r="P1094" s="111"/>
      <c r="Q1094" s="111"/>
      <c r="R1094" s="111"/>
      <c r="S1094" s="111"/>
      <c r="T1094" s="111"/>
      <c r="U1094" s="111"/>
      <c r="V1094" s="111"/>
      <c r="W1094" s="111"/>
      <c r="X1094" s="111"/>
      <c r="Y1094" s="111"/>
      <c r="AB1094" s="111"/>
      <c r="AC1094" s="111"/>
    </row>
    <row r="1095" spans="1:29" x14ac:dyDescent="0.55000000000000004">
      <c r="A1095"/>
      <c r="K1095" s="111"/>
      <c r="O1095" s="111"/>
      <c r="P1095" s="111"/>
      <c r="Q1095" s="111"/>
      <c r="R1095" s="111"/>
      <c r="S1095" s="111"/>
      <c r="T1095" s="111"/>
      <c r="U1095" s="111"/>
      <c r="V1095" s="111"/>
      <c r="W1095" s="111"/>
      <c r="X1095" s="111"/>
      <c r="Y1095" s="111"/>
      <c r="AB1095" s="111"/>
      <c r="AC1095" s="111"/>
    </row>
    <row r="1096" spans="1:29" x14ac:dyDescent="0.55000000000000004">
      <c r="A1096"/>
      <c r="L1096" s="111"/>
      <c r="M1096" s="118"/>
      <c r="N1096" s="118"/>
      <c r="O1096" s="111"/>
      <c r="P1096" s="111"/>
      <c r="Q1096" s="111"/>
      <c r="R1096" s="111"/>
      <c r="S1096" s="111"/>
      <c r="T1096" s="111"/>
      <c r="U1096" s="111"/>
      <c r="V1096" s="111"/>
      <c r="W1096" s="111"/>
      <c r="X1096" s="111"/>
      <c r="Y1096" s="111"/>
      <c r="AB1096" s="111"/>
      <c r="AC1096" s="111"/>
    </row>
    <row r="1097" spans="1:29" x14ac:dyDescent="0.55000000000000004">
      <c r="A1097"/>
      <c r="K1097" s="111"/>
      <c r="L1097" s="111"/>
      <c r="M1097" s="118"/>
      <c r="N1097" s="118"/>
      <c r="O1097" s="111"/>
      <c r="P1097" s="111"/>
      <c r="Q1097" s="111"/>
      <c r="R1097" s="111"/>
      <c r="S1097" s="111"/>
      <c r="T1097" s="111"/>
      <c r="U1097" s="111"/>
      <c r="V1097" s="111"/>
      <c r="W1097" s="111"/>
      <c r="X1097" s="111"/>
      <c r="Y1097" s="111"/>
      <c r="AB1097" s="111"/>
      <c r="AC1097" s="111"/>
    </row>
    <row r="1098" spans="1:29" x14ac:dyDescent="0.55000000000000004">
      <c r="A1098"/>
      <c r="K1098" s="111"/>
      <c r="M1098" s="118"/>
      <c r="N1098" s="118"/>
      <c r="O1098" s="111"/>
      <c r="P1098" s="111"/>
      <c r="Q1098" s="111"/>
      <c r="R1098" s="111"/>
      <c r="S1098" s="111"/>
      <c r="T1098" s="111"/>
      <c r="U1098" s="111"/>
      <c r="V1098" s="111"/>
      <c r="W1098" s="111"/>
      <c r="X1098" s="111"/>
      <c r="Y1098" s="111"/>
      <c r="AB1098" s="111"/>
      <c r="AC1098" s="111"/>
    </row>
    <row r="1099" spans="1:29" x14ac:dyDescent="0.55000000000000004">
      <c r="A1099"/>
      <c r="L1099" s="111"/>
      <c r="O1099" s="111"/>
      <c r="P1099" s="111"/>
      <c r="Q1099" s="111"/>
      <c r="R1099" s="111"/>
      <c r="S1099" s="111"/>
      <c r="T1099" s="111"/>
      <c r="U1099" s="111"/>
      <c r="V1099" s="111"/>
      <c r="W1099" s="111"/>
      <c r="X1099" s="111"/>
      <c r="Y1099" s="111"/>
      <c r="AB1099" s="111"/>
      <c r="AC1099" s="111"/>
    </row>
    <row r="1100" spans="1:29" x14ac:dyDescent="0.55000000000000004">
      <c r="A1100"/>
      <c r="L1100" s="111"/>
      <c r="O1100" s="111"/>
      <c r="P1100" s="111"/>
      <c r="Q1100" s="111"/>
      <c r="R1100" s="111"/>
      <c r="S1100" s="111"/>
      <c r="T1100" s="111"/>
      <c r="U1100" s="111"/>
      <c r="V1100" s="111"/>
      <c r="W1100" s="111"/>
      <c r="X1100" s="111"/>
      <c r="Y1100" s="111"/>
      <c r="AB1100" s="111"/>
      <c r="AC1100" s="111"/>
    </row>
    <row r="1101" spans="1:29" x14ac:dyDescent="0.55000000000000004">
      <c r="A1101"/>
      <c r="L1101" s="111"/>
      <c r="M1101" s="118"/>
      <c r="N1101" s="118"/>
      <c r="O1101" s="111"/>
      <c r="P1101" s="111"/>
      <c r="Q1101" s="111"/>
      <c r="R1101" s="111"/>
      <c r="S1101" s="111"/>
      <c r="T1101" s="111"/>
      <c r="U1101" s="111"/>
      <c r="V1101" s="111"/>
      <c r="W1101" s="111"/>
      <c r="X1101" s="111"/>
      <c r="Y1101" s="111"/>
      <c r="AB1101" s="111"/>
      <c r="AC1101" s="111"/>
    </row>
    <row r="1102" spans="1:29" x14ac:dyDescent="0.55000000000000004">
      <c r="A1102"/>
      <c r="K1102" s="111"/>
      <c r="M1102" s="118"/>
      <c r="N1102" s="118"/>
      <c r="O1102" s="111"/>
      <c r="P1102" s="111"/>
      <c r="Q1102" s="111"/>
      <c r="R1102" s="111"/>
      <c r="S1102" s="111"/>
      <c r="T1102" s="111"/>
      <c r="U1102" s="111"/>
      <c r="V1102" s="111"/>
      <c r="W1102" s="111"/>
      <c r="X1102" s="111"/>
      <c r="Y1102" s="111"/>
      <c r="AB1102" s="111"/>
      <c r="AC1102" s="111"/>
    </row>
    <row r="1103" spans="1:29" x14ac:dyDescent="0.55000000000000004">
      <c r="A1103"/>
      <c r="K1103" s="111"/>
      <c r="O1103" s="111"/>
      <c r="P1103" s="111"/>
      <c r="Q1103" s="111"/>
      <c r="R1103" s="111"/>
      <c r="S1103" s="111"/>
      <c r="T1103" s="111"/>
      <c r="U1103" s="111"/>
      <c r="V1103" s="111"/>
      <c r="W1103" s="111"/>
      <c r="X1103" s="111"/>
      <c r="Y1103" s="111"/>
      <c r="AB1103" s="111"/>
      <c r="AC1103" s="111"/>
    </row>
    <row r="1104" spans="1:29" x14ac:dyDescent="0.55000000000000004">
      <c r="A1104"/>
      <c r="K1104" s="111"/>
      <c r="O1104" s="111"/>
      <c r="P1104" s="111"/>
      <c r="Q1104" s="111"/>
      <c r="R1104" s="111"/>
      <c r="S1104" s="111"/>
      <c r="T1104" s="111"/>
      <c r="U1104" s="111"/>
      <c r="V1104" s="111"/>
      <c r="W1104" s="111"/>
      <c r="X1104" s="111"/>
      <c r="Y1104" s="111"/>
      <c r="AB1104" s="111"/>
      <c r="AC1104" s="111"/>
    </row>
    <row r="1105" spans="1:29" x14ac:dyDescent="0.55000000000000004">
      <c r="A1105"/>
      <c r="L1105" s="111"/>
      <c r="O1105" s="111"/>
      <c r="P1105" s="111"/>
      <c r="Q1105" s="111"/>
      <c r="R1105" s="111"/>
      <c r="S1105" s="111"/>
      <c r="T1105" s="111"/>
      <c r="U1105" s="111"/>
      <c r="V1105" s="111"/>
      <c r="W1105" s="111"/>
      <c r="X1105" s="111"/>
      <c r="Y1105" s="111"/>
      <c r="AB1105" s="111"/>
      <c r="AC1105" s="111"/>
    </row>
    <row r="1106" spans="1:29" x14ac:dyDescent="0.55000000000000004">
      <c r="A1106"/>
      <c r="K1106" s="111"/>
      <c r="L1106" s="111"/>
      <c r="O1106" s="111"/>
      <c r="P1106" s="111"/>
      <c r="Q1106" s="111"/>
      <c r="R1106" s="111"/>
      <c r="S1106" s="111"/>
      <c r="T1106" s="111"/>
      <c r="U1106" s="111"/>
      <c r="V1106" s="111"/>
      <c r="W1106" s="111"/>
      <c r="X1106" s="111"/>
      <c r="Y1106" s="111"/>
      <c r="AB1106" s="111"/>
      <c r="AC1106" s="111"/>
    </row>
    <row r="1107" spans="1:29" x14ac:dyDescent="0.55000000000000004">
      <c r="A1107"/>
      <c r="K1107" s="111"/>
      <c r="O1107" s="111"/>
      <c r="P1107" s="111"/>
      <c r="Q1107" s="111"/>
      <c r="R1107" s="111"/>
      <c r="S1107" s="111"/>
      <c r="T1107" s="111"/>
      <c r="U1107" s="111"/>
      <c r="V1107" s="111"/>
      <c r="W1107" s="111"/>
      <c r="X1107" s="111"/>
      <c r="Y1107" s="111"/>
      <c r="AB1107" s="111"/>
      <c r="AC1107" s="111"/>
    </row>
    <row r="1108" spans="1:29" x14ac:dyDescent="0.55000000000000004">
      <c r="A1108"/>
      <c r="L1108" s="111"/>
      <c r="M1108" s="118"/>
      <c r="N1108" s="118"/>
      <c r="O1108" s="111"/>
      <c r="P1108" s="111"/>
      <c r="Q1108" s="111"/>
      <c r="R1108" s="111"/>
      <c r="S1108" s="111"/>
      <c r="T1108" s="111"/>
      <c r="U1108" s="111"/>
      <c r="V1108" s="111"/>
      <c r="W1108" s="111"/>
      <c r="X1108" s="111"/>
      <c r="Y1108" s="111"/>
      <c r="AB1108" s="111"/>
      <c r="AC1108" s="111"/>
    </row>
    <row r="1109" spans="1:29" x14ac:dyDescent="0.55000000000000004">
      <c r="A1109"/>
      <c r="L1109" s="111"/>
      <c r="M1109" s="118"/>
      <c r="N1109" s="118"/>
      <c r="O1109" s="111"/>
      <c r="P1109" s="111"/>
      <c r="Q1109" s="111"/>
      <c r="R1109" s="111"/>
      <c r="S1109" s="111"/>
      <c r="T1109" s="111"/>
      <c r="U1109" s="111"/>
      <c r="V1109" s="111"/>
      <c r="W1109" s="111"/>
      <c r="X1109" s="111"/>
      <c r="Y1109" s="111"/>
      <c r="AB1109" s="111"/>
      <c r="AC1109" s="111"/>
    </row>
    <row r="1110" spans="1:29" x14ac:dyDescent="0.55000000000000004">
      <c r="A1110"/>
      <c r="K1110" s="111"/>
    </row>
    <row r="1111" spans="1:29" x14ac:dyDescent="0.55000000000000004">
      <c r="A1111"/>
      <c r="K1111" s="111"/>
    </row>
    <row r="1112" spans="1:29" x14ac:dyDescent="0.55000000000000004">
      <c r="A1112"/>
      <c r="K1112" s="111"/>
      <c r="L1112" s="111"/>
    </row>
    <row r="1113" spans="1:29" x14ac:dyDescent="0.55000000000000004">
      <c r="A1113"/>
      <c r="C1113" s="111"/>
      <c r="D1113" s="111"/>
      <c r="K1113" s="111"/>
    </row>
    <row r="1114" spans="1:29" x14ac:dyDescent="0.55000000000000004">
      <c r="A1114"/>
      <c r="L1114" s="111"/>
    </row>
    <row r="1115" spans="1:29" x14ac:dyDescent="0.55000000000000004">
      <c r="A1115"/>
      <c r="K1115" s="111"/>
    </row>
    <row r="1116" spans="1:29" x14ac:dyDescent="0.55000000000000004">
      <c r="A1116"/>
      <c r="K1116" s="111"/>
    </row>
    <row r="1117" spans="1:29" x14ac:dyDescent="0.55000000000000004">
      <c r="A1117"/>
      <c r="L1117" s="111"/>
    </row>
    <row r="1118" spans="1:29" x14ac:dyDescent="0.55000000000000004">
      <c r="A1118"/>
      <c r="K1118" s="111"/>
      <c r="L1118" s="111"/>
    </row>
    <row r="1119" spans="1:29" x14ac:dyDescent="0.55000000000000004">
      <c r="A1119"/>
      <c r="K1119" s="111"/>
      <c r="L1119" s="111"/>
    </row>
    <row r="1120" spans="1:29" x14ac:dyDescent="0.55000000000000004">
      <c r="A1120"/>
      <c r="K1120" s="111"/>
    </row>
    <row r="1121" spans="1:12" x14ac:dyDescent="0.55000000000000004">
      <c r="A1121"/>
      <c r="K1121" s="111"/>
    </row>
    <row r="1122" spans="1:12" x14ac:dyDescent="0.55000000000000004">
      <c r="A1122"/>
      <c r="D1122" s="111"/>
      <c r="K1122" s="111"/>
      <c r="L1122" s="111"/>
    </row>
    <row r="1123" spans="1:12" x14ac:dyDescent="0.55000000000000004">
      <c r="A1123"/>
      <c r="K1123" s="111"/>
      <c r="L1123" s="111"/>
    </row>
    <row r="1124" spans="1:12" x14ac:dyDescent="0.55000000000000004">
      <c r="A1124"/>
      <c r="K1124" s="111"/>
    </row>
    <row r="1125" spans="1:12" x14ac:dyDescent="0.55000000000000004">
      <c r="A1125"/>
      <c r="C1125" s="111"/>
      <c r="D1125" s="111"/>
      <c r="H1125" s="111"/>
      <c r="I1125" s="111"/>
      <c r="K1125" s="111"/>
    </row>
    <row r="1126" spans="1:12" x14ac:dyDescent="0.55000000000000004">
      <c r="A1126"/>
      <c r="C1126" s="111"/>
      <c r="D1126" s="111"/>
      <c r="K1126" s="111"/>
    </row>
    <row r="1127" spans="1:12" x14ac:dyDescent="0.55000000000000004">
      <c r="A1127"/>
      <c r="C1127" s="111"/>
      <c r="D1127" s="111"/>
      <c r="F1127" s="111"/>
      <c r="G1127" s="111"/>
      <c r="H1127" s="111"/>
      <c r="I1127" s="111"/>
      <c r="K1127" s="111"/>
    </row>
    <row r="1128" spans="1:12" x14ac:dyDescent="0.55000000000000004">
      <c r="A1128"/>
      <c r="C1128" s="111"/>
      <c r="D1128" s="111"/>
      <c r="H1128" s="111"/>
      <c r="I1128" s="111"/>
      <c r="K1128" s="111"/>
    </row>
    <row r="1129" spans="1:12" x14ac:dyDescent="0.55000000000000004">
      <c r="A1129"/>
      <c r="L1129" s="111"/>
    </row>
    <row r="1130" spans="1:12" x14ac:dyDescent="0.55000000000000004">
      <c r="A1130"/>
      <c r="K1130" s="111"/>
      <c r="L1130" s="111"/>
    </row>
  </sheetData>
  <mergeCells count="2">
    <mergeCell ref="AR1:BR1"/>
    <mergeCell ref="BU1:CU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1D71-C2AB-42F9-BCAC-80B1551ADEB6}">
  <sheetPr codeName="Sheet11">
    <tabColor theme="7" tint="0.79998168889431442"/>
  </sheetPr>
  <dimension ref="A1:AJ782"/>
  <sheetViews>
    <sheetView topLeftCell="O1" zoomScale="80" zoomScaleNormal="80" workbookViewId="0">
      <selection activeCell="Z9" sqref="Z9"/>
    </sheetView>
  </sheetViews>
  <sheetFormatPr defaultRowHeight="14.4" x14ac:dyDescent="0.55000000000000004"/>
  <cols>
    <col min="1" max="1" width="18.26171875" customWidth="1"/>
    <col min="11" max="12" width="8.83984375" style="6"/>
    <col min="13" max="13" width="18" customWidth="1"/>
    <col min="14" max="14" width="8.83984375" style="119"/>
    <col min="22" max="22" width="8.83984375" style="119"/>
  </cols>
  <sheetData>
    <row r="1" spans="1:22" s="114" customFormat="1" x14ac:dyDescent="0.55000000000000004">
      <c r="A1" s="542" t="s">
        <v>790</v>
      </c>
      <c r="B1" s="542"/>
      <c r="C1" s="542"/>
      <c r="D1" s="542"/>
      <c r="E1" s="542"/>
      <c r="F1" s="542"/>
      <c r="G1" s="542"/>
      <c r="H1" s="542"/>
      <c r="I1" s="542"/>
      <c r="J1" s="542"/>
      <c r="K1" s="6"/>
      <c r="L1" s="6"/>
      <c r="M1" s="542" t="s">
        <v>791</v>
      </c>
      <c r="N1" s="542"/>
      <c r="O1" s="542"/>
      <c r="P1" s="542"/>
      <c r="Q1" s="542"/>
      <c r="R1" s="542"/>
      <c r="S1" s="542"/>
      <c r="T1" s="542"/>
      <c r="U1" s="542"/>
      <c r="V1" s="542"/>
    </row>
    <row r="2" spans="1:22" x14ac:dyDescent="0.55000000000000004">
      <c r="A2" s="298" t="s">
        <v>3257</v>
      </c>
      <c r="B2" s="298" t="s">
        <v>3258</v>
      </c>
      <c r="C2" s="298" t="s">
        <v>3259</v>
      </c>
      <c r="D2" s="298" t="s">
        <v>3260</v>
      </c>
      <c r="E2" s="298" t="s">
        <v>3261</v>
      </c>
      <c r="F2" s="298" t="s">
        <v>3262</v>
      </c>
      <c r="G2" s="298" t="s">
        <v>3263</v>
      </c>
      <c r="H2" s="298" t="s">
        <v>3450</v>
      </c>
      <c r="I2" s="298" t="s">
        <v>3265</v>
      </c>
      <c r="J2" s="298" t="s">
        <v>3451</v>
      </c>
      <c r="M2" s="298" t="s">
        <v>3257</v>
      </c>
      <c r="N2" s="298" t="s">
        <v>3258</v>
      </c>
      <c r="O2" s="298" t="s">
        <v>3259</v>
      </c>
      <c r="P2" s="298" t="s">
        <v>3260</v>
      </c>
      <c r="Q2" s="298" t="s">
        <v>3261</v>
      </c>
      <c r="R2" s="298" t="s">
        <v>3262</v>
      </c>
      <c r="S2" s="298" t="s">
        <v>3263</v>
      </c>
      <c r="T2" s="298" t="s">
        <v>3450</v>
      </c>
      <c r="U2" s="298" t="s">
        <v>3265</v>
      </c>
      <c r="V2" s="298" t="s">
        <v>3451</v>
      </c>
    </row>
    <row r="3" spans="1:22" x14ac:dyDescent="0.55000000000000004">
      <c r="A3" t="s">
        <v>3269</v>
      </c>
      <c r="B3">
        <v>126.8</v>
      </c>
      <c r="C3">
        <v>9.42</v>
      </c>
      <c r="D3">
        <v>4.0140000000000002</v>
      </c>
      <c r="E3">
        <v>102.9</v>
      </c>
      <c r="F3">
        <v>71.8</v>
      </c>
      <c r="G3">
        <v>45.27</v>
      </c>
      <c r="H3">
        <v>32.020000000000003</v>
      </c>
      <c r="I3">
        <v>29.97</v>
      </c>
      <c r="J3">
        <v>0.16259999999999999</v>
      </c>
      <c r="M3" t="s">
        <v>3269</v>
      </c>
      <c r="N3">
        <v>126.8</v>
      </c>
      <c r="O3">
        <v>9.42</v>
      </c>
      <c r="P3">
        <v>4.0140000000000002</v>
      </c>
      <c r="Q3">
        <v>102.9</v>
      </c>
      <c r="R3">
        <v>71.8</v>
      </c>
      <c r="S3">
        <v>45.27</v>
      </c>
      <c r="T3">
        <v>32.020000000000003</v>
      </c>
      <c r="U3">
        <v>29.97</v>
      </c>
      <c r="V3">
        <v>0.16259999999999999</v>
      </c>
    </row>
    <row r="4" spans="1:22" x14ac:dyDescent="0.55000000000000004">
      <c r="A4" t="s">
        <v>3270</v>
      </c>
      <c r="B4">
        <v>76.37</v>
      </c>
      <c r="C4">
        <v>6.4039999999999999</v>
      </c>
      <c r="D4">
        <v>2.4729999999999999</v>
      </c>
      <c r="E4">
        <v>61.37</v>
      </c>
      <c r="F4">
        <v>46.57</v>
      </c>
      <c r="G4">
        <v>29.01</v>
      </c>
      <c r="H4">
        <v>21.17</v>
      </c>
      <c r="I4">
        <v>20.48</v>
      </c>
      <c r="J4" s="111">
        <v>8.7510000000000004E-2</v>
      </c>
      <c r="M4" t="s">
        <v>3270</v>
      </c>
      <c r="N4">
        <v>76.37</v>
      </c>
      <c r="O4">
        <v>6.4039999999999999</v>
      </c>
      <c r="P4">
        <v>2.4729999999999999</v>
      </c>
      <c r="Q4">
        <v>61.37</v>
      </c>
      <c r="R4">
        <v>46.57</v>
      </c>
      <c r="S4">
        <v>29.01</v>
      </c>
      <c r="T4">
        <v>21.17</v>
      </c>
      <c r="U4">
        <v>20.48</v>
      </c>
      <c r="V4" s="111">
        <v>8.7510000000000004E-2</v>
      </c>
    </row>
    <row r="5" spans="1:22" x14ac:dyDescent="0.55000000000000004">
      <c r="A5" t="s">
        <v>3271</v>
      </c>
      <c r="B5">
        <v>67.52</v>
      </c>
      <c r="C5">
        <v>4.9779999999999998</v>
      </c>
      <c r="D5">
        <v>1.907</v>
      </c>
      <c r="E5">
        <v>49.99</v>
      </c>
      <c r="F5">
        <v>36.409999999999997</v>
      </c>
      <c r="G5">
        <v>23.83</v>
      </c>
      <c r="H5">
        <v>16</v>
      </c>
      <c r="I5">
        <v>15.53</v>
      </c>
      <c r="J5" s="111">
        <v>8.2820000000000005E-2</v>
      </c>
      <c r="M5" t="s">
        <v>3271</v>
      </c>
      <c r="N5">
        <v>67.52</v>
      </c>
      <c r="O5">
        <v>4.9779999999999998</v>
      </c>
      <c r="P5">
        <v>1.907</v>
      </c>
      <c r="Q5">
        <v>49.99</v>
      </c>
      <c r="R5">
        <v>36.409999999999997</v>
      </c>
      <c r="S5">
        <v>23.83</v>
      </c>
      <c r="T5">
        <v>16</v>
      </c>
      <c r="U5">
        <v>15.53</v>
      </c>
      <c r="V5" s="111">
        <v>8.2820000000000005E-2</v>
      </c>
    </row>
    <row r="6" spans="1:22" x14ac:dyDescent="0.55000000000000004">
      <c r="A6" t="s">
        <v>3272</v>
      </c>
      <c r="B6">
        <v>93.13</v>
      </c>
      <c r="C6">
        <v>5.0510000000000002</v>
      </c>
      <c r="D6">
        <v>1.9950000000000001</v>
      </c>
      <c r="E6">
        <v>63.07</v>
      </c>
      <c r="F6">
        <v>45.36</v>
      </c>
      <c r="G6">
        <v>26.59</v>
      </c>
      <c r="H6">
        <v>21.7</v>
      </c>
      <c r="I6">
        <v>19.79</v>
      </c>
      <c r="J6" s="111">
        <v>9.5560000000000006E-2</v>
      </c>
      <c r="M6" t="s">
        <v>3272</v>
      </c>
      <c r="N6">
        <v>93.13</v>
      </c>
      <c r="O6">
        <v>5.0510000000000002</v>
      </c>
      <c r="P6">
        <v>1.9950000000000001</v>
      </c>
      <c r="Q6">
        <v>63.07</v>
      </c>
      <c r="R6">
        <v>45.36</v>
      </c>
      <c r="S6">
        <v>26.59</v>
      </c>
      <c r="T6">
        <v>21.7</v>
      </c>
      <c r="U6">
        <v>19.79</v>
      </c>
      <c r="V6" s="111">
        <v>9.5560000000000006E-2</v>
      </c>
    </row>
    <row r="7" spans="1:22" x14ac:dyDescent="0.55000000000000004">
      <c r="A7" t="s">
        <v>3273</v>
      </c>
      <c r="B7">
        <v>105.7</v>
      </c>
      <c r="C7">
        <v>4.9749999999999996</v>
      </c>
      <c r="D7">
        <v>1.925</v>
      </c>
      <c r="E7">
        <v>62.6</v>
      </c>
      <c r="F7">
        <v>43.21</v>
      </c>
      <c r="G7">
        <v>25.91</v>
      </c>
      <c r="H7">
        <v>20.260000000000002</v>
      </c>
      <c r="I7">
        <v>19.14</v>
      </c>
      <c r="J7">
        <v>0.13270000000000001</v>
      </c>
      <c r="M7" t="s">
        <v>3273</v>
      </c>
      <c r="N7">
        <v>105.7</v>
      </c>
      <c r="O7">
        <v>4.9749999999999996</v>
      </c>
      <c r="P7">
        <v>1.925</v>
      </c>
      <c r="Q7">
        <v>62.6</v>
      </c>
      <c r="R7">
        <v>43.21</v>
      </c>
      <c r="S7">
        <v>25.91</v>
      </c>
      <c r="T7">
        <v>20.260000000000002</v>
      </c>
      <c r="U7">
        <v>19.14</v>
      </c>
      <c r="V7">
        <v>0.13270000000000001</v>
      </c>
    </row>
    <row r="8" spans="1:22" x14ac:dyDescent="0.55000000000000004">
      <c r="A8" t="s">
        <v>3274</v>
      </c>
      <c r="B8">
        <v>135.4</v>
      </c>
      <c r="C8">
        <v>9.4320000000000004</v>
      </c>
      <c r="D8">
        <v>4.1609999999999996</v>
      </c>
      <c r="E8">
        <v>89.72</v>
      </c>
      <c r="F8">
        <v>62.2</v>
      </c>
      <c r="G8">
        <v>43.93</v>
      </c>
      <c r="H8">
        <v>33.25</v>
      </c>
      <c r="I8">
        <v>31.56</v>
      </c>
      <c r="J8">
        <v>0.1406</v>
      </c>
      <c r="M8" t="s">
        <v>3274</v>
      </c>
      <c r="N8">
        <v>135.4</v>
      </c>
      <c r="O8">
        <v>9.4320000000000004</v>
      </c>
      <c r="P8">
        <v>4.1609999999999996</v>
      </c>
      <c r="Q8">
        <v>89.72</v>
      </c>
      <c r="R8">
        <v>62.2</v>
      </c>
      <c r="S8">
        <v>43.93</v>
      </c>
      <c r="T8">
        <v>33.25</v>
      </c>
      <c r="U8">
        <v>31.56</v>
      </c>
      <c r="V8">
        <v>0.1406</v>
      </c>
    </row>
    <row r="9" spans="1:22" x14ac:dyDescent="0.55000000000000004">
      <c r="A9" t="s">
        <v>3275</v>
      </c>
      <c r="B9">
        <v>67.95</v>
      </c>
      <c r="C9">
        <v>4.9800000000000004</v>
      </c>
      <c r="D9">
        <v>1.8</v>
      </c>
      <c r="E9">
        <v>51.52</v>
      </c>
      <c r="F9">
        <v>35.51</v>
      </c>
      <c r="G9">
        <v>21.57</v>
      </c>
      <c r="H9">
        <v>15.4</v>
      </c>
      <c r="I9">
        <v>14.61</v>
      </c>
      <c r="J9" s="111">
        <v>7.8100000000000003E-2</v>
      </c>
      <c r="M9" t="s">
        <v>3275</v>
      </c>
      <c r="N9">
        <v>67.95</v>
      </c>
      <c r="O9">
        <v>4.9800000000000004</v>
      </c>
      <c r="P9">
        <v>1.8</v>
      </c>
      <c r="Q9">
        <v>51.52</v>
      </c>
      <c r="R9">
        <v>35.51</v>
      </c>
      <c r="S9">
        <v>21.57</v>
      </c>
      <c r="T9">
        <v>15.4</v>
      </c>
      <c r="U9">
        <v>14.61</v>
      </c>
      <c r="V9" s="111">
        <v>7.8100000000000003E-2</v>
      </c>
    </row>
    <row r="10" spans="1:22" x14ac:dyDescent="0.55000000000000004">
      <c r="A10" t="s">
        <v>3276</v>
      </c>
      <c r="B10">
        <v>96.62</v>
      </c>
      <c r="C10">
        <v>5.2770000000000001</v>
      </c>
      <c r="D10">
        <v>2.2069999999999999</v>
      </c>
      <c r="E10">
        <v>59.13</v>
      </c>
      <c r="F10">
        <v>42.17</v>
      </c>
      <c r="G10">
        <v>25.9</v>
      </c>
      <c r="H10">
        <v>19.25</v>
      </c>
      <c r="I10">
        <v>18.75</v>
      </c>
      <c r="J10">
        <v>0.12509999999999999</v>
      </c>
      <c r="M10" t="s">
        <v>3276</v>
      </c>
      <c r="N10">
        <v>96.62</v>
      </c>
      <c r="O10">
        <v>5.2770000000000001</v>
      </c>
      <c r="P10">
        <v>2.2069999999999999</v>
      </c>
      <c r="Q10">
        <v>59.13</v>
      </c>
      <c r="R10">
        <v>42.17</v>
      </c>
      <c r="S10">
        <v>25.9</v>
      </c>
      <c r="T10">
        <v>19.25</v>
      </c>
      <c r="U10">
        <v>18.75</v>
      </c>
      <c r="V10">
        <v>0.12509999999999999</v>
      </c>
    </row>
    <row r="11" spans="1:22" x14ac:dyDescent="0.55000000000000004">
      <c r="A11" t="s">
        <v>3277</v>
      </c>
      <c r="B11">
        <v>60.85</v>
      </c>
      <c r="C11">
        <v>4.8310000000000004</v>
      </c>
      <c r="D11">
        <v>1.9279999999999999</v>
      </c>
      <c r="E11">
        <v>48.65</v>
      </c>
      <c r="F11">
        <v>36.58</v>
      </c>
      <c r="G11">
        <v>21.49</v>
      </c>
      <c r="H11">
        <v>14.84</v>
      </c>
      <c r="I11">
        <v>13.7</v>
      </c>
      <c r="J11" s="111">
        <v>7.8759999999999997E-2</v>
      </c>
      <c r="M11" t="s">
        <v>3277</v>
      </c>
      <c r="N11">
        <v>60.85</v>
      </c>
      <c r="O11">
        <v>4.8310000000000004</v>
      </c>
      <c r="P11">
        <v>1.9279999999999999</v>
      </c>
      <c r="Q11">
        <v>48.65</v>
      </c>
      <c r="R11">
        <v>36.58</v>
      </c>
      <c r="S11">
        <v>21.49</v>
      </c>
      <c r="T11">
        <v>14.84</v>
      </c>
      <c r="U11">
        <v>13.7</v>
      </c>
      <c r="V11" s="111">
        <v>7.8759999999999997E-2</v>
      </c>
    </row>
    <row r="12" spans="1:22" x14ac:dyDescent="0.55000000000000004">
      <c r="A12" t="s">
        <v>3278</v>
      </c>
      <c r="B12">
        <v>105.4</v>
      </c>
      <c r="C12">
        <v>4.75</v>
      </c>
      <c r="D12">
        <v>2.056</v>
      </c>
      <c r="E12">
        <v>65.17</v>
      </c>
      <c r="F12">
        <v>46.13</v>
      </c>
      <c r="G12">
        <v>25.87</v>
      </c>
      <c r="H12">
        <v>18.899999999999999</v>
      </c>
      <c r="I12">
        <v>17.52</v>
      </c>
      <c r="J12">
        <v>0.14169999999999999</v>
      </c>
      <c r="M12" t="s">
        <v>3278</v>
      </c>
      <c r="N12">
        <v>105.4</v>
      </c>
      <c r="O12">
        <v>4.75</v>
      </c>
      <c r="P12">
        <v>2.056</v>
      </c>
      <c r="Q12">
        <v>65.17</v>
      </c>
      <c r="R12">
        <v>46.13</v>
      </c>
      <c r="S12">
        <v>25.87</v>
      </c>
      <c r="T12">
        <v>18.899999999999999</v>
      </c>
      <c r="U12">
        <v>17.52</v>
      </c>
      <c r="V12">
        <v>0.14169999999999999</v>
      </c>
    </row>
    <row r="13" spans="1:22" x14ac:dyDescent="0.55000000000000004">
      <c r="A13" t="s">
        <v>3279</v>
      </c>
      <c r="B13">
        <v>113.7</v>
      </c>
      <c r="C13">
        <v>8.4969999999999999</v>
      </c>
      <c r="D13">
        <v>3.48</v>
      </c>
      <c r="E13">
        <v>78.95</v>
      </c>
      <c r="F13">
        <v>51.24</v>
      </c>
      <c r="G13">
        <v>31.41</v>
      </c>
      <c r="H13">
        <v>33.54</v>
      </c>
      <c r="I13">
        <v>32.07</v>
      </c>
      <c r="J13" s="111">
        <v>8.2780000000000006E-2</v>
      </c>
      <c r="M13" t="s">
        <v>3279</v>
      </c>
      <c r="N13">
        <v>113.7</v>
      </c>
      <c r="O13">
        <v>8.4969999999999999</v>
      </c>
      <c r="P13">
        <v>3.48</v>
      </c>
      <c r="Q13">
        <v>78.95</v>
      </c>
      <c r="R13">
        <v>51.24</v>
      </c>
      <c r="S13">
        <v>31.41</v>
      </c>
      <c r="T13">
        <v>33.54</v>
      </c>
      <c r="U13">
        <v>32.07</v>
      </c>
      <c r="V13" s="111">
        <v>8.2780000000000006E-2</v>
      </c>
    </row>
    <row r="14" spans="1:22" x14ac:dyDescent="0.55000000000000004">
      <c r="A14" t="s">
        <v>3280</v>
      </c>
      <c r="B14">
        <v>83.44</v>
      </c>
      <c r="C14">
        <v>6.2169999999999996</v>
      </c>
      <c r="D14">
        <v>2.234</v>
      </c>
      <c r="E14">
        <v>56.32</v>
      </c>
      <c r="F14">
        <v>40.049999999999997</v>
      </c>
      <c r="G14">
        <v>24.75</v>
      </c>
      <c r="H14">
        <v>22.55</v>
      </c>
      <c r="I14">
        <v>21.49</v>
      </c>
      <c r="J14" s="111">
        <v>9.3619999999999995E-2</v>
      </c>
      <c r="M14" t="s">
        <v>3280</v>
      </c>
      <c r="N14">
        <v>83.44</v>
      </c>
      <c r="O14">
        <v>6.2169999999999996</v>
      </c>
      <c r="P14">
        <v>2.234</v>
      </c>
      <c r="Q14">
        <v>56.32</v>
      </c>
      <c r="R14">
        <v>40.049999999999997</v>
      </c>
      <c r="S14">
        <v>24.75</v>
      </c>
      <c r="T14">
        <v>22.55</v>
      </c>
      <c r="U14">
        <v>21.49</v>
      </c>
      <c r="V14" s="111">
        <v>9.3619999999999995E-2</v>
      </c>
    </row>
    <row r="15" spans="1:22" x14ac:dyDescent="0.55000000000000004">
      <c r="A15" t="s">
        <v>3281</v>
      </c>
      <c r="B15">
        <v>112.1</v>
      </c>
      <c r="C15">
        <v>7.6630000000000003</v>
      </c>
      <c r="D15">
        <v>2.6659999999999999</v>
      </c>
      <c r="E15">
        <v>85.98</v>
      </c>
      <c r="F15">
        <v>46.36</v>
      </c>
      <c r="G15">
        <v>30.73</v>
      </c>
      <c r="H15">
        <v>31.06</v>
      </c>
      <c r="I15">
        <v>29.48</v>
      </c>
      <c r="J15" s="111">
        <v>6.9360000000000005E-2</v>
      </c>
      <c r="M15" t="s">
        <v>3281</v>
      </c>
      <c r="N15">
        <v>112.1</v>
      </c>
      <c r="O15">
        <v>7.6630000000000003</v>
      </c>
      <c r="P15">
        <v>2.6659999999999999</v>
      </c>
      <c r="Q15">
        <v>85.98</v>
      </c>
      <c r="R15">
        <v>46.36</v>
      </c>
      <c r="S15">
        <v>30.73</v>
      </c>
      <c r="T15">
        <v>31.06</v>
      </c>
      <c r="U15">
        <v>29.48</v>
      </c>
      <c r="V15" s="111">
        <v>6.9360000000000005E-2</v>
      </c>
    </row>
    <row r="16" spans="1:22" x14ac:dyDescent="0.55000000000000004">
      <c r="A16" t="s">
        <v>3282</v>
      </c>
      <c r="B16">
        <v>170.7</v>
      </c>
      <c r="C16">
        <v>7.6479999999999997</v>
      </c>
      <c r="D16">
        <v>2.7370000000000001</v>
      </c>
      <c r="E16">
        <v>115.7</v>
      </c>
      <c r="F16">
        <v>56.85</v>
      </c>
      <c r="G16">
        <v>35.28</v>
      </c>
      <c r="H16">
        <v>46.69</v>
      </c>
      <c r="I16">
        <v>45.59</v>
      </c>
      <c r="J16" s="111">
        <v>7.5880000000000003E-2</v>
      </c>
      <c r="M16" t="s">
        <v>3282</v>
      </c>
      <c r="N16">
        <v>170.7</v>
      </c>
      <c r="O16">
        <v>7.6479999999999997</v>
      </c>
      <c r="P16">
        <v>2.7370000000000001</v>
      </c>
      <c r="Q16">
        <v>115.7</v>
      </c>
      <c r="R16">
        <v>56.85</v>
      </c>
      <c r="S16">
        <v>35.28</v>
      </c>
      <c r="T16">
        <v>46.69</v>
      </c>
      <c r="U16">
        <v>45.59</v>
      </c>
      <c r="V16" s="111">
        <v>7.5880000000000003E-2</v>
      </c>
    </row>
    <row r="17" spans="1:22" x14ac:dyDescent="0.55000000000000004">
      <c r="A17" t="s">
        <v>3283</v>
      </c>
      <c r="B17">
        <v>115</v>
      </c>
      <c r="C17">
        <v>5.2679999999999998</v>
      </c>
      <c r="D17">
        <v>2.097</v>
      </c>
      <c r="E17">
        <v>82.89</v>
      </c>
      <c r="F17">
        <v>46.81</v>
      </c>
      <c r="G17">
        <v>26.34</v>
      </c>
      <c r="H17">
        <v>24.37</v>
      </c>
      <c r="I17">
        <v>21.96</v>
      </c>
      <c r="J17" s="111">
        <v>8.5769999999999999E-2</v>
      </c>
      <c r="M17" t="s">
        <v>3283</v>
      </c>
      <c r="N17">
        <v>115</v>
      </c>
      <c r="O17">
        <v>5.2679999999999998</v>
      </c>
      <c r="P17">
        <v>2.097</v>
      </c>
      <c r="Q17">
        <v>82.89</v>
      </c>
      <c r="R17">
        <v>46.81</v>
      </c>
      <c r="S17">
        <v>26.34</v>
      </c>
      <c r="T17">
        <v>24.37</v>
      </c>
      <c r="U17">
        <v>21.96</v>
      </c>
      <c r="V17" s="111">
        <v>8.5769999999999999E-2</v>
      </c>
    </row>
    <row r="18" spans="1:22" x14ac:dyDescent="0.55000000000000004">
      <c r="A18" t="s">
        <v>3284</v>
      </c>
      <c r="B18">
        <v>37.06</v>
      </c>
      <c r="C18">
        <v>1.421</v>
      </c>
      <c r="D18">
        <v>0.53049999999999997</v>
      </c>
      <c r="E18">
        <v>26.86</v>
      </c>
      <c r="F18">
        <v>9.24</v>
      </c>
      <c r="G18">
        <v>6.5490000000000004</v>
      </c>
      <c r="H18">
        <v>16.850000000000001</v>
      </c>
      <c r="I18">
        <v>18.39</v>
      </c>
      <c r="J18" s="111">
        <v>1.329E-2</v>
      </c>
      <c r="M18" t="s">
        <v>3284</v>
      </c>
      <c r="N18">
        <v>37.06</v>
      </c>
      <c r="O18">
        <v>1.421</v>
      </c>
      <c r="P18">
        <v>0.53049999999999997</v>
      </c>
      <c r="Q18">
        <v>26.86</v>
      </c>
      <c r="R18">
        <v>9.24</v>
      </c>
      <c r="S18">
        <v>6.5490000000000004</v>
      </c>
      <c r="T18">
        <v>16.850000000000001</v>
      </c>
      <c r="U18">
        <v>18.39</v>
      </c>
      <c r="V18" s="111">
        <v>1.329E-2</v>
      </c>
    </row>
    <row r="19" spans="1:22" x14ac:dyDescent="0.55000000000000004">
      <c r="A19" t="s">
        <v>3285</v>
      </c>
      <c r="B19">
        <v>133.30000000000001</v>
      </c>
      <c r="C19">
        <v>9.5609999999999999</v>
      </c>
      <c r="D19">
        <v>3.4790000000000001</v>
      </c>
      <c r="E19">
        <v>90.42</v>
      </c>
      <c r="F19">
        <v>46.7</v>
      </c>
      <c r="G19">
        <v>30.04</v>
      </c>
      <c r="H19">
        <v>40.4</v>
      </c>
      <c r="I19">
        <v>39.94</v>
      </c>
      <c r="J19" s="111">
        <v>3.9449999999999999E-2</v>
      </c>
      <c r="M19" t="s">
        <v>3285</v>
      </c>
      <c r="N19">
        <v>133.30000000000001</v>
      </c>
      <c r="O19">
        <v>9.5609999999999999</v>
      </c>
      <c r="P19">
        <v>3.4790000000000001</v>
      </c>
      <c r="Q19">
        <v>90.42</v>
      </c>
      <c r="R19">
        <v>46.7</v>
      </c>
      <c r="S19">
        <v>30.04</v>
      </c>
      <c r="T19">
        <v>40.4</v>
      </c>
      <c r="U19">
        <v>39.94</v>
      </c>
      <c r="V19" s="111">
        <v>3.9449999999999999E-2</v>
      </c>
    </row>
    <row r="20" spans="1:22" x14ac:dyDescent="0.55000000000000004">
      <c r="A20" t="s">
        <v>3286</v>
      </c>
      <c r="B20">
        <v>16.95</v>
      </c>
      <c r="C20">
        <v>0.69979999999999998</v>
      </c>
      <c r="D20">
        <v>0.2364</v>
      </c>
      <c r="E20">
        <v>12.03</v>
      </c>
      <c r="F20">
        <v>5.742</v>
      </c>
      <c r="G20">
        <v>2.6539999999999999</v>
      </c>
      <c r="H20">
        <v>8.5640000000000001</v>
      </c>
      <c r="I20">
        <v>9.6890000000000001</v>
      </c>
      <c r="J20" s="111">
        <v>6.3229999999999996E-3</v>
      </c>
      <c r="M20" t="s">
        <v>3286</v>
      </c>
      <c r="N20">
        <v>16.95</v>
      </c>
      <c r="O20">
        <v>0.69979999999999998</v>
      </c>
      <c r="P20">
        <v>0.2364</v>
      </c>
      <c r="Q20">
        <v>12.03</v>
      </c>
      <c r="R20">
        <v>5.742</v>
      </c>
      <c r="S20">
        <v>2.6539999999999999</v>
      </c>
      <c r="T20">
        <v>8.5640000000000001</v>
      </c>
      <c r="U20">
        <v>9.6890000000000001</v>
      </c>
      <c r="V20" s="111">
        <v>6.3229999999999996E-3</v>
      </c>
    </row>
    <row r="21" spans="1:22" x14ac:dyDescent="0.55000000000000004">
      <c r="A21" t="s">
        <v>3287</v>
      </c>
      <c r="B21">
        <v>157.19999999999999</v>
      </c>
      <c r="C21">
        <v>7.4960000000000004</v>
      </c>
      <c r="D21">
        <v>3.3730000000000002</v>
      </c>
      <c r="E21">
        <v>104.7</v>
      </c>
      <c r="F21">
        <v>55.79</v>
      </c>
      <c r="G21">
        <v>30.24</v>
      </c>
      <c r="H21">
        <v>44.17</v>
      </c>
      <c r="I21">
        <v>43.18</v>
      </c>
      <c r="J21" s="111">
        <v>8.4449999999999997E-2</v>
      </c>
      <c r="M21" t="s">
        <v>3287</v>
      </c>
      <c r="N21">
        <v>157.19999999999999</v>
      </c>
      <c r="O21">
        <v>7.4960000000000004</v>
      </c>
      <c r="P21">
        <v>3.3730000000000002</v>
      </c>
      <c r="Q21">
        <v>104.7</v>
      </c>
      <c r="R21">
        <v>55.79</v>
      </c>
      <c r="S21">
        <v>30.24</v>
      </c>
      <c r="T21">
        <v>44.17</v>
      </c>
      <c r="U21">
        <v>43.18</v>
      </c>
      <c r="V21" s="111">
        <v>8.4449999999999997E-2</v>
      </c>
    </row>
    <row r="22" spans="1:22" x14ac:dyDescent="0.55000000000000004">
      <c r="A22" t="s">
        <v>3288</v>
      </c>
      <c r="B22">
        <v>47.27</v>
      </c>
      <c r="C22">
        <v>2.5910000000000002</v>
      </c>
      <c r="D22">
        <v>0.67720000000000002</v>
      </c>
      <c r="E22">
        <v>18.760000000000002</v>
      </c>
      <c r="F22">
        <v>10.48</v>
      </c>
      <c r="G22">
        <v>7.383</v>
      </c>
      <c r="H22">
        <v>14.63</v>
      </c>
      <c r="I22">
        <v>15.43</v>
      </c>
      <c r="J22" s="111">
        <v>1.023E-2</v>
      </c>
      <c r="M22" t="s">
        <v>3288</v>
      </c>
      <c r="N22">
        <v>47.27</v>
      </c>
      <c r="O22">
        <v>2.5910000000000002</v>
      </c>
      <c r="P22">
        <v>0.67720000000000002</v>
      </c>
      <c r="Q22">
        <v>18.760000000000002</v>
      </c>
      <c r="R22">
        <v>10.48</v>
      </c>
      <c r="S22">
        <v>7.383</v>
      </c>
      <c r="T22">
        <v>14.63</v>
      </c>
      <c r="U22">
        <v>15.43</v>
      </c>
      <c r="V22" s="111">
        <v>1.023E-2</v>
      </c>
    </row>
    <row r="23" spans="1:22" x14ac:dyDescent="0.55000000000000004">
      <c r="A23" t="s">
        <v>3289</v>
      </c>
      <c r="B23" s="111">
        <v>3.4749999999999998E-3</v>
      </c>
      <c r="C23" s="111">
        <v>2.566E-4</v>
      </c>
      <c r="D23" s="111">
        <v>1.4569999999999999E-4</v>
      </c>
      <c r="E23" s="111">
        <v>2.745E-3</v>
      </c>
      <c r="F23" s="111">
        <v>1.5920000000000001E-3</v>
      </c>
      <c r="G23" s="111">
        <v>1.129E-3</v>
      </c>
      <c r="H23" s="111">
        <v>4.4229999999999998E-3</v>
      </c>
      <c r="I23" s="111">
        <v>4.3899999999999998E-3</v>
      </c>
      <c r="J23" s="111">
        <v>2.373E-6</v>
      </c>
      <c r="M23" t="s">
        <v>3289</v>
      </c>
      <c r="N23" s="111">
        <v>3.4749999999999998E-3</v>
      </c>
      <c r="O23" s="111">
        <v>2.566E-4</v>
      </c>
      <c r="P23" s="111">
        <v>1.4569999999999999E-4</v>
      </c>
      <c r="Q23" s="111">
        <v>2.745E-3</v>
      </c>
      <c r="R23" s="111">
        <v>1.5920000000000001E-3</v>
      </c>
      <c r="S23" s="111">
        <v>1.129E-3</v>
      </c>
      <c r="T23" s="111">
        <v>4.4229999999999998E-3</v>
      </c>
      <c r="U23" s="111">
        <v>4.3899999999999998E-3</v>
      </c>
      <c r="V23" s="111">
        <v>2.373E-6</v>
      </c>
    </row>
    <row r="24" spans="1:22" x14ac:dyDescent="0.55000000000000004">
      <c r="A24" t="s">
        <v>3329</v>
      </c>
      <c r="B24">
        <v>152.6</v>
      </c>
      <c r="C24">
        <v>11.61</v>
      </c>
      <c r="D24">
        <v>6.3659999999999997</v>
      </c>
      <c r="E24">
        <v>118.7</v>
      </c>
      <c r="F24">
        <v>85.6</v>
      </c>
      <c r="G24">
        <v>57.52</v>
      </c>
      <c r="H24">
        <v>40.1</v>
      </c>
      <c r="I24">
        <v>38.25</v>
      </c>
      <c r="J24">
        <v>0.18010000000000001</v>
      </c>
      <c r="M24" t="s">
        <v>3290</v>
      </c>
      <c r="N24">
        <v>126.8</v>
      </c>
      <c r="O24">
        <v>9.42</v>
      </c>
      <c r="P24">
        <v>4.0140000000000002</v>
      </c>
      <c r="Q24">
        <v>102.9</v>
      </c>
      <c r="R24">
        <v>71.8</v>
      </c>
      <c r="S24">
        <v>45.27</v>
      </c>
      <c r="T24">
        <v>32.020000000000003</v>
      </c>
      <c r="U24">
        <v>29.97</v>
      </c>
      <c r="V24">
        <v>0.16259999999999999</v>
      </c>
    </row>
    <row r="25" spans="1:22" x14ac:dyDescent="0.55000000000000004">
      <c r="A25" t="s">
        <v>3330</v>
      </c>
      <c r="B25">
        <v>124.2</v>
      </c>
      <c r="C25">
        <v>9.2729999999999997</v>
      </c>
      <c r="D25">
        <v>5.5140000000000002</v>
      </c>
      <c r="E25">
        <v>90.67</v>
      </c>
      <c r="F25">
        <v>61.48</v>
      </c>
      <c r="G25">
        <v>41.95</v>
      </c>
      <c r="H25">
        <v>34.24</v>
      </c>
      <c r="I25">
        <v>32.03</v>
      </c>
      <c r="J25">
        <v>0.1148</v>
      </c>
      <c r="M25" t="s">
        <v>3291</v>
      </c>
      <c r="N25">
        <v>76.37</v>
      </c>
      <c r="O25">
        <v>6.4039999999999999</v>
      </c>
      <c r="P25">
        <v>2.4729999999999999</v>
      </c>
      <c r="Q25">
        <v>61.37</v>
      </c>
      <c r="R25">
        <v>46.57</v>
      </c>
      <c r="S25">
        <v>29.01</v>
      </c>
      <c r="T25">
        <v>21.17</v>
      </c>
      <c r="U25">
        <v>20.48</v>
      </c>
      <c r="V25" s="111">
        <v>8.7510000000000004E-2</v>
      </c>
    </row>
    <row r="26" spans="1:22" x14ac:dyDescent="0.55000000000000004">
      <c r="A26" t="s">
        <v>3331</v>
      </c>
      <c r="B26">
        <v>108.8</v>
      </c>
      <c r="C26">
        <v>7.5389999999999997</v>
      </c>
      <c r="D26">
        <v>4.819</v>
      </c>
      <c r="E26">
        <v>78.5</v>
      </c>
      <c r="F26">
        <v>52.55</v>
      </c>
      <c r="G26">
        <v>34.119999999999997</v>
      </c>
      <c r="H26">
        <v>30.97</v>
      </c>
      <c r="I26">
        <v>29.22</v>
      </c>
      <c r="J26">
        <v>0.1022</v>
      </c>
      <c r="M26" t="s">
        <v>3292</v>
      </c>
      <c r="N26">
        <v>67.52</v>
      </c>
      <c r="O26">
        <v>4.9779999999999998</v>
      </c>
      <c r="P26">
        <v>1.907</v>
      </c>
      <c r="Q26">
        <v>49.99</v>
      </c>
      <c r="R26">
        <v>36.409999999999997</v>
      </c>
      <c r="S26">
        <v>23.83</v>
      </c>
      <c r="T26">
        <v>16</v>
      </c>
      <c r="U26">
        <v>15.53</v>
      </c>
      <c r="V26" s="111">
        <v>8.2820000000000005E-2</v>
      </c>
    </row>
    <row r="27" spans="1:22" x14ac:dyDescent="0.55000000000000004">
      <c r="A27" t="s">
        <v>3332</v>
      </c>
      <c r="B27">
        <v>157.4</v>
      </c>
      <c r="C27">
        <v>7.7510000000000003</v>
      </c>
      <c r="D27">
        <v>4.6559999999999997</v>
      </c>
      <c r="E27">
        <v>114.2</v>
      </c>
      <c r="F27">
        <v>71.64</v>
      </c>
      <c r="G27">
        <v>39.89</v>
      </c>
      <c r="H27">
        <v>41.83</v>
      </c>
      <c r="I27">
        <v>39.869999999999997</v>
      </c>
      <c r="J27">
        <v>0.1169</v>
      </c>
      <c r="M27" t="s">
        <v>3293</v>
      </c>
      <c r="N27">
        <v>93.13</v>
      </c>
      <c r="O27">
        <v>5.0510000000000002</v>
      </c>
      <c r="P27">
        <v>1.9950000000000001</v>
      </c>
      <c r="Q27">
        <v>63.07</v>
      </c>
      <c r="R27">
        <v>45.36</v>
      </c>
      <c r="S27">
        <v>26.59</v>
      </c>
      <c r="T27">
        <v>21.7</v>
      </c>
      <c r="U27">
        <v>19.79</v>
      </c>
      <c r="V27" s="111">
        <v>9.5560000000000006E-2</v>
      </c>
    </row>
    <row r="28" spans="1:22" x14ac:dyDescent="0.55000000000000004">
      <c r="A28" t="s">
        <v>3333</v>
      </c>
      <c r="B28">
        <v>122.5</v>
      </c>
      <c r="C28">
        <v>7.3280000000000003</v>
      </c>
      <c r="D28">
        <v>3.6419999999999999</v>
      </c>
      <c r="E28">
        <v>80.69</v>
      </c>
      <c r="F28">
        <v>56.4</v>
      </c>
      <c r="G28">
        <v>35.14</v>
      </c>
      <c r="H28">
        <v>34.24</v>
      </c>
      <c r="I28">
        <v>31.94</v>
      </c>
      <c r="J28">
        <v>0.15129999999999999</v>
      </c>
      <c r="M28" t="s">
        <v>3294</v>
      </c>
      <c r="N28">
        <v>105.7</v>
      </c>
      <c r="O28">
        <v>4.9749999999999996</v>
      </c>
      <c r="P28">
        <v>1.925</v>
      </c>
      <c r="Q28">
        <v>62.6</v>
      </c>
      <c r="R28">
        <v>43.21</v>
      </c>
      <c r="S28">
        <v>25.91</v>
      </c>
      <c r="T28">
        <v>20.260000000000002</v>
      </c>
      <c r="U28">
        <v>19.14</v>
      </c>
      <c r="V28">
        <v>0.13270000000000001</v>
      </c>
    </row>
    <row r="29" spans="1:22" x14ac:dyDescent="0.55000000000000004">
      <c r="A29" t="s">
        <v>3334</v>
      </c>
      <c r="B29">
        <v>163.6</v>
      </c>
      <c r="C29">
        <v>12.23</v>
      </c>
      <c r="D29">
        <v>6.3150000000000004</v>
      </c>
      <c r="E29">
        <v>105.6</v>
      </c>
      <c r="F29">
        <v>77.13</v>
      </c>
      <c r="G29">
        <v>56.37</v>
      </c>
      <c r="H29">
        <v>44.45</v>
      </c>
      <c r="I29">
        <v>41.45</v>
      </c>
      <c r="J29">
        <v>0.16020000000000001</v>
      </c>
      <c r="M29" t="s">
        <v>3295</v>
      </c>
      <c r="N29">
        <v>135.4</v>
      </c>
      <c r="O29">
        <v>9.4320000000000004</v>
      </c>
      <c r="P29">
        <v>4.1609999999999996</v>
      </c>
      <c r="Q29">
        <v>89.72</v>
      </c>
      <c r="R29">
        <v>62.2</v>
      </c>
      <c r="S29">
        <v>43.93</v>
      </c>
      <c r="T29">
        <v>33.25</v>
      </c>
      <c r="U29">
        <v>31.56</v>
      </c>
      <c r="V29">
        <v>0.1406</v>
      </c>
    </row>
    <row r="30" spans="1:22" x14ac:dyDescent="0.55000000000000004">
      <c r="A30" t="s">
        <v>3335</v>
      </c>
      <c r="B30">
        <v>107.9</v>
      </c>
      <c r="C30">
        <v>7.5010000000000003</v>
      </c>
      <c r="D30">
        <v>4.6550000000000002</v>
      </c>
      <c r="E30">
        <v>79.16</v>
      </c>
      <c r="F30">
        <v>56.18</v>
      </c>
      <c r="G30">
        <v>31.72</v>
      </c>
      <c r="H30">
        <v>29.89</v>
      </c>
      <c r="I30">
        <v>28.45</v>
      </c>
      <c r="J30">
        <v>0.1026</v>
      </c>
      <c r="M30" t="s">
        <v>3296</v>
      </c>
      <c r="N30">
        <v>67.95</v>
      </c>
      <c r="O30">
        <v>4.9800000000000004</v>
      </c>
      <c r="P30">
        <v>1.8</v>
      </c>
      <c r="Q30">
        <v>51.52</v>
      </c>
      <c r="R30">
        <v>35.51</v>
      </c>
      <c r="S30">
        <v>21.57</v>
      </c>
      <c r="T30">
        <v>15.4</v>
      </c>
      <c r="U30">
        <v>14.61</v>
      </c>
      <c r="V30" s="111">
        <v>7.8100000000000003E-2</v>
      </c>
    </row>
    <row r="31" spans="1:22" x14ac:dyDescent="0.55000000000000004">
      <c r="A31" t="s">
        <v>3336</v>
      </c>
      <c r="B31">
        <v>114.7</v>
      </c>
      <c r="C31">
        <v>7.2690000000000001</v>
      </c>
      <c r="D31">
        <v>3.8980000000000001</v>
      </c>
      <c r="E31">
        <v>75.180000000000007</v>
      </c>
      <c r="F31">
        <v>54.01</v>
      </c>
      <c r="G31">
        <v>36.97</v>
      </c>
      <c r="H31">
        <v>26.47</v>
      </c>
      <c r="I31">
        <v>25.66</v>
      </c>
      <c r="J31">
        <v>0.1386</v>
      </c>
      <c r="M31" t="s">
        <v>3297</v>
      </c>
      <c r="N31">
        <v>96.62</v>
      </c>
      <c r="O31">
        <v>5.2770000000000001</v>
      </c>
      <c r="P31">
        <v>2.2069999999999999</v>
      </c>
      <c r="Q31">
        <v>59.13</v>
      </c>
      <c r="R31">
        <v>42.17</v>
      </c>
      <c r="S31">
        <v>25.9</v>
      </c>
      <c r="T31">
        <v>19.25</v>
      </c>
      <c r="U31">
        <v>18.75</v>
      </c>
      <c r="V31">
        <v>0.12509999999999999</v>
      </c>
    </row>
    <row r="32" spans="1:22" x14ac:dyDescent="0.55000000000000004">
      <c r="A32" t="s">
        <v>3337</v>
      </c>
      <c r="B32">
        <v>101.2</v>
      </c>
      <c r="C32">
        <v>7.76</v>
      </c>
      <c r="D32">
        <v>4.7590000000000003</v>
      </c>
      <c r="E32">
        <v>72.83</v>
      </c>
      <c r="F32">
        <v>51.35</v>
      </c>
      <c r="G32">
        <v>34.43</v>
      </c>
      <c r="H32">
        <v>28.84</v>
      </c>
      <c r="I32">
        <v>26.57</v>
      </c>
      <c r="J32">
        <v>0.1012</v>
      </c>
      <c r="M32" t="s">
        <v>3298</v>
      </c>
      <c r="N32">
        <v>60.85</v>
      </c>
      <c r="O32">
        <v>4.8310000000000004</v>
      </c>
      <c r="P32">
        <v>1.9279999999999999</v>
      </c>
      <c r="Q32">
        <v>48.65</v>
      </c>
      <c r="R32">
        <v>36.58</v>
      </c>
      <c r="S32">
        <v>21.49</v>
      </c>
      <c r="T32">
        <v>14.84</v>
      </c>
      <c r="U32">
        <v>13.7</v>
      </c>
      <c r="V32" s="111">
        <v>7.8759999999999997E-2</v>
      </c>
    </row>
    <row r="33" spans="1:22" x14ac:dyDescent="0.55000000000000004">
      <c r="A33" t="s">
        <v>3338</v>
      </c>
      <c r="B33">
        <v>122.5</v>
      </c>
      <c r="C33">
        <v>6.58</v>
      </c>
      <c r="D33">
        <v>3.5329999999999999</v>
      </c>
      <c r="E33">
        <v>79.25</v>
      </c>
      <c r="F33">
        <v>56.31</v>
      </c>
      <c r="G33">
        <v>32.659999999999997</v>
      </c>
      <c r="H33">
        <v>24.08</v>
      </c>
      <c r="I33">
        <v>22.6</v>
      </c>
      <c r="J33">
        <v>0.15840000000000001</v>
      </c>
      <c r="M33" t="s">
        <v>3299</v>
      </c>
      <c r="N33">
        <v>105.4</v>
      </c>
      <c r="O33">
        <v>4.75</v>
      </c>
      <c r="P33">
        <v>2.056</v>
      </c>
      <c r="Q33">
        <v>65.17</v>
      </c>
      <c r="R33">
        <v>46.13</v>
      </c>
      <c r="S33">
        <v>25.87</v>
      </c>
      <c r="T33">
        <v>18.899999999999999</v>
      </c>
      <c r="U33">
        <v>17.52</v>
      </c>
      <c r="V33">
        <v>0.14169999999999999</v>
      </c>
    </row>
    <row r="34" spans="1:22" x14ac:dyDescent="0.55000000000000004">
      <c r="A34" t="s">
        <v>3339</v>
      </c>
      <c r="B34">
        <v>235.3</v>
      </c>
      <c r="C34">
        <v>15.91</v>
      </c>
      <c r="D34">
        <v>9.6950000000000003</v>
      </c>
      <c r="E34">
        <v>177.4</v>
      </c>
      <c r="F34">
        <v>86.09</v>
      </c>
      <c r="G34">
        <v>48.68</v>
      </c>
      <c r="H34">
        <v>70.41</v>
      </c>
      <c r="I34">
        <v>68.97</v>
      </c>
      <c r="J34">
        <v>0.1139</v>
      </c>
      <c r="M34" t="s">
        <v>3300</v>
      </c>
      <c r="N34">
        <v>113.7</v>
      </c>
      <c r="O34">
        <v>8.4969999999999999</v>
      </c>
      <c r="P34">
        <v>3.48</v>
      </c>
      <c r="Q34">
        <v>78.95</v>
      </c>
      <c r="R34">
        <v>51.24</v>
      </c>
      <c r="S34">
        <v>31.41</v>
      </c>
      <c r="T34">
        <v>33.54</v>
      </c>
      <c r="U34">
        <v>32.07</v>
      </c>
      <c r="V34" s="111">
        <v>8.2780000000000006E-2</v>
      </c>
    </row>
    <row r="35" spans="1:22" x14ac:dyDescent="0.55000000000000004">
      <c r="A35" t="s">
        <v>3340</v>
      </c>
      <c r="B35">
        <v>181.4</v>
      </c>
      <c r="C35">
        <v>9.0190000000000001</v>
      </c>
      <c r="D35">
        <v>5.6449999999999996</v>
      </c>
      <c r="E35">
        <v>123.9</v>
      </c>
      <c r="F35">
        <v>68.11</v>
      </c>
      <c r="G35">
        <v>35.78</v>
      </c>
      <c r="H35">
        <v>48.5</v>
      </c>
      <c r="I35">
        <v>46.69</v>
      </c>
      <c r="J35">
        <v>0.1164</v>
      </c>
      <c r="M35" t="s">
        <v>3301</v>
      </c>
      <c r="N35">
        <v>83.44</v>
      </c>
      <c r="O35">
        <v>6.2169999999999996</v>
      </c>
      <c r="P35">
        <v>2.234</v>
      </c>
      <c r="Q35">
        <v>56.32</v>
      </c>
      <c r="R35">
        <v>40.049999999999997</v>
      </c>
      <c r="S35">
        <v>24.75</v>
      </c>
      <c r="T35">
        <v>22.55</v>
      </c>
      <c r="U35">
        <v>21.49</v>
      </c>
      <c r="V35" s="111">
        <v>9.3619999999999995E-2</v>
      </c>
    </row>
    <row r="36" spans="1:22" x14ac:dyDescent="0.55000000000000004">
      <c r="A36" t="s">
        <v>3341</v>
      </c>
      <c r="B36">
        <v>253.3</v>
      </c>
      <c r="C36">
        <v>13.51</v>
      </c>
      <c r="D36">
        <v>8.4499999999999993</v>
      </c>
      <c r="E36">
        <v>175.5</v>
      </c>
      <c r="F36">
        <v>86.07</v>
      </c>
      <c r="G36">
        <v>48.81</v>
      </c>
      <c r="H36">
        <v>66.430000000000007</v>
      </c>
      <c r="I36">
        <v>65.2</v>
      </c>
      <c r="J36">
        <v>0.1002</v>
      </c>
      <c r="M36" t="s">
        <v>3302</v>
      </c>
      <c r="N36">
        <v>112.1</v>
      </c>
      <c r="O36">
        <v>7.6630000000000003</v>
      </c>
      <c r="P36">
        <v>2.6659999999999999</v>
      </c>
      <c r="Q36">
        <v>85.98</v>
      </c>
      <c r="R36">
        <v>46.36</v>
      </c>
      <c r="S36">
        <v>30.73</v>
      </c>
      <c r="T36">
        <v>31.06</v>
      </c>
      <c r="U36">
        <v>29.48</v>
      </c>
      <c r="V36" s="111">
        <v>6.9360000000000005E-2</v>
      </c>
    </row>
    <row r="37" spans="1:22" x14ac:dyDescent="0.55000000000000004">
      <c r="A37" t="s">
        <v>3342</v>
      </c>
      <c r="B37">
        <v>377</v>
      </c>
      <c r="C37">
        <v>13.48</v>
      </c>
      <c r="D37">
        <v>7.68</v>
      </c>
      <c r="E37">
        <v>223</v>
      </c>
      <c r="F37">
        <v>83.19</v>
      </c>
      <c r="G37">
        <v>50.36</v>
      </c>
      <c r="H37">
        <v>93.69</v>
      </c>
      <c r="I37">
        <v>91.8</v>
      </c>
      <c r="J37">
        <v>0.1011</v>
      </c>
      <c r="M37" t="s">
        <v>3303</v>
      </c>
      <c r="N37">
        <v>170.7</v>
      </c>
      <c r="O37">
        <v>7.6479999999999997</v>
      </c>
      <c r="P37">
        <v>2.7370000000000001</v>
      </c>
      <c r="Q37">
        <v>115.7</v>
      </c>
      <c r="R37">
        <v>56.85</v>
      </c>
      <c r="S37">
        <v>35.28</v>
      </c>
      <c r="T37">
        <v>46.69</v>
      </c>
      <c r="U37">
        <v>45.59</v>
      </c>
      <c r="V37" s="111">
        <v>7.5880000000000003E-2</v>
      </c>
    </row>
    <row r="38" spans="1:22" x14ac:dyDescent="0.55000000000000004">
      <c r="A38" t="s">
        <v>3343</v>
      </c>
      <c r="B38">
        <v>242.3</v>
      </c>
      <c r="C38">
        <v>8.3539999999999992</v>
      </c>
      <c r="D38">
        <v>5.0019999999999998</v>
      </c>
      <c r="E38">
        <v>149.1</v>
      </c>
      <c r="F38">
        <v>75.34</v>
      </c>
      <c r="G38">
        <v>39.31</v>
      </c>
      <c r="H38">
        <v>61.8</v>
      </c>
      <c r="I38">
        <v>58.18</v>
      </c>
      <c r="J38">
        <v>0.1099</v>
      </c>
      <c r="M38" t="s">
        <v>3304</v>
      </c>
      <c r="N38">
        <v>115</v>
      </c>
      <c r="O38">
        <v>5.2679999999999998</v>
      </c>
      <c r="P38">
        <v>2.097</v>
      </c>
      <c r="Q38">
        <v>82.89</v>
      </c>
      <c r="R38">
        <v>46.81</v>
      </c>
      <c r="S38">
        <v>26.34</v>
      </c>
      <c r="T38">
        <v>24.37</v>
      </c>
      <c r="U38">
        <v>21.96</v>
      </c>
      <c r="V38" s="111">
        <v>8.5769999999999999E-2</v>
      </c>
    </row>
    <row r="39" spans="1:22" x14ac:dyDescent="0.55000000000000004">
      <c r="A39" t="s">
        <v>3344</v>
      </c>
      <c r="B39">
        <v>333.4</v>
      </c>
      <c r="C39">
        <v>6.9009999999999998</v>
      </c>
      <c r="D39">
        <v>4.234</v>
      </c>
      <c r="E39">
        <v>157.19999999999999</v>
      </c>
      <c r="F39">
        <v>54.1</v>
      </c>
      <c r="G39">
        <v>25.85</v>
      </c>
      <c r="H39">
        <v>121.5</v>
      </c>
      <c r="I39">
        <v>119.5</v>
      </c>
      <c r="J39" s="111">
        <v>6.7239999999999994E-2</v>
      </c>
      <c r="M39" t="s">
        <v>3305</v>
      </c>
      <c r="N39">
        <v>37.06</v>
      </c>
      <c r="O39">
        <v>1.421</v>
      </c>
      <c r="P39">
        <v>0.53049999999999997</v>
      </c>
      <c r="Q39">
        <v>26.86</v>
      </c>
      <c r="R39">
        <v>9.24</v>
      </c>
      <c r="S39">
        <v>6.5490000000000004</v>
      </c>
      <c r="T39">
        <v>16.850000000000001</v>
      </c>
      <c r="U39">
        <v>18.39</v>
      </c>
      <c r="V39" s="111">
        <v>1.329E-2</v>
      </c>
    </row>
    <row r="40" spans="1:22" x14ac:dyDescent="0.55000000000000004">
      <c r="A40" t="s">
        <v>3345</v>
      </c>
      <c r="B40">
        <v>381.2</v>
      </c>
      <c r="C40">
        <v>27.69</v>
      </c>
      <c r="D40">
        <v>18.350000000000001</v>
      </c>
      <c r="E40">
        <v>240.7</v>
      </c>
      <c r="F40">
        <v>114.6</v>
      </c>
      <c r="G40">
        <v>70.45</v>
      </c>
      <c r="H40">
        <v>132.80000000000001</v>
      </c>
      <c r="I40">
        <v>132</v>
      </c>
      <c r="J40" s="111">
        <v>9.0469999999999995E-2</v>
      </c>
      <c r="M40" t="s">
        <v>3306</v>
      </c>
      <c r="N40">
        <v>133.30000000000001</v>
      </c>
      <c r="O40">
        <v>9.5609999999999999</v>
      </c>
      <c r="P40">
        <v>3.4790000000000001</v>
      </c>
      <c r="Q40">
        <v>90.42</v>
      </c>
      <c r="R40">
        <v>46.7</v>
      </c>
      <c r="S40">
        <v>30.04</v>
      </c>
      <c r="T40">
        <v>40.4</v>
      </c>
      <c r="U40">
        <v>39.94</v>
      </c>
      <c r="V40" s="111">
        <v>3.9449999999999999E-2</v>
      </c>
    </row>
    <row r="41" spans="1:22" x14ac:dyDescent="0.55000000000000004">
      <c r="A41" t="s">
        <v>3346</v>
      </c>
      <c r="B41">
        <v>124</v>
      </c>
      <c r="C41">
        <v>6.0309999999999997</v>
      </c>
      <c r="D41">
        <v>3.9049999999999998</v>
      </c>
      <c r="E41">
        <v>77.459999999999994</v>
      </c>
      <c r="F41">
        <v>35.4</v>
      </c>
      <c r="G41">
        <v>19.59</v>
      </c>
      <c r="H41">
        <v>114.9</v>
      </c>
      <c r="I41">
        <v>113.1</v>
      </c>
      <c r="J41" s="111">
        <v>6.1740000000000003E-2</v>
      </c>
      <c r="M41" t="s">
        <v>3307</v>
      </c>
      <c r="N41">
        <v>16.95</v>
      </c>
      <c r="O41">
        <v>0.69979999999999998</v>
      </c>
      <c r="P41">
        <v>0.2364</v>
      </c>
      <c r="Q41">
        <v>12.03</v>
      </c>
      <c r="R41">
        <v>5.742</v>
      </c>
      <c r="S41">
        <v>2.6539999999999999</v>
      </c>
      <c r="T41">
        <v>8.5640000000000001</v>
      </c>
      <c r="U41">
        <v>9.6890000000000001</v>
      </c>
      <c r="V41" s="111">
        <v>6.3229999999999996E-3</v>
      </c>
    </row>
    <row r="42" spans="1:22" x14ac:dyDescent="0.55000000000000004">
      <c r="A42" t="s">
        <v>3347</v>
      </c>
      <c r="B42">
        <v>296.39999999999998</v>
      </c>
      <c r="C42">
        <v>13.63</v>
      </c>
      <c r="D42">
        <v>8.7119999999999997</v>
      </c>
      <c r="E42">
        <v>183.6</v>
      </c>
      <c r="F42">
        <v>93.99</v>
      </c>
      <c r="G42">
        <v>48.74</v>
      </c>
      <c r="H42">
        <v>77.790000000000006</v>
      </c>
      <c r="I42">
        <v>76.75</v>
      </c>
      <c r="J42">
        <v>0.10589999999999999</v>
      </c>
      <c r="M42" t="s">
        <v>3308</v>
      </c>
      <c r="N42">
        <v>157.19999999999999</v>
      </c>
      <c r="O42">
        <v>7.4960000000000004</v>
      </c>
      <c r="P42">
        <v>3.3730000000000002</v>
      </c>
      <c r="Q42">
        <v>104.7</v>
      </c>
      <c r="R42">
        <v>55.79</v>
      </c>
      <c r="S42">
        <v>30.24</v>
      </c>
      <c r="T42">
        <v>44.17</v>
      </c>
      <c r="U42">
        <v>43.18</v>
      </c>
      <c r="V42" s="111">
        <v>8.4449999999999997E-2</v>
      </c>
    </row>
    <row r="43" spans="1:22" x14ac:dyDescent="0.55000000000000004">
      <c r="A43" t="s">
        <v>3348</v>
      </c>
      <c r="B43">
        <v>317.3</v>
      </c>
      <c r="C43">
        <v>17.87</v>
      </c>
      <c r="D43">
        <v>12.76</v>
      </c>
      <c r="E43">
        <v>222.3</v>
      </c>
      <c r="F43">
        <v>99.46</v>
      </c>
      <c r="G43">
        <v>59.15</v>
      </c>
      <c r="H43">
        <v>125.5</v>
      </c>
      <c r="I43">
        <v>124.6</v>
      </c>
      <c r="J43" s="111">
        <v>7.0190000000000002E-2</v>
      </c>
      <c r="M43" t="s">
        <v>3309</v>
      </c>
      <c r="N43">
        <v>47.27</v>
      </c>
      <c r="O43">
        <v>2.5910000000000002</v>
      </c>
      <c r="P43">
        <v>0.67720000000000002</v>
      </c>
      <c r="Q43">
        <v>18.760000000000002</v>
      </c>
      <c r="R43">
        <v>10.48</v>
      </c>
      <c r="S43">
        <v>7.383</v>
      </c>
      <c r="T43">
        <v>14.63</v>
      </c>
      <c r="U43">
        <v>15.43</v>
      </c>
      <c r="V43" s="111">
        <v>1.023E-2</v>
      </c>
    </row>
    <row r="44" spans="1:22" x14ac:dyDescent="0.55000000000000004">
      <c r="A44" t="s">
        <v>3349</v>
      </c>
      <c r="B44">
        <v>90.97</v>
      </c>
      <c r="C44">
        <v>7.0389999999999997</v>
      </c>
      <c r="D44">
        <v>4.6340000000000003</v>
      </c>
      <c r="E44">
        <v>63.76</v>
      </c>
      <c r="F44">
        <v>39.92</v>
      </c>
      <c r="G44">
        <v>25.51</v>
      </c>
      <c r="H44">
        <v>105</v>
      </c>
      <c r="I44">
        <v>103.7</v>
      </c>
      <c r="J44" s="111">
        <v>5.6399999999999999E-2</v>
      </c>
      <c r="M44" t="s">
        <v>3310</v>
      </c>
      <c r="N44" s="111">
        <v>3.4749999999999998E-3</v>
      </c>
      <c r="O44" s="111">
        <v>2.566E-4</v>
      </c>
      <c r="P44" s="111">
        <v>1.4569999999999999E-4</v>
      </c>
      <c r="Q44" s="111">
        <v>2.745E-3</v>
      </c>
      <c r="R44" s="111">
        <v>1.5920000000000001E-3</v>
      </c>
      <c r="S44" s="111">
        <v>1.129E-3</v>
      </c>
      <c r="T44" s="111">
        <v>4.4229999999999998E-3</v>
      </c>
      <c r="U44" s="111">
        <v>4.3899999999999998E-3</v>
      </c>
      <c r="V44" s="111">
        <v>2.373E-6</v>
      </c>
    </row>
    <row r="45" spans="1:22" x14ac:dyDescent="0.55000000000000004">
      <c r="A45" t="s">
        <v>3350</v>
      </c>
      <c r="B45">
        <v>131.80000000000001</v>
      </c>
      <c r="C45">
        <v>10.52</v>
      </c>
      <c r="D45">
        <v>4.93</v>
      </c>
      <c r="E45">
        <v>108.8</v>
      </c>
      <c r="F45">
        <v>78.819999999999993</v>
      </c>
      <c r="G45">
        <v>50.24</v>
      </c>
      <c r="H45">
        <v>35.61</v>
      </c>
      <c r="I45">
        <v>33.47</v>
      </c>
      <c r="J45">
        <v>0.1694</v>
      </c>
      <c r="M45" t="s">
        <v>3311</v>
      </c>
      <c r="N45">
        <v>155.19999999999999</v>
      </c>
      <c r="O45">
        <v>14.77</v>
      </c>
      <c r="P45">
        <v>8.0920000000000005</v>
      </c>
      <c r="Q45">
        <v>119.2</v>
      </c>
      <c r="R45">
        <v>98.95</v>
      </c>
      <c r="S45">
        <v>68.98</v>
      </c>
      <c r="T45">
        <v>45.8</v>
      </c>
      <c r="U45">
        <v>44.07</v>
      </c>
      <c r="V45">
        <v>0.18679999999999999</v>
      </c>
    </row>
    <row r="46" spans="1:22" x14ac:dyDescent="0.55000000000000004">
      <c r="A46" t="s">
        <v>3351</v>
      </c>
      <c r="B46">
        <v>86.49</v>
      </c>
      <c r="C46">
        <v>7.3959999999999999</v>
      </c>
      <c r="D46">
        <v>3.6520000000000001</v>
      </c>
      <c r="E46">
        <v>68.44</v>
      </c>
      <c r="F46">
        <v>52.77</v>
      </c>
      <c r="G46">
        <v>33.729999999999997</v>
      </c>
      <c r="H46">
        <v>25.46</v>
      </c>
      <c r="I46">
        <v>24.04</v>
      </c>
      <c r="J46" s="111">
        <v>9.7890000000000005E-2</v>
      </c>
      <c r="M46" t="s">
        <v>3312</v>
      </c>
      <c r="N46">
        <v>195</v>
      </c>
      <c r="O46">
        <v>12.68</v>
      </c>
      <c r="P46">
        <v>7.367</v>
      </c>
      <c r="Q46">
        <v>145.80000000000001</v>
      </c>
      <c r="R46">
        <v>103</v>
      </c>
      <c r="S46">
        <v>65.5</v>
      </c>
      <c r="T46">
        <v>49.79</v>
      </c>
      <c r="U46">
        <v>47.1</v>
      </c>
      <c r="V46">
        <v>0.21290000000000001</v>
      </c>
    </row>
    <row r="47" spans="1:22" x14ac:dyDescent="0.55000000000000004">
      <c r="A47" t="s">
        <v>3352</v>
      </c>
      <c r="B47">
        <v>73.69</v>
      </c>
      <c r="C47">
        <v>5.8929999999999998</v>
      </c>
      <c r="D47">
        <v>3.036</v>
      </c>
      <c r="E47">
        <v>55.19</v>
      </c>
      <c r="F47">
        <v>41.71</v>
      </c>
      <c r="G47">
        <v>26.92</v>
      </c>
      <c r="H47">
        <v>19.05</v>
      </c>
      <c r="I47">
        <v>18.100000000000001</v>
      </c>
      <c r="J47" s="111">
        <v>9.0260000000000007E-2</v>
      </c>
      <c r="M47" t="s">
        <v>3313</v>
      </c>
      <c r="N47">
        <v>142.69999999999999</v>
      </c>
      <c r="O47">
        <v>9.1159999999999997</v>
      </c>
      <c r="P47">
        <v>4.9649999999999999</v>
      </c>
      <c r="Q47">
        <v>96.39</v>
      </c>
      <c r="R47">
        <v>74.069999999999993</v>
      </c>
      <c r="S47">
        <v>46.49</v>
      </c>
      <c r="T47">
        <v>30.85</v>
      </c>
      <c r="U47">
        <v>29.09</v>
      </c>
      <c r="V47">
        <v>0.18360000000000001</v>
      </c>
    </row>
    <row r="48" spans="1:22" x14ac:dyDescent="0.55000000000000004">
      <c r="A48" t="s">
        <v>3353</v>
      </c>
      <c r="B48">
        <v>110.6</v>
      </c>
      <c r="C48">
        <v>5.8440000000000003</v>
      </c>
      <c r="D48">
        <v>3.0059999999999998</v>
      </c>
      <c r="E48">
        <v>77.78</v>
      </c>
      <c r="F48">
        <v>54.42</v>
      </c>
      <c r="G48">
        <v>30.33</v>
      </c>
      <c r="H48">
        <v>26.53</v>
      </c>
      <c r="I48">
        <v>25.38</v>
      </c>
      <c r="J48">
        <v>0.1004</v>
      </c>
      <c r="M48" t="s">
        <v>3314</v>
      </c>
      <c r="N48">
        <v>134.5</v>
      </c>
      <c r="O48">
        <v>11.25</v>
      </c>
      <c r="P48">
        <v>5.8659999999999997</v>
      </c>
      <c r="Q48">
        <v>105.2</v>
      </c>
      <c r="R48">
        <v>79.22</v>
      </c>
      <c r="S48">
        <v>53.4</v>
      </c>
      <c r="T48">
        <v>36.119999999999997</v>
      </c>
      <c r="U48">
        <v>35.119999999999997</v>
      </c>
      <c r="V48">
        <v>0.13869999999999999</v>
      </c>
    </row>
    <row r="49" spans="1:22" x14ac:dyDescent="0.55000000000000004">
      <c r="A49" t="s">
        <v>3354</v>
      </c>
      <c r="B49">
        <v>113</v>
      </c>
      <c r="C49">
        <v>5.6369999999999996</v>
      </c>
      <c r="D49">
        <v>2.5819999999999999</v>
      </c>
      <c r="E49">
        <v>69.069999999999993</v>
      </c>
      <c r="F49">
        <v>46.31</v>
      </c>
      <c r="G49">
        <v>29</v>
      </c>
      <c r="H49">
        <v>24.81</v>
      </c>
      <c r="I49">
        <v>22.83</v>
      </c>
      <c r="J49">
        <v>0.13969999999999999</v>
      </c>
      <c r="M49" t="s">
        <v>3315</v>
      </c>
      <c r="N49">
        <v>286.8</v>
      </c>
      <c r="O49">
        <v>16.63</v>
      </c>
      <c r="P49">
        <v>8.8960000000000008</v>
      </c>
      <c r="Q49">
        <v>203.2</v>
      </c>
      <c r="R49">
        <v>130.19999999999999</v>
      </c>
      <c r="S49">
        <v>85.06</v>
      </c>
      <c r="T49">
        <v>73.400000000000006</v>
      </c>
      <c r="U49">
        <v>70.34</v>
      </c>
      <c r="V49">
        <v>0.24759999999999999</v>
      </c>
    </row>
    <row r="50" spans="1:22" x14ac:dyDescent="0.55000000000000004">
      <c r="A50" t="s">
        <v>3355</v>
      </c>
      <c r="B50">
        <v>149.1</v>
      </c>
      <c r="C50">
        <v>10.6</v>
      </c>
      <c r="D50">
        <v>4.9960000000000004</v>
      </c>
      <c r="E50">
        <v>95.58</v>
      </c>
      <c r="F50">
        <v>65.349999999999994</v>
      </c>
      <c r="G50">
        <v>48.3</v>
      </c>
      <c r="H50">
        <v>37.43</v>
      </c>
      <c r="I50">
        <v>34.49</v>
      </c>
      <c r="J50">
        <v>0.14729999999999999</v>
      </c>
      <c r="M50" t="s">
        <v>3316</v>
      </c>
      <c r="N50">
        <v>245.3</v>
      </c>
      <c r="O50">
        <v>18.239999999999998</v>
      </c>
      <c r="P50">
        <v>10.39</v>
      </c>
      <c r="Q50">
        <v>193.4</v>
      </c>
      <c r="R50">
        <v>125.3</v>
      </c>
      <c r="S50">
        <v>80.78</v>
      </c>
      <c r="T50">
        <v>68.540000000000006</v>
      </c>
      <c r="U50">
        <v>66.47</v>
      </c>
      <c r="V50">
        <v>0.18029999999999999</v>
      </c>
    </row>
    <row r="51" spans="1:22" x14ac:dyDescent="0.55000000000000004">
      <c r="A51" t="s">
        <v>3356</v>
      </c>
      <c r="B51">
        <v>78.63</v>
      </c>
      <c r="C51">
        <v>5.7949999999999999</v>
      </c>
      <c r="D51">
        <v>2.899</v>
      </c>
      <c r="E51">
        <v>58.75</v>
      </c>
      <c r="F51">
        <v>39.840000000000003</v>
      </c>
      <c r="G51">
        <v>26.73</v>
      </c>
      <c r="H51">
        <v>17.62</v>
      </c>
      <c r="I51">
        <v>16.739999999999998</v>
      </c>
      <c r="J51" s="111">
        <v>8.6220000000000005E-2</v>
      </c>
      <c r="M51" t="s">
        <v>3317</v>
      </c>
      <c r="N51">
        <v>183.3</v>
      </c>
      <c r="O51">
        <v>13.84</v>
      </c>
      <c r="P51">
        <v>8.1839999999999993</v>
      </c>
      <c r="Q51">
        <v>139.5</v>
      </c>
      <c r="R51">
        <v>99.4</v>
      </c>
      <c r="S51">
        <v>63.99</v>
      </c>
      <c r="T51">
        <v>53.83</v>
      </c>
      <c r="U51">
        <v>51.85</v>
      </c>
      <c r="V51">
        <v>0.16819999999999999</v>
      </c>
    </row>
    <row r="52" spans="1:22" x14ac:dyDescent="0.55000000000000004">
      <c r="A52" t="s">
        <v>3357</v>
      </c>
      <c r="B52">
        <v>100.2</v>
      </c>
      <c r="C52">
        <v>6.0439999999999996</v>
      </c>
      <c r="D52">
        <v>2.899</v>
      </c>
      <c r="E52">
        <v>64.53</v>
      </c>
      <c r="F52">
        <v>48.17</v>
      </c>
      <c r="G52">
        <v>29.68</v>
      </c>
      <c r="H52">
        <v>22.13</v>
      </c>
      <c r="I52">
        <v>21.51</v>
      </c>
      <c r="J52">
        <v>0.13039999999999999</v>
      </c>
      <c r="M52" t="s">
        <v>3318</v>
      </c>
      <c r="N52">
        <v>225.2</v>
      </c>
      <c r="O52">
        <v>13.86</v>
      </c>
      <c r="P52">
        <v>7.383</v>
      </c>
      <c r="Q52">
        <v>164.9</v>
      </c>
      <c r="R52">
        <v>109.3</v>
      </c>
      <c r="S52">
        <v>72.33</v>
      </c>
      <c r="T52">
        <v>57.63</v>
      </c>
      <c r="U52">
        <v>54.61</v>
      </c>
      <c r="V52">
        <v>0.1908</v>
      </c>
    </row>
    <row r="53" spans="1:22" x14ac:dyDescent="0.55000000000000004">
      <c r="A53" t="s">
        <v>3358</v>
      </c>
      <c r="B53">
        <v>70.67</v>
      </c>
      <c r="C53">
        <v>5.7370000000000001</v>
      </c>
      <c r="D53">
        <v>3.0350000000000001</v>
      </c>
      <c r="E53">
        <v>56.73</v>
      </c>
      <c r="F53">
        <v>42.1</v>
      </c>
      <c r="G53">
        <v>25.93</v>
      </c>
      <c r="H53">
        <v>18.87</v>
      </c>
      <c r="I53">
        <v>17.47</v>
      </c>
      <c r="J53" s="111">
        <v>8.6940000000000003E-2</v>
      </c>
      <c r="M53" t="s">
        <v>3319</v>
      </c>
      <c r="N53">
        <v>207.4</v>
      </c>
      <c r="O53">
        <v>14.35</v>
      </c>
      <c r="P53">
        <v>7.6390000000000002</v>
      </c>
      <c r="Q53">
        <v>156.5</v>
      </c>
      <c r="R53">
        <v>96.06</v>
      </c>
      <c r="S53">
        <v>61.79</v>
      </c>
      <c r="T53">
        <v>59.29</v>
      </c>
      <c r="U53">
        <v>58.05</v>
      </c>
      <c r="V53">
        <v>0.18440000000000001</v>
      </c>
    </row>
    <row r="54" spans="1:22" x14ac:dyDescent="0.55000000000000004">
      <c r="A54" t="s">
        <v>3359</v>
      </c>
      <c r="B54">
        <v>110.1</v>
      </c>
      <c r="C54">
        <v>5.5810000000000004</v>
      </c>
      <c r="D54">
        <v>2.6269999999999998</v>
      </c>
      <c r="E54">
        <v>70.61</v>
      </c>
      <c r="F54">
        <v>49.12</v>
      </c>
      <c r="G54">
        <v>28.72</v>
      </c>
      <c r="H54">
        <v>20.74</v>
      </c>
      <c r="I54">
        <v>19.48</v>
      </c>
      <c r="J54">
        <v>0.14910000000000001</v>
      </c>
      <c r="M54" t="s">
        <v>3320</v>
      </c>
      <c r="N54">
        <v>455.4</v>
      </c>
      <c r="O54">
        <v>22.73</v>
      </c>
      <c r="P54">
        <v>13.14</v>
      </c>
      <c r="Q54">
        <v>326.2</v>
      </c>
      <c r="R54">
        <v>197.6</v>
      </c>
      <c r="S54">
        <v>112.5</v>
      </c>
      <c r="T54">
        <v>119.1</v>
      </c>
      <c r="U54">
        <v>114.1</v>
      </c>
      <c r="V54">
        <v>0.27210000000000001</v>
      </c>
    </row>
    <row r="55" spans="1:22" x14ac:dyDescent="0.55000000000000004">
      <c r="A55" t="s">
        <v>3360</v>
      </c>
      <c r="B55">
        <v>143.19999999999999</v>
      </c>
      <c r="C55">
        <v>11.18</v>
      </c>
      <c r="D55">
        <v>5.89</v>
      </c>
      <c r="E55">
        <v>104.7</v>
      </c>
      <c r="F55">
        <v>59.58</v>
      </c>
      <c r="G55">
        <v>36.86</v>
      </c>
      <c r="H55">
        <v>43.53</v>
      </c>
      <c r="I55">
        <v>41.47</v>
      </c>
      <c r="J55" s="111">
        <v>9.4920000000000004E-2</v>
      </c>
      <c r="M55" t="s">
        <v>3321</v>
      </c>
      <c r="N55">
        <v>446.6</v>
      </c>
      <c r="O55">
        <v>31.13</v>
      </c>
      <c r="P55">
        <v>16.77</v>
      </c>
      <c r="Q55">
        <v>306.3</v>
      </c>
      <c r="R55">
        <v>167.9</v>
      </c>
      <c r="S55">
        <v>89.28</v>
      </c>
      <c r="T55">
        <v>130.1</v>
      </c>
      <c r="U55">
        <v>127.2</v>
      </c>
      <c r="V55">
        <v>0.1492</v>
      </c>
    </row>
    <row r="56" spans="1:22" x14ac:dyDescent="0.55000000000000004">
      <c r="A56" t="s">
        <v>3361</v>
      </c>
      <c r="B56">
        <v>103.1</v>
      </c>
      <c r="C56">
        <v>6.9020000000000001</v>
      </c>
      <c r="D56">
        <v>3.5819999999999999</v>
      </c>
      <c r="E56">
        <v>69.69</v>
      </c>
      <c r="F56">
        <v>42.99</v>
      </c>
      <c r="G56">
        <v>28.66</v>
      </c>
      <c r="H56">
        <v>28.99</v>
      </c>
      <c r="I56">
        <v>28.06</v>
      </c>
      <c r="J56">
        <v>0.10299999999999999</v>
      </c>
      <c r="M56" t="s">
        <v>3322</v>
      </c>
      <c r="N56">
        <v>386.6</v>
      </c>
      <c r="O56">
        <v>20.67</v>
      </c>
      <c r="P56">
        <v>11.11</v>
      </c>
      <c r="Q56">
        <v>260.7</v>
      </c>
      <c r="R56">
        <v>137.30000000000001</v>
      </c>
      <c r="S56">
        <v>75.5</v>
      </c>
      <c r="T56">
        <v>99.64</v>
      </c>
      <c r="U56">
        <v>96.69</v>
      </c>
      <c r="V56">
        <v>0.1595</v>
      </c>
    </row>
    <row r="57" spans="1:22" x14ac:dyDescent="0.55000000000000004">
      <c r="A57" t="s">
        <v>3362</v>
      </c>
      <c r="B57">
        <v>136.19999999999999</v>
      </c>
      <c r="C57">
        <v>9.0459999999999994</v>
      </c>
      <c r="D57">
        <v>4.8979999999999997</v>
      </c>
      <c r="E57">
        <v>101.3</v>
      </c>
      <c r="F57">
        <v>59.51</v>
      </c>
      <c r="G57">
        <v>34.31</v>
      </c>
      <c r="H57">
        <v>39.96</v>
      </c>
      <c r="I57">
        <v>38.72</v>
      </c>
      <c r="J57" s="111">
        <v>8.1189999999999998E-2</v>
      </c>
      <c r="M57" t="s">
        <v>3323</v>
      </c>
      <c r="N57">
        <v>239.1</v>
      </c>
      <c r="O57">
        <v>19.14</v>
      </c>
      <c r="P57">
        <v>8.7929999999999993</v>
      </c>
      <c r="Q57">
        <v>176.2</v>
      </c>
      <c r="R57">
        <v>107.8</v>
      </c>
      <c r="S57">
        <v>65.23</v>
      </c>
      <c r="T57">
        <v>73.19</v>
      </c>
      <c r="U57">
        <v>70.319999999999993</v>
      </c>
      <c r="V57" s="111">
        <v>9.5530000000000004E-2</v>
      </c>
    </row>
    <row r="58" spans="1:22" x14ac:dyDescent="0.55000000000000004">
      <c r="A58" t="s">
        <v>3363</v>
      </c>
      <c r="B58">
        <v>213.6</v>
      </c>
      <c r="C58">
        <v>9.8070000000000004</v>
      </c>
      <c r="D58">
        <v>4.6310000000000002</v>
      </c>
      <c r="E58">
        <v>139.5</v>
      </c>
      <c r="F58">
        <v>68.61</v>
      </c>
      <c r="G58">
        <v>40.659999999999997</v>
      </c>
      <c r="H58">
        <v>62.44</v>
      </c>
      <c r="I58">
        <v>58.78</v>
      </c>
      <c r="J58" s="111">
        <v>8.3799999999999999E-2</v>
      </c>
      <c r="M58" t="s">
        <v>3324</v>
      </c>
      <c r="N58">
        <v>377.8</v>
      </c>
      <c r="O58">
        <v>20.37</v>
      </c>
      <c r="P58">
        <v>11.09</v>
      </c>
      <c r="Q58">
        <v>279.8</v>
      </c>
      <c r="R58">
        <v>163.80000000000001</v>
      </c>
      <c r="S58">
        <v>93.62</v>
      </c>
      <c r="T58">
        <v>98.26</v>
      </c>
      <c r="U58">
        <v>92.24</v>
      </c>
      <c r="V58">
        <v>0.22639999999999999</v>
      </c>
    </row>
    <row r="59" spans="1:22" x14ac:dyDescent="0.55000000000000004">
      <c r="A59" t="s">
        <v>3364</v>
      </c>
      <c r="B59">
        <v>131.9</v>
      </c>
      <c r="C59">
        <v>6.54</v>
      </c>
      <c r="D59">
        <v>3.2360000000000002</v>
      </c>
      <c r="E59">
        <v>98.41</v>
      </c>
      <c r="F59">
        <v>54.57</v>
      </c>
      <c r="G59">
        <v>30.51</v>
      </c>
      <c r="H59">
        <v>33.97</v>
      </c>
      <c r="I59">
        <v>30.77</v>
      </c>
      <c r="J59" s="111">
        <v>9.5380000000000006E-2</v>
      </c>
      <c r="M59" t="s">
        <v>3325</v>
      </c>
      <c r="N59">
        <v>420.9</v>
      </c>
      <c r="O59">
        <v>17.43</v>
      </c>
      <c r="P59">
        <v>9.5969999999999995</v>
      </c>
      <c r="Q59">
        <v>288.39999999999998</v>
      </c>
      <c r="R59">
        <v>154.5</v>
      </c>
      <c r="S59">
        <v>86.83</v>
      </c>
      <c r="T59">
        <v>104.2</v>
      </c>
      <c r="U59">
        <v>98.75</v>
      </c>
      <c r="V59">
        <v>0.25309999999999999</v>
      </c>
    </row>
    <row r="60" spans="1:22" x14ac:dyDescent="0.55000000000000004">
      <c r="A60" t="s">
        <v>3365</v>
      </c>
      <c r="B60">
        <v>152.5</v>
      </c>
      <c r="C60">
        <v>3.3959999999999999</v>
      </c>
      <c r="D60">
        <v>1.9710000000000001</v>
      </c>
      <c r="E60">
        <v>70.17</v>
      </c>
      <c r="F60">
        <v>27.36</v>
      </c>
      <c r="G60">
        <v>13.56</v>
      </c>
      <c r="H60">
        <v>50.18</v>
      </c>
      <c r="I60">
        <v>48.53</v>
      </c>
      <c r="J60" s="111">
        <v>2.8539999999999999E-2</v>
      </c>
      <c r="M60" t="s">
        <v>3326</v>
      </c>
      <c r="N60">
        <v>316</v>
      </c>
      <c r="O60">
        <v>14.05</v>
      </c>
      <c r="P60">
        <v>6.3449999999999998</v>
      </c>
      <c r="Q60">
        <v>211.4</v>
      </c>
      <c r="R60">
        <v>114.2</v>
      </c>
      <c r="S60">
        <v>60.87</v>
      </c>
      <c r="T60">
        <v>77.95</v>
      </c>
      <c r="U60">
        <v>74.989999999999995</v>
      </c>
      <c r="V60">
        <v>0.20860000000000001</v>
      </c>
    </row>
    <row r="61" spans="1:22" x14ac:dyDescent="0.55000000000000004">
      <c r="A61" t="s">
        <v>3366</v>
      </c>
      <c r="B61">
        <v>195.5</v>
      </c>
      <c r="C61">
        <v>15.08</v>
      </c>
      <c r="D61">
        <v>9.2149999999999999</v>
      </c>
      <c r="E61">
        <v>125.1</v>
      </c>
      <c r="F61">
        <v>63.7</v>
      </c>
      <c r="G61">
        <v>40.46</v>
      </c>
      <c r="H61">
        <v>65.62</v>
      </c>
      <c r="I61">
        <v>65.069999999999993</v>
      </c>
      <c r="J61" s="111">
        <v>5.8299999999999998E-2</v>
      </c>
      <c r="M61" t="s">
        <v>3327</v>
      </c>
      <c r="N61">
        <v>265.60000000000002</v>
      </c>
      <c r="O61">
        <v>21.01</v>
      </c>
      <c r="P61">
        <v>8.0340000000000007</v>
      </c>
      <c r="Q61">
        <v>178.6</v>
      </c>
      <c r="R61">
        <v>107.5</v>
      </c>
      <c r="S61">
        <v>58.16</v>
      </c>
      <c r="T61">
        <v>98.12</v>
      </c>
      <c r="U61">
        <v>97.46</v>
      </c>
      <c r="V61" s="111">
        <v>8.0089999999999995E-2</v>
      </c>
    </row>
    <row r="62" spans="1:22" x14ac:dyDescent="0.55000000000000004">
      <c r="A62" t="s">
        <v>3367</v>
      </c>
      <c r="B62">
        <v>59.11</v>
      </c>
      <c r="C62">
        <v>2.681</v>
      </c>
      <c r="D62">
        <v>1.651</v>
      </c>
      <c r="E62">
        <v>38.28</v>
      </c>
      <c r="F62">
        <v>15.69</v>
      </c>
      <c r="G62">
        <v>7.984</v>
      </c>
      <c r="H62">
        <v>45.04</v>
      </c>
      <c r="I62">
        <v>44.41</v>
      </c>
      <c r="J62" s="111">
        <v>2.4410000000000001E-2</v>
      </c>
      <c r="M62" t="s">
        <v>3328</v>
      </c>
      <c r="N62">
        <v>114.8</v>
      </c>
      <c r="O62">
        <v>6.8979999999999997</v>
      </c>
      <c r="P62">
        <v>2.7469999999999999</v>
      </c>
      <c r="Q62">
        <v>82.66</v>
      </c>
      <c r="R62">
        <v>46.03</v>
      </c>
      <c r="S62">
        <v>25.52</v>
      </c>
      <c r="T62">
        <v>34.119999999999997</v>
      </c>
      <c r="U62">
        <v>34.89</v>
      </c>
      <c r="V62" s="111">
        <v>3.6650000000000002E-2</v>
      </c>
    </row>
    <row r="63" spans="1:22" x14ac:dyDescent="0.55000000000000004">
      <c r="A63" t="s">
        <v>3368</v>
      </c>
      <c r="B63">
        <v>202.6</v>
      </c>
      <c r="C63">
        <v>10.01</v>
      </c>
      <c r="D63">
        <v>5.423</v>
      </c>
      <c r="E63">
        <v>131.69999999999999</v>
      </c>
      <c r="F63">
        <v>67.12</v>
      </c>
      <c r="G63">
        <v>37.380000000000003</v>
      </c>
      <c r="H63">
        <v>54.27</v>
      </c>
      <c r="I63">
        <v>53.51</v>
      </c>
      <c r="J63" s="111">
        <v>9.2749999999999999E-2</v>
      </c>
      <c r="M63" t="s">
        <v>3872</v>
      </c>
      <c r="N63">
        <v>47.07</v>
      </c>
      <c r="O63">
        <v>3.464</v>
      </c>
      <c r="P63">
        <v>1.4370000000000001</v>
      </c>
      <c r="Q63">
        <v>35.619999999999997</v>
      </c>
      <c r="R63">
        <v>27.4</v>
      </c>
      <c r="S63">
        <v>16.899999999999999</v>
      </c>
      <c r="T63">
        <v>10.36</v>
      </c>
      <c r="U63">
        <v>10.01</v>
      </c>
      <c r="V63" s="111">
        <v>6.0769999999999998E-2</v>
      </c>
    </row>
    <row r="64" spans="1:22" x14ac:dyDescent="0.55000000000000004">
      <c r="A64" t="s">
        <v>3369</v>
      </c>
      <c r="B64">
        <v>143.19999999999999</v>
      </c>
      <c r="C64">
        <v>7.6319999999999997</v>
      </c>
      <c r="D64">
        <v>5.3620000000000001</v>
      </c>
      <c r="E64">
        <v>99.64</v>
      </c>
      <c r="F64">
        <v>44.77</v>
      </c>
      <c r="G64">
        <v>23.95</v>
      </c>
      <c r="H64">
        <v>53.03</v>
      </c>
      <c r="I64">
        <v>52.68</v>
      </c>
      <c r="J64" s="111">
        <v>2.98E-2</v>
      </c>
      <c r="M64" t="s">
        <v>3873</v>
      </c>
      <c r="N64">
        <v>72.56</v>
      </c>
      <c r="O64">
        <v>5.6920000000000002</v>
      </c>
      <c r="P64">
        <v>2.7570000000000001</v>
      </c>
      <c r="Q64">
        <v>60.24</v>
      </c>
      <c r="R64">
        <v>45.18</v>
      </c>
      <c r="S64">
        <v>28.09</v>
      </c>
      <c r="T64">
        <v>18.329999999999998</v>
      </c>
      <c r="U64">
        <v>17.61</v>
      </c>
      <c r="V64" s="111">
        <v>8.2290000000000002E-2</v>
      </c>
    </row>
    <row r="65" spans="1:22" x14ac:dyDescent="0.55000000000000004">
      <c r="A65" t="s">
        <v>3370</v>
      </c>
      <c r="B65">
        <v>35.270000000000003</v>
      </c>
      <c r="C65">
        <v>2.7330000000000001</v>
      </c>
      <c r="D65">
        <v>1.7969999999999999</v>
      </c>
      <c r="E65">
        <v>24.72</v>
      </c>
      <c r="F65">
        <v>15.48</v>
      </c>
      <c r="G65">
        <v>9.9049999999999994</v>
      </c>
      <c r="H65">
        <v>40.72</v>
      </c>
      <c r="I65">
        <v>40.22</v>
      </c>
      <c r="J65" s="111">
        <v>2.1870000000000001E-2</v>
      </c>
      <c r="M65" t="s">
        <v>3874</v>
      </c>
      <c r="N65">
        <v>41.88</v>
      </c>
      <c r="O65">
        <v>2.347</v>
      </c>
      <c r="P65">
        <v>0.93049999999999999</v>
      </c>
      <c r="Q65">
        <v>32.54</v>
      </c>
      <c r="R65">
        <v>21.23</v>
      </c>
      <c r="S65">
        <v>11.53</v>
      </c>
      <c r="T65">
        <v>8.0239999999999991</v>
      </c>
      <c r="U65">
        <v>7.782</v>
      </c>
      <c r="V65" s="111">
        <v>4.4409999999999998E-2</v>
      </c>
    </row>
    <row r="66" spans="1:22" x14ac:dyDescent="0.55000000000000004">
      <c r="A66" t="s">
        <v>3371</v>
      </c>
      <c r="B66">
        <v>152.19999999999999</v>
      </c>
      <c r="C66">
        <v>11.54</v>
      </c>
      <c r="D66">
        <v>6.3170000000000002</v>
      </c>
      <c r="E66">
        <v>118.4</v>
      </c>
      <c r="F66">
        <v>85.39</v>
      </c>
      <c r="G66">
        <v>57.32</v>
      </c>
      <c r="H66">
        <v>39.89</v>
      </c>
      <c r="I66">
        <v>38.14</v>
      </c>
      <c r="J66">
        <v>0.17979999999999999</v>
      </c>
      <c r="M66" t="s">
        <v>3875</v>
      </c>
      <c r="N66">
        <v>11.53</v>
      </c>
      <c r="O66">
        <v>0.85260000000000002</v>
      </c>
      <c r="P66">
        <v>0.26889999999999997</v>
      </c>
      <c r="Q66">
        <v>9.86</v>
      </c>
      <c r="R66">
        <v>7.1020000000000003</v>
      </c>
      <c r="S66">
        <v>3.9460000000000002</v>
      </c>
      <c r="T66">
        <v>2.9249999999999998</v>
      </c>
      <c r="U66">
        <v>3.0089999999999999</v>
      </c>
      <c r="V66" s="111">
        <v>1.0619999999999999E-2</v>
      </c>
    </row>
    <row r="67" spans="1:22" x14ac:dyDescent="0.55000000000000004">
      <c r="A67" t="s">
        <v>3372</v>
      </c>
      <c r="B67">
        <v>123.4</v>
      </c>
      <c r="C67">
        <v>9.16</v>
      </c>
      <c r="D67">
        <v>5.4480000000000004</v>
      </c>
      <c r="E67">
        <v>90.26</v>
      </c>
      <c r="F67">
        <v>61.15</v>
      </c>
      <c r="G67">
        <v>41.41</v>
      </c>
      <c r="H67">
        <v>33.72</v>
      </c>
      <c r="I67">
        <v>31.63</v>
      </c>
      <c r="J67">
        <v>0.1142</v>
      </c>
      <c r="M67" t="s">
        <v>3876</v>
      </c>
      <c r="N67">
        <v>14.2</v>
      </c>
      <c r="O67">
        <v>0.89780000000000004</v>
      </c>
      <c r="P67">
        <v>0.28839999999999999</v>
      </c>
      <c r="Q67">
        <v>10.17</v>
      </c>
      <c r="R67">
        <v>6.6740000000000004</v>
      </c>
      <c r="S67">
        <v>3.9420000000000002</v>
      </c>
      <c r="T67">
        <v>4.2039999999999997</v>
      </c>
      <c r="U67">
        <v>3.944</v>
      </c>
      <c r="V67" s="111">
        <v>1.026E-2</v>
      </c>
    </row>
    <row r="68" spans="1:22" x14ac:dyDescent="0.55000000000000004">
      <c r="A68" t="s">
        <v>3373</v>
      </c>
      <c r="B68">
        <v>106.8</v>
      </c>
      <c r="C68">
        <v>7.4749999999999996</v>
      </c>
      <c r="D68">
        <v>4.7560000000000002</v>
      </c>
      <c r="E68">
        <v>77.56</v>
      </c>
      <c r="F68">
        <v>51.85</v>
      </c>
      <c r="G68">
        <v>33.869999999999997</v>
      </c>
      <c r="H68">
        <v>30.48</v>
      </c>
      <c r="I68">
        <v>28.64</v>
      </c>
      <c r="J68">
        <v>0.1016</v>
      </c>
      <c r="M68" t="s">
        <v>3877</v>
      </c>
      <c r="N68">
        <v>55.03</v>
      </c>
      <c r="O68">
        <v>3.93</v>
      </c>
      <c r="P68">
        <v>1.585</v>
      </c>
      <c r="Q68">
        <v>42.83</v>
      </c>
      <c r="R68">
        <v>27.22</v>
      </c>
      <c r="S68">
        <v>16.510000000000002</v>
      </c>
      <c r="T68">
        <v>14.41</v>
      </c>
      <c r="U68">
        <v>13.88</v>
      </c>
      <c r="V68" s="111">
        <v>3.0779999999999998E-2</v>
      </c>
    </row>
    <row r="69" spans="1:22" x14ac:dyDescent="0.55000000000000004">
      <c r="A69" t="s">
        <v>3374</v>
      </c>
      <c r="B69">
        <v>154.19999999999999</v>
      </c>
      <c r="C69">
        <v>7.6420000000000003</v>
      </c>
      <c r="D69">
        <v>4.5919999999999996</v>
      </c>
      <c r="E69">
        <v>112</v>
      </c>
      <c r="F69">
        <v>70.489999999999995</v>
      </c>
      <c r="G69">
        <v>39.42</v>
      </c>
      <c r="H69">
        <v>41.02</v>
      </c>
      <c r="I69">
        <v>39.17</v>
      </c>
      <c r="J69">
        <v>0.1163</v>
      </c>
      <c r="M69" t="s">
        <v>3878</v>
      </c>
      <c r="N69">
        <v>59.41</v>
      </c>
      <c r="O69">
        <v>4.5270000000000001</v>
      </c>
      <c r="P69">
        <v>1.8879999999999999</v>
      </c>
      <c r="Q69">
        <v>46.25</v>
      </c>
      <c r="R69">
        <v>28.66</v>
      </c>
      <c r="S69">
        <v>19.420000000000002</v>
      </c>
      <c r="T69">
        <v>18.23</v>
      </c>
      <c r="U69">
        <v>17.22</v>
      </c>
      <c r="V69" s="111">
        <v>3.7220000000000003E-2</v>
      </c>
    </row>
    <row r="70" spans="1:22" x14ac:dyDescent="0.55000000000000004">
      <c r="A70" t="s">
        <v>3375</v>
      </c>
      <c r="B70">
        <v>121</v>
      </c>
      <c r="C70">
        <v>7.2229999999999999</v>
      </c>
      <c r="D70">
        <v>3.6030000000000002</v>
      </c>
      <c r="E70">
        <v>79.95</v>
      </c>
      <c r="F70">
        <v>56.21</v>
      </c>
      <c r="G70">
        <v>34.89</v>
      </c>
      <c r="H70">
        <v>33.85</v>
      </c>
      <c r="I70">
        <v>31.79</v>
      </c>
      <c r="J70">
        <v>0.15090000000000001</v>
      </c>
      <c r="M70" t="s">
        <v>3879</v>
      </c>
      <c r="N70">
        <v>45.71</v>
      </c>
      <c r="O70">
        <v>2.7090000000000001</v>
      </c>
      <c r="P70">
        <v>1.012</v>
      </c>
      <c r="Q70">
        <v>31.9</v>
      </c>
      <c r="R70">
        <v>23.08</v>
      </c>
      <c r="S70">
        <v>12.72</v>
      </c>
      <c r="T70">
        <v>9.0830000000000002</v>
      </c>
      <c r="U70">
        <v>8.7379999999999995</v>
      </c>
      <c r="V70" s="111">
        <v>5.441E-2</v>
      </c>
    </row>
    <row r="71" spans="1:22" x14ac:dyDescent="0.55000000000000004">
      <c r="A71" t="s">
        <v>3376</v>
      </c>
      <c r="B71">
        <v>163.30000000000001</v>
      </c>
      <c r="C71">
        <v>12.18</v>
      </c>
      <c r="D71">
        <v>6.2679999999999998</v>
      </c>
      <c r="E71">
        <v>105.2</v>
      </c>
      <c r="F71">
        <v>76.84</v>
      </c>
      <c r="G71">
        <v>56.04</v>
      </c>
      <c r="H71">
        <v>44.34</v>
      </c>
      <c r="I71">
        <v>41.29</v>
      </c>
      <c r="J71">
        <v>0.1598</v>
      </c>
      <c r="M71" t="s">
        <v>3880</v>
      </c>
      <c r="N71">
        <v>71.48</v>
      </c>
      <c r="O71">
        <v>6.0860000000000003</v>
      </c>
      <c r="P71">
        <v>2.7669999999999999</v>
      </c>
      <c r="Q71">
        <v>54.73</v>
      </c>
      <c r="R71">
        <v>34.380000000000003</v>
      </c>
      <c r="S71">
        <v>22.42</v>
      </c>
      <c r="T71">
        <v>19.87</v>
      </c>
      <c r="U71">
        <v>19.100000000000001</v>
      </c>
      <c r="V71" s="111">
        <v>4.8370000000000003E-2</v>
      </c>
    </row>
    <row r="72" spans="1:22" x14ac:dyDescent="0.55000000000000004">
      <c r="A72" t="s">
        <v>3377</v>
      </c>
      <c r="B72">
        <v>106.1</v>
      </c>
      <c r="C72">
        <v>7.4279999999999999</v>
      </c>
      <c r="D72">
        <v>4.593</v>
      </c>
      <c r="E72">
        <v>77.87</v>
      </c>
      <c r="F72">
        <v>55.15</v>
      </c>
      <c r="G72">
        <v>31.47</v>
      </c>
      <c r="H72">
        <v>29.27</v>
      </c>
      <c r="I72">
        <v>27.98</v>
      </c>
      <c r="J72">
        <v>0.1021</v>
      </c>
      <c r="M72" t="s">
        <v>3881</v>
      </c>
      <c r="N72">
        <v>69.34</v>
      </c>
      <c r="O72">
        <v>3.7949999999999999</v>
      </c>
      <c r="P72">
        <v>1.4830000000000001</v>
      </c>
      <c r="Q72">
        <v>49.46</v>
      </c>
      <c r="R72">
        <v>31.2</v>
      </c>
      <c r="S72">
        <v>17.32</v>
      </c>
      <c r="T72">
        <v>18.25</v>
      </c>
      <c r="U72">
        <v>17.47</v>
      </c>
      <c r="V72" s="111">
        <v>4.6539999999999998E-2</v>
      </c>
    </row>
    <row r="73" spans="1:22" x14ac:dyDescent="0.55000000000000004">
      <c r="A73" t="s">
        <v>3378</v>
      </c>
      <c r="B73">
        <v>114.5</v>
      </c>
      <c r="C73">
        <v>7.2320000000000002</v>
      </c>
      <c r="D73">
        <v>3.8580000000000001</v>
      </c>
      <c r="E73">
        <v>74.86</v>
      </c>
      <c r="F73">
        <v>53.69</v>
      </c>
      <c r="G73">
        <v>36.880000000000003</v>
      </c>
      <c r="H73">
        <v>26.31</v>
      </c>
      <c r="I73">
        <v>25.35</v>
      </c>
      <c r="J73">
        <v>0.13830000000000001</v>
      </c>
      <c r="M73" t="s">
        <v>3882</v>
      </c>
      <c r="N73">
        <v>65.099999999999994</v>
      </c>
      <c r="O73">
        <v>7.0940000000000003</v>
      </c>
      <c r="P73">
        <v>2.802</v>
      </c>
      <c r="Q73">
        <v>50.21</v>
      </c>
      <c r="R73">
        <v>35.75</v>
      </c>
      <c r="S73">
        <v>25.24</v>
      </c>
      <c r="T73">
        <v>21.41</v>
      </c>
      <c r="U73">
        <v>20.92</v>
      </c>
      <c r="V73" s="111">
        <v>5.2089999999999997E-2</v>
      </c>
    </row>
    <row r="74" spans="1:22" x14ac:dyDescent="0.55000000000000004">
      <c r="A74" t="s">
        <v>3379</v>
      </c>
      <c r="B74">
        <v>100.4</v>
      </c>
      <c r="C74">
        <v>7.6139999999999999</v>
      </c>
      <c r="D74">
        <v>4.6959999999999997</v>
      </c>
      <c r="E74">
        <v>72.56</v>
      </c>
      <c r="F74">
        <v>51.09</v>
      </c>
      <c r="G74">
        <v>34.229999999999997</v>
      </c>
      <c r="H74">
        <v>28.4</v>
      </c>
      <c r="I74">
        <v>26.09</v>
      </c>
      <c r="J74">
        <v>0.1007</v>
      </c>
      <c r="M74" t="s">
        <v>3883</v>
      </c>
      <c r="N74">
        <v>102.8</v>
      </c>
      <c r="O74">
        <v>4.992</v>
      </c>
      <c r="P74">
        <v>2.3860000000000001</v>
      </c>
      <c r="Q74">
        <v>69.959999999999994</v>
      </c>
      <c r="R74">
        <v>43.7</v>
      </c>
      <c r="S74">
        <v>24.92</v>
      </c>
      <c r="T74">
        <v>24.18</v>
      </c>
      <c r="U74">
        <v>22.64</v>
      </c>
      <c r="V74" s="111">
        <v>8.0869999999999997E-2</v>
      </c>
    </row>
    <row r="75" spans="1:22" x14ac:dyDescent="0.55000000000000004">
      <c r="A75" t="s">
        <v>3380</v>
      </c>
      <c r="B75">
        <v>122.2</v>
      </c>
      <c r="C75">
        <v>6.5570000000000004</v>
      </c>
      <c r="D75">
        <v>3.5030000000000001</v>
      </c>
      <c r="E75">
        <v>78.83</v>
      </c>
      <c r="F75">
        <v>55.96</v>
      </c>
      <c r="G75">
        <v>32.49</v>
      </c>
      <c r="H75">
        <v>23.94</v>
      </c>
      <c r="I75">
        <v>22.51</v>
      </c>
      <c r="J75">
        <v>0.15790000000000001</v>
      </c>
      <c r="M75" t="s">
        <v>3884</v>
      </c>
      <c r="N75">
        <v>67.8</v>
      </c>
      <c r="O75">
        <v>4.6900000000000004</v>
      </c>
      <c r="P75">
        <v>1.6970000000000001</v>
      </c>
      <c r="Q75">
        <v>46.65</v>
      </c>
      <c r="R75">
        <v>22.41</v>
      </c>
      <c r="S75">
        <v>13.52</v>
      </c>
      <c r="T75">
        <v>15.57</v>
      </c>
      <c r="U75">
        <v>15.49</v>
      </c>
      <c r="V75" s="111">
        <v>2.087E-2</v>
      </c>
    </row>
    <row r="76" spans="1:22" x14ac:dyDescent="0.55000000000000004">
      <c r="A76" t="s">
        <v>3381</v>
      </c>
      <c r="B76">
        <v>232.8</v>
      </c>
      <c r="C76">
        <v>15.81</v>
      </c>
      <c r="D76">
        <v>9.56</v>
      </c>
      <c r="E76">
        <v>174.6</v>
      </c>
      <c r="F76">
        <v>84.89</v>
      </c>
      <c r="G76">
        <v>47.93</v>
      </c>
      <c r="H76">
        <v>69.33</v>
      </c>
      <c r="I76">
        <v>67.760000000000005</v>
      </c>
      <c r="J76">
        <v>0.1134</v>
      </c>
      <c r="M76" t="s">
        <v>3885</v>
      </c>
      <c r="N76">
        <v>108</v>
      </c>
      <c r="O76">
        <v>5.2549999999999999</v>
      </c>
      <c r="P76">
        <v>2.3759999999999999</v>
      </c>
      <c r="Q76">
        <v>76.150000000000006</v>
      </c>
      <c r="R76">
        <v>44.05</v>
      </c>
      <c r="S76">
        <v>23.42</v>
      </c>
      <c r="T76">
        <v>26.43</v>
      </c>
      <c r="U76">
        <v>24.81</v>
      </c>
      <c r="V76" s="111">
        <v>7.1550000000000002E-2</v>
      </c>
    </row>
    <row r="77" spans="1:22" x14ac:dyDescent="0.55000000000000004">
      <c r="A77" t="s">
        <v>3382</v>
      </c>
      <c r="B77">
        <v>180.1</v>
      </c>
      <c r="C77">
        <v>8.9369999999999994</v>
      </c>
      <c r="D77">
        <v>5.5659999999999998</v>
      </c>
      <c r="E77">
        <v>123</v>
      </c>
      <c r="F77">
        <v>67.010000000000005</v>
      </c>
      <c r="G77">
        <v>35.51</v>
      </c>
      <c r="H77">
        <v>47.7</v>
      </c>
      <c r="I77">
        <v>45.84</v>
      </c>
      <c r="J77">
        <v>0.1158</v>
      </c>
      <c r="M77" t="s">
        <v>3886</v>
      </c>
      <c r="N77">
        <v>176</v>
      </c>
      <c r="O77">
        <v>5.5650000000000004</v>
      </c>
      <c r="P77">
        <v>2.6469999999999998</v>
      </c>
      <c r="Q77">
        <v>114.8</v>
      </c>
      <c r="R77">
        <v>54.31</v>
      </c>
      <c r="S77">
        <v>25.94</v>
      </c>
      <c r="T77">
        <v>38.869999999999997</v>
      </c>
      <c r="U77">
        <v>36.83</v>
      </c>
      <c r="V77" s="111">
        <v>7.0779999999999996E-2</v>
      </c>
    </row>
    <row r="78" spans="1:22" x14ac:dyDescent="0.55000000000000004">
      <c r="A78" t="s">
        <v>3383</v>
      </c>
      <c r="B78">
        <v>249.3</v>
      </c>
      <c r="C78">
        <v>13.32</v>
      </c>
      <c r="D78">
        <v>8.3230000000000004</v>
      </c>
      <c r="E78">
        <v>171.7</v>
      </c>
      <c r="F78">
        <v>85.52</v>
      </c>
      <c r="G78">
        <v>48.29</v>
      </c>
      <c r="H78">
        <v>65.150000000000006</v>
      </c>
      <c r="I78">
        <v>64.11</v>
      </c>
      <c r="J78" s="111">
        <v>9.9519999999999997E-2</v>
      </c>
      <c r="M78" t="s">
        <v>3887</v>
      </c>
      <c r="N78">
        <v>100.5</v>
      </c>
      <c r="O78">
        <v>3.0510000000000002</v>
      </c>
      <c r="P78">
        <v>1.0029999999999999</v>
      </c>
      <c r="Q78">
        <v>62.35</v>
      </c>
      <c r="R78">
        <v>26.39</v>
      </c>
      <c r="S78">
        <v>13.46</v>
      </c>
      <c r="T78">
        <v>30.05</v>
      </c>
      <c r="U78">
        <v>29.63</v>
      </c>
      <c r="V78" s="111">
        <v>2.6599999999999999E-2</v>
      </c>
    </row>
    <row r="79" spans="1:22" x14ac:dyDescent="0.55000000000000004">
      <c r="A79" t="s">
        <v>3384</v>
      </c>
      <c r="B79">
        <v>372.6</v>
      </c>
      <c r="C79">
        <v>13.34</v>
      </c>
      <c r="D79">
        <v>7.5709999999999997</v>
      </c>
      <c r="E79">
        <v>219.1</v>
      </c>
      <c r="F79">
        <v>82.85</v>
      </c>
      <c r="G79">
        <v>50.06</v>
      </c>
      <c r="H79">
        <v>92</v>
      </c>
      <c r="I79">
        <v>90.26</v>
      </c>
      <c r="J79">
        <v>0.1004</v>
      </c>
      <c r="M79" t="s">
        <v>3888</v>
      </c>
      <c r="N79">
        <v>28.3</v>
      </c>
      <c r="O79">
        <v>2.5870000000000002</v>
      </c>
      <c r="P79">
        <v>0.83650000000000002</v>
      </c>
      <c r="Q79">
        <v>19.149999999999999</v>
      </c>
      <c r="R79">
        <v>10.93</v>
      </c>
      <c r="S79">
        <v>7.7530000000000001</v>
      </c>
      <c r="T79">
        <v>10.94</v>
      </c>
      <c r="U79">
        <v>10.98</v>
      </c>
      <c r="V79" s="111">
        <v>8.5699999999999995E-3</v>
      </c>
    </row>
    <row r="80" spans="1:22" x14ac:dyDescent="0.55000000000000004">
      <c r="A80" t="s">
        <v>3385</v>
      </c>
      <c r="B80">
        <v>237</v>
      </c>
      <c r="C80">
        <v>8.2840000000000007</v>
      </c>
      <c r="D80">
        <v>4.9400000000000004</v>
      </c>
      <c r="E80">
        <v>145.9</v>
      </c>
      <c r="F80">
        <v>74.5</v>
      </c>
      <c r="G80">
        <v>38.92</v>
      </c>
      <c r="H80">
        <v>60.7</v>
      </c>
      <c r="I80">
        <v>57.12</v>
      </c>
      <c r="J80">
        <v>0.1094</v>
      </c>
      <c r="M80" t="s">
        <v>3889</v>
      </c>
      <c r="N80">
        <v>53.26</v>
      </c>
      <c r="O80">
        <v>1.9830000000000001</v>
      </c>
      <c r="P80">
        <v>0.58830000000000005</v>
      </c>
      <c r="Q80">
        <v>36.229999999999997</v>
      </c>
      <c r="R80">
        <v>18.86</v>
      </c>
      <c r="S80">
        <v>9.7650000000000006</v>
      </c>
      <c r="T80">
        <v>17.73</v>
      </c>
      <c r="U80">
        <v>17.649999999999999</v>
      </c>
      <c r="V80" s="111">
        <v>1.8780000000000002E-2</v>
      </c>
    </row>
    <row r="81" spans="1:22" x14ac:dyDescent="0.55000000000000004">
      <c r="A81" t="s">
        <v>3386</v>
      </c>
      <c r="B81">
        <v>330.1</v>
      </c>
      <c r="C81">
        <v>6.7560000000000002</v>
      </c>
      <c r="D81">
        <v>4.1539999999999999</v>
      </c>
      <c r="E81">
        <v>153.80000000000001</v>
      </c>
      <c r="F81">
        <v>53.09</v>
      </c>
      <c r="G81">
        <v>25.29</v>
      </c>
      <c r="H81">
        <v>118.8</v>
      </c>
      <c r="I81">
        <v>116.9</v>
      </c>
      <c r="J81" s="111">
        <v>6.5790000000000001E-2</v>
      </c>
      <c r="M81" t="s">
        <v>3890</v>
      </c>
      <c r="N81">
        <v>68.239999999999995</v>
      </c>
      <c r="O81">
        <v>2.42</v>
      </c>
      <c r="P81">
        <v>0.78820000000000001</v>
      </c>
      <c r="Q81">
        <v>42.74</v>
      </c>
      <c r="R81">
        <v>16.510000000000002</v>
      </c>
      <c r="S81">
        <v>6.8949999999999996</v>
      </c>
      <c r="T81">
        <v>15.12</v>
      </c>
      <c r="U81">
        <v>16.010000000000002</v>
      </c>
      <c r="V81" s="111">
        <v>1.321E-2</v>
      </c>
    </row>
    <row r="82" spans="1:22" x14ac:dyDescent="0.55000000000000004">
      <c r="A82" t="s">
        <v>3387</v>
      </c>
      <c r="B82">
        <v>373</v>
      </c>
      <c r="C82">
        <v>27.38</v>
      </c>
      <c r="D82">
        <v>18.03</v>
      </c>
      <c r="E82">
        <v>236.8</v>
      </c>
      <c r="F82">
        <v>112.4</v>
      </c>
      <c r="G82">
        <v>69</v>
      </c>
      <c r="H82">
        <v>130.4</v>
      </c>
      <c r="I82">
        <v>129.6</v>
      </c>
      <c r="J82" s="111">
        <v>8.9249999999999996E-2</v>
      </c>
      <c r="M82" t="s">
        <v>3891</v>
      </c>
      <c r="N82">
        <v>49.82</v>
      </c>
      <c r="O82">
        <v>3.1829999999999998</v>
      </c>
      <c r="P82">
        <v>1.335</v>
      </c>
      <c r="Q82">
        <v>33.6</v>
      </c>
      <c r="R82">
        <v>20.93</v>
      </c>
      <c r="S82">
        <v>12.67</v>
      </c>
      <c r="T82">
        <v>12.56</v>
      </c>
      <c r="U82">
        <v>12.45</v>
      </c>
      <c r="V82" s="111">
        <v>4.1840000000000002E-2</v>
      </c>
    </row>
    <row r="83" spans="1:22" x14ac:dyDescent="0.55000000000000004">
      <c r="A83" t="s">
        <v>3388</v>
      </c>
      <c r="B83">
        <v>121.6</v>
      </c>
      <c r="C83">
        <v>5.91</v>
      </c>
      <c r="D83">
        <v>3.8260000000000001</v>
      </c>
      <c r="E83">
        <v>75.78</v>
      </c>
      <c r="F83">
        <v>34.64</v>
      </c>
      <c r="G83">
        <v>19.2</v>
      </c>
      <c r="H83">
        <v>112.4</v>
      </c>
      <c r="I83">
        <v>110.7</v>
      </c>
      <c r="J83" s="111">
        <v>6.0400000000000002E-2</v>
      </c>
      <c r="M83" t="s">
        <v>3892</v>
      </c>
      <c r="N83">
        <v>70.099999999999994</v>
      </c>
      <c r="O83">
        <v>4.0860000000000003</v>
      </c>
      <c r="P83">
        <v>1.7989999999999999</v>
      </c>
      <c r="Q83">
        <v>47.99</v>
      </c>
      <c r="R83">
        <v>31.78</v>
      </c>
      <c r="S83">
        <v>19.79</v>
      </c>
      <c r="T83">
        <v>23.49</v>
      </c>
      <c r="U83">
        <v>23.75</v>
      </c>
      <c r="V83" s="111">
        <v>3.6330000000000001E-2</v>
      </c>
    </row>
    <row r="84" spans="1:22" x14ac:dyDescent="0.55000000000000004">
      <c r="A84" t="s">
        <v>3389</v>
      </c>
      <c r="B84">
        <v>293.2</v>
      </c>
      <c r="C84">
        <v>13.47</v>
      </c>
      <c r="D84">
        <v>8.6050000000000004</v>
      </c>
      <c r="E84">
        <v>182.3</v>
      </c>
      <c r="F84">
        <v>93.52</v>
      </c>
      <c r="G84">
        <v>48.36</v>
      </c>
      <c r="H84">
        <v>77.17</v>
      </c>
      <c r="I84">
        <v>76.08</v>
      </c>
      <c r="J84">
        <v>0.10539999999999999</v>
      </c>
      <c r="M84" t="s">
        <v>3893</v>
      </c>
      <c r="N84">
        <v>70.17</v>
      </c>
      <c r="O84">
        <v>5.2309999999999999</v>
      </c>
      <c r="P84">
        <v>2.0920000000000001</v>
      </c>
      <c r="Q84">
        <v>58.05</v>
      </c>
      <c r="R84">
        <v>38.53</v>
      </c>
      <c r="S84">
        <v>23.21</v>
      </c>
      <c r="T84">
        <v>19.46</v>
      </c>
      <c r="U84">
        <v>19.12</v>
      </c>
      <c r="V84" s="111">
        <v>5.4579999999999997E-2</v>
      </c>
    </row>
    <row r="85" spans="1:22" x14ac:dyDescent="0.55000000000000004">
      <c r="A85" t="s">
        <v>3390</v>
      </c>
      <c r="B85">
        <v>310.39999999999998</v>
      </c>
      <c r="C85">
        <v>17.52</v>
      </c>
      <c r="D85">
        <v>12.5</v>
      </c>
      <c r="E85">
        <v>217.8</v>
      </c>
      <c r="F85">
        <v>97.33</v>
      </c>
      <c r="G85">
        <v>57.86</v>
      </c>
      <c r="H85">
        <v>123.1</v>
      </c>
      <c r="I85">
        <v>121.9</v>
      </c>
      <c r="J85" s="111">
        <v>6.8669999999999995E-2</v>
      </c>
      <c r="M85" t="s">
        <v>3894</v>
      </c>
      <c r="N85">
        <v>97.26</v>
      </c>
      <c r="O85">
        <v>4.0709999999999997</v>
      </c>
      <c r="P85">
        <v>2.1659999999999999</v>
      </c>
      <c r="Q85">
        <v>53.76</v>
      </c>
      <c r="R85">
        <v>33.22</v>
      </c>
      <c r="S85">
        <v>19.54</v>
      </c>
      <c r="T85">
        <v>12.82</v>
      </c>
      <c r="U85">
        <v>12.01</v>
      </c>
      <c r="V85">
        <v>0.13109999999999999</v>
      </c>
    </row>
    <row r="86" spans="1:22" x14ac:dyDescent="0.55000000000000004">
      <c r="A86" t="s">
        <v>3391</v>
      </c>
      <c r="B86">
        <v>89</v>
      </c>
      <c r="C86">
        <v>6.8860000000000001</v>
      </c>
      <c r="D86">
        <v>4.5330000000000004</v>
      </c>
      <c r="E86">
        <v>62.37</v>
      </c>
      <c r="F86">
        <v>39.049999999999997</v>
      </c>
      <c r="G86">
        <v>24.95</v>
      </c>
      <c r="H86">
        <v>102.7</v>
      </c>
      <c r="I86">
        <v>101.5</v>
      </c>
      <c r="J86" s="111">
        <v>5.5169999999999997E-2</v>
      </c>
      <c r="M86" t="s">
        <v>3895</v>
      </c>
      <c r="N86">
        <v>99.24</v>
      </c>
      <c r="O86">
        <v>9.1159999999999997</v>
      </c>
      <c r="P86">
        <v>4.6769999999999996</v>
      </c>
      <c r="Q86">
        <v>69.739999999999995</v>
      </c>
      <c r="R86">
        <v>53.53</v>
      </c>
      <c r="S86">
        <v>35.28</v>
      </c>
      <c r="T86">
        <v>24.57</v>
      </c>
      <c r="U86">
        <v>23.6</v>
      </c>
      <c r="V86">
        <v>0.13239999999999999</v>
      </c>
    </row>
    <row r="87" spans="1:22" x14ac:dyDescent="0.55000000000000004">
      <c r="A87" t="s">
        <v>3392</v>
      </c>
      <c r="B87">
        <v>846.3</v>
      </c>
      <c r="C87">
        <v>37.72</v>
      </c>
      <c r="D87">
        <v>24.69</v>
      </c>
      <c r="E87">
        <v>611.29999999999995</v>
      </c>
      <c r="F87">
        <v>331.5</v>
      </c>
      <c r="G87">
        <v>173</v>
      </c>
      <c r="H87">
        <v>247.2</v>
      </c>
      <c r="I87">
        <v>240.5</v>
      </c>
      <c r="J87">
        <v>0.30380000000000001</v>
      </c>
      <c r="M87" t="s">
        <v>3896</v>
      </c>
      <c r="N87">
        <v>127.4</v>
      </c>
      <c r="O87">
        <v>8.8529999999999998</v>
      </c>
      <c r="P87">
        <v>3.8980000000000001</v>
      </c>
      <c r="Q87">
        <v>113</v>
      </c>
      <c r="R87">
        <v>75.38</v>
      </c>
      <c r="S87">
        <v>41.06</v>
      </c>
      <c r="T87">
        <v>49</v>
      </c>
      <c r="U87">
        <v>47.85</v>
      </c>
      <c r="V87">
        <v>0.1143</v>
      </c>
    </row>
    <row r="88" spans="1:22" x14ac:dyDescent="0.55000000000000004">
      <c r="A88" t="s">
        <v>3393</v>
      </c>
      <c r="B88">
        <v>1043</v>
      </c>
      <c r="C88">
        <v>33.22</v>
      </c>
      <c r="D88">
        <v>22.59</v>
      </c>
      <c r="E88">
        <v>691.2</v>
      </c>
      <c r="F88">
        <v>324</v>
      </c>
      <c r="G88">
        <v>160.19999999999999</v>
      </c>
      <c r="H88">
        <v>297.7</v>
      </c>
      <c r="I88">
        <v>286.60000000000002</v>
      </c>
      <c r="J88">
        <v>0.31950000000000001</v>
      </c>
      <c r="M88" t="s">
        <v>3897</v>
      </c>
      <c r="N88">
        <v>105.5</v>
      </c>
      <c r="O88">
        <v>5.9560000000000004</v>
      </c>
      <c r="P88">
        <v>2.367</v>
      </c>
      <c r="Q88">
        <v>83.83</v>
      </c>
      <c r="R88">
        <v>49.87</v>
      </c>
      <c r="S88">
        <v>28.04</v>
      </c>
      <c r="T88">
        <v>36.72</v>
      </c>
      <c r="U88">
        <v>36.090000000000003</v>
      </c>
      <c r="V88" s="111">
        <v>4.691E-2</v>
      </c>
    </row>
    <row r="89" spans="1:22" x14ac:dyDescent="0.55000000000000004">
      <c r="A89" t="s">
        <v>3394</v>
      </c>
      <c r="B89">
        <v>599.6</v>
      </c>
      <c r="C89">
        <v>26.42</v>
      </c>
      <c r="D89">
        <v>16.63</v>
      </c>
      <c r="E89">
        <v>401.1</v>
      </c>
      <c r="F89">
        <v>207.3</v>
      </c>
      <c r="G89">
        <v>131.30000000000001</v>
      </c>
      <c r="H89">
        <v>153.30000000000001</v>
      </c>
      <c r="I89">
        <v>150</v>
      </c>
      <c r="J89">
        <v>0.26879999999999998</v>
      </c>
      <c r="M89" t="s">
        <v>3898</v>
      </c>
      <c r="N89">
        <v>133</v>
      </c>
      <c r="O89">
        <v>5.351</v>
      </c>
      <c r="P89">
        <v>1.353</v>
      </c>
      <c r="Q89">
        <v>88.62</v>
      </c>
      <c r="R89">
        <v>55.32</v>
      </c>
      <c r="S89">
        <v>29.87</v>
      </c>
      <c r="T89">
        <v>51.07</v>
      </c>
      <c r="U89">
        <v>50.15</v>
      </c>
      <c r="V89" s="111">
        <v>4.9570000000000003E-2</v>
      </c>
    </row>
    <row r="90" spans="1:22" x14ac:dyDescent="0.55000000000000004">
      <c r="A90" t="s">
        <v>3395</v>
      </c>
      <c r="B90">
        <v>882.7</v>
      </c>
      <c r="C90">
        <v>33.409999999999997</v>
      </c>
      <c r="D90">
        <v>23.11</v>
      </c>
      <c r="E90">
        <v>586.4</v>
      </c>
      <c r="F90">
        <v>311</v>
      </c>
      <c r="G90">
        <v>159.9</v>
      </c>
      <c r="H90">
        <v>246.2</v>
      </c>
      <c r="I90">
        <v>230.4</v>
      </c>
      <c r="J90">
        <v>0.25359999999999999</v>
      </c>
      <c r="M90" t="s">
        <v>3899</v>
      </c>
      <c r="N90">
        <v>146.6</v>
      </c>
      <c r="O90">
        <v>12.55</v>
      </c>
      <c r="P90">
        <v>5.3339999999999996</v>
      </c>
      <c r="Q90">
        <v>96.95</v>
      </c>
      <c r="R90">
        <v>58.69</v>
      </c>
      <c r="S90">
        <v>42.38</v>
      </c>
      <c r="T90">
        <v>50.67</v>
      </c>
      <c r="U90">
        <v>49.62</v>
      </c>
      <c r="V90">
        <v>0.12870000000000001</v>
      </c>
    </row>
    <row r="91" spans="1:22" x14ac:dyDescent="0.55000000000000004">
      <c r="A91" t="s">
        <v>3396</v>
      </c>
      <c r="B91">
        <v>1145</v>
      </c>
      <c r="C91">
        <v>41.5</v>
      </c>
      <c r="D91">
        <v>25.15</v>
      </c>
      <c r="E91">
        <v>739.5</v>
      </c>
      <c r="F91">
        <v>339.3</v>
      </c>
      <c r="G91">
        <v>187.8</v>
      </c>
      <c r="H91">
        <v>301.10000000000002</v>
      </c>
      <c r="I91">
        <v>288.3</v>
      </c>
      <c r="J91">
        <v>0.3528</v>
      </c>
      <c r="M91" t="s">
        <v>3900</v>
      </c>
      <c r="N91">
        <v>65.900000000000006</v>
      </c>
      <c r="O91">
        <v>4.9290000000000003</v>
      </c>
      <c r="P91">
        <v>2.508</v>
      </c>
      <c r="Q91">
        <v>50.81</v>
      </c>
      <c r="R91">
        <v>29.21</v>
      </c>
      <c r="S91">
        <v>19.71</v>
      </c>
      <c r="T91">
        <v>16.93</v>
      </c>
      <c r="U91">
        <v>16.97</v>
      </c>
      <c r="V91" s="111">
        <v>7.1660000000000001E-2</v>
      </c>
    </row>
    <row r="92" spans="1:22" x14ac:dyDescent="0.55000000000000004">
      <c r="A92" t="s">
        <v>3397</v>
      </c>
      <c r="B92">
        <v>1116</v>
      </c>
      <c r="C92">
        <v>54.58</v>
      </c>
      <c r="D92">
        <v>35.369999999999997</v>
      </c>
      <c r="E92">
        <v>742.7</v>
      </c>
      <c r="F92">
        <v>371.7</v>
      </c>
      <c r="G92">
        <v>203.1</v>
      </c>
      <c r="H92">
        <v>304.8</v>
      </c>
      <c r="I92">
        <v>291.60000000000002</v>
      </c>
      <c r="J92">
        <v>0.2918</v>
      </c>
      <c r="M92" t="s">
        <v>3901</v>
      </c>
      <c r="N92">
        <v>24.92</v>
      </c>
      <c r="O92">
        <v>1.9810000000000001</v>
      </c>
      <c r="P92">
        <v>0.66690000000000005</v>
      </c>
      <c r="Q92">
        <v>18.87</v>
      </c>
      <c r="R92">
        <v>13.33</v>
      </c>
      <c r="S92">
        <v>8.8840000000000003</v>
      </c>
      <c r="T92">
        <v>6.3209999999999997</v>
      </c>
      <c r="U92">
        <v>6.0330000000000004</v>
      </c>
      <c r="V92" s="111">
        <v>2.7289999999999998E-2</v>
      </c>
    </row>
    <row r="93" spans="1:22" x14ac:dyDescent="0.55000000000000004">
      <c r="A93" t="s">
        <v>3398</v>
      </c>
      <c r="B93">
        <v>1032</v>
      </c>
      <c r="C93">
        <v>38.24</v>
      </c>
      <c r="D93">
        <v>26.56</v>
      </c>
      <c r="E93">
        <v>714</v>
      </c>
      <c r="F93">
        <v>332.5</v>
      </c>
      <c r="G93">
        <v>178.6</v>
      </c>
      <c r="H93">
        <v>253.5</v>
      </c>
      <c r="I93">
        <v>239.9</v>
      </c>
      <c r="J93">
        <v>0.2772</v>
      </c>
      <c r="M93" t="s">
        <v>3902</v>
      </c>
      <c r="N93">
        <v>7.2110000000000003</v>
      </c>
      <c r="O93">
        <v>0.54700000000000004</v>
      </c>
      <c r="P93">
        <v>0.16350000000000001</v>
      </c>
      <c r="Q93">
        <v>5.7610000000000001</v>
      </c>
      <c r="R93">
        <v>3.7360000000000002</v>
      </c>
      <c r="S93">
        <v>2.1970000000000001</v>
      </c>
      <c r="T93">
        <v>2.0470000000000002</v>
      </c>
      <c r="U93">
        <v>2.0070000000000001</v>
      </c>
      <c r="V93" s="111">
        <v>4.3160000000000004E-3</v>
      </c>
    </row>
    <row r="94" spans="1:22" x14ac:dyDescent="0.55000000000000004">
      <c r="A94" t="s">
        <v>3399</v>
      </c>
      <c r="B94">
        <v>1034</v>
      </c>
      <c r="C94">
        <v>35.51</v>
      </c>
      <c r="D94">
        <v>24.84</v>
      </c>
      <c r="E94">
        <v>680.4</v>
      </c>
      <c r="F94">
        <v>332</v>
      </c>
      <c r="G94">
        <v>178.3</v>
      </c>
      <c r="H94">
        <v>279.5</v>
      </c>
      <c r="I94">
        <v>256.3</v>
      </c>
      <c r="J94">
        <v>0.28739999999999999</v>
      </c>
      <c r="M94" t="s">
        <v>3903</v>
      </c>
      <c r="N94">
        <v>18.03</v>
      </c>
      <c r="O94">
        <v>1.365</v>
      </c>
      <c r="P94">
        <v>0.49680000000000002</v>
      </c>
      <c r="Q94">
        <v>14.75</v>
      </c>
      <c r="R94">
        <v>11.35</v>
      </c>
      <c r="S94">
        <v>7.0350000000000001</v>
      </c>
      <c r="T94">
        <v>4.2990000000000004</v>
      </c>
      <c r="U94">
        <v>4.1059999999999999</v>
      </c>
      <c r="V94" s="111">
        <v>2.2849999999999999E-2</v>
      </c>
    </row>
    <row r="95" spans="1:22" x14ac:dyDescent="0.55000000000000004">
      <c r="A95" t="s">
        <v>3400</v>
      </c>
      <c r="B95">
        <v>976.8</v>
      </c>
      <c r="C95">
        <v>40.590000000000003</v>
      </c>
      <c r="D95">
        <v>26.95</v>
      </c>
      <c r="E95">
        <v>644.20000000000005</v>
      </c>
      <c r="F95">
        <v>321.3</v>
      </c>
      <c r="G95">
        <v>167.9</v>
      </c>
      <c r="H95">
        <v>270.7</v>
      </c>
      <c r="I95">
        <v>260.39999999999998</v>
      </c>
      <c r="J95">
        <v>0.29010000000000002</v>
      </c>
      <c r="M95" t="s">
        <v>3904</v>
      </c>
      <c r="N95">
        <v>44.96</v>
      </c>
      <c r="O95">
        <v>2.7109999999999999</v>
      </c>
      <c r="P95">
        <v>0.90959999999999996</v>
      </c>
      <c r="Q95">
        <v>32.58</v>
      </c>
      <c r="R95">
        <v>20.14</v>
      </c>
      <c r="S95">
        <v>12.57</v>
      </c>
      <c r="T95">
        <v>10.15</v>
      </c>
      <c r="U95">
        <v>9.6750000000000007</v>
      </c>
      <c r="V95" s="111">
        <v>3.7719999999999997E-2</v>
      </c>
    </row>
    <row r="96" spans="1:22" x14ac:dyDescent="0.55000000000000004">
      <c r="A96" t="s">
        <v>3401</v>
      </c>
      <c r="B96">
        <v>1141</v>
      </c>
      <c r="C96">
        <v>44.76</v>
      </c>
      <c r="D96">
        <v>29.59</v>
      </c>
      <c r="E96">
        <v>744.7</v>
      </c>
      <c r="F96">
        <v>370.3</v>
      </c>
      <c r="G96">
        <v>215.7</v>
      </c>
      <c r="H96">
        <v>340.9</v>
      </c>
      <c r="I96">
        <v>323.2</v>
      </c>
      <c r="J96">
        <v>0.38479999999999998</v>
      </c>
      <c r="M96" t="s">
        <v>3905</v>
      </c>
      <c r="N96">
        <v>51.36</v>
      </c>
      <c r="O96">
        <v>3.08</v>
      </c>
      <c r="P96">
        <v>1.135</v>
      </c>
      <c r="Q96">
        <v>35.520000000000003</v>
      </c>
      <c r="R96">
        <v>22.73</v>
      </c>
      <c r="S96">
        <v>14.13</v>
      </c>
      <c r="T96">
        <v>12.14</v>
      </c>
      <c r="U96">
        <v>11.58</v>
      </c>
      <c r="V96" s="111">
        <v>4.9680000000000002E-2</v>
      </c>
    </row>
    <row r="97" spans="1:22" x14ac:dyDescent="0.55000000000000004">
      <c r="A97" t="s">
        <v>3402</v>
      </c>
      <c r="B97">
        <v>1544</v>
      </c>
      <c r="C97">
        <v>114.3</v>
      </c>
      <c r="D97">
        <v>79.760000000000005</v>
      </c>
      <c r="E97">
        <v>991.3</v>
      </c>
      <c r="F97">
        <v>464.7</v>
      </c>
      <c r="G97">
        <v>265.2</v>
      </c>
      <c r="H97">
        <v>499.4</v>
      </c>
      <c r="I97">
        <v>482.5</v>
      </c>
      <c r="J97">
        <v>0.34810000000000002</v>
      </c>
      <c r="M97" t="s">
        <v>3906</v>
      </c>
      <c r="N97">
        <v>50.9</v>
      </c>
      <c r="O97">
        <v>3.3239999999999998</v>
      </c>
      <c r="P97">
        <v>1.282</v>
      </c>
      <c r="Q97">
        <v>40.76</v>
      </c>
      <c r="R97">
        <v>25.53</v>
      </c>
      <c r="S97">
        <v>15.99</v>
      </c>
      <c r="T97">
        <v>12.39</v>
      </c>
      <c r="U97">
        <v>11.65</v>
      </c>
      <c r="V97" s="111">
        <v>2.7859999999999999E-2</v>
      </c>
    </row>
    <row r="98" spans="1:22" x14ac:dyDescent="0.55000000000000004">
      <c r="A98" t="s">
        <v>3403</v>
      </c>
      <c r="B98">
        <v>1412</v>
      </c>
      <c r="C98">
        <v>64.64</v>
      </c>
      <c r="D98">
        <v>45.68</v>
      </c>
      <c r="E98">
        <v>871.8</v>
      </c>
      <c r="F98">
        <v>358.1</v>
      </c>
      <c r="G98">
        <v>188.5</v>
      </c>
      <c r="H98">
        <v>413.1</v>
      </c>
      <c r="I98">
        <v>398.1</v>
      </c>
      <c r="J98">
        <v>0.30499999999999999</v>
      </c>
      <c r="M98" t="s">
        <v>3907</v>
      </c>
      <c r="N98">
        <v>74.540000000000006</v>
      </c>
      <c r="O98">
        <v>4.7460000000000004</v>
      </c>
      <c r="P98">
        <v>2.1440000000000001</v>
      </c>
      <c r="Q98">
        <v>55.12</v>
      </c>
      <c r="R98">
        <v>38.72</v>
      </c>
      <c r="S98">
        <v>22.27</v>
      </c>
      <c r="T98">
        <v>19.36</v>
      </c>
      <c r="U98">
        <v>18.39</v>
      </c>
      <c r="V98" s="111">
        <v>5.5960000000000003E-2</v>
      </c>
    </row>
    <row r="99" spans="1:22" x14ac:dyDescent="0.55000000000000004">
      <c r="A99" t="s">
        <v>3404</v>
      </c>
      <c r="B99">
        <v>1381</v>
      </c>
      <c r="C99">
        <v>101.8</v>
      </c>
      <c r="D99">
        <v>67.53</v>
      </c>
      <c r="E99">
        <v>888.3</v>
      </c>
      <c r="F99">
        <v>396.2</v>
      </c>
      <c r="G99">
        <v>249.7</v>
      </c>
      <c r="H99">
        <v>454.1</v>
      </c>
      <c r="I99">
        <v>445</v>
      </c>
      <c r="J99">
        <v>0.28339999999999999</v>
      </c>
      <c r="M99" t="s">
        <v>3908</v>
      </c>
      <c r="N99">
        <v>21.21</v>
      </c>
      <c r="O99">
        <v>1.5469999999999999</v>
      </c>
      <c r="P99">
        <v>0.53039999999999998</v>
      </c>
      <c r="Q99">
        <v>16.420000000000002</v>
      </c>
      <c r="R99">
        <v>11.73</v>
      </c>
      <c r="S99">
        <v>7.3879999999999999</v>
      </c>
      <c r="T99">
        <v>4.8120000000000003</v>
      </c>
      <c r="U99">
        <v>4.7389999999999999</v>
      </c>
      <c r="V99" s="111">
        <v>2.3910000000000001E-2</v>
      </c>
    </row>
    <row r="100" spans="1:22" x14ac:dyDescent="0.55000000000000004">
      <c r="A100" t="s">
        <v>3405</v>
      </c>
      <c r="B100">
        <v>1318</v>
      </c>
      <c r="C100">
        <v>44.86</v>
      </c>
      <c r="D100">
        <v>32.090000000000003</v>
      </c>
      <c r="E100">
        <v>780.1</v>
      </c>
      <c r="F100">
        <v>346.4</v>
      </c>
      <c r="G100">
        <v>186.5</v>
      </c>
      <c r="H100">
        <v>366.3</v>
      </c>
      <c r="I100">
        <v>352.3</v>
      </c>
      <c r="J100">
        <v>0.33660000000000001</v>
      </c>
      <c r="M100" t="s">
        <v>3909</v>
      </c>
      <c r="N100">
        <v>16.11</v>
      </c>
      <c r="O100">
        <v>0.84850000000000003</v>
      </c>
      <c r="P100">
        <v>0.34660000000000002</v>
      </c>
      <c r="Q100">
        <v>12.05</v>
      </c>
      <c r="R100">
        <v>5.7969999999999997</v>
      </c>
      <c r="S100">
        <v>3.3559999999999999</v>
      </c>
      <c r="T100">
        <v>6.4640000000000004</v>
      </c>
      <c r="U100">
        <v>6.8129999999999997</v>
      </c>
      <c r="V100" s="111">
        <v>4.3109999999999997E-3</v>
      </c>
    </row>
    <row r="101" spans="1:22" x14ac:dyDescent="0.55000000000000004">
      <c r="A101" t="s">
        <v>3406</v>
      </c>
      <c r="B101">
        <v>1209</v>
      </c>
      <c r="C101">
        <v>36.58</v>
      </c>
      <c r="D101">
        <v>25.49</v>
      </c>
      <c r="E101">
        <v>747</v>
      </c>
      <c r="F101">
        <v>326.5</v>
      </c>
      <c r="G101">
        <v>171</v>
      </c>
      <c r="H101">
        <v>348.6</v>
      </c>
      <c r="I101">
        <v>330.7</v>
      </c>
      <c r="J101">
        <v>0.35749999999999998</v>
      </c>
      <c r="M101" t="s">
        <v>3910</v>
      </c>
      <c r="N101">
        <v>9.6890000000000001</v>
      </c>
      <c r="O101">
        <v>0.73809999999999998</v>
      </c>
      <c r="P101">
        <v>0.3468</v>
      </c>
      <c r="Q101">
        <v>6.9560000000000004</v>
      </c>
      <c r="R101">
        <v>3.734</v>
      </c>
      <c r="S101">
        <v>2.2549999999999999</v>
      </c>
      <c r="T101">
        <v>5.4409999999999998</v>
      </c>
      <c r="U101">
        <v>5.407</v>
      </c>
      <c r="V101" s="111">
        <v>3.2980000000000002E-3</v>
      </c>
    </row>
    <row r="102" spans="1:22" x14ac:dyDescent="0.55000000000000004">
      <c r="A102" t="s">
        <v>3407</v>
      </c>
      <c r="B102">
        <v>1228</v>
      </c>
      <c r="C102">
        <v>36.72</v>
      </c>
      <c r="D102">
        <v>24.82</v>
      </c>
      <c r="E102">
        <v>739.1</v>
      </c>
      <c r="F102">
        <v>301.5</v>
      </c>
      <c r="G102">
        <v>142.30000000000001</v>
      </c>
      <c r="H102">
        <v>388.3</v>
      </c>
      <c r="I102">
        <v>375.8</v>
      </c>
      <c r="J102">
        <v>0.35120000000000001</v>
      </c>
      <c r="M102" t="s">
        <v>3911</v>
      </c>
      <c r="N102">
        <v>54.68</v>
      </c>
      <c r="O102">
        <v>2.0510000000000002</v>
      </c>
      <c r="P102">
        <v>0.83289999999999997</v>
      </c>
      <c r="Q102">
        <v>44.74</v>
      </c>
      <c r="R102">
        <v>18.350000000000001</v>
      </c>
      <c r="S102">
        <v>10.58</v>
      </c>
      <c r="T102">
        <v>13.7</v>
      </c>
      <c r="U102">
        <v>13.4</v>
      </c>
      <c r="V102" s="111">
        <v>1.512E-2</v>
      </c>
    </row>
    <row r="103" spans="1:22" x14ac:dyDescent="0.55000000000000004">
      <c r="A103" t="s">
        <v>3408</v>
      </c>
      <c r="B103">
        <v>1341</v>
      </c>
      <c r="C103">
        <v>176.7</v>
      </c>
      <c r="D103">
        <v>106.7</v>
      </c>
      <c r="E103">
        <v>983.4</v>
      </c>
      <c r="F103">
        <v>679.1</v>
      </c>
      <c r="G103">
        <v>489.1</v>
      </c>
      <c r="H103">
        <v>1013</v>
      </c>
      <c r="I103">
        <v>991.5</v>
      </c>
      <c r="J103">
        <v>0.55189999999999995</v>
      </c>
      <c r="M103" t="s">
        <v>3912</v>
      </c>
      <c r="N103">
        <v>60.98</v>
      </c>
      <c r="O103">
        <v>5.5279999999999996</v>
      </c>
      <c r="P103">
        <v>2.427</v>
      </c>
      <c r="Q103">
        <v>44.89</v>
      </c>
      <c r="R103">
        <v>35.46</v>
      </c>
      <c r="S103">
        <v>25.35</v>
      </c>
      <c r="T103">
        <v>18.350000000000001</v>
      </c>
      <c r="U103">
        <v>17.850000000000001</v>
      </c>
      <c r="V103" s="111">
        <v>7.8229999999999994E-2</v>
      </c>
    </row>
    <row r="104" spans="1:22" x14ac:dyDescent="0.55000000000000004">
      <c r="A104" t="s">
        <v>3409</v>
      </c>
      <c r="B104">
        <v>1434</v>
      </c>
      <c r="C104">
        <v>76.19</v>
      </c>
      <c r="D104">
        <v>52.5</v>
      </c>
      <c r="E104">
        <v>911.2</v>
      </c>
      <c r="F104">
        <v>367.4</v>
      </c>
      <c r="G104">
        <v>180.4</v>
      </c>
      <c r="H104">
        <v>430.7</v>
      </c>
      <c r="I104">
        <v>425.3</v>
      </c>
      <c r="J104">
        <v>0.25119999999999998</v>
      </c>
      <c r="M104" t="s">
        <v>3913</v>
      </c>
      <c r="N104">
        <v>75.53</v>
      </c>
      <c r="O104">
        <v>4.569</v>
      </c>
      <c r="P104">
        <v>2.004</v>
      </c>
      <c r="Q104">
        <v>50.33</v>
      </c>
      <c r="R104">
        <v>33.94</v>
      </c>
      <c r="S104">
        <v>23.44</v>
      </c>
      <c r="T104">
        <v>18.7</v>
      </c>
      <c r="U104">
        <v>17.829999999999998</v>
      </c>
      <c r="V104" s="111">
        <v>7.646E-2</v>
      </c>
    </row>
    <row r="105" spans="1:22" x14ac:dyDescent="0.55000000000000004">
      <c r="A105" t="s">
        <v>3410</v>
      </c>
      <c r="B105">
        <v>829.2</v>
      </c>
      <c r="C105">
        <v>37.270000000000003</v>
      </c>
      <c r="D105">
        <v>24.35</v>
      </c>
      <c r="E105">
        <v>599.20000000000005</v>
      </c>
      <c r="F105">
        <v>325.89999999999998</v>
      </c>
      <c r="G105">
        <v>170.7</v>
      </c>
      <c r="H105">
        <v>242.5</v>
      </c>
      <c r="I105">
        <v>235.7</v>
      </c>
      <c r="J105">
        <v>0.30099999999999999</v>
      </c>
      <c r="M105" t="s">
        <v>3914</v>
      </c>
      <c r="N105">
        <v>64.150000000000006</v>
      </c>
      <c r="O105">
        <v>3.7879999999999998</v>
      </c>
      <c r="P105">
        <v>1.4470000000000001</v>
      </c>
      <c r="Q105">
        <v>46.14</v>
      </c>
      <c r="R105">
        <v>33.68</v>
      </c>
      <c r="S105">
        <v>18.899999999999999</v>
      </c>
      <c r="T105">
        <v>12.23</v>
      </c>
      <c r="U105">
        <v>11.75</v>
      </c>
      <c r="V105" s="111">
        <v>7.9119999999999996E-2</v>
      </c>
    </row>
    <row r="106" spans="1:22" x14ac:dyDescent="0.55000000000000004">
      <c r="A106" t="s">
        <v>3411</v>
      </c>
      <c r="B106">
        <v>1023</v>
      </c>
      <c r="C106">
        <v>32.700000000000003</v>
      </c>
      <c r="D106">
        <v>22.28</v>
      </c>
      <c r="E106">
        <v>677.6</v>
      </c>
      <c r="F106">
        <v>317.7</v>
      </c>
      <c r="G106">
        <v>158</v>
      </c>
      <c r="H106">
        <v>292.89999999999998</v>
      </c>
      <c r="I106">
        <v>281.10000000000002</v>
      </c>
      <c r="J106">
        <v>0.31759999999999999</v>
      </c>
      <c r="M106" t="s">
        <v>3915</v>
      </c>
      <c r="N106">
        <v>62.19</v>
      </c>
      <c r="O106">
        <v>3.7730000000000001</v>
      </c>
      <c r="P106">
        <v>1.4770000000000001</v>
      </c>
      <c r="Q106">
        <v>41.92</v>
      </c>
      <c r="R106">
        <v>28.09</v>
      </c>
      <c r="S106">
        <v>23.28</v>
      </c>
      <c r="T106">
        <v>14.21</v>
      </c>
      <c r="U106">
        <v>13.97</v>
      </c>
      <c r="V106" s="111">
        <v>8.3669999999999994E-2</v>
      </c>
    </row>
    <row r="107" spans="1:22" x14ac:dyDescent="0.55000000000000004">
      <c r="A107" t="s">
        <v>3412</v>
      </c>
      <c r="B107">
        <v>588.1</v>
      </c>
      <c r="C107">
        <v>26</v>
      </c>
      <c r="D107">
        <v>16.36</v>
      </c>
      <c r="E107">
        <v>394</v>
      </c>
      <c r="F107">
        <v>204.7</v>
      </c>
      <c r="G107">
        <v>129.30000000000001</v>
      </c>
      <c r="H107">
        <v>150.5</v>
      </c>
      <c r="I107">
        <v>147.30000000000001</v>
      </c>
      <c r="J107">
        <v>0.26700000000000002</v>
      </c>
      <c r="M107" t="s">
        <v>3916</v>
      </c>
      <c r="N107">
        <v>65.45</v>
      </c>
      <c r="O107">
        <v>2.6739999999999999</v>
      </c>
      <c r="P107">
        <v>0.9204</v>
      </c>
      <c r="Q107">
        <v>38.06</v>
      </c>
      <c r="R107">
        <v>25.79</v>
      </c>
      <c r="S107">
        <v>15.09</v>
      </c>
      <c r="T107">
        <v>10.9</v>
      </c>
      <c r="U107">
        <v>10.01</v>
      </c>
      <c r="V107" s="111">
        <v>8.9440000000000006E-2</v>
      </c>
    </row>
    <row r="108" spans="1:22" x14ac:dyDescent="0.55000000000000004">
      <c r="A108" t="s">
        <v>3413</v>
      </c>
      <c r="B108">
        <v>865.9</v>
      </c>
      <c r="C108">
        <v>32.89</v>
      </c>
      <c r="D108">
        <v>22.76</v>
      </c>
      <c r="E108">
        <v>574.6</v>
      </c>
      <c r="F108">
        <v>306.3</v>
      </c>
      <c r="G108">
        <v>157.6</v>
      </c>
      <c r="H108">
        <v>241.2</v>
      </c>
      <c r="I108">
        <v>226.5</v>
      </c>
      <c r="J108">
        <v>0.25059999999999999</v>
      </c>
      <c r="M108" t="s">
        <v>3917</v>
      </c>
      <c r="N108">
        <v>62.16</v>
      </c>
      <c r="O108">
        <v>5.391</v>
      </c>
      <c r="P108">
        <v>1.8320000000000001</v>
      </c>
      <c r="Q108">
        <v>46.08</v>
      </c>
      <c r="R108">
        <v>32.869999999999997</v>
      </c>
      <c r="S108">
        <v>25.32</v>
      </c>
      <c r="T108">
        <v>17.079999999999998</v>
      </c>
      <c r="U108">
        <v>16.82</v>
      </c>
      <c r="V108" s="111">
        <v>6.216E-2</v>
      </c>
    </row>
    <row r="109" spans="1:22" x14ac:dyDescent="0.55000000000000004">
      <c r="A109" t="s">
        <v>3414</v>
      </c>
      <c r="B109">
        <v>1122</v>
      </c>
      <c r="C109">
        <v>41.01</v>
      </c>
      <c r="D109">
        <v>24.82</v>
      </c>
      <c r="E109">
        <v>725.5</v>
      </c>
      <c r="F109">
        <v>335.2</v>
      </c>
      <c r="G109">
        <v>185.5</v>
      </c>
      <c r="H109">
        <v>297.2</v>
      </c>
      <c r="I109">
        <v>283.39999999999998</v>
      </c>
      <c r="J109">
        <v>0.34989999999999999</v>
      </c>
      <c r="M109" t="s">
        <v>3918</v>
      </c>
      <c r="N109">
        <v>69.98</v>
      </c>
      <c r="O109">
        <v>4.1210000000000004</v>
      </c>
      <c r="P109">
        <v>1.7210000000000001</v>
      </c>
      <c r="Q109">
        <v>45.74</v>
      </c>
      <c r="R109">
        <v>32.340000000000003</v>
      </c>
      <c r="S109">
        <v>19.329999999999998</v>
      </c>
      <c r="T109">
        <v>15.2</v>
      </c>
      <c r="U109">
        <v>14.9</v>
      </c>
      <c r="V109" s="111">
        <v>7.5999999999999998E-2</v>
      </c>
    </row>
    <row r="110" spans="1:22" x14ac:dyDescent="0.55000000000000004">
      <c r="A110" t="s">
        <v>3415</v>
      </c>
      <c r="B110">
        <v>1095</v>
      </c>
      <c r="C110">
        <v>53.79</v>
      </c>
      <c r="D110">
        <v>34.869999999999997</v>
      </c>
      <c r="E110">
        <v>727.9</v>
      </c>
      <c r="F110">
        <v>364.6</v>
      </c>
      <c r="G110">
        <v>200.2</v>
      </c>
      <c r="H110">
        <v>299.2</v>
      </c>
      <c r="I110">
        <v>286.8</v>
      </c>
      <c r="J110">
        <v>0.2888</v>
      </c>
      <c r="M110" t="s">
        <v>3919</v>
      </c>
      <c r="N110">
        <v>51.86</v>
      </c>
      <c r="O110">
        <v>2.9449999999999998</v>
      </c>
      <c r="P110">
        <v>1.115</v>
      </c>
      <c r="Q110">
        <v>38.119999999999997</v>
      </c>
      <c r="R110">
        <v>26.62</v>
      </c>
      <c r="S110">
        <v>15.34</v>
      </c>
      <c r="T110">
        <v>9.8460000000000001</v>
      </c>
      <c r="U110">
        <v>9.75</v>
      </c>
      <c r="V110" s="111">
        <v>6.3339999999999994E-2</v>
      </c>
    </row>
    <row r="111" spans="1:22" x14ac:dyDescent="0.55000000000000004">
      <c r="A111" t="s">
        <v>3416</v>
      </c>
      <c r="B111">
        <v>1012</v>
      </c>
      <c r="C111">
        <v>37.729999999999997</v>
      </c>
      <c r="D111">
        <v>26.19</v>
      </c>
      <c r="E111">
        <v>700.7</v>
      </c>
      <c r="F111">
        <v>326.8</v>
      </c>
      <c r="G111">
        <v>175.9</v>
      </c>
      <c r="H111">
        <v>249</v>
      </c>
      <c r="I111">
        <v>236</v>
      </c>
      <c r="J111">
        <v>0.27379999999999999</v>
      </c>
      <c r="M111" t="s">
        <v>3920</v>
      </c>
      <c r="N111">
        <v>59.82</v>
      </c>
      <c r="O111">
        <v>4.891</v>
      </c>
      <c r="P111">
        <v>1.833</v>
      </c>
      <c r="Q111">
        <v>40.409999999999997</v>
      </c>
      <c r="R111">
        <v>30.64</v>
      </c>
      <c r="S111">
        <v>21.28</v>
      </c>
      <c r="T111">
        <v>16.13</v>
      </c>
      <c r="U111">
        <v>15.91</v>
      </c>
      <c r="V111" s="111">
        <v>6.4979999999999996E-2</v>
      </c>
    </row>
    <row r="112" spans="1:22" x14ac:dyDescent="0.55000000000000004">
      <c r="A112" t="s">
        <v>3417</v>
      </c>
      <c r="B112">
        <v>1015</v>
      </c>
      <c r="C112">
        <v>35.020000000000003</v>
      </c>
      <c r="D112">
        <v>24.48</v>
      </c>
      <c r="E112">
        <v>669.2</v>
      </c>
      <c r="F112">
        <v>325.8</v>
      </c>
      <c r="G112">
        <v>175.6</v>
      </c>
      <c r="H112">
        <v>274.39999999999998</v>
      </c>
      <c r="I112">
        <v>252.4</v>
      </c>
      <c r="J112">
        <v>0.28539999999999999</v>
      </c>
      <c r="M112" t="s">
        <v>3921</v>
      </c>
      <c r="N112">
        <v>86.26</v>
      </c>
      <c r="O112">
        <v>3.7320000000000002</v>
      </c>
      <c r="P112">
        <v>1.585</v>
      </c>
      <c r="Q112">
        <v>50.59</v>
      </c>
      <c r="R112">
        <v>32.93</v>
      </c>
      <c r="S112">
        <v>19.8</v>
      </c>
      <c r="T112">
        <v>15.24</v>
      </c>
      <c r="U112">
        <v>14.84</v>
      </c>
      <c r="V112" s="111">
        <v>9.758E-2</v>
      </c>
    </row>
    <row r="113" spans="1:22" x14ac:dyDescent="0.55000000000000004">
      <c r="A113" t="s">
        <v>3418</v>
      </c>
      <c r="B113">
        <v>958.2</v>
      </c>
      <c r="C113">
        <v>40.020000000000003</v>
      </c>
      <c r="D113">
        <v>26.55</v>
      </c>
      <c r="E113">
        <v>633.70000000000005</v>
      </c>
      <c r="F113">
        <v>315.89999999999998</v>
      </c>
      <c r="G113">
        <v>164.9</v>
      </c>
      <c r="H113">
        <v>265.8</v>
      </c>
      <c r="I113">
        <v>256.3</v>
      </c>
      <c r="J113">
        <v>0.28820000000000001</v>
      </c>
      <c r="M113" t="s">
        <v>3922</v>
      </c>
      <c r="N113">
        <v>89.18</v>
      </c>
      <c r="O113">
        <v>5.8769999999999998</v>
      </c>
      <c r="P113">
        <v>2.2669999999999999</v>
      </c>
      <c r="Q113">
        <v>60.64</v>
      </c>
      <c r="R113">
        <v>37.82</v>
      </c>
      <c r="S113">
        <v>23.32</v>
      </c>
      <c r="T113">
        <v>24.3</v>
      </c>
      <c r="U113">
        <v>23.35</v>
      </c>
      <c r="V113" s="111">
        <v>5.7290000000000001E-2</v>
      </c>
    </row>
    <row r="114" spans="1:22" x14ac:dyDescent="0.55000000000000004">
      <c r="A114" t="s">
        <v>3419</v>
      </c>
      <c r="B114">
        <v>1123</v>
      </c>
      <c r="C114">
        <v>44.32</v>
      </c>
      <c r="D114">
        <v>29.26</v>
      </c>
      <c r="E114">
        <v>733.6</v>
      </c>
      <c r="F114">
        <v>367.2</v>
      </c>
      <c r="G114">
        <v>213.9</v>
      </c>
      <c r="H114">
        <v>334.6</v>
      </c>
      <c r="I114">
        <v>317.7</v>
      </c>
      <c r="J114">
        <v>0.38279999999999997</v>
      </c>
      <c r="M114" t="s">
        <v>3923</v>
      </c>
      <c r="N114">
        <v>159.9</v>
      </c>
      <c r="O114">
        <v>8.4610000000000003</v>
      </c>
      <c r="P114">
        <v>3.1669999999999998</v>
      </c>
      <c r="Q114">
        <v>115.2</v>
      </c>
      <c r="R114">
        <v>52.79</v>
      </c>
      <c r="S114">
        <v>30.73</v>
      </c>
      <c r="T114">
        <v>54.48</v>
      </c>
      <c r="U114">
        <v>52.81</v>
      </c>
      <c r="V114" s="111">
        <v>7.4569999999999997E-2</v>
      </c>
    </row>
    <row r="115" spans="1:22" x14ac:dyDescent="0.55000000000000004">
      <c r="A115" t="s">
        <v>3420</v>
      </c>
      <c r="B115">
        <v>1517</v>
      </c>
      <c r="C115">
        <v>112.7</v>
      </c>
      <c r="D115">
        <v>78.5</v>
      </c>
      <c r="E115">
        <v>972.4</v>
      </c>
      <c r="F115">
        <v>456</v>
      </c>
      <c r="G115">
        <v>260.39999999999998</v>
      </c>
      <c r="H115">
        <v>490.3</v>
      </c>
      <c r="I115">
        <v>474.3</v>
      </c>
      <c r="J115">
        <v>0.34429999999999999</v>
      </c>
      <c r="M115" t="s">
        <v>3924</v>
      </c>
      <c r="N115">
        <v>79.13</v>
      </c>
      <c r="O115">
        <v>6.109</v>
      </c>
      <c r="P115">
        <v>2.2759999999999998</v>
      </c>
      <c r="Q115">
        <v>60.2</v>
      </c>
      <c r="R115">
        <v>38.01</v>
      </c>
      <c r="S115">
        <v>25.6</v>
      </c>
      <c r="T115">
        <v>22.63</v>
      </c>
      <c r="U115">
        <v>21.64</v>
      </c>
      <c r="V115" s="111">
        <v>6.5070000000000003E-2</v>
      </c>
    </row>
    <row r="116" spans="1:22" x14ac:dyDescent="0.55000000000000004">
      <c r="A116" t="s">
        <v>3421</v>
      </c>
      <c r="B116">
        <v>1386</v>
      </c>
      <c r="C116">
        <v>63.67</v>
      </c>
      <c r="D116">
        <v>44.98</v>
      </c>
      <c r="E116">
        <v>854.6</v>
      </c>
      <c r="F116">
        <v>352.8</v>
      </c>
      <c r="G116">
        <v>186.2</v>
      </c>
      <c r="H116">
        <v>405.7</v>
      </c>
      <c r="I116">
        <v>390.8</v>
      </c>
      <c r="J116">
        <v>0.30149999999999999</v>
      </c>
      <c r="M116" t="s">
        <v>3925</v>
      </c>
      <c r="N116">
        <v>110.3</v>
      </c>
      <c r="O116">
        <v>5.9009999999999998</v>
      </c>
      <c r="P116">
        <v>2.2759999999999998</v>
      </c>
      <c r="Q116">
        <v>68.819999999999993</v>
      </c>
      <c r="R116">
        <v>46.78</v>
      </c>
      <c r="S116">
        <v>29.9</v>
      </c>
      <c r="T116">
        <v>24.49</v>
      </c>
      <c r="U116">
        <v>22.85</v>
      </c>
      <c r="V116">
        <v>0.1042</v>
      </c>
    </row>
    <row r="117" spans="1:22" x14ac:dyDescent="0.55000000000000004">
      <c r="A117" t="s">
        <v>3422</v>
      </c>
      <c r="B117">
        <v>1354</v>
      </c>
      <c r="C117">
        <v>100.1</v>
      </c>
      <c r="D117">
        <v>66.34</v>
      </c>
      <c r="E117">
        <v>871.8</v>
      </c>
      <c r="F117">
        <v>388.4</v>
      </c>
      <c r="G117">
        <v>244.8</v>
      </c>
      <c r="H117">
        <v>445.9</v>
      </c>
      <c r="I117">
        <v>436.6</v>
      </c>
      <c r="J117">
        <v>0.27879999999999999</v>
      </c>
      <c r="M117" t="s">
        <v>3926</v>
      </c>
      <c r="N117">
        <v>73.88</v>
      </c>
      <c r="O117">
        <v>3.843</v>
      </c>
      <c r="P117">
        <v>1.518</v>
      </c>
      <c r="Q117">
        <v>52.08</v>
      </c>
      <c r="R117">
        <v>32.64</v>
      </c>
      <c r="S117">
        <v>23.61</v>
      </c>
      <c r="T117">
        <v>15.98</v>
      </c>
      <c r="U117">
        <v>16.64</v>
      </c>
      <c r="V117" s="111">
        <v>9.9449999999999997E-2</v>
      </c>
    </row>
    <row r="118" spans="1:22" x14ac:dyDescent="0.55000000000000004">
      <c r="A118" t="s">
        <v>3423</v>
      </c>
      <c r="B118">
        <v>1292</v>
      </c>
      <c r="C118">
        <v>44.42</v>
      </c>
      <c r="D118">
        <v>31.67</v>
      </c>
      <c r="E118">
        <v>770.5</v>
      </c>
      <c r="F118">
        <v>341.3</v>
      </c>
      <c r="G118">
        <v>184.3</v>
      </c>
      <c r="H118">
        <v>359.6</v>
      </c>
      <c r="I118">
        <v>346.3</v>
      </c>
      <c r="J118">
        <v>0.33410000000000001</v>
      </c>
      <c r="M118" t="s">
        <v>3927</v>
      </c>
      <c r="N118">
        <v>30.07</v>
      </c>
      <c r="O118">
        <v>0.35639999999999999</v>
      </c>
      <c r="P118">
        <v>0.1434</v>
      </c>
      <c r="Q118">
        <v>14.66</v>
      </c>
      <c r="R118">
        <v>4.4470000000000001</v>
      </c>
      <c r="S118">
        <v>2.3969999999999998</v>
      </c>
      <c r="T118">
        <v>7.7809999999999997</v>
      </c>
      <c r="U118">
        <v>7.6959999999999997</v>
      </c>
      <c r="V118" s="111">
        <v>5.156E-3</v>
      </c>
    </row>
    <row r="119" spans="1:22" x14ac:dyDescent="0.55000000000000004">
      <c r="A119" t="s">
        <v>3424</v>
      </c>
      <c r="B119">
        <v>1191</v>
      </c>
      <c r="C119">
        <v>36.11</v>
      </c>
      <c r="D119">
        <v>25.17</v>
      </c>
      <c r="E119">
        <v>732.8</v>
      </c>
      <c r="F119">
        <v>320.89999999999998</v>
      </c>
      <c r="G119">
        <v>168.9</v>
      </c>
      <c r="H119">
        <v>341.8</v>
      </c>
      <c r="I119">
        <v>324.2</v>
      </c>
      <c r="J119">
        <v>0.35560000000000003</v>
      </c>
      <c r="M119" t="s">
        <v>3928</v>
      </c>
      <c r="N119">
        <v>86.32</v>
      </c>
      <c r="O119">
        <v>4.4580000000000002</v>
      </c>
      <c r="P119">
        <v>1.26</v>
      </c>
      <c r="Q119">
        <v>55.82</v>
      </c>
      <c r="R119">
        <v>27.99</v>
      </c>
      <c r="S119">
        <v>13.99</v>
      </c>
      <c r="T119">
        <v>27.04</v>
      </c>
      <c r="U119">
        <v>26.74</v>
      </c>
      <c r="V119" s="111">
        <v>1.813E-2</v>
      </c>
    </row>
    <row r="120" spans="1:22" x14ac:dyDescent="0.55000000000000004">
      <c r="A120" t="s">
        <v>3425</v>
      </c>
      <c r="B120">
        <v>1205</v>
      </c>
      <c r="C120">
        <v>36.200000000000003</v>
      </c>
      <c r="D120">
        <v>24.43</v>
      </c>
      <c r="E120">
        <v>729.3</v>
      </c>
      <c r="F120">
        <v>296.10000000000002</v>
      </c>
      <c r="G120">
        <v>140.1</v>
      </c>
      <c r="H120">
        <v>380.8</v>
      </c>
      <c r="I120">
        <v>368.9</v>
      </c>
      <c r="J120">
        <v>0.3473</v>
      </c>
      <c r="M120" t="s">
        <v>3929</v>
      </c>
      <c r="N120">
        <v>30.04</v>
      </c>
      <c r="O120">
        <v>0.8135</v>
      </c>
      <c r="P120">
        <v>0.3211</v>
      </c>
      <c r="Q120">
        <v>23.23</v>
      </c>
      <c r="R120">
        <v>12.25</v>
      </c>
      <c r="S120">
        <v>9.2170000000000005</v>
      </c>
      <c r="T120">
        <v>12.05</v>
      </c>
      <c r="U120">
        <v>11.93</v>
      </c>
      <c r="V120" s="111">
        <v>8.7390000000000002E-3</v>
      </c>
    </row>
    <row r="121" spans="1:22" x14ac:dyDescent="0.55000000000000004">
      <c r="A121" t="s">
        <v>3426</v>
      </c>
      <c r="B121">
        <v>1317</v>
      </c>
      <c r="C121">
        <v>173.2</v>
      </c>
      <c r="D121">
        <v>104.7</v>
      </c>
      <c r="E121">
        <v>965.1</v>
      </c>
      <c r="F121">
        <v>665.6</v>
      </c>
      <c r="G121">
        <v>479.7</v>
      </c>
      <c r="H121">
        <v>992.8</v>
      </c>
      <c r="I121">
        <v>971.6</v>
      </c>
      <c r="J121">
        <v>0.54100000000000004</v>
      </c>
      <c r="M121" t="s">
        <v>3930</v>
      </c>
      <c r="N121">
        <v>49.83</v>
      </c>
      <c r="O121">
        <v>3.173</v>
      </c>
      <c r="P121">
        <v>1.3160000000000001</v>
      </c>
      <c r="Q121">
        <v>39.21</v>
      </c>
      <c r="R121">
        <v>24.14</v>
      </c>
      <c r="S121">
        <v>12.99</v>
      </c>
      <c r="T121">
        <v>12.47</v>
      </c>
      <c r="U121">
        <v>11.37</v>
      </c>
      <c r="V121" s="111">
        <v>5.7880000000000001E-2</v>
      </c>
    </row>
    <row r="122" spans="1:22" x14ac:dyDescent="0.55000000000000004">
      <c r="A122" t="s">
        <v>3427</v>
      </c>
      <c r="B122">
        <v>1406</v>
      </c>
      <c r="C122">
        <v>74.78</v>
      </c>
      <c r="D122">
        <v>51.49</v>
      </c>
      <c r="E122">
        <v>892.8</v>
      </c>
      <c r="F122">
        <v>360</v>
      </c>
      <c r="G122">
        <v>176.8</v>
      </c>
      <c r="H122">
        <v>422</v>
      </c>
      <c r="I122">
        <v>416.8</v>
      </c>
      <c r="J122">
        <v>0.24640000000000001</v>
      </c>
      <c r="M122" t="s">
        <v>3931</v>
      </c>
      <c r="N122">
        <v>55.69</v>
      </c>
      <c r="O122">
        <v>3.3260000000000001</v>
      </c>
      <c r="P122">
        <v>1.02</v>
      </c>
      <c r="Q122">
        <v>42.38</v>
      </c>
      <c r="R122">
        <v>24.59</v>
      </c>
      <c r="S122">
        <v>13.89</v>
      </c>
      <c r="T122">
        <v>23.3</v>
      </c>
      <c r="U122">
        <v>23.39</v>
      </c>
      <c r="V122" s="111">
        <v>1.7090000000000001E-2</v>
      </c>
    </row>
    <row r="123" spans="1:22" x14ac:dyDescent="0.55000000000000004">
      <c r="A123" t="s">
        <v>3428</v>
      </c>
      <c r="B123">
        <v>158</v>
      </c>
      <c r="C123">
        <v>12.49</v>
      </c>
      <c r="D123">
        <v>8.2449999999999992</v>
      </c>
      <c r="E123">
        <v>124.6</v>
      </c>
      <c r="F123">
        <v>96.66</v>
      </c>
      <c r="G123">
        <v>59.5</v>
      </c>
      <c r="H123">
        <v>45.11</v>
      </c>
      <c r="I123">
        <v>42.63</v>
      </c>
      <c r="J123">
        <v>0.108</v>
      </c>
      <c r="M123" t="s">
        <v>3932</v>
      </c>
      <c r="N123">
        <v>103.6</v>
      </c>
      <c r="O123">
        <v>4.1230000000000002</v>
      </c>
      <c r="P123">
        <v>0.92559999999999998</v>
      </c>
      <c r="Q123">
        <v>69.59</v>
      </c>
      <c r="R123">
        <v>36.119999999999997</v>
      </c>
      <c r="S123">
        <v>23.16</v>
      </c>
      <c r="T123">
        <v>37.549999999999997</v>
      </c>
      <c r="U123">
        <v>36.99</v>
      </c>
      <c r="V123" s="111">
        <v>2.929E-2</v>
      </c>
    </row>
    <row r="124" spans="1:22" x14ac:dyDescent="0.55000000000000004">
      <c r="A124" t="s">
        <v>3429</v>
      </c>
      <c r="B124">
        <v>244.7</v>
      </c>
      <c r="C124">
        <v>13.98</v>
      </c>
      <c r="D124">
        <v>9.3460000000000001</v>
      </c>
      <c r="E124">
        <v>202.1</v>
      </c>
      <c r="F124">
        <v>121.7</v>
      </c>
      <c r="G124">
        <v>67.39</v>
      </c>
      <c r="H124">
        <v>87.51</v>
      </c>
      <c r="I124">
        <v>85.35</v>
      </c>
      <c r="J124">
        <v>0.1338</v>
      </c>
      <c r="M124" t="s">
        <v>3933</v>
      </c>
      <c r="N124">
        <v>30.49</v>
      </c>
      <c r="O124">
        <v>2.7639999999999998</v>
      </c>
      <c r="P124">
        <v>1.2130000000000001</v>
      </c>
      <c r="Q124">
        <v>22.45</v>
      </c>
      <c r="R124">
        <v>17.73</v>
      </c>
      <c r="S124">
        <v>12.68</v>
      </c>
      <c r="T124">
        <v>9.1760000000000002</v>
      </c>
      <c r="U124">
        <v>8.9269999999999996</v>
      </c>
      <c r="V124" s="111">
        <v>3.9109999999999999E-2</v>
      </c>
    </row>
    <row r="125" spans="1:22" x14ac:dyDescent="0.55000000000000004">
      <c r="A125" t="s">
        <v>3430</v>
      </c>
      <c r="B125">
        <v>480.9</v>
      </c>
      <c r="C125">
        <v>11.98</v>
      </c>
      <c r="D125">
        <v>7.7140000000000004</v>
      </c>
      <c r="E125">
        <v>320.89999999999998</v>
      </c>
      <c r="F125">
        <v>132.30000000000001</v>
      </c>
      <c r="G125">
        <v>58.56</v>
      </c>
      <c r="H125">
        <v>120.1</v>
      </c>
      <c r="I125">
        <v>111.1</v>
      </c>
      <c r="J125" s="111">
        <v>9.6589999999999995E-2</v>
      </c>
      <c r="M125" t="s">
        <v>3934</v>
      </c>
      <c r="N125">
        <v>37.76</v>
      </c>
      <c r="O125">
        <v>2.2850000000000001</v>
      </c>
      <c r="P125">
        <v>1.002</v>
      </c>
      <c r="Q125">
        <v>25.16</v>
      </c>
      <c r="R125">
        <v>16.97</v>
      </c>
      <c r="S125">
        <v>11.72</v>
      </c>
      <c r="T125">
        <v>9.35</v>
      </c>
      <c r="U125">
        <v>8.9169999999999998</v>
      </c>
      <c r="V125" s="111">
        <v>3.823E-2</v>
      </c>
    </row>
    <row r="126" spans="1:22" x14ac:dyDescent="0.55000000000000004">
      <c r="A126" t="s">
        <v>3431</v>
      </c>
      <c r="B126">
        <v>594.79999999999995</v>
      </c>
      <c r="C126">
        <v>13.47</v>
      </c>
      <c r="D126">
        <v>8.6679999999999993</v>
      </c>
      <c r="E126">
        <v>371</v>
      </c>
      <c r="F126">
        <v>137.4</v>
      </c>
      <c r="G126">
        <v>60.95</v>
      </c>
      <c r="H126">
        <v>128</v>
      </c>
      <c r="I126">
        <v>118</v>
      </c>
      <c r="J126" s="111">
        <v>7.2209999999999996E-2</v>
      </c>
      <c r="M126" t="s">
        <v>3935</v>
      </c>
      <c r="N126">
        <v>32.07</v>
      </c>
      <c r="O126">
        <v>1.8939999999999999</v>
      </c>
      <c r="P126">
        <v>0.72370000000000001</v>
      </c>
      <c r="Q126">
        <v>23.07</v>
      </c>
      <c r="R126">
        <v>16.84</v>
      </c>
      <c r="S126">
        <v>9.4480000000000004</v>
      </c>
      <c r="T126">
        <v>6.1159999999999997</v>
      </c>
      <c r="U126">
        <v>5.875</v>
      </c>
      <c r="V126" s="111">
        <v>3.9559999999999998E-2</v>
      </c>
    </row>
    <row r="127" spans="1:22" x14ac:dyDescent="0.55000000000000004">
      <c r="A127" t="s">
        <v>3432</v>
      </c>
      <c r="B127">
        <v>524.5</v>
      </c>
      <c r="C127">
        <v>13.48</v>
      </c>
      <c r="D127">
        <v>10.36</v>
      </c>
      <c r="E127">
        <v>340.7</v>
      </c>
      <c r="F127">
        <v>133.6</v>
      </c>
      <c r="G127">
        <v>58.82</v>
      </c>
      <c r="H127">
        <v>101.7</v>
      </c>
      <c r="I127">
        <v>99.39</v>
      </c>
      <c r="J127" s="111">
        <v>7.374E-2</v>
      </c>
      <c r="M127" t="s">
        <v>3936</v>
      </c>
      <c r="N127">
        <v>31.09</v>
      </c>
      <c r="O127">
        <v>1.8859999999999999</v>
      </c>
      <c r="P127">
        <v>0.73870000000000002</v>
      </c>
      <c r="Q127">
        <v>20.96</v>
      </c>
      <c r="R127">
        <v>14.04</v>
      </c>
      <c r="S127">
        <v>11.64</v>
      </c>
      <c r="T127">
        <v>7.1050000000000004</v>
      </c>
      <c r="U127">
        <v>6.9829999999999997</v>
      </c>
      <c r="V127" s="111">
        <v>4.1829999999999999E-2</v>
      </c>
    </row>
    <row r="128" spans="1:22" x14ac:dyDescent="0.55000000000000004">
      <c r="A128" t="s">
        <v>3433</v>
      </c>
      <c r="B128">
        <v>635.5</v>
      </c>
      <c r="C128">
        <v>20.7</v>
      </c>
      <c r="D128">
        <v>14.81</v>
      </c>
      <c r="E128">
        <v>392.6</v>
      </c>
      <c r="F128">
        <v>150.1</v>
      </c>
      <c r="G128">
        <v>71.12</v>
      </c>
      <c r="H128">
        <v>138.6</v>
      </c>
      <c r="I128">
        <v>135.30000000000001</v>
      </c>
      <c r="J128" s="111">
        <v>9.1600000000000001E-2</v>
      </c>
      <c r="M128" t="s">
        <v>3937</v>
      </c>
      <c r="N128">
        <v>32.729999999999997</v>
      </c>
      <c r="O128">
        <v>1.337</v>
      </c>
      <c r="P128">
        <v>0.4602</v>
      </c>
      <c r="Q128">
        <v>19.03</v>
      </c>
      <c r="R128">
        <v>12.9</v>
      </c>
      <c r="S128">
        <v>7.5439999999999996</v>
      </c>
      <c r="T128">
        <v>5.45</v>
      </c>
      <c r="U128">
        <v>5.0049999999999999</v>
      </c>
      <c r="V128" s="111">
        <v>4.4720000000000003E-2</v>
      </c>
    </row>
    <row r="129" spans="1:22" x14ac:dyDescent="0.55000000000000004">
      <c r="A129" t="s">
        <v>3434</v>
      </c>
      <c r="B129">
        <v>477.1</v>
      </c>
      <c r="C129">
        <v>18.04</v>
      </c>
      <c r="D129">
        <v>13.36</v>
      </c>
      <c r="E129">
        <v>306.2</v>
      </c>
      <c r="F129">
        <v>139</v>
      </c>
      <c r="G129">
        <v>67.97</v>
      </c>
      <c r="H129">
        <v>114.9</v>
      </c>
      <c r="I129">
        <v>106.7</v>
      </c>
      <c r="J129" s="111">
        <v>9.6839999999999996E-2</v>
      </c>
      <c r="M129" t="s">
        <v>3938</v>
      </c>
      <c r="N129">
        <v>31.08</v>
      </c>
      <c r="O129">
        <v>2.6960000000000002</v>
      </c>
      <c r="P129">
        <v>0.91620000000000001</v>
      </c>
      <c r="Q129">
        <v>23.04</v>
      </c>
      <c r="R129">
        <v>16.43</v>
      </c>
      <c r="S129">
        <v>12.66</v>
      </c>
      <c r="T129">
        <v>8.5410000000000004</v>
      </c>
      <c r="U129">
        <v>8.4109999999999996</v>
      </c>
      <c r="V129" s="111">
        <v>3.108E-2</v>
      </c>
    </row>
    <row r="130" spans="1:22" x14ac:dyDescent="0.55000000000000004">
      <c r="A130" t="s">
        <v>3435</v>
      </c>
      <c r="B130">
        <v>305.8</v>
      </c>
      <c r="C130">
        <v>12.38</v>
      </c>
      <c r="D130">
        <v>8.4450000000000003</v>
      </c>
      <c r="E130">
        <v>237.2</v>
      </c>
      <c r="F130">
        <v>121.6</v>
      </c>
      <c r="G130">
        <v>59.69</v>
      </c>
      <c r="H130">
        <v>68.44</v>
      </c>
      <c r="I130">
        <v>63.71</v>
      </c>
      <c r="J130">
        <v>0.1011</v>
      </c>
      <c r="M130" t="s">
        <v>3939</v>
      </c>
      <c r="N130">
        <v>34.99</v>
      </c>
      <c r="O130">
        <v>2.06</v>
      </c>
      <c r="P130">
        <v>0.86040000000000005</v>
      </c>
      <c r="Q130">
        <v>22.87</v>
      </c>
      <c r="R130">
        <v>16.170000000000002</v>
      </c>
      <c r="S130">
        <v>9.6639999999999997</v>
      </c>
      <c r="T130">
        <v>7.5979999999999999</v>
      </c>
      <c r="U130">
        <v>7.4480000000000004</v>
      </c>
      <c r="V130" s="111">
        <v>3.7999999999999999E-2</v>
      </c>
    </row>
    <row r="131" spans="1:22" x14ac:dyDescent="0.55000000000000004">
      <c r="A131" t="s">
        <v>3436</v>
      </c>
      <c r="B131">
        <v>530.70000000000005</v>
      </c>
      <c r="C131">
        <v>24.27</v>
      </c>
      <c r="D131">
        <v>15.99</v>
      </c>
      <c r="E131">
        <v>327.10000000000002</v>
      </c>
      <c r="F131">
        <v>136.30000000000001</v>
      </c>
      <c r="G131">
        <v>69.03</v>
      </c>
      <c r="H131">
        <v>141.19999999999999</v>
      </c>
      <c r="I131">
        <v>138.4</v>
      </c>
      <c r="J131">
        <v>0.1074</v>
      </c>
      <c r="M131" t="s">
        <v>3940</v>
      </c>
      <c r="N131">
        <v>25.93</v>
      </c>
      <c r="O131">
        <v>1.4730000000000001</v>
      </c>
      <c r="P131">
        <v>0.55769999999999997</v>
      </c>
      <c r="Q131">
        <v>19.059999999999999</v>
      </c>
      <c r="R131">
        <v>13.31</v>
      </c>
      <c r="S131">
        <v>7.6719999999999997</v>
      </c>
      <c r="T131">
        <v>4.923</v>
      </c>
      <c r="U131">
        <v>4.875</v>
      </c>
      <c r="V131" s="111">
        <v>3.1669999999999997E-2</v>
      </c>
    </row>
    <row r="132" spans="1:22" x14ac:dyDescent="0.55000000000000004">
      <c r="A132" t="s">
        <v>3437</v>
      </c>
      <c r="B132">
        <v>576.6</v>
      </c>
      <c r="C132">
        <v>13.42</v>
      </c>
      <c r="D132">
        <v>9.3529999999999998</v>
      </c>
      <c r="E132">
        <v>345.5</v>
      </c>
      <c r="F132">
        <v>127</v>
      </c>
      <c r="G132">
        <v>60.09</v>
      </c>
      <c r="H132">
        <v>130.19999999999999</v>
      </c>
      <c r="I132">
        <v>125.6</v>
      </c>
      <c r="J132">
        <v>0.1016</v>
      </c>
      <c r="M132" t="s">
        <v>3941</v>
      </c>
      <c r="N132">
        <v>29.91</v>
      </c>
      <c r="O132">
        <v>2.4460000000000002</v>
      </c>
      <c r="P132">
        <v>0.9163</v>
      </c>
      <c r="Q132">
        <v>20.21</v>
      </c>
      <c r="R132">
        <v>15.32</v>
      </c>
      <c r="S132">
        <v>10.64</v>
      </c>
      <c r="T132">
        <v>8.0630000000000006</v>
      </c>
      <c r="U132">
        <v>7.9560000000000004</v>
      </c>
      <c r="V132" s="111">
        <v>3.2489999999999998E-2</v>
      </c>
    </row>
    <row r="133" spans="1:22" x14ac:dyDescent="0.55000000000000004">
      <c r="A133" t="s">
        <v>3438</v>
      </c>
      <c r="B133">
        <v>554</v>
      </c>
      <c r="C133">
        <v>27.85</v>
      </c>
      <c r="D133">
        <v>18.72</v>
      </c>
      <c r="E133">
        <v>348</v>
      </c>
      <c r="F133">
        <v>157.19999999999999</v>
      </c>
      <c r="G133">
        <v>80.2</v>
      </c>
      <c r="H133">
        <v>135.69999999999999</v>
      </c>
      <c r="I133">
        <v>128.30000000000001</v>
      </c>
      <c r="J133">
        <v>0.11310000000000001</v>
      </c>
      <c r="M133" t="s">
        <v>3942</v>
      </c>
      <c r="N133">
        <v>43.13</v>
      </c>
      <c r="O133">
        <v>1.8660000000000001</v>
      </c>
      <c r="P133">
        <v>0.79269999999999996</v>
      </c>
      <c r="Q133">
        <v>25.29</v>
      </c>
      <c r="R133">
        <v>16.47</v>
      </c>
      <c r="S133">
        <v>9.9009999999999998</v>
      </c>
      <c r="T133">
        <v>7.6210000000000004</v>
      </c>
      <c r="U133">
        <v>7.4180000000000001</v>
      </c>
      <c r="V133" s="111">
        <v>4.879E-2</v>
      </c>
    </row>
    <row r="134" spans="1:22" x14ac:dyDescent="0.55000000000000004">
      <c r="A134" t="s">
        <v>3439</v>
      </c>
      <c r="B134">
        <v>456.8</v>
      </c>
      <c r="C134">
        <v>13.91</v>
      </c>
      <c r="D134">
        <v>9.2330000000000005</v>
      </c>
      <c r="E134">
        <v>292.10000000000002</v>
      </c>
      <c r="F134">
        <v>116.9</v>
      </c>
      <c r="G134">
        <v>60.39</v>
      </c>
      <c r="H134">
        <v>105.7</v>
      </c>
      <c r="I134">
        <v>100.3</v>
      </c>
      <c r="J134">
        <v>0.1331</v>
      </c>
      <c r="M134" t="s">
        <v>3943</v>
      </c>
      <c r="N134">
        <v>44.59</v>
      </c>
      <c r="O134">
        <v>2.9380000000000002</v>
      </c>
      <c r="P134">
        <v>1.1339999999999999</v>
      </c>
      <c r="Q134">
        <v>30.32</v>
      </c>
      <c r="R134">
        <v>18.91</v>
      </c>
      <c r="S134">
        <v>11.66</v>
      </c>
      <c r="T134">
        <v>12.15</v>
      </c>
      <c r="U134">
        <v>11.68</v>
      </c>
      <c r="V134" s="111">
        <v>2.8639999999999999E-2</v>
      </c>
    </row>
    <row r="135" spans="1:22" x14ac:dyDescent="0.55000000000000004">
      <c r="A135" t="s">
        <v>3440</v>
      </c>
      <c r="B135">
        <v>743.5</v>
      </c>
      <c r="C135">
        <v>53.5</v>
      </c>
      <c r="D135">
        <v>32.32</v>
      </c>
      <c r="E135">
        <v>454.6</v>
      </c>
      <c r="F135">
        <v>178.9</v>
      </c>
      <c r="G135">
        <v>114.7</v>
      </c>
      <c r="H135">
        <v>214.4</v>
      </c>
      <c r="I135">
        <v>212</v>
      </c>
      <c r="J135">
        <v>0.13009999999999999</v>
      </c>
      <c r="M135" t="s">
        <v>3944</v>
      </c>
      <c r="N135">
        <v>79.930000000000007</v>
      </c>
      <c r="O135">
        <v>4.2309999999999999</v>
      </c>
      <c r="P135">
        <v>1.583</v>
      </c>
      <c r="Q135">
        <v>57.61</v>
      </c>
      <c r="R135">
        <v>26.4</v>
      </c>
      <c r="S135">
        <v>15.36</v>
      </c>
      <c r="T135">
        <v>27.24</v>
      </c>
      <c r="U135">
        <v>26.41</v>
      </c>
      <c r="V135" s="111">
        <v>3.7280000000000001E-2</v>
      </c>
    </row>
    <row r="136" spans="1:22" x14ac:dyDescent="0.55000000000000004">
      <c r="A136" t="s">
        <v>3441</v>
      </c>
      <c r="B136">
        <v>575.1</v>
      </c>
      <c r="C136">
        <v>14.81</v>
      </c>
      <c r="D136">
        <v>10.25</v>
      </c>
      <c r="E136">
        <v>335.9</v>
      </c>
      <c r="F136">
        <v>120.6</v>
      </c>
      <c r="G136">
        <v>58.6</v>
      </c>
      <c r="H136">
        <v>131.4</v>
      </c>
      <c r="I136">
        <v>127.7</v>
      </c>
      <c r="J136">
        <v>0.12509999999999999</v>
      </c>
      <c r="M136" t="s">
        <v>3945</v>
      </c>
      <c r="N136">
        <v>39.57</v>
      </c>
      <c r="O136">
        <v>3.0550000000000002</v>
      </c>
      <c r="P136">
        <v>1.1379999999999999</v>
      </c>
      <c r="Q136">
        <v>30.1</v>
      </c>
      <c r="R136">
        <v>19</v>
      </c>
      <c r="S136">
        <v>12.8</v>
      </c>
      <c r="T136">
        <v>11.31</v>
      </c>
      <c r="U136">
        <v>10.82</v>
      </c>
      <c r="V136" s="111">
        <v>3.2539999999999999E-2</v>
      </c>
    </row>
    <row r="137" spans="1:22" x14ac:dyDescent="0.55000000000000004">
      <c r="A137" t="s">
        <v>3442</v>
      </c>
      <c r="B137">
        <v>562.9</v>
      </c>
      <c r="C137">
        <v>14.35</v>
      </c>
      <c r="D137">
        <v>9.6110000000000007</v>
      </c>
      <c r="E137">
        <v>339.8</v>
      </c>
      <c r="F137">
        <v>129.19999999999999</v>
      </c>
      <c r="G137">
        <v>63.77</v>
      </c>
      <c r="H137">
        <v>135.69999999999999</v>
      </c>
      <c r="I137">
        <v>131.4</v>
      </c>
      <c r="J137">
        <v>0.12609999999999999</v>
      </c>
      <c r="M137" t="s">
        <v>3946</v>
      </c>
      <c r="N137">
        <v>55.17</v>
      </c>
      <c r="O137">
        <v>2.95</v>
      </c>
      <c r="P137">
        <v>1.1379999999999999</v>
      </c>
      <c r="Q137">
        <v>34.409999999999997</v>
      </c>
      <c r="R137">
        <v>23.39</v>
      </c>
      <c r="S137">
        <v>14.95</v>
      </c>
      <c r="T137">
        <v>12.24</v>
      </c>
      <c r="U137">
        <v>11.42</v>
      </c>
      <c r="V137" s="111">
        <v>5.21E-2</v>
      </c>
    </row>
    <row r="138" spans="1:22" x14ac:dyDescent="0.55000000000000004">
      <c r="A138" t="s">
        <v>3443</v>
      </c>
      <c r="B138">
        <v>387.7</v>
      </c>
      <c r="C138">
        <v>15.54</v>
      </c>
      <c r="D138">
        <v>7.0679999999999996</v>
      </c>
      <c r="E138">
        <v>235.8</v>
      </c>
      <c r="F138">
        <v>95.32</v>
      </c>
      <c r="G138">
        <v>48.22</v>
      </c>
      <c r="H138">
        <v>280.89999999999998</v>
      </c>
      <c r="I138">
        <v>275.10000000000002</v>
      </c>
      <c r="J138">
        <v>0.1535</v>
      </c>
      <c r="M138" t="s">
        <v>3947</v>
      </c>
      <c r="N138">
        <v>36.94</v>
      </c>
      <c r="O138">
        <v>1.9219999999999999</v>
      </c>
      <c r="P138">
        <v>0.75919999999999999</v>
      </c>
      <c r="Q138">
        <v>26.04</v>
      </c>
      <c r="R138">
        <v>16.32</v>
      </c>
      <c r="S138">
        <v>11.81</v>
      </c>
      <c r="T138">
        <v>7.992</v>
      </c>
      <c r="U138">
        <v>8.3219999999999992</v>
      </c>
      <c r="V138" s="111">
        <v>4.9730000000000003E-2</v>
      </c>
    </row>
    <row r="139" spans="1:22" x14ac:dyDescent="0.55000000000000004">
      <c r="A139" t="s">
        <v>3444</v>
      </c>
      <c r="B139">
        <v>638.20000000000005</v>
      </c>
      <c r="C139">
        <v>38.799999999999997</v>
      </c>
      <c r="D139">
        <v>26.49</v>
      </c>
      <c r="E139">
        <v>395.2</v>
      </c>
      <c r="F139">
        <v>182.7</v>
      </c>
      <c r="G139">
        <v>110.3</v>
      </c>
      <c r="H139">
        <v>212.7</v>
      </c>
      <c r="I139">
        <v>211.1</v>
      </c>
      <c r="J139">
        <v>0.12609999999999999</v>
      </c>
      <c r="M139" t="s">
        <v>3948</v>
      </c>
      <c r="N139">
        <v>15.04</v>
      </c>
      <c r="O139">
        <v>0.1782</v>
      </c>
      <c r="P139" s="111">
        <v>7.1690000000000004E-2</v>
      </c>
      <c r="Q139">
        <v>7.3319999999999999</v>
      </c>
      <c r="R139">
        <v>2.2240000000000002</v>
      </c>
      <c r="S139">
        <v>1.198</v>
      </c>
      <c r="T139">
        <v>3.891</v>
      </c>
      <c r="U139">
        <v>3.8479999999999999</v>
      </c>
      <c r="V139" s="111">
        <v>2.578E-3</v>
      </c>
    </row>
    <row r="140" spans="1:22" x14ac:dyDescent="0.55000000000000004">
      <c r="A140" t="s">
        <v>3445</v>
      </c>
      <c r="B140">
        <v>288.8</v>
      </c>
      <c r="C140">
        <v>13.99</v>
      </c>
      <c r="D140">
        <v>8.3849999999999998</v>
      </c>
      <c r="E140">
        <v>194.6</v>
      </c>
      <c r="F140">
        <v>93.01</v>
      </c>
      <c r="G140">
        <v>49.48</v>
      </c>
      <c r="H140">
        <v>273.8</v>
      </c>
      <c r="I140">
        <v>269.8</v>
      </c>
      <c r="J140">
        <v>0.14729999999999999</v>
      </c>
      <c r="M140" t="s">
        <v>3949</v>
      </c>
      <c r="N140">
        <v>43.16</v>
      </c>
      <c r="O140">
        <v>2.2290000000000001</v>
      </c>
      <c r="P140">
        <v>0.63</v>
      </c>
      <c r="Q140">
        <v>27.91</v>
      </c>
      <c r="R140">
        <v>13.99</v>
      </c>
      <c r="S140">
        <v>6.9960000000000004</v>
      </c>
      <c r="T140">
        <v>13.52</v>
      </c>
      <c r="U140">
        <v>13.37</v>
      </c>
      <c r="V140" s="111">
        <v>9.0629999999999999E-3</v>
      </c>
    </row>
    <row r="141" spans="1:22" x14ac:dyDescent="0.55000000000000004">
      <c r="A141" t="s">
        <v>3446</v>
      </c>
      <c r="B141">
        <v>682.1</v>
      </c>
      <c r="C141">
        <v>30.06</v>
      </c>
      <c r="D141">
        <v>21.33</v>
      </c>
      <c r="E141">
        <v>418.7</v>
      </c>
      <c r="F141">
        <v>167.8</v>
      </c>
      <c r="G141">
        <v>78.099999999999994</v>
      </c>
      <c r="H141">
        <v>196.1</v>
      </c>
      <c r="I141">
        <v>193.8</v>
      </c>
      <c r="J141">
        <v>0.1118</v>
      </c>
      <c r="M141" t="s">
        <v>3950</v>
      </c>
      <c r="N141">
        <v>15.02</v>
      </c>
      <c r="O141">
        <v>0.40670000000000001</v>
      </c>
      <c r="P141">
        <v>0.1605</v>
      </c>
      <c r="Q141">
        <v>11.61</v>
      </c>
      <c r="R141">
        <v>6.125</v>
      </c>
      <c r="S141">
        <v>4.609</v>
      </c>
      <c r="T141">
        <v>6.0229999999999997</v>
      </c>
      <c r="U141">
        <v>5.9640000000000004</v>
      </c>
      <c r="V141" s="111">
        <v>4.3689999999999996E-3</v>
      </c>
    </row>
    <row r="142" spans="1:22" x14ac:dyDescent="0.55000000000000004">
      <c r="A142" t="s">
        <v>3447</v>
      </c>
      <c r="B142">
        <v>154.9</v>
      </c>
      <c r="C142">
        <v>11.84</v>
      </c>
      <c r="D142">
        <v>8.3450000000000006</v>
      </c>
      <c r="E142">
        <v>107.1</v>
      </c>
      <c r="F142">
        <v>57.34</v>
      </c>
      <c r="G142">
        <v>43.48</v>
      </c>
      <c r="H142">
        <v>49.55</v>
      </c>
      <c r="I142">
        <v>47.56</v>
      </c>
      <c r="J142" s="111">
        <v>9.2359999999999998E-2</v>
      </c>
      <c r="M142" t="s">
        <v>3951</v>
      </c>
      <c r="N142">
        <v>24.92</v>
      </c>
      <c r="O142">
        <v>1.587</v>
      </c>
      <c r="P142">
        <v>0.65800000000000003</v>
      </c>
      <c r="Q142">
        <v>19.600000000000001</v>
      </c>
      <c r="R142">
        <v>12.07</v>
      </c>
      <c r="S142">
        <v>6.4960000000000004</v>
      </c>
      <c r="T142">
        <v>6.2359999999999998</v>
      </c>
      <c r="U142">
        <v>5.6859999999999999</v>
      </c>
      <c r="V142" s="111">
        <v>2.894E-2</v>
      </c>
    </row>
    <row r="143" spans="1:22" x14ac:dyDescent="0.55000000000000004">
      <c r="A143" t="s">
        <v>3448</v>
      </c>
      <c r="B143">
        <v>548.6</v>
      </c>
      <c r="C143">
        <v>17.13</v>
      </c>
      <c r="D143">
        <v>13.07</v>
      </c>
      <c r="E143">
        <v>387.8</v>
      </c>
      <c r="F143">
        <v>152.1</v>
      </c>
      <c r="G143">
        <v>69.75</v>
      </c>
      <c r="H143">
        <v>122.2</v>
      </c>
      <c r="I143">
        <v>120.9</v>
      </c>
      <c r="J143">
        <v>0.10100000000000001</v>
      </c>
      <c r="M143" t="s">
        <v>3952</v>
      </c>
      <c r="N143">
        <v>27.85</v>
      </c>
      <c r="O143">
        <v>1.663</v>
      </c>
      <c r="P143">
        <v>0.51</v>
      </c>
      <c r="Q143">
        <v>21.19</v>
      </c>
      <c r="R143">
        <v>12.3</v>
      </c>
      <c r="S143">
        <v>6.944</v>
      </c>
      <c r="T143">
        <v>11.65</v>
      </c>
      <c r="U143">
        <v>11.69</v>
      </c>
      <c r="V143" s="111">
        <v>8.5459999999999998E-3</v>
      </c>
    </row>
    <row r="144" spans="1:22" x14ac:dyDescent="0.55000000000000004">
      <c r="A144" t="s">
        <v>4031</v>
      </c>
      <c r="B144">
        <v>78.150000000000006</v>
      </c>
      <c r="C144">
        <v>6.0890000000000004</v>
      </c>
      <c r="D144">
        <v>4.0999999999999996</v>
      </c>
      <c r="E144">
        <v>60.35</v>
      </c>
      <c r="F144">
        <v>45.45</v>
      </c>
      <c r="G144">
        <v>27.38</v>
      </c>
      <c r="H144">
        <v>20.64</v>
      </c>
      <c r="I144">
        <v>19.72</v>
      </c>
      <c r="J144" s="111">
        <v>7.7660000000000007E-2</v>
      </c>
      <c r="M144" t="s">
        <v>3953</v>
      </c>
      <c r="N144">
        <v>51.78</v>
      </c>
      <c r="O144">
        <v>2.0619999999999998</v>
      </c>
      <c r="P144">
        <v>0.46279999999999999</v>
      </c>
      <c r="Q144">
        <v>34.79</v>
      </c>
      <c r="R144">
        <v>18.059999999999999</v>
      </c>
      <c r="S144">
        <v>11.58</v>
      </c>
      <c r="T144">
        <v>18.77</v>
      </c>
      <c r="U144">
        <v>18.5</v>
      </c>
      <c r="V144" s="111">
        <v>1.464E-2</v>
      </c>
    </row>
    <row r="145" spans="1:22" x14ac:dyDescent="0.55000000000000004">
      <c r="A145" t="s">
        <v>4032</v>
      </c>
      <c r="B145">
        <v>119.2</v>
      </c>
      <c r="C145">
        <v>8.5719999999999992</v>
      </c>
      <c r="D145">
        <v>5.3540000000000001</v>
      </c>
      <c r="E145">
        <v>95.83</v>
      </c>
      <c r="F145">
        <v>63.47</v>
      </c>
      <c r="G145">
        <v>39.659999999999997</v>
      </c>
      <c r="H145">
        <v>40.19</v>
      </c>
      <c r="I145">
        <v>38.1</v>
      </c>
      <c r="J145">
        <v>0.1028</v>
      </c>
      <c r="M145" t="s">
        <v>3954</v>
      </c>
      <c r="N145">
        <v>129.30000000000001</v>
      </c>
      <c r="O145">
        <v>10.66</v>
      </c>
      <c r="P145">
        <v>4.3129999999999997</v>
      </c>
      <c r="Q145">
        <v>98.47</v>
      </c>
      <c r="R145">
        <v>66.14</v>
      </c>
      <c r="S145">
        <v>46.6</v>
      </c>
      <c r="T145">
        <v>31.71</v>
      </c>
      <c r="U145">
        <v>29.98</v>
      </c>
      <c r="V145">
        <v>0.13200000000000001</v>
      </c>
    </row>
    <row r="146" spans="1:22" x14ac:dyDescent="0.55000000000000004">
      <c r="A146" t="s">
        <v>4033</v>
      </c>
      <c r="B146">
        <v>194.4</v>
      </c>
      <c r="C146">
        <v>5.5069999999999997</v>
      </c>
      <c r="D146">
        <v>3.5990000000000002</v>
      </c>
      <c r="E146">
        <v>130.1</v>
      </c>
      <c r="F146">
        <v>55.59</v>
      </c>
      <c r="G146">
        <v>27.24</v>
      </c>
      <c r="H146">
        <v>47.27</v>
      </c>
      <c r="I146">
        <v>44.75</v>
      </c>
      <c r="J146" s="111">
        <v>6.4009999999999997E-2</v>
      </c>
      <c r="M146" t="s">
        <v>3955</v>
      </c>
      <c r="N146">
        <v>161.69999999999999</v>
      </c>
      <c r="O146">
        <v>9.2810000000000006</v>
      </c>
      <c r="P146">
        <v>4.0289999999999999</v>
      </c>
      <c r="Q146">
        <v>109.1</v>
      </c>
      <c r="R146">
        <v>61.61</v>
      </c>
      <c r="S146">
        <v>39.71</v>
      </c>
      <c r="T146">
        <v>33.5</v>
      </c>
      <c r="U146">
        <v>31.53</v>
      </c>
      <c r="V146">
        <v>0.1963</v>
      </c>
    </row>
    <row r="147" spans="1:22" x14ac:dyDescent="0.55000000000000004">
      <c r="A147" t="s">
        <v>4034</v>
      </c>
      <c r="B147">
        <v>232.2</v>
      </c>
      <c r="C147">
        <v>5.516</v>
      </c>
      <c r="D147">
        <v>3.5190000000000001</v>
      </c>
      <c r="E147">
        <v>144.80000000000001</v>
      </c>
      <c r="F147">
        <v>55.13</v>
      </c>
      <c r="G147">
        <v>24.76</v>
      </c>
      <c r="H147">
        <v>49.96</v>
      </c>
      <c r="I147">
        <v>46.22</v>
      </c>
      <c r="J147" s="111">
        <v>3.2489999999999998E-2</v>
      </c>
      <c r="M147" t="s">
        <v>3956</v>
      </c>
      <c r="N147">
        <v>93.3</v>
      </c>
      <c r="O147">
        <v>6.617</v>
      </c>
      <c r="P147">
        <v>2.7989999999999999</v>
      </c>
      <c r="Q147">
        <v>66.14</v>
      </c>
      <c r="R147">
        <v>51.53</v>
      </c>
      <c r="S147">
        <v>32.67</v>
      </c>
      <c r="T147">
        <v>23.76</v>
      </c>
      <c r="U147">
        <v>24.01</v>
      </c>
      <c r="V147">
        <v>0.1026</v>
      </c>
    </row>
    <row r="148" spans="1:22" x14ac:dyDescent="0.55000000000000004">
      <c r="A148" t="s">
        <v>4035</v>
      </c>
      <c r="B148">
        <v>208.3</v>
      </c>
      <c r="C148">
        <v>5.5940000000000003</v>
      </c>
      <c r="D148">
        <v>4.2329999999999997</v>
      </c>
      <c r="E148">
        <v>133</v>
      </c>
      <c r="F148">
        <v>52.87</v>
      </c>
      <c r="G148">
        <v>23.9</v>
      </c>
      <c r="H148">
        <v>39.74</v>
      </c>
      <c r="I148">
        <v>38.869999999999997</v>
      </c>
      <c r="J148" s="111">
        <v>3.322E-2</v>
      </c>
      <c r="M148" t="s">
        <v>3957</v>
      </c>
      <c r="N148">
        <v>133.30000000000001</v>
      </c>
      <c r="O148">
        <v>8.5370000000000008</v>
      </c>
      <c r="P148">
        <v>3.2309999999999999</v>
      </c>
      <c r="Q148">
        <v>100.8</v>
      </c>
      <c r="R148">
        <v>56.43</v>
      </c>
      <c r="S148">
        <v>33.44</v>
      </c>
      <c r="T148">
        <v>35.22</v>
      </c>
      <c r="U148">
        <v>34.47</v>
      </c>
      <c r="V148" s="111">
        <v>7.0349999999999996E-2</v>
      </c>
    </row>
    <row r="149" spans="1:22" x14ac:dyDescent="0.55000000000000004">
      <c r="A149" t="s">
        <v>4036</v>
      </c>
      <c r="B149">
        <v>251.4</v>
      </c>
      <c r="C149">
        <v>9.7210000000000001</v>
      </c>
      <c r="D149">
        <v>6.74</v>
      </c>
      <c r="E149">
        <v>156.30000000000001</v>
      </c>
      <c r="F149">
        <v>65.25</v>
      </c>
      <c r="G149">
        <v>34.450000000000003</v>
      </c>
      <c r="H149">
        <v>59.38</v>
      </c>
      <c r="I149">
        <v>57.26</v>
      </c>
      <c r="J149" s="111">
        <v>5.4309999999999997E-2</v>
      </c>
      <c r="M149" t="s">
        <v>3958</v>
      </c>
      <c r="N149">
        <v>241.7</v>
      </c>
      <c r="O149">
        <v>13.26</v>
      </c>
      <c r="P149">
        <v>5.867</v>
      </c>
      <c r="Q149">
        <v>163.69999999999999</v>
      </c>
      <c r="R149">
        <v>97.2</v>
      </c>
      <c r="S149">
        <v>51.9</v>
      </c>
      <c r="T149">
        <v>72.69</v>
      </c>
      <c r="U149">
        <v>70.78</v>
      </c>
      <c r="V149">
        <v>0.113</v>
      </c>
    </row>
    <row r="150" spans="1:22" x14ac:dyDescent="0.55000000000000004">
      <c r="A150" t="s">
        <v>4037</v>
      </c>
      <c r="B150">
        <v>215.2</v>
      </c>
      <c r="C150">
        <v>9.1329999999999991</v>
      </c>
      <c r="D150">
        <v>6.3609999999999998</v>
      </c>
      <c r="E150">
        <v>137.6</v>
      </c>
      <c r="F150">
        <v>62.17</v>
      </c>
      <c r="G150">
        <v>35.31</v>
      </c>
      <c r="H150">
        <v>51.28</v>
      </c>
      <c r="I150">
        <v>50.65</v>
      </c>
      <c r="J150" s="111">
        <v>6.1850000000000002E-2</v>
      </c>
      <c r="M150" t="s">
        <v>3959</v>
      </c>
      <c r="N150">
        <v>291.8</v>
      </c>
      <c r="O150">
        <v>16.989999999999998</v>
      </c>
      <c r="P150">
        <v>7.7759999999999998</v>
      </c>
      <c r="Q150">
        <v>200.5</v>
      </c>
      <c r="R150">
        <v>113.6</v>
      </c>
      <c r="S150">
        <v>65.02</v>
      </c>
      <c r="T150">
        <v>83.41</v>
      </c>
      <c r="U150">
        <v>79.56</v>
      </c>
      <c r="V150">
        <v>0.1154</v>
      </c>
    </row>
    <row r="151" spans="1:22" x14ac:dyDescent="0.55000000000000004">
      <c r="A151" t="s">
        <v>4038</v>
      </c>
      <c r="B151">
        <v>128.19999999999999</v>
      </c>
      <c r="C151">
        <v>5.726</v>
      </c>
      <c r="D151">
        <v>3.8919999999999999</v>
      </c>
      <c r="E151">
        <v>94.13</v>
      </c>
      <c r="F151">
        <v>52.89</v>
      </c>
      <c r="G151">
        <v>26.66</v>
      </c>
      <c r="H151">
        <v>29.29</v>
      </c>
      <c r="I151">
        <v>27.33</v>
      </c>
      <c r="J151" s="111">
        <v>7.1179999999999993E-2</v>
      </c>
      <c r="M151" t="s">
        <v>3960</v>
      </c>
      <c r="N151">
        <v>100.7</v>
      </c>
      <c r="O151">
        <v>5.5960000000000001</v>
      </c>
      <c r="P151">
        <v>1.907</v>
      </c>
      <c r="Q151">
        <v>69.8</v>
      </c>
      <c r="R151">
        <v>43.78</v>
      </c>
      <c r="S151">
        <v>25.18</v>
      </c>
      <c r="T151">
        <v>26.12</v>
      </c>
      <c r="U151">
        <v>24.5</v>
      </c>
      <c r="V151" s="111">
        <v>4.5339999999999998E-2</v>
      </c>
    </row>
    <row r="152" spans="1:22" x14ac:dyDescent="0.55000000000000004">
      <c r="A152" t="s">
        <v>4039</v>
      </c>
      <c r="B152">
        <v>225.9</v>
      </c>
      <c r="C152">
        <v>12.43</v>
      </c>
      <c r="D152">
        <v>7.9029999999999996</v>
      </c>
      <c r="E152">
        <v>140.30000000000001</v>
      </c>
      <c r="F152">
        <v>63.07</v>
      </c>
      <c r="G152">
        <v>37.25</v>
      </c>
      <c r="H152">
        <v>60.09</v>
      </c>
      <c r="I152">
        <v>58.53</v>
      </c>
      <c r="J152" s="111">
        <v>7.109E-2</v>
      </c>
      <c r="M152" t="s">
        <v>3961</v>
      </c>
      <c r="N152">
        <v>108.1</v>
      </c>
      <c r="O152">
        <v>5.3869999999999996</v>
      </c>
      <c r="P152">
        <v>1.768</v>
      </c>
      <c r="Q152">
        <v>79.900000000000006</v>
      </c>
      <c r="R152">
        <v>49.62</v>
      </c>
      <c r="S152">
        <v>27.59</v>
      </c>
      <c r="T152">
        <v>28.57</v>
      </c>
      <c r="U152">
        <v>27.95</v>
      </c>
      <c r="V152" s="111">
        <v>6.4990000000000006E-2</v>
      </c>
    </row>
    <row r="153" spans="1:22" x14ac:dyDescent="0.55000000000000004">
      <c r="A153" t="s">
        <v>4040</v>
      </c>
      <c r="B153">
        <v>237.1</v>
      </c>
      <c r="C153">
        <v>7.0780000000000003</v>
      </c>
      <c r="D153">
        <v>4.5170000000000003</v>
      </c>
      <c r="E153">
        <v>140.80000000000001</v>
      </c>
      <c r="F153">
        <v>59.04</v>
      </c>
      <c r="G153">
        <v>32.01</v>
      </c>
      <c r="H153">
        <v>52.18</v>
      </c>
      <c r="I153">
        <v>50.46</v>
      </c>
      <c r="J153" s="111">
        <v>6.7229999999999998E-2</v>
      </c>
      <c r="M153" t="s">
        <v>3962</v>
      </c>
      <c r="N153">
        <v>159.80000000000001</v>
      </c>
      <c r="O153">
        <v>8.1270000000000007</v>
      </c>
      <c r="P153">
        <v>2.3330000000000002</v>
      </c>
      <c r="Q153">
        <v>111.6</v>
      </c>
      <c r="R153">
        <v>70.28</v>
      </c>
      <c r="S153">
        <v>40</v>
      </c>
      <c r="T153">
        <v>44.66</v>
      </c>
      <c r="U153">
        <v>42.71</v>
      </c>
      <c r="V153">
        <v>0.1153</v>
      </c>
    </row>
    <row r="154" spans="1:22" x14ac:dyDescent="0.55000000000000004">
      <c r="A154" t="s">
        <v>4041</v>
      </c>
      <c r="B154">
        <v>226.2</v>
      </c>
      <c r="C154">
        <v>13.54</v>
      </c>
      <c r="D154">
        <v>9.0340000000000007</v>
      </c>
      <c r="E154">
        <v>145.69999999999999</v>
      </c>
      <c r="F154">
        <v>70.89</v>
      </c>
      <c r="G154">
        <v>41.29</v>
      </c>
      <c r="H154">
        <v>56.95</v>
      </c>
      <c r="I154">
        <v>55.83</v>
      </c>
      <c r="J154" s="111">
        <v>7.6170000000000002E-2</v>
      </c>
      <c r="M154" t="s">
        <v>3963</v>
      </c>
      <c r="N154">
        <v>273.3</v>
      </c>
      <c r="O154">
        <v>19.29</v>
      </c>
      <c r="P154">
        <v>8.8309999999999995</v>
      </c>
      <c r="Q154">
        <v>190.7</v>
      </c>
      <c r="R154">
        <v>101.6</v>
      </c>
      <c r="S154">
        <v>64.63</v>
      </c>
      <c r="T154">
        <v>85.11</v>
      </c>
      <c r="U154">
        <v>84.08</v>
      </c>
      <c r="V154">
        <v>0.13700000000000001</v>
      </c>
    </row>
    <row r="155" spans="1:22" x14ac:dyDescent="0.55000000000000004">
      <c r="A155" t="s">
        <v>4042</v>
      </c>
      <c r="B155">
        <v>211.3</v>
      </c>
      <c r="C155">
        <v>8.1080000000000005</v>
      </c>
      <c r="D155">
        <v>5.0129999999999999</v>
      </c>
      <c r="E155">
        <v>135.80000000000001</v>
      </c>
      <c r="F155">
        <v>63.93</v>
      </c>
      <c r="G155">
        <v>36.06</v>
      </c>
      <c r="H155">
        <v>50.53</v>
      </c>
      <c r="I155">
        <v>49.28</v>
      </c>
      <c r="J155">
        <v>0.1011</v>
      </c>
      <c r="M155" t="s">
        <v>3964</v>
      </c>
      <c r="N155">
        <v>59.06</v>
      </c>
      <c r="O155">
        <v>1.8140000000000001</v>
      </c>
      <c r="P155">
        <v>0.76700000000000002</v>
      </c>
      <c r="Q155">
        <v>52.44</v>
      </c>
      <c r="R155">
        <v>38.909999999999997</v>
      </c>
      <c r="S155">
        <v>14.91</v>
      </c>
      <c r="T155">
        <v>24.94</v>
      </c>
      <c r="U155">
        <v>18.670000000000002</v>
      </c>
      <c r="V155" s="111">
        <v>2.75E-2</v>
      </c>
    </row>
    <row r="156" spans="1:22" x14ac:dyDescent="0.55000000000000004">
      <c r="A156" t="s">
        <v>4043</v>
      </c>
      <c r="B156">
        <v>306.7</v>
      </c>
      <c r="C156">
        <v>22.7</v>
      </c>
      <c r="D156">
        <v>13.79</v>
      </c>
      <c r="E156">
        <v>188.4</v>
      </c>
      <c r="F156">
        <v>76.31</v>
      </c>
      <c r="G156">
        <v>50.11</v>
      </c>
      <c r="H156">
        <v>88.8</v>
      </c>
      <c r="I156">
        <v>86.75</v>
      </c>
      <c r="J156" s="111">
        <v>5.5230000000000001E-2</v>
      </c>
      <c r="M156" t="s">
        <v>3965</v>
      </c>
      <c r="N156">
        <v>211.1</v>
      </c>
      <c r="O156">
        <v>13.89</v>
      </c>
      <c r="P156">
        <v>6.6790000000000003</v>
      </c>
      <c r="Q156">
        <v>137</v>
      </c>
      <c r="R156">
        <v>76.209999999999994</v>
      </c>
      <c r="S156">
        <v>46.98</v>
      </c>
      <c r="T156">
        <v>63.1</v>
      </c>
      <c r="U156">
        <v>64.63</v>
      </c>
      <c r="V156" s="111">
        <v>7.5399999999999995E-2</v>
      </c>
    </row>
    <row r="157" spans="1:22" x14ac:dyDescent="0.55000000000000004">
      <c r="A157" t="s">
        <v>4044</v>
      </c>
      <c r="B157">
        <v>244.1</v>
      </c>
      <c r="C157">
        <v>8.6769999999999996</v>
      </c>
      <c r="D157">
        <v>5.4450000000000003</v>
      </c>
      <c r="E157">
        <v>150.30000000000001</v>
      </c>
      <c r="F157">
        <v>62.5</v>
      </c>
      <c r="G157">
        <v>34.369999999999997</v>
      </c>
      <c r="H157">
        <v>56.35</v>
      </c>
      <c r="I157">
        <v>54.64</v>
      </c>
      <c r="J157" s="111">
        <v>9.0459999999999999E-2</v>
      </c>
      <c r="M157" t="s">
        <v>3966</v>
      </c>
      <c r="N157">
        <v>116.2</v>
      </c>
      <c r="O157">
        <v>10.41</v>
      </c>
      <c r="P157">
        <v>3.7749999999999999</v>
      </c>
      <c r="Q157">
        <v>84.46</v>
      </c>
      <c r="R157">
        <v>47.61</v>
      </c>
      <c r="S157">
        <v>34.32</v>
      </c>
      <c r="T157">
        <v>45.31</v>
      </c>
      <c r="U157">
        <v>44.62</v>
      </c>
      <c r="V157" s="111">
        <v>4.3729999999999998E-2</v>
      </c>
    </row>
    <row r="158" spans="1:22" x14ac:dyDescent="0.55000000000000004">
      <c r="A158" t="s">
        <v>4045</v>
      </c>
      <c r="B158">
        <v>273.8</v>
      </c>
      <c r="C158">
        <v>8.74</v>
      </c>
      <c r="D158">
        <v>5.3630000000000004</v>
      </c>
      <c r="E158">
        <v>164.9</v>
      </c>
      <c r="F158">
        <v>74.67</v>
      </c>
      <c r="G158">
        <v>38.15</v>
      </c>
      <c r="H158">
        <v>68.38</v>
      </c>
      <c r="I158">
        <v>65.77</v>
      </c>
      <c r="J158" s="111">
        <v>9.1270000000000004E-2</v>
      </c>
      <c r="M158" t="s">
        <v>3967</v>
      </c>
      <c r="N158">
        <v>134.30000000000001</v>
      </c>
      <c r="O158">
        <v>4.1779999999999999</v>
      </c>
      <c r="P158">
        <v>1.46</v>
      </c>
      <c r="Q158">
        <v>116.6</v>
      </c>
      <c r="R158">
        <v>86.21</v>
      </c>
      <c r="S158">
        <v>59.07</v>
      </c>
      <c r="T158">
        <v>53.26</v>
      </c>
      <c r="U158">
        <v>47.32</v>
      </c>
      <c r="V158" s="111">
        <v>5.7360000000000001E-2</v>
      </c>
    </row>
    <row r="159" spans="1:22" x14ac:dyDescent="0.55000000000000004">
      <c r="A159" t="s">
        <v>4046</v>
      </c>
      <c r="B159">
        <v>226.4</v>
      </c>
      <c r="C159">
        <v>7.26</v>
      </c>
      <c r="D159">
        <v>3.35</v>
      </c>
      <c r="E159">
        <v>133.19999999999999</v>
      </c>
      <c r="F159">
        <v>50.5</v>
      </c>
      <c r="G159">
        <v>24.87</v>
      </c>
      <c r="H159">
        <v>117.3</v>
      </c>
      <c r="I159">
        <v>114.8</v>
      </c>
      <c r="J159" s="111">
        <v>6.9080000000000003E-2</v>
      </c>
      <c r="M159" t="s">
        <v>3968</v>
      </c>
      <c r="N159">
        <v>133.69999999999999</v>
      </c>
      <c r="O159">
        <v>12.88</v>
      </c>
      <c r="P159">
        <v>7.43</v>
      </c>
      <c r="Q159">
        <v>98.21</v>
      </c>
      <c r="R159">
        <v>72.680000000000007</v>
      </c>
      <c r="S159">
        <v>54.02</v>
      </c>
      <c r="T159">
        <v>40.71</v>
      </c>
      <c r="U159">
        <v>39.090000000000003</v>
      </c>
      <c r="V159">
        <v>0.14119999999999999</v>
      </c>
    </row>
    <row r="160" spans="1:22" x14ac:dyDescent="0.55000000000000004">
      <c r="A160" t="s">
        <v>4047</v>
      </c>
      <c r="B160">
        <v>249.9</v>
      </c>
      <c r="C160">
        <v>15.59</v>
      </c>
      <c r="D160">
        <v>10.7</v>
      </c>
      <c r="E160">
        <v>167.9</v>
      </c>
      <c r="F160">
        <v>74.989999999999995</v>
      </c>
      <c r="G160">
        <v>46.18</v>
      </c>
      <c r="H160">
        <v>83.48</v>
      </c>
      <c r="I160">
        <v>82.87</v>
      </c>
      <c r="J160" s="111">
        <v>5.3400000000000003E-2</v>
      </c>
      <c r="M160" t="s">
        <v>3969</v>
      </c>
      <c r="N160">
        <v>108.3</v>
      </c>
      <c r="O160">
        <v>7.8410000000000002</v>
      </c>
      <c r="P160">
        <v>4.1760000000000002</v>
      </c>
      <c r="Q160">
        <v>79.27</v>
      </c>
      <c r="R160">
        <v>55.78</v>
      </c>
      <c r="S160">
        <v>34.33</v>
      </c>
      <c r="T160">
        <v>29.13</v>
      </c>
      <c r="U160">
        <v>27.57</v>
      </c>
      <c r="V160">
        <v>0.1053</v>
      </c>
    </row>
    <row r="161" spans="1:22" x14ac:dyDescent="0.55000000000000004">
      <c r="A161" t="s">
        <v>4048</v>
      </c>
      <c r="B161">
        <v>153.1</v>
      </c>
      <c r="C161">
        <v>6.2050000000000001</v>
      </c>
      <c r="D161">
        <v>3.6459999999999999</v>
      </c>
      <c r="E161">
        <v>93.54</v>
      </c>
      <c r="F161">
        <v>40.74</v>
      </c>
      <c r="G161">
        <v>23.9</v>
      </c>
      <c r="H161">
        <v>110.6</v>
      </c>
      <c r="I161">
        <v>109</v>
      </c>
      <c r="J161" s="111">
        <v>6.3729999999999995E-2</v>
      </c>
      <c r="M161" t="s">
        <v>3970</v>
      </c>
      <c r="N161">
        <v>84.58</v>
      </c>
      <c r="O161">
        <v>7.4610000000000003</v>
      </c>
      <c r="P161">
        <v>3.93</v>
      </c>
      <c r="Q161">
        <v>61.44</v>
      </c>
      <c r="R161">
        <v>44.27</v>
      </c>
      <c r="S161">
        <v>31</v>
      </c>
      <c r="T161">
        <v>22.97</v>
      </c>
      <c r="U161">
        <v>22.06</v>
      </c>
      <c r="V161">
        <v>0.107</v>
      </c>
    </row>
    <row r="162" spans="1:22" x14ac:dyDescent="0.55000000000000004">
      <c r="A162" t="s">
        <v>4049</v>
      </c>
      <c r="B162">
        <v>274.8</v>
      </c>
      <c r="C162">
        <v>12.53</v>
      </c>
      <c r="D162">
        <v>8.7680000000000007</v>
      </c>
      <c r="E162">
        <v>166.9</v>
      </c>
      <c r="F162">
        <v>67.2</v>
      </c>
      <c r="G162">
        <v>31.92</v>
      </c>
      <c r="H162">
        <v>81.03</v>
      </c>
      <c r="I162">
        <v>80.16</v>
      </c>
      <c r="J162" s="111">
        <v>4.6149999999999997E-2</v>
      </c>
      <c r="M162" t="s">
        <v>3971</v>
      </c>
      <c r="N162">
        <v>115</v>
      </c>
      <c r="O162">
        <v>9.577</v>
      </c>
      <c r="P162">
        <v>4.4509999999999996</v>
      </c>
      <c r="Q162">
        <v>87.34</v>
      </c>
      <c r="R162">
        <v>56.98</v>
      </c>
      <c r="S162">
        <v>39.47</v>
      </c>
      <c r="T162">
        <v>32.72</v>
      </c>
      <c r="U162">
        <v>31.02</v>
      </c>
      <c r="V162">
        <v>0.1028</v>
      </c>
    </row>
    <row r="163" spans="1:22" x14ac:dyDescent="0.55000000000000004">
      <c r="A163" t="s">
        <v>4050</v>
      </c>
      <c r="B163">
        <v>74.89</v>
      </c>
      <c r="C163">
        <v>5.9139999999999997</v>
      </c>
      <c r="D163">
        <v>4.0730000000000004</v>
      </c>
      <c r="E163">
        <v>52.41</v>
      </c>
      <c r="F163">
        <v>30.75</v>
      </c>
      <c r="G163">
        <v>20.59</v>
      </c>
      <c r="H163">
        <v>24.59</v>
      </c>
      <c r="I163">
        <v>24.15</v>
      </c>
      <c r="J163" s="111">
        <v>6.0999999999999999E-2</v>
      </c>
      <c r="M163" t="s">
        <v>3972</v>
      </c>
      <c r="N163">
        <v>195.8</v>
      </c>
      <c r="O163">
        <v>11.6</v>
      </c>
      <c r="P163">
        <v>6.3170000000000002</v>
      </c>
      <c r="Q163">
        <v>143.4</v>
      </c>
      <c r="R163">
        <v>84.86</v>
      </c>
      <c r="S163">
        <v>53.95</v>
      </c>
      <c r="T163">
        <v>52.09</v>
      </c>
      <c r="U163">
        <v>48.56</v>
      </c>
      <c r="V163">
        <v>0.17380000000000001</v>
      </c>
    </row>
    <row r="164" spans="1:22" x14ac:dyDescent="0.55000000000000004">
      <c r="A164" t="s">
        <v>4051</v>
      </c>
      <c r="B164">
        <v>249.1</v>
      </c>
      <c r="C164">
        <v>8.6809999999999992</v>
      </c>
      <c r="D164">
        <v>6.2030000000000003</v>
      </c>
      <c r="E164">
        <v>162.30000000000001</v>
      </c>
      <c r="F164">
        <v>66.08</v>
      </c>
      <c r="G164">
        <v>33.200000000000003</v>
      </c>
      <c r="H164">
        <v>63.48</v>
      </c>
      <c r="I164">
        <v>62.06</v>
      </c>
      <c r="J164" s="111">
        <v>6.062E-2</v>
      </c>
      <c r="M164" t="s">
        <v>3973</v>
      </c>
      <c r="N164">
        <v>208.4</v>
      </c>
      <c r="O164">
        <v>15.73</v>
      </c>
      <c r="P164">
        <v>8.9480000000000004</v>
      </c>
      <c r="Q164">
        <v>152.69999999999999</v>
      </c>
      <c r="R164">
        <v>93.46</v>
      </c>
      <c r="S164">
        <v>60.49</v>
      </c>
      <c r="T164">
        <v>58.44</v>
      </c>
      <c r="U164">
        <v>55.6</v>
      </c>
      <c r="V164">
        <v>0.13370000000000001</v>
      </c>
    </row>
    <row r="165" spans="1:22" x14ac:dyDescent="0.55000000000000004">
      <c r="A165" t="s">
        <v>4052</v>
      </c>
      <c r="B165">
        <v>99.58</v>
      </c>
      <c r="C165">
        <v>8.1519999999999992</v>
      </c>
      <c r="D165">
        <v>5.5650000000000004</v>
      </c>
      <c r="E165">
        <v>78.72</v>
      </c>
      <c r="F165">
        <v>60.75</v>
      </c>
      <c r="G165">
        <v>38.17</v>
      </c>
      <c r="H165">
        <v>28.78</v>
      </c>
      <c r="I165">
        <v>27.04</v>
      </c>
      <c r="J165" s="111">
        <v>8.8389999999999996E-2</v>
      </c>
      <c r="M165" t="s">
        <v>3974</v>
      </c>
      <c r="N165">
        <v>131</v>
      </c>
      <c r="O165">
        <v>10.050000000000001</v>
      </c>
      <c r="P165">
        <v>6.3109999999999999</v>
      </c>
      <c r="Q165">
        <v>85.72</v>
      </c>
      <c r="R165">
        <v>56.9</v>
      </c>
      <c r="S165">
        <v>42.17</v>
      </c>
      <c r="T165">
        <v>34.130000000000003</v>
      </c>
      <c r="U165">
        <v>31.66</v>
      </c>
      <c r="V165">
        <v>0.15079999999999999</v>
      </c>
    </row>
    <row r="166" spans="1:22" x14ac:dyDescent="0.55000000000000004">
      <c r="A166" t="s">
        <v>4053</v>
      </c>
      <c r="B166">
        <v>154.4</v>
      </c>
      <c r="C166">
        <v>10.39</v>
      </c>
      <c r="D166">
        <v>6.78</v>
      </c>
      <c r="E166">
        <v>124.8</v>
      </c>
      <c r="F166">
        <v>82.45</v>
      </c>
      <c r="G166">
        <v>47.41</v>
      </c>
      <c r="H166">
        <v>54.01</v>
      </c>
      <c r="I166">
        <v>52.75</v>
      </c>
      <c r="J166">
        <v>0.1134</v>
      </c>
      <c r="M166" t="s">
        <v>3975</v>
      </c>
      <c r="N166">
        <v>142.80000000000001</v>
      </c>
      <c r="O166">
        <v>10.82</v>
      </c>
      <c r="P166">
        <v>6.42</v>
      </c>
      <c r="Q166">
        <v>98.49</v>
      </c>
      <c r="R166">
        <v>66.25</v>
      </c>
      <c r="S166">
        <v>45.1</v>
      </c>
      <c r="T166">
        <v>39.43</v>
      </c>
      <c r="U166">
        <v>36.590000000000003</v>
      </c>
      <c r="V166">
        <v>0.14349999999999999</v>
      </c>
    </row>
    <row r="167" spans="1:22" x14ac:dyDescent="0.55000000000000004">
      <c r="A167" t="s">
        <v>4054</v>
      </c>
      <c r="B167">
        <v>295.39999999999998</v>
      </c>
      <c r="C167">
        <v>7.8079999999999998</v>
      </c>
      <c r="D167">
        <v>5.0640000000000001</v>
      </c>
      <c r="E167">
        <v>198.7</v>
      </c>
      <c r="F167">
        <v>81.99</v>
      </c>
      <c r="G167">
        <v>38.5</v>
      </c>
      <c r="H167">
        <v>72.86</v>
      </c>
      <c r="I167">
        <v>67.97</v>
      </c>
      <c r="J167" s="111">
        <v>7.5389999999999999E-2</v>
      </c>
      <c r="M167" t="s">
        <v>3976</v>
      </c>
      <c r="N167">
        <v>197.6</v>
      </c>
      <c r="O167">
        <v>16.59</v>
      </c>
      <c r="P167">
        <v>9.8829999999999991</v>
      </c>
      <c r="Q167">
        <v>144.1</v>
      </c>
      <c r="R167">
        <v>84.12</v>
      </c>
      <c r="S167">
        <v>57.79</v>
      </c>
      <c r="T167">
        <v>56.79</v>
      </c>
      <c r="U167">
        <v>53.98</v>
      </c>
      <c r="V167">
        <v>0.1356</v>
      </c>
    </row>
    <row r="168" spans="1:22" x14ac:dyDescent="0.55000000000000004">
      <c r="A168" t="s">
        <v>4055</v>
      </c>
      <c r="B168">
        <v>360.5</v>
      </c>
      <c r="C168">
        <v>8.42</v>
      </c>
      <c r="D168">
        <v>5.3390000000000004</v>
      </c>
      <c r="E168">
        <v>224.9</v>
      </c>
      <c r="F168">
        <v>83.55</v>
      </c>
      <c r="G168">
        <v>37.630000000000003</v>
      </c>
      <c r="H168">
        <v>77.56</v>
      </c>
      <c r="I168">
        <v>71.680000000000007</v>
      </c>
      <c r="J168" s="111">
        <v>4.5879999999999997E-2</v>
      </c>
      <c r="M168" t="s">
        <v>3977</v>
      </c>
      <c r="N168">
        <v>178.2</v>
      </c>
      <c r="O168">
        <v>12.66</v>
      </c>
      <c r="P168">
        <v>7.4729999999999999</v>
      </c>
      <c r="Q168">
        <v>130.30000000000001</v>
      </c>
      <c r="R168">
        <v>86.59</v>
      </c>
      <c r="S168">
        <v>53.63</v>
      </c>
      <c r="T168">
        <v>53.17</v>
      </c>
      <c r="U168">
        <v>50.9</v>
      </c>
      <c r="V168">
        <v>0.15079999999999999</v>
      </c>
    </row>
    <row r="169" spans="1:22" x14ac:dyDescent="0.55000000000000004">
      <c r="A169" t="s">
        <v>4056</v>
      </c>
      <c r="B169">
        <v>318.2</v>
      </c>
      <c r="C169">
        <v>8.2520000000000007</v>
      </c>
      <c r="D169">
        <v>6.391</v>
      </c>
      <c r="E169">
        <v>206.5</v>
      </c>
      <c r="F169">
        <v>81.430000000000007</v>
      </c>
      <c r="G169">
        <v>36.020000000000003</v>
      </c>
      <c r="H169">
        <v>61.69</v>
      </c>
      <c r="I169">
        <v>60.26</v>
      </c>
      <c r="J169" s="111">
        <v>4.6620000000000002E-2</v>
      </c>
      <c r="M169" t="s">
        <v>3978</v>
      </c>
      <c r="N169">
        <v>298.89999999999998</v>
      </c>
      <c r="O169">
        <v>23.6</v>
      </c>
      <c r="P169">
        <v>13.71</v>
      </c>
      <c r="Q169">
        <v>204.2</v>
      </c>
      <c r="R169">
        <v>109.1</v>
      </c>
      <c r="S169">
        <v>73.11</v>
      </c>
      <c r="T169">
        <v>83.31</v>
      </c>
      <c r="U169">
        <v>79.69</v>
      </c>
      <c r="V169">
        <v>0.1555</v>
      </c>
    </row>
    <row r="170" spans="1:22" x14ac:dyDescent="0.55000000000000004">
      <c r="A170" t="s">
        <v>4057</v>
      </c>
      <c r="B170">
        <v>385.7</v>
      </c>
      <c r="C170">
        <v>13.51</v>
      </c>
      <c r="D170">
        <v>9.5950000000000006</v>
      </c>
      <c r="E170">
        <v>240.3</v>
      </c>
      <c r="F170">
        <v>94.18</v>
      </c>
      <c r="G170">
        <v>47.17</v>
      </c>
      <c r="H170">
        <v>85.91</v>
      </c>
      <c r="I170">
        <v>83.22</v>
      </c>
      <c r="J170" s="111">
        <v>6.6040000000000001E-2</v>
      </c>
      <c r="M170" t="s">
        <v>3979</v>
      </c>
      <c r="N170">
        <v>369.9</v>
      </c>
      <c r="O170">
        <v>27.61</v>
      </c>
      <c r="P170">
        <v>15.08</v>
      </c>
      <c r="Q170">
        <v>251.6</v>
      </c>
      <c r="R170">
        <v>129.80000000000001</v>
      </c>
      <c r="S170">
        <v>76.8</v>
      </c>
      <c r="T170">
        <v>117.7</v>
      </c>
      <c r="U170">
        <v>115.6</v>
      </c>
      <c r="V170" s="111">
        <v>9.8650000000000002E-2</v>
      </c>
    </row>
    <row r="171" spans="1:22" x14ac:dyDescent="0.55000000000000004">
      <c r="A171" t="s">
        <v>4058</v>
      </c>
      <c r="B171">
        <v>299.89999999999998</v>
      </c>
      <c r="C171">
        <v>11.96</v>
      </c>
      <c r="D171">
        <v>8.827</v>
      </c>
      <c r="E171">
        <v>198.9</v>
      </c>
      <c r="F171">
        <v>87.85</v>
      </c>
      <c r="G171">
        <v>46.26</v>
      </c>
      <c r="H171">
        <v>70.760000000000005</v>
      </c>
      <c r="I171">
        <v>68.41</v>
      </c>
      <c r="J171" s="111">
        <v>7.4190000000000006E-2</v>
      </c>
      <c r="M171" t="s">
        <v>3980</v>
      </c>
      <c r="N171">
        <v>312.3</v>
      </c>
      <c r="O171">
        <v>22.15</v>
      </c>
      <c r="P171">
        <v>11.19</v>
      </c>
      <c r="Q171">
        <v>197.6</v>
      </c>
      <c r="R171">
        <v>106.1</v>
      </c>
      <c r="S171">
        <v>64.34</v>
      </c>
      <c r="T171">
        <v>105.2</v>
      </c>
      <c r="U171">
        <v>102</v>
      </c>
      <c r="V171">
        <v>0.1123</v>
      </c>
    </row>
    <row r="172" spans="1:22" x14ac:dyDescent="0.55000000000000004">
      <c r="A172" t="s">
        <v>4059</v>
      </c>
      <c r="B172">
        <v>199</v>
      </c>
      <c r="C172">
        <v>7.9219999999999997</v>
      </c>
      <c r="D172">
        <v>5.5149999999999997</v>
      </c>
      <c r="E172">
        <v>145.6</v>
      </c>
      <c r="F172">
        <v>76.989999999999995</v>
      </c>
      <c r="G172">
        <v>37.97</v>
      </c>
      <c r="H172">
        <v>41.93</v>
      </c>
      <c r="I172">
        <v>39.93</v>
      </c>
      <c r="J172" s="111">
        <v>7.9909999999999995E-2</v>
      </c>
      <c r="M172" t="s">
        <v>3981</v>
      </c>
      <c r="N172">
        <v>349</v>
      </c>
      <c r="O172">
        <v>17.079999999999998</v>
      </c>
      <c r="P172">
        <v>10.01</v>
      </c>
      <c r="Q172">
        <v>226.5</v>
      </c>
      <c r="R172">
        <v>118.5</v>
      </c>
      <c r="S172">
        <v>72.5</v>
      </c>
      <c r="T172">
        <v>89.27</v>
      </c>
      <c r="U172">
        <v>85.44</v>
      </c>
      <c r="V172">
        <v>0.18190000000000001</v>
      </c>
    </row>
    <row r="173" spans="1:22" x14ac:dyDescent="0.55000000000000004">
      <c r="A173" t="s">
        <v>4060</v>
      </c>
      <c r="B173">
        <v>332.4</v>
      </c>
      <c r="C173">
        <v>16.82</v>
      </c>
      <c r="D173">
        <v>10.79</v>
      </c>
      <c r="E173">
        <v>202</v>
      </c>
      <c r="F173">
        <v>87.92</v>
      </c>
      <c r="G173">
        <v>47.83</v>
      </c>
      <c r="H173">
        <v>88.56</v>
      </c>
      <c r="I173">
        <v>86.08</v>
      </c>
      <c r="J173" s="111">
        <v>8.3640000000000006E-2</v>
      </c>
      <c r="M173" t="s">
        <v>3982</v>
      </c>
      <c r="N173">
        <v>286.39999999999998</v>
      </c>
      <c r="O173">
        <v>12.8</v>
      </c>
      <c r="P173">
        <v>6.4969999999999999</v>
      </c>
      <c r="Q173">
        <v>192.3</v>
      </c>
      <c r="R173">
        <v>99.05</v>
      </c>
      <c r="S173">
        <v>54.81</v>
      </c>
      <c r="T173">
        <v>75.599999999999994</v>
      </c>
      <c r="U173">
        <v>72.91</v>
      </c>
      <c r="V173">
        <v>0.1449</v>
      </c>
    </row>
    <row r="174" spans="1:22" x14ac:dyDescent="0.55000000000000004">
      <c r="A174" t="s">
        <v>4061</v>
      </c>
      <c r="B174">
        <v>350.6</v>
      </c>
      <c r="C174">
        <v>9.1669999999999998</v>
      </c>
      <c r="D174">
        <v>6.2460000000000004</v>
      </c>
      <c r="E174">
        <v>210.8</v>
      </c>
      <c r="F174">
        <v>81.86</v>
      </c>
      <c r="G174">
        <v>41.42</v>
      </c>
      <c r="H174">
        <v>79.45</v>
      </c>
      <c r="I174">
        <v>76.72</v>
      </c>
      <c r="J174" s="111">
        <v>7.9299999999999995E-2</v>
      </c>
      <c r="M174" t="s">
        <v>3983</v>
      </c>
      <c r="N174">
        <v>302.3</v>
      </c>
      <c r="O174">
        <v>7.8769999999999998</v>
      </c>
      <c r="P174">
        <v>3.26</v>
      </c>
      <c r="Q174">
        <v>198.2</v>
      </c>
      <c r="R174">
        <v>82.76</v>
      </c>
      <c r="S174">
        <v>35.35</v>
      </c>
      <c r="T174">
        <v>84.97</v>
      </c>
      <c r="U174">
        <v>82.96</v>
      </c>
      <c r="V174" s="111">
        <v>7.1349999999999997E-2</v>
      </c>
    </row>
    <row r="175" spans="1:22" x14ac:dyDescent="0.55000000000000004">
      <c r="A175" t="s">
        <v>4062</v>
      </c>
      <c r="B175">
        <v>337.3</v>
      </c>
      <c r="C175">
        <v>18.3</v>
      </c>
      <c r="D175">
        <v>12.47</v>
      </c>
      <c r="E175">
        <v>214</v>
      </c>
      <c r="F175">
        <v>100.6</v>
      </c>
      <c r="G175">
        <v>54.86</v>
      </c>
      <c r="H175">
        <v>83.51</v>
      </c>
      <c r="I175">
        <v>81.55</v>
      </c>
      <c r="J175" s="111">
        <v>8.8840000000000002E-2</v>
      </c>
      <c r="M175" t="s">
        <v>3984</v>
      </c>
      <c r="N175">
        <v>397</v>
      </c>
      <c r="O175">
        <v>38.22</v>
      </c>
      <c r="P175">
        <v>17.170000000000002</v>
      </c>
      <c r="Q175">
        <v>277.39999999999998</v>
      </c>
      <c r="R175">
        <v>135.30000000000001</v>
      </c>
      <c r="S175">
        <v>92.73</v>
      </c>
      <c r="T175">
        <v>129.4</v>
      </c>
      <c r="U175">
        <v>127.5</v>
      </c>
      <c r="V175" s="111">
        <v>9.5740000000000006E-2</v>
      </c>
    </row>
    <row r="176" spans="1:22" x14ac:dyDescent="0.55000000000000004">
      <c r="A176" t="s">
        <v>4063</v>
      </c>
      <c r="B176">
        <v>301.8</v>
      </c>
      <c r="C176">
        <v>10.09</v>
      </c>
      <c r="D176">
        <v>6.48</v>
      </c>
      <c r="E176">
        <v>184.2</v>
      </c>
      <c r="F176">
        <v>81.239999999999995</v>
      </c>
      <c r="G176">
        <v>44.38</v>
      </c>
      <c r="H176">
        <v>71.69</v>
      </c>
      <c r="I176">
        <v>67.98</v>
      </c>
      <c r="J176">
        <v>0.1125</v>
      </c>
      <c r="M176" t="s">
        <v>3985</v>
      </c>
      <c r="N176">
        <v>335.5</v>
      </c>
      <c r="O176">
        <v>10.210000000000001</v>
      </c>
      <c r="P176">
        <v>3.4129999999999998</v>
      </c>
      <c r="Q176">
        <v>259.5</v>
      </c>
      <c r="R176">
        <v>113.5</v>
      </c>
      <c r="S176">
        <v>75.569999999999993</v>
      </c>
      <c r="T176">
        <v>146.80000000000001</v>
      </c>
      <c r="U176">
        <v>143.4</v>
      </c>
      <c r="V176">
        <v>0.1255</v>
      </c>
    </row>
    <row r="177" spans="1:22" x14ac:dyDescent="0.55000000000000004">
      <c r="A177" t="s">
        <v>4064</v>
      </c>
      <c r="B177">
        <v>453.8</v>
      </c>
      <c r="C177">
        <v>33.479999999999997</v>
      </c>
      <c r="D177">
        <v>20.239999999999998</v>
      </c>
      <c r="E177">
        <v>280.39999999999998</v>
      </c>
      <c r="F177">
        <v>114</v>
      </c>
      <c r="G177">
        <v>72.62</v>
      </c>
      <c r="H177">
        <v>131.69999999999999</v>
      </c>
      <c r="I177">
        <v>130.19999999999999</v>
      </c>
      <c r="J177" s="111">
        <v>8.1110000000000002E-2</v>
      </c>
      <c r="M177" t="s">
        <v>3986</v>
      </c>
      <c r="N177">
        <v>143.80000000000001</v>
      </c>
      <c r="O177">
        <v>7.5389999999999997</v>
      </c>
      <c r="P177">
        <v>3.0979999999999999</v>
      </c>
      <c r="Q177">
        <v>109.1</v>
      </c>
      <c r="R177">
        <v>45.48</v>
      </c>
      <c r="S177">
        <v>26.43</v>
      </c>
      <c r="T177">
        <v>47.43</v>
      </c>
      <c r="U177">
        <v>48.28</v>
      </c>
      <c r="V177" s="111">
        <v>3.5470000000000002E-2</v>
      </c>
    </row>
    <row r="178" spans="1:22" x14ac:dyDescent="0.55000000000000004">
      <c r="A178" t="s">
        <v>4065</v>
      </c>
      <c r="B178">
        <v>361.5</v>
      </c>
      <c r="C178">
        <v>10.72</v>
      </c>
      <c r="D178">
        <v>7.1580000000000004</v>
      </c>
      <c r="E178">
        <v>211.9</v>
      </c>
      <c r="F178">
        <v>80.989999999999995</v>
      </c>
      <c r="G178">
        <v>41.86</v>
      </c>
      <c r="H178">
        <v>81.37</v>
      </c>
      <c r="I178">
        <v>78.650000000000006</v>
      </c>
      <c r="J178">
        <v>0.1028</v>
      </c>
      <c r="M178" t="s">
        <v>3987</v>
      </c>
      <c r="N178">
        <v>353.5</v>
      </c>
      <c r="O178">
        <v>27.22</v>
      </c>
      <c r="P178">
        <v>12.76</v>
      </c>
      <c r="Q178">
        <v>232.1</v>
      </c>
      <c r="R178">
        <v>121.1</v>
      </c>
      <c r="S178">
        <v>74.06</v>
      </c>
      <c r="T178">
        <v>97.04</v>
      </c>
      <c r="U178">
        <v>98.05</v>
      </c>
      <c r="V178" s="111">
        <v>9.8900000000000002E-2</v>
      </c>
    </row>
    <row r="179" spans="1:22" x14ac:dyDescent="0.55000000000000004">
      <c r="A179" t="s">
        <v>4066</v>
      </c>
      <c r="B179">
        <v>372</v>
      </c>
      <c r="C179">
        <v>10.63</v>
      </c>
      <c r="D179">
        <v>6.8620000000000001</v>
      </c>
      <c r="E179">
        <v>220.9</v>
      </c>
      <c r="F179">
        <v>92.19</v>
      </c>
      <c r="G179">
        <v>47.01</v>
      </c>
      <c r="H179">
        <v>90.19</v>
      </c>
      <c r="I179">
        <v>87.65</v>
      </c>
      <c r="J179">
        <v>0.1031</v>
      </c>
      <c r="M179" t="s">
        <v>3988</v>
      </c>
      <c r="N179">
        <v>212.2</v>
      </c>
      <c r="O179">
        <v>9.35</v>
      </c>
      <c r="P179">
        <v>3.6579999999999999</v>
      </c>
      <c r="Q179">
        <v>145.5</v>
      </c>
      <c r="R179">
        <v>69.03</v>
      </c>
      <c r="S179">
        <v>35.58</v>
      </c>
      <c r="T179">
        <v>60.08</v>
      </c>
      <c r="U179">
        <v>59.83</v>
      </c>
      <c r="V179" s="111">
        <v>4.616E-2</v>
      </c>
    </row>
    <row r="180" spans="1:22" x14ac:dyDescent="0.55000000000000004">
      <c r="A180" t="s">
        <v>4067</v>
      </c>
      <c r="B180">
        <v>291.10000000000002</v>
      </c>
      <c r="C180">
        <v>9.968</v>
      </c>
      <c r="D180">
        <v>4.6909999999999998</v>
      </c>
      <c r="E180">
        <v>171.1</v>
      </c>
      <c r="F180">
        <v>63.72</v>
      </c>
      <c r="G180">
        <v>32.74</v>
      </c>
      <c r="H180">
        <v>174.6</v>
      </c>
      <c r="I180">
        <v>170.8</v>
      </c>
      <c r="J180" s="111">
        <v>9.6140000000000003E-2</v>
      </c>
      <c r="M180" t="s">
        <v>3989</v>
      </c>
      <c r="N180">
        <v>158.69999999999999</v>
      </c>
      <c r="O180">
        <v>12.71</v>
      </c>
      <c r="P180">
        <v>5.742</v>
      </c>
      <c r="Q180">
        <v>112.6</v>
      </c>
      <c r="R180">
        <v>86.74</v>
      </c>
      <c r="S180">
        <v>58.42</v>
      </c>
      <c r="T180">
        <v>38.39</v>
      </c>
      <c r="U180">
        <v>36.36</v>
      </c>
      <c r="V180">
        <v>0.2039</v>
      </c>
    </row>
    <row r="181" spans="1:22" x14ac:dyDescent="0.55000000000000004">
      <c r="A181" t="s">
        <v>4068</v>
      </c>
      <c r="B181">
        <v>387.4</v>
      </c>
      <c r="C181">
        <v>23.66</v>
      </c>
      <c r="D181">
        <v>16.23</v>
      </c>
      <c r="E181">
        <v>247.9</v>
      </c>
      <c r="F181">
        <v>113.3</v>
      </c>
      <c r="G181">
        <v>67.650000000000006</v>
      </c>
      <c r="H181">
        <v>129.19999999999999</v>
      </c>
      <c r="I181">
        <v>128.30000000000001</v>
      </c>
      <c r="J181" s="111">
        <v>7.9380000000000006E-2</v>
      </c>
      <c r="M181" t="s">
        <v>3990</v>
      </c>
      <c r="N181">
        <v>247.2</v>
      </c>
      <c r="O181">
        <v>22.01</v>
      </c>
      <c r="P181">
        <v>11.34</v>
      </c>
      <c r="Q181">
        <v>200.7</v>
      </c>
      <c r="R181">
        <v>149.6</v>
      </c>
      <c r="S181">
        <v>98.05</v>
      </c>
      <c r="T181">
        <v>70.069999999999993</v>
      </c>
      <c r="U181">
        <v>66.94</v>
      </c>
      <c r="V181">
        <v>0.28270000000000001</v>
      </c>
    </row>
    <row r="182" spans="1:22" x14ac:dyDescent="0.55000000000000004">
      <c r="A182" t="s">
        <v>4069</v>
      </c>
      <c r="B182">
        <v>200.8</v>
      </c>
      <c r="C182">
        <v>8.9700000000000006</v>
      </c>
      <c r="D182">
        <v>5.3250000000000002</v>
      </c>
      <c r="E182">
        <v>127.3</v>
      </c>
      <c r="F182">
        <v>57.93</v>
      </c>
      <c r="G182">
        <v>34</v>
      </c>
      <c r="H182">
        <v>167.4</v>
      </c>
      <c r="I182">
        <v>165.3</v>
      </c>
      <c r="J182" s="111">
        <v>9.393E-2</v>
      </c>
      <c r="M182" t="s">
        <v>3991</v>
      </c>
      <c r="N182">
        <v>134.9</v>
      </c>
      <c r="O182">
        <v>8.9619999999999997</v>
      </c>
      <c r="P182">
        <v>3.7509999999999999</v>
      </c>
      <c r="Q182">
        <v>109.3</v>
      </c>
      <c r="R182">
        <v>76.48</v>
      </c>
      <c r="S182">
        <v>43.83</v>
      </c>
      <c r="T182">
        <v>30.13</v>
      </c>
      <c r="U182">
        <v>29.22</v>
      </c>
      <c r="V182">
        <v>0.14560000000000001</v>
      </c>
    </row>
    <row r="183" spans="1:22" x14ac:dyDescent="0.55000000000000004">
      <c r="A183" t="s">
        <v>4070</v>
      </c>
      <c r="B183">
        <v>416.8</v>
      </c>
      <c r="C183">
        <v>18.510000000000002</v>
      </c>
      <c r="D183">
        <v>13.19</v>
      </c>
      <c r="E183">
        <v>256.7</v>
      </c>
      <c r="F183">
        <v>103.3</v>
      </c>
      <c r="G183">
        <v>48.2</v>
      </c>
      <c r="H183">
        <v>120.5</v>
      </c>
      <c r="I183">
        <v>119.3</v>
      </c>
      <c r="J183" s="111">
        <v>7.0040000000000005E-2</v>
      </c>
      <c r="M183" t="s">
        <v>3992</v>
      </c>
      <c r="N183">
        <v>48.43</v>
      </c>
      <c r="O183">
        <v>3.5270000000000001</v>
      </c>
      <c r="P183">
        <v>1.0660000000000001</v>
      </c>
      <c r="Q183">
        <v>37.93</v>
      </c>
      <c r="R183">
        <v>27.94</v>
      </c>
      <c r="S183">
        <v>16.350000000000001</v>
      </c>
      <c r="T183">
        <v>11.24</v>
      </c>
      <c r="U183">
        <v>10.96</v>
      </c>
      <c r="V183" s="111">
        <v>4.5319999999999999E-2</v>
      </c>
    </row>
    <row r="184" spans="1:22" x14ac:dyDescent="0.55000000000000004">
      <c r="A184" t="s">
        <v>4071</v>
      </c>
      <c r="B184">
        <v>104.4</v>
      </c>
      <c r="C184">
        <v>7.694</v>
      </c>
      <c r="D184">
        <v>5.5979999999999999</v>
      </c>
      <c r="E184">
        <v>72.099999999999994</v>
      </c>
      <c r="F184">
        <v>39</v>
      </c>
      <c r="G184">
        <v>28.4</v>
      </c>
      <c r="H184">
        <v>32.68</v>
      </c>
      <c r="I184">
        <v>31.45</v>
      </c>
      <c r="J184" s="111">
        <v>7.2160000000000002E-2</v>
      </c>
      <c r="M184" t="s">
        <v>3993</v>
      </c>
      <c r="N184">
        <v>58.88</v>
      </c>
      <c r="O184">
        <v>3.8479999999999999</v>
      </c>
      <c r="P184">
        <v>1.1240000000000001</v>
      </c>
      <c r="Q184">
        <v>45.52</v>
      </c>
      <c r="R184">
        <v>27.74</v>
      </c>
      <c r="S184">
        <v>17.73</v>
      </c>
      <c r="T184">
        <v>16.96</v>
      </c>
      <c r="U184">
        <v>16.03</v>
      </c>
      <c r="V184" s="111">
        <v>3.8769999999999999E-2</v>
      </c>
    </row>
    <row r="185" spans="1:22" x14ac:dyDescent="0.55000000000000004">
      <c r="A185" t="s">
        <v>4072</v>
      </c>
      <c r="B185">
        <v>341.5</v>
      </c>
      <c r="C185">
        <v>11.54</v>
      </c>
      <c r="D185">
        <v>8.6170000000000009</v>
      </c>
      <c r="E185">
        <v>243</v>
      </c>
      <c r="F185">
        <v>94.71</v>
      </c>
      <c r="G185">
        <v>45.36</v>
      </c>
      <c r="H185">
        <v>83.43</v>
      </c>
      <c r="I185">
        <v>82.74</v>
      </c>
      <c r="J185" s="111">
        <v>7.4969999999999995E-2</v>
      </c>
      <c r="M185" t="s">
        <v>3994</v>
      </c>
      <c r="N185">
        <v>213.9</v>
      </c>
      <c r="O185">
        <v>15.4</v>
      </c>
      <c r="P185">
        <v>6.452</v>
      </c>
      <c r="Q185">
        <v>162.9</v>
      </c>
      <c r="R185">
        <v>105.2</v>
      </c>
      <c r="S185">
        <v>63.86</v>
      </c>
      <c r="T185">
        <v>56.2</v>
      </c>
      <c r="U185">
        <v>53.71</v>
      </c>
      <c r="V185">
        <v>0.1148</v>
      </c>
    </row>
    <row r="186" spans="1:22" x14ac:dyDescent="0.55000000000000004">
      <c r="A186" t="s">
        <v>4073</v>
      </c>
      <c r="B186">
        <v>193.7</v>
      </c>
      <c r="C186">
        <v>11.39</v>
      </c>
      <c r="D186">
        <v>7.4630000000000001</v>
      </c>
      <c r="E186">
        <v>158.19999999999999</v>
      </c>
      <c r="F186">
        <v>90.83</v>
      </c>
      <c r="G186">
        <v>47.97</v>
      </c>
      <c r="H186">
        <v>75.08</v>
      </c>
      <c r="I186">
        <v>65.73</v>
      </c>
      <c r="J186" s="111">
        <v>7.7509999999999996E-2</v>
      </c>
      <c r="M186" t="s">
        <v>3995</v>
      </c>
      <c r="N186">
        <v>223</v>
      </c>
      <c r="O186">
        <v>18.38</v>
      </c>
      <c r="P186">
        <v>8.0869999999999997</v>
      </c>
      <c r="Q186">
        <v>174.5</v>
      </c>
      <c r="R186">
        <v>109.5</v>
      </c>
      <c r="S186">
        <v>77.39</v>
      </c>
      <c r="T186">
        <v>70.84</v>
      </c>
      <c r="U186">
        <v>69.099999999999994</v>
      </c>
      <c r="V186">
        <v>0.1555</v>
      </c>
    </row>
    <row r="187" spans="1:22" x14ac:dyDescent="0.55000000000000004">
      <c r="A187" t="s">
        <v>4074</v>
      </c>
      <c r="B187">
        <v>107.7</v>
      </c>
      <c r="C187">
        <v>6.5330000000000004</v>
      </c>
      <c r="D187">
        <v>4.09</v>
      </c>
      <c r="E187">
        <v>65.11</v>
      </c>
      <c r="F187">
        <v>44.69</v>
      </c>
      <c r="G187">
        <v>29.29</v>
      </c>
      <c r="H187">
        <v>21.12</v>
      </c>
      <c r="I187">
        <v>20.12</v>
      </c>
      <c r="J187">
        <v>0.1474</v>
      </c>
      <c r="M187" t="s">
        <v>3996</v>
      </c>
      <c r="N187">
        <v>146.5</v>
      </c>
      <c r="O187">
        <v>10.029999999999999</v>
      </c>
      <c r="P187">
        <v>4.0919999999999996</v>
      </c>
      <c r="Q187">
        <v>107.8</v>
      </c>
      <c r="R187">
        <v>78.16</v>
      </c>
      <c r="S187">
        <v>48.88</v>
      </c>
      <c r="T187">
        <v>32.97</v>
      </c>
      <c r="U187">
        <v>31.86</v>
      </c>
      <c r="V187">
        <v>0.18179999999999999</v>
      </c>
    </row>
    <row r="188" spans="1:22" x14ac:dyDescent="0.55000000000000004">
      <c r="A188" t="s">
        <v>4075</v>
      </c>
      <c r="B188">
        <v>147.30000000000001</v>
      </c>
      <c r="C188">
        <v>13.57</v>
      </c>
      <c r="D188">
        <v>8.0120000000000005</v>
      </c>
      <c r="E188">
        <v>131</v>
      </c>
      <c r="F188">
        <v>78.319999999999993</v>
      </c>
      <c r="G188">
        <v>52.33</v>
      </c>
      <c r="H188">
        <v>45.68</v>
      </c>
      <c r="I188">
        <v>43.86</v>
      </c>
      <c r="J188">
        <v>0.15509999999999999</v>
      </c>
      <c r="M188" t="s">
        <v>3997</v>
      </c>
      <c r="N188">
        <v>267.39999999999998</v>
      </c>
      <c r="O188">
        <v>22.33</v>
      </c>
      <c r="P188">
        <v>11.02</v>
      </c>
      <c r="Q188">
        <v>200.7</v>
      </c>
      <c r="R188">
        <v>124.5</v>
      </c>
      <c r="S188">
        <v>78.06</v>
      </c>
      <c r="T188">
        <v>78.45</v>
      </c>
      <c r="U188">
        <v>77.05</v>
      </c>
      <c r="V188">
        <v>0.1666</v>
      </c>
    </row>
    <row r="189" spans="1:22" x14ac:dyDescent="0.55000000000000004">
      <c r="A189" t="s">
        <v>4076</v>
      </c>
      <c r="B189">
        <v>290.2</v>
      </c>
      <c r="C189">
        <v>15.28</v>
      </c>
      <c r="D189">
        <v>9.8140000000000001</v>
      </c>
      <c r="E189">
        <v>221.6</v>
      </c>
      <c r="F189">
        <v>107</v>
      </c>
      <c r="G189">
        <v>62.25</v>
      </c>
      <c r="H189">
        <v>103.2</v>
      </c>
      <c r="I189">
        <v>99.76</v>
      </c>
      <c r="J189">
        <v>0.1447</v>
      </c>
      <c r="M189" t="s">
        <v>3998</v>
      </c>
      <c r="N189">
        <v>252.8</v>
      </c>
      <c r="O189">
        <v>13.9</v>
      </c>
      <c r="P189">
        <v>5.944</v>
      </c>
      <c r="Q189">
        <v>176.7</v>
      </c>
      <c r="R189">
        <v>108.4</v>
      </c>
      <c r="S189">
        <v>64.94</v>
      </c>
      <c r="T189">
        <v>69.38</v>
      </c>
      <c r="U189">
        <v>66.81</v>
      </c>
      <c r="V189">
        <v>0.15970000000000001</v>
      </c>
    </row>
    <row r="190" spans="1:22" x14ac:dyDescent="0.55000000000000004">
      <c r="A190" t="s">
        <v>4077</v>
      </c>
      <c r="B190">
        <v>312.3</v>
      </c>
      <c r="C190">
        <v>12.26</v>
      </c>
      <c r="D190">
        <v>7.9269999999999996</v>
      </c>
      <c r="E190">
        <v>219.9</v>
      </c>
      <c r="F190">
        <v>97.05</v>
      </c>
      <c r="G190">
        <v>51.4</v>
      </c>
      <c r="H190">
        <v>114.5</v>
      </c>
      <c r="I190">
        <v>111.2</v>
      </c>
      <c r="J190" s="111">
        <v>9.3560000000000004E-2</v>
      </c>
      <c r="M190" t="s">
        <v>3999</v>
      </c>
      <c r="N190">
        <v>235.2</v>
      </c>
      <c r="O190">
        <v>24.22</v>
      </c>
      <c r="P190">
        <v>11.23</v>
      </c>
      <c r="Q190">
        <v>187.9</v>
      </c>
      <c r="R190">
        <v>129.5</v>
      </c>
      <c r="S190">
        <v>91.97</v>
      </c>
      <c r="T190">
        <v>78.12</v>
      </c>
      <c r="U190">
        <v>74.78</v>
      </c>
      <c r="V190">
        <v>0.1754</v>
      </c>
    </row>
    <row r="191" spans="1:22" x14ac:dyDescent="0.55000000000000004">
      <c r="A191" t="s">
        <v>4078</v>
      </c>
      <c r="B191">
        <v>349</v>
      </c>
      <c r="C191">
        <v>10.33</v>
      </c>
      <c r="D191">
        <v>3.8039999999999998</v>
      </c>
      <c r="E191">
        <v>248.5</v>
      </c>
      <c r="F191">
        <v>138.4</v>
      </c>
      <c r="G191">
        <v>65.430000000000007</v>
      </c>
      <c r="H191">
        <v>177.4</v>
      </c>
      <c r="I191">
        <v>172.9</v>
      </c>
      <c r="J191">
        <v>0.1041</v>
      </c>
      <c r="M191" t="s">
        <v>4000</v>
      </c>
      <c r="N191">
        <v>375</v>
      </c>
      <c r="O191">
        <v>18.41</v>
      </c>
      <c r="P191">
        <v>9.5559999999999992</v>
      </c>
      <c r="Q191">
        <v>269.5</v>
      </c>
      <c r="R191">
        <v>152.5</v>
      </c>
      <c r="S191">
        <v>87.9</v>
      </c>
      <c r="T191">
        <v>90.28</v>
      </c>
      <c r="U191">
        <v>85.55</v>
      </c>
      <c r="V191">
        <v>0.25380000000000003</v>
      </c>
    </row>
    <row r="192" spans="1:22" x14ac:dyDescent="0.55000000000000004">
      <c r="A192" t="s">
        <v>4079</v>
      </c>
      <c r="B192">
        <v>242.2</v>
      </c>
      <c r="C192">
        <v>23.64</v>
      </c>
      <c r="D192">
        <v>11.53</v>
      </c>
      <c r="E192">
        <v>201.9</v>
      </c>
      <c r="F192">
        <v>112.9</v>
      </c>
      <c r="G192">
        <v>77.2</v>
      </c>
      <c r="H192">
        <v>102.6</v>
      </c>
      <c r="I192">
        <v>86.2</v>
      </c>
      <c r="J192">
        <v>0.161</v>
      </c>
      <c r="M192" t="s">
        <v>4001</v>
      </c>
      <c r="N192">
        <v>318.8</v>
      </c>
      <c r="O192">
        <v>22.71</v>
      </c>
      <c r="P192">
        <v>8.7780000000000005</v>
      </c>
      <c r="Q192">
        <v>219.1</v>
      </c>
      <c r="R192">
        <v>103.6</v>
      </c>
      <c r="S192">
        <v>64.27</v>
      </c>
      <c r="T192">
        <v>86.73</v>
      </c>
      <c r="U192">
        <v>89.27</v>
      </c>
      <c r="V192">
        <v>0.10829999999999999</v>
      </c>
    </row>
    <row r="193" spans="1:36" x14ac:dyDescent="0.55000000000000004">
      <c r="A193" t="s">
        <v>4080</v>
      </c>
      <c r="B193">
        <v>192.5</v>
      </c>
      <c r="C193">
        <v>13.8</v>
      </c>
      <c r="D193">
        <v>7.4340000000000002</v>
      </c>
      <c r="E193">
        <v>158.9</v>
      </c>
      <c r="F193">
        <v>96.16</v>
      </c>
      <c r="G193">
        <v>55.51</v>
      </c>
      <c r="H193">
        <v>72.55</v>
      </c>
      <c r="I193">
        <v>67.3</v>
      </c>
      <c r="J193">
        <v>0.1026</v>
      </c>
      <c r="M193" t="s">
        <v>4002</v>
      </c>
      <c r="N193">
        <v>380</v>
      </c>
      <c r="O193">
        <v>19.489999999999998</v>
      </c>
      <c r="P193">
        <v>9.5280000000000005</v>
      </c>
      <c r="Q193">
        <v>270.2</v>
      </c>
      <c r="R193">
        <v>149</v>
      </c>
      <c r="S193">
        <v>84.03</v>
      </c>
      <c r="T193">
        <v>95.98</v>
      </c>
      <c r="U193">
        <v>90.99</v>
      </c>
      <c r="V193">
        <v>0.2319</v>
      </c>
    </row>
    <row r="194" spans="1:36" x14ac:dyDescent="0.55000000000000004">
      <c r="A194" t="s">
        <v>4081</v>
      </c>
      <c r="B194">
        <v>113.9</v>
      </c>
      <c r="C194">
        <v>7.5979999999999999</v>
      </c>
      <c r="D194">
        <v>4.2469999999999999</v>
      </c>
      <c r="E194">
        <v>88.12</v>
      </c>
      <c r="F194">
        <v>49.66</v>
      </c>
      <c r="G194">
        <v>28.91</v>
      </c>
      <c r="H194">
        <v>31.82</v>
      </c>
      <c r="I194">
        <v>31.06</v>
      </c>
      <c r="J194" s="111">
        <v>6.4079999999999998E-2</v>
      </c>
      <c r="M194" t="s">
        <v>4003</v>
      </c>
      <c r="N194">
        <v>587.20000000000005</v>
      </c>
      <c r="O194">
        <v>20.309999999999999</v>
      </c>
      <c r="P194">
        <v>10.63</v>
      </c>
      <c r="Q194">
        <v>377</v>
      </c>
      <c r="R194">
        <v>187.9</v>
      </c>
      <c r="S194">
        <v>93.49</v>
      </c>
      <c r="T194">
        <v>142.6</v>
      </c>
      <c r="U194">
        <v>135.6</v>
      </c>
      <c r="V194">
        <v>0.23960000000000001</v>
      </c>
    </row>
    <row r="195" spans="1:36" x14ac:dyDescent="0.55000000000000004">
      <c r="A195" t="s">
        <v>4082</v>
      </c>
      <c r="B195">
        <v>101.1</v>
      </c>
      <c r="C195">
        <v>5.1829999999999998</v>
      </c>
      <c r="D195">
        <v>2.9359999999999999</v>
      </c>
      <c r="E195">
        <v>57.67</v>
      </c>
      <c r="F195">
        <v>36.270000000000003</v>
      </c>
      <c r="G195">
        <v>23.55</v>
      </c>
      <c r="H195">
        <v>16.38</v>
      </c>
      <c r="I195">
        <v>16.28</v>
      </c>
      <c r="J195">
        <v>0.1386</v>
      </c>
      <c r="M195" t="s">
        <v>4004</v>
      </c>
      <c r="N195">
        <v>431.5</v>
      </c>
      <c r="O195">
        <v>12.9</v>
      </c>
      <c r="P195">
        <v>4.2569999999999997</v>
      </c>
      <c r="Q195">
        <v>257.5</v>
      </c>
      <c r="R195">
        <v>113.4</v>
      </c>
      <c r="S195">
        <v>58.96</v>
      </c>
      <c r="T195">
        <v>116.4</v>
      </c>
      <c r="U195">
        <v>114.3</v>
      </c>
      <c r="V195">
        <v>0.1115</v>
      </c>
    </row>
    <row r="196" spans="1:36" x14ac:dyDescent="0.55000000000000004">
      <c r="A196" t="s">
        <v>4083</v>
      </c>
      <c r="B196">
        <v>110.6</v>
      </c>
      <c r="C196">
        <v>10.5</v>
      </c>
      <c r="D196">
        <v>6.0190000000000001</v>
      </c>
      <c r="E196">
        <v>78.19</v>
      </c>
      <c r="F196">
        <v>56.34</v>
      </c>
      <c r="G196">
        <v>40.15</v>
      </c>
      <c r="H196">
        <v>33.67</v>
      </c>
      <c r="I196">
        <v>30.2</v>
      </c>
      <c r="J196">
        <v>0.1411</v>
      </c>
      <c r="M196" t="s">
        <v>4005</v>
      </c>
      <c r="N196">
        <v>121.4</v>
      </c>
      <c r="O196">
        <v>9.5229999999999997</v>
      </c>
      <c r="P196">
        <v>3.2320000000000002</v>
      </c>
      <c r="Q196">
        <v>81.41</v>
      </c>
      <c r="R196">
        <v>46.45</v>
      </c>
      <c r="S196">
        <v>29.58</v>
      </c>
      <c r="T196">
        <v>43.11</v>
      </c>
      <c r="U196">
        <v>43.04</v>
      </c>
      <c r="V196" s="111">
        <v>3.4880000000000001E-2</v>
      </c>
    </row>
    <row r="197" spans="1:36" x14ac:dyDescent="0.55000000000000004">
      <c r="A197" t="s">
        <v>4084</v>
      </c>
      <c r="B197">
        <v>167.9</v>
      </c>
      <c r="C197">
        <v>11.14</v>
      </c>
      <c r="D197">
        <v>6.2779999999999996</v>
      </c>
      <c r="E197">
        <v>128.19999999999999</v>
      </c>
      <c r="F197">
        <v>83.55</v>
      </c>
      <c r="G197">
        <v>49.11</v>
      </c>
      <c r="H197">
        <v>68.53</v>
      </c>
      <c r="I197">
        <v>67.56</v>
      </c>
      <c r="J197">
        <v>0.12740000000000001</v>
      </c>
      <c r="M197" t="s">
        <v>4006</v>
      </c>
      <c r="N197">
        <v>214.9</v>
      </c>
      <c r="O197">
        <v>7.9240000000000004</v>
      </c>
      <c r="P197">
        <v>2.4350000000000001</v>
      </c>
      <c r="Q197">
        <v>145.1</v>
      </c>
      <c r="R197">
        <v>73.349999999999994</v>
      </c>
      <c r="S197">
        <v>39.479999999999997</v>
      </c>
      <c r="T197">
        <v>70.88</v>
      </c>
      <c r="U197">
        <v>70.61</v>
      </c>
      <c r="V197" s="111">
        <v>7.306E-2</v>
      </c>
    </row>
    <row r="198" spans="1:36" x14ac:dyDescent="0.55000000000000004">
      <c r="A198" t="s">
        <v>4085</v>
      </c>
      <c r="B198">
        <v>148.1</v>
      </c>
      <c r="C198">
        <v>8.2829999999999995</v>
      </c>
      <c r="D198">
        <v>4.6120000000000001</v>
      </c>
      <c r="E198">
        <v>113</v>
      </c>
      <c r="F198">
        <v>59.98</v>
      </c>
      <c r="G198">
        <v>35.71</v>
      </c>
      <c r="H198">
        <v>62.38</v>
      </c>
      <c r="I198">
        <v>61.68</v>
      </c>
      <c r="J198" s="111">
        <v>6.4329999999999998E-2</v>
      </c>
      <c r="M198" t="s">
        <v>4007</v>
      </c>
      <c r="N198">
        <v>262</v>
      </c>
      <c r="O198">
        <v>9.7390000000000008</v>
      </c>
      <c r="P198">
        <v>3.2879999999999998</v>
      </c>
      <c r="Q198">
        <v>168.7</v>
      </c>
      <c r="R198">
        <v>65.260000000000005</v>
      </c>
      <c r="S198">
        <v>28.48</v>
      </c>
      <c r="T198">
        <v>56.46</v>
      </c>
      <c r="U198">
        <v>58.62</v>
      </c>
      <c r="V198" s="111">
        <v>5.135E-2</v>
      </c>
    </row>
    <row r="199" spans="1:36" x14ac:dyDescent="0.55000000000000004">
      <c r="A199" t="s">
        <v>4086</v>
      </c>
      <c r="B199">
        <v>208.7</v>
      </c>
      <c r="C199">
        <v>7.54</v>
      </c>
      <c r="D199">
        <v>2.331</v>
      </c>
      <c r="E199">
        <v>140.1</v>
      </c>
      <c r="F199">
        <v>80.58</v>
      </c>
      <c r="G199">
        <v>44.82</v>
      </c>
      <c r="H199">
        <v>95.41</v>
      </c>
      <c r="I199">
        <v>88.36</v>
      </c>
      <c r="J199" s="111">
        <v>6.9989999999999997E-2</v>
      </c>
      <c r="M199" t="s">
        <v>4008</v>
      </c>
      <c r="N199">
        <v>169.4</v>
      </c>
      <c r="O199">
        <v>11.86</v>
      </c>
      <c r="P199">
        <v>5.42</v>
      </c>
      <c r="Q199">
        <v>114.7</v>
      </c>
      <c r="R199">
        <v>66.83</v>
      </c>
      <c r="S199">
        <v>45.97</v>
      </c>
      <c r="T199">
        <v>47.43</v>
      </c>
      <c r="U199">
        <v>46</v>
      </c>
      <c r="V199">
        <v>0.13900000000000001</v>
      </c>
    </row>
    <row r="200" spans="1:36" x14ac:dyDescent="0.55000000000000004">
      <c r="A200" t="s">
        <v>4087</v>
      </c>
      <c r="B200">
        <v>172.5</v>
      </c>
      <c r="C200">
        <v>16.829999999999998</v>
      </c>
      <c r="D200">
        <v>7.819</v>
      </c>
      <c r="E200">
        <v>130.19999999999999</v>
      </c>
      <c r="F200">
        <v>79.849999999999994</v>
      </c>
      <c r="G200">
        <v>47.17</v>
      </c>
      <c r="H200">
        <v>63.19</v>
      </c>
      <c r="I200">
        <v>61.4</v>
      </c>
      <c r="J200">
        <v>0.14199999999999999</v>
      </c>
      <c r="M200" t="s">
        <v>4009</v>
      </c>
      <c r="N200">
        <v>288.39999999999998</v>
      </c>
      <c r="O200">
        <v>15.78</v>
      </c>
      <c r="P200">
        <v>7.3780000000000001</v>
      </c>
      <c r="Q200">
        <v>200.4</v>
      </c>
      <c r="R200">
        <v>124.8</v>
      </c>
      <c r="S200">
        <v>79.290000000000006</v>
      </c>
      <c r="T200">
        <v>98.37</v>
      </c>
      <c r="U200">
        <v>104.2</v>
      </c>
      <c r="V200">
        <v>0.14099999999999999</v>
      </c>
    </row>
    <row r="201" spans="1:36" x14ac:dyDescent="0.55000000000000004">
      <c r="A201" t="s">
        <v>4088</v>
      </c>
      <c r="B201">
        <v>94.74</v>
      </c>
      <c r="C201">
        <v>7.75</v>
      </c>
      <c r="D201">
        <v>4.4779999999999998</v>
      </c>
      <c r="E201">
        <v>80.98</v>
      </c>
      <c r="F201">
        <v>49.63</v>
      </c>
      <c r="G201">
        <v>29.73</v>
      </c>
      <c r="H201">
        <v>37.869999999999997</v>
      </c>
      <c r="I201">
        <v>34.25</v>
      </c>
      <c r="J201" s="111">
        <v>8.2239999999999994E-2</v>
      </c>
      <c r="M201" t="s">
        <v>4010</v>
      </c>
      <c r="N201">
        <v>79.83</v>
      </c>
      <c r="O201">
        <v>6.5439999999999996</v>
      </c>
      <c r="P201">
        <v>3.7759999999999998</v>
      </c>
      <c r="Q201">
        <v>52.57</v>
      </c>
      <c r="R201">
        <v>37.86</v>
      </c>
      <c r="S201">
        <v>23.8</v>
      </c>
      <c r="T201">
        <v>16.79</v>
      </c>
      <c r="U201">
        <v>16.07</v>
      </c>
      <c r="V201">
        <v>0.1036</v>
      </c>
      <c r="X201" s="111"/>
      <c r="Y201" s="111"/>
      <c r="Z201" s="111"/>
      <c r="AA201" s="111"/>
      <c r="AB201" s="111"/>
      <c r="AC201" s="111"/>
      <c r="AD201" s="111"/>
      <c r="AE201" s="111"/>
      <c r="AF201" s="111"/>
      <c r="AG201" s="111"/>
      <c r="AH201" s="111"/>
      <c r="AI201" s="111"/>
      <c r="AJ201" s="111"/>
    </row>
    <row r="202" spans="1:36" x14ac:dyDescent="0.55000000000000004">
      <c r="A202" t="s">
        <v>4089</v>
      </c>
      <c r="B202">
        <v>53.64</v>
      </c>
      <c r="C202">
        <v>3.9660000000000002</v>
      </c>
      <c r="D202">
        <v>2.8050000000000002</v>
      </c>
      <c r="E202">
        <v>40.729999999999997</v>
      </c>
      <c r="F202">
        <v>29.68</v>
      </c>
      <c r="G202">
        <v>18.18</v>
      </c>
      <c r="H202">
        <v>15.61</v>
      </c>
      <c r="I202">
        <v>14.86</v>
      </c>
      <c r="J202" s="111">
        <v>4.0099999999999997E-2</v>
      </c>
      <c r="M202" t="s">
        <v>4011</v>
      </c>
      <c r="N202">
        <v>86.96</v>
      </c>
      <c r="O202">
        <v>7.4189999999999996</v>
      </c>
      <c r="P202">
        <v>4.3680000000000003</v>
      </c>
      <c r="Q202">
        <v>56.88</v>
      </c>
      <c r="R202">
        <v>43.42</v>
      </c>
      <c r="S202">
        <v>30.58</v>
      </c>
      <c r="T202">
        <v>20.21</v>
      </c>
      <c r="U202">
        <v>19.84</v>
      </c>
      <c r="V202">
        <v>0.1089</v>
      </c>
      <c r="X202" s="111"/>
      <c r="Y202" s="111"/>
      <c r="Z202" s="111"/>
      <c r="AA202" s="111"/>
      <c r="AB202" s="111"/>
      <c r="AC202" s="111"/>
      <c r="AD202" s="111"/>
      <c r="AE202" s="111"/>
      <c r="AF202" s="111"/>
      <c r="AG202" s="111"/>
      <c r="AH202" s="111"/>
      <c r="AI202" s="111"/>
      <c r="AJ202" s="111"/>
    </row>
    <row r="203" spans="1:36" x14ac:dyDescent="0.55000000000000004">
      <c r="A203" t="s">
        <v>4090</v>
      </c>
      <c r="B203">
        <v>143.80000000000001</v>
      </c>
      <c r="C203">
        <v>4.1790000000000003</v>
      </c>
      <c r="D203">
        <v>3.0659999999999998</v>
      </c>
      <c r="E203">
        <v>91.4</v>
      </c>
      <c r="F203">
        <v>35.64</v>
      </c>
      <c r="G203">
        <v>16.63</v>
      </c>
      <c r="H203">
        <v>31.99</v>
      </c>
      <c r="I203">
        <v>30.92</v>
      </c>
      <c r="J203" s="111">
        <v>1.907E-2</v>
      </c>
      <c r="M203" t="s">
        <v>4012</v>
      </c>
      <c r="N203">
        <v>103.4</v>
      </c>
      <c r="O203">
        <v>7.4589999999999996</v>
      </c>
      <c r="P203">
        <v>4.0090000000000003</v>
      </c>
      <c r="Q203">
        <v>68.209999999999994</v>
      </c>
      <c r="R203">
        <v>45.75</v>
      </c>
      <c r="S203">
        <v>31.83</v>
      </c>
      <c r="T203">
        <v>25.03</v>
      </c>
      <c r="U203">
        <v>23.59</v>
      </c>
      <c r="V203">
        <v>0.112</v>
      </c>
      <c r="X203" s="111"/>
      <c r="Y203" s="111"/>
      <c r="Z203" s="111"/>
      <c r="AA203" s="111"/>
      <c r="AB203" s="111"/>
      <c r="AC203" s="111"/>
      <c r="AD203" s="111"/>
      <c r="AE203" s="111"/>
      <c r="AF203" s="111"/>
      <c r="AG203" s="111"/>
      <c r="AH203" s="111"/>
      <c r="AI203" s="111"/>
      <c r="AJ203" s="111"/>
    </row>
    <row r="204" spans="1:36" x14ac:dyDescent="0.55000000000000004">
      <c r="A204" t="s">
        <v>4091</v>
      </c>
      <c r="B204">
        <v>48.43</v>
      </c>
      <c r="C204">
        <v>2.9710000000000001</v>
      </c>
      <c r="D204">
        <v>2.0409999999999999</v>
      </c>
      <c r="E204">
        <v>36.81</v>
      </c>
      <c r="F204">
        <v>26.4</v>
      </c>
      <c r="G204">
        <v>15.23</v>
      </c>
      <c r="H204">
        <v>12.3</v>
      </c>
      <c r="I204">
        <v>11.42</v>
      </c>
      <c r="J204" s="111">
        <v>3.5520000000000003E-2</v>
      </c>
      <c r="M204" t="s">
        <v>4013</v>
      </c>
      <c r="N204">
        <v>182.7</v>
      </c>
      <c r="O204">
        <v>9.0310000000000006</v>
      </c>
      <c r="P204">
        <v>4.2869999999999999</v>
      </c>
      <c r="Q204">
        <v>122.9</v>
      </c>
      <c r="R204">
        <v>76.680000000000007</v>
      </c>
      <c r="S204">
        <v>46.68</v>
      </c>
      <c r="T204">
        <v>49.37</v>
      </c>
      <c r="U204">
        <v>48.47</v>
      </c>
      <c r="V204">
        <v>0.13739999999999999</v>
      </c>
      <c r="X204" s="111"/>
      <c r="Y204" s="111"/>
      <c r="Z204" s="111"/>
      <c r="AA204" s="111"/>
      <c r="AB204" s="111"/>
      <c r="AC204" s="111"/>
      <c r="AD204" s="111"/>
      <c r="AE204" s="111"/>
      <c r="AF204" s="111"/>
      <c r="AG204" s="111"/>
      <c r="AH204" s="111"/>
      <c r="AI204" s="111"/>
      <c r="AJ204" s="111"/>
    </row>
    <row r="205" spans="1:36" x14ac:dyDescent="0.55000000000000004">
      <c r="A205" t="s">
        <v>4092</v>
      </c>
      <c r="B205">
        <v>101.3</v>
      </c>
      <c r="C205">
        <v>4.375</v>
      </c>
      <c r="D205">
        <v>2.7989999999999999</v>
      </c>
      <c r="E205">
        <v>72.45</v>
      </c>
      <c r="F205">
        <v>35.68</v>
      </c>
      <c r="G205">
        <v>19.21</v>
      </c>
      <c r="H205">
        <v>22.54</v>
      </c>
      <c r="I205">
        <v>21.97</v>
      </c>
      <c r="J205" s="111">
        <v>5.0680000000000003E-2</v>
      </c>
      <c r="M205" t="s">
        <v>4014</v>
      </c>
      <c r="N205">
        <v>105.3</v>
      </c>
      <c r="O205">
        <v>5.1779999999999999</v>
      </c>
      <c r="P205">
        <v>2.7549999999999999</v>
      </c>
      <c r="Q205">
        <v>59.69</v>
      </c>
      <c r="R205">
        <v>40.82</v>
      </c>
      <c r="S205">
        <v>23.98</v>
      </c>
      <c r="T205">
        <v>17.21</v>
      </c>
      <c r="U205">
        <v>16.21</v>
      </c>
      <c r="V205">
        <v>0.13780000000000001</v>
      </c>
      <c r="X205" s="111"/>
      <c r="Y205" s="111"/>
      <c r="Z205" s="111"/>
      <c r="AA205" s="111"/>
      <c r="AB205" s="111"/>
      <c r="AC205" s="111"/>
      <c r="AD205" s="111"/>
      <c r="AE205" s="111"/>
      <c r="AF205" s="111"/>
      <c r="AG205" s="111"/>
      <c r="AH205" s="111"/>
      <c r="AI205" s="111"/>
      <c r="AJ205" s="111"/>
    </row>
    <row r="206" spans="1:36" x14ac:dyDescent="0.55000000000000004">
      <c r="A206" t="s">
        <v>4093</v>
      </c>
      <c r="B206">
        <v>86.16</v>
      </c>
      <c r="C206">
        <v>4.6959999999999997</v>
      </c>
      <c r="D206">
        <v>2.9540000000000002</v>
      </c>
      <c r="E206">
        <v>61.56</v>
      </c>
      <c r="F206">
        <v>33.9</v>
      </c>
      <c r="G206">
        <v>21.47</v>
      </c>
      <c r="H206">
        <v>22.04</v>
      </c>
      <c r="I206">
        <v>21.09</v>
      </c>
      <c r="J206" s="111">
        <v>6.1019999999999998E-2</v>
      </c>
      <c r="M206" t="s">
        <v>4015</v>
      </c>
      <c r="N206">
        <v>69.599999999999994</v>
      </c>
      <c r="O206">
        <v>7.5419999999999998</v>
      </c>
      <c r="P206">
        <v>4.6630000000000003</v>
      </c>
      <c r="Q206">
        <v>52.72</v>
      </c>
      <c r="R206">
        <v>36.79</v>
      </c>
      <c r="S206">
        <v>25.78</v>
      </c>
      <c r="T206">
        <v>24.32</v>
      </c>
      <c r="U206">
        <v>23.38</v>
      </c>
      <c r="V206" s="111">
        <v>9.2960000000000001E-2</v>
      </c>
      <c r="X206" s="111"/>
      <c r="Y206" s="111"/>
      <c r="Z206" s="111"/>
      <c r="AA206" s="111"/>
      <c r="AB206" s="111"/>
      <c r="AC206" s="111"/>
      <c r="AD206" s="111"/>
      <c r="AE206" s="111"/>
      <c r="AF206" s="111"/>
      <c r="AG206" s="111"/>
      <c r="AH206" s="111"/>
      <c r="AI206" s="111"/>
      <c r="AJ206" s="111"/>
    </row>
    <row r="207" spans="1:36" x14ac:dyDescent="0.55000000000000004">
      <c r="A207" t="s">
        <v>4094</v>
      </c>
      <c r="B207">
        <v>140.1</v>
      </c>
      <c r="C207">
        <v>5.891</v>
      </c>
      <c r="D207">
        <v>3.7189999999999999</v>
      </c>
      <c r="E207">
        <v>88.11</v>
      </c>
      <c r="F207">
        <v>42.39</v>
      </c>
      <c r="G207">
        <v>25.65</v>
      </c>
      <c r="H207">
        <v>32.340000000000003</v>
      </c>
      <c r="I207">
        <v>31.63</v>
      </c>
      <c r="J207" s="111">
        <v>4.1739999999999999E-2</v>
      </c>
      <c r="M207" t="s">
        <v>4016</v>
      </c>
      <c r="N207">
        <v>91.99</v>
      </c>
      <c r="O207">
        <v>7.3209999999999997</v>
      </c>
      <c r="P207">
        <v>3.9910000000000001</v>
      </c>
      <c r="Q207">
        <v>61.49</v>
      </c>
      <c r="R207">
        <v>43.68</v>
      </c>
      <c r="S207">
        <v>29.27</v>
      </c>
      <c r="T207">
        <v>21.73</v>
      </c>
      <c r="U207">
        <v>20.74</v>
      </c>
      <c r="V207">
        <v>0.1105</v>
      </c>
      <c r="X207" s="111"/>
      <c r="Y207" s="111"/>
      <c r="Z207" s="111"/>
      <c r="AA207" s="111"/>
      <c r="AB207" s="111"/>
      <c r="AC207" s="111"/>
      <c r="AD207" s="111"/>
      <c r="AE207" s="111"/>
      <c r="AF207" s="111"/>
      <c r="AG207" s="111"/>
      <c r="AH207" s="111"/>
      <c r="AI207" s="111"/>
      <c r="AJ207" s="111"/>
    </row>
    <row r="208" spans="1:36" x14ac:dyDescent="0.55000000000000004">
      <c r="A208" t="s">
        <v>4095</v>
      </c>
      <c r="B208">
        <v>150.4</v>
      </c>
      <c r="C208">
        <v>6.6950000000000003</v>
      </c>
      <c r="D208">
        <v>4.1059999999999999</v>
      </c>
      <c r="E208">
        <v>95.9</v>
      </c>
      <c r="F208">
        <v>51.13</v>
      </c>
      <c r="G208">
        <v>30.72</v>
      </c>
      <c r="H208">
        <v>34.19</v>
      </c>
      <c r="I208">
        <v>32.71</v>
      </c>
      <c r="J208" s="111">
        <v>6.8890000000000007E-2</v>
      </c>
      <c r="M208" t="s">
        <v>4017</v>
      </c>
      <c r="N208">
        <v>111.3</v>
      </c>
      <c r="O208">
        <v>5.875</v>
      </c>
      <c r="P208">
        <v>3.4009999999999998</v>
      </c>
      <c r="Q208">
        <v>65.72</v>
      </c>
      <c r="R208">
        <v>45.64</v>
      </c>
      <c r="S208">
        <v>28.12</v>
      </c>
      <c r="T208">
        <v>18.48</v>
      </c>
      <c r="U208">
        <v>17.899999999999999</v>
      </c>
      <c r="V208">
        <v>0.14660000000000001</v>
      </c>
      <c r="X208" s="111"/>
      <c r="Y208" s="111"/>
      <c r="Z208" s="111"/>
      <c r="AA208" s="111"/>
      <c r="AB208" s="111"/>
      <c r="AC208" s="111"/>
      <c r="AD208" s="111"/>
      <c r="AE208" s="111"/>
      <c r="AF208" s="111"/>
      <c r="AG208" s="111"/>
      <c r="AH208" s="111"/>
      <c r="AI208" s="111"/>
      <c r="AJ208" s="111"/>
    </row>
    <row r="209" spans="1:36" x14ac:dyDescent="0.55000000000000004">
      <c r="A209" t="s">
        <v>4096</v>
      </c>
      <c r="B209">
        <v>62.78</v>
      </c>
      <c r="C209">
        <v>3.3029999999999999</v>
      </c>
      <c r="D209">
        <v>2.2770000000000001</v>
      </c>
      <c r="E209">
        <v>47.08</v>
      </c>
      <c r="F209">
        <v>28.94</v>
      </c>
      <c r="G209">
        <v>15.11</v>
      </c>
      <c r="H209">
        <v>14.9</v>
      </c>
      <c r="I209">
        <v>14.17</v>
      </c>
      <c r="J209" s="111">
        <v>3.6499999999999998E-2</v>
      </c>
      <c r="M209" t="s">
        <v>4018</v>
      </c>
      <c r="N209">
        <v>84.42</v>
      </c>
      <c r="O209">
        <v>7.1310000000000002</v>
      </c>
      <c r="P209">
        <v>4.2510000000000003</v>
      </c>
      <c r="Q209">
        <v>57.85</v>
      </c>
      <c r="R209">
        <v>44.61</v>
      </c>
      <c r="S209">
        <v>31.31</v>
      </c>
      <c r="T209">
        <v>24.92</v>
      </c>
      <c r="U209">
        <v>23.42</v>
      </c>
      <c r="V209" s="111">
        <v>9.5259999999999997E-2</v>
      </c>
      <c r="X209" s="111"/>
      <c r="Y209" s="111"/>
      <c r="Z209" s="111"/>
      <c r="AA209" s="111"/>
      <c r="AB209" s="111"/>
      <c r="AC209" s="111"/>
      <c r="AD209" s="111"/>
      <c r="AE209" s="111"/>
      <c r="AF209" s="111"/>
      <c r="AG209" s="111"/>
      <c r="AH209" s="111"/>
      <c r="AI209" s="111"/>
      <c r="AJ209" s="111"/>
    </row>
    <row r="210" spans="1:36" x14ac:dyDescent="0.55000000000000004">
      <c r="A210" t="s">
        <v>4097</v>
      </c>
      <c r="B210">
        <v>180.8</v>
      </c>
      <c r="C210">
        <v>9.3089999999999993</v>
      </c>
      <c r="D210">
        <v>6.0970000000000004</v>
      </c>
      <c r="E210">
        <v>114.6</v>
      </c>
      <c r="F210">
        <v>54.52</v>
      </c>
      <c r="G210">
        <v>33.31</v>
      </c>
      <c r="H210">
        <v>76.540000000000006</v>
      </c>
      <c r="I210">
        <v>75.69</v>
      </c>
      <c r="J210" s="111">
        <v>4.231E-2</v>
      </c>
      <c r="M210" t="s">
        <v>4019</v>
      </c>
      <c r="N210">
        <v>124.3</v>
      </c>
      <c r="O210">
        <v>5.8460000000000001</v>
      </c>
      <c r="P210">
        <v>3.1309999999999998</v>
      </c>
      <c r="Q210">
        <v>74.55</v>
      </c>
      <c r="R210">
        <v>49.82</v>
      </c>
      <c r="S210">
        <v>29.7</v>
      </c>
      <c r="T210">
        <v>19.559999999999999</v>
      </c>
      <c r="U210">
        <v>18.649999999999999</v>
      </c>
      <c r="V210">
        <v>0.1648</v>
      </c>
      <c r="X210" s="111"/>
      <c r="Y210" s="111"/>
      <c r="Z210" s="111"/>
      <c r="AA210" s="111"/>
      <c r="AB210" s="111"/>
      <c r="AC210" s="111"/>
      <c r="AD210" s="111"/>
      <c r="AE210" s="111"/>
      <c r="AF210" s="111"/>
      <c r="AG210" s="111"/>
      <c r="AH210" s="111"/>
      <c r="AI210" s="111"/>
      <c r="AJ210" s="111"/>
    </row>
    <row r="211" spans="1:36" x14ac:dyDescent="0.55000000000000004">
      <c r="A211" t="s">
        <v>4098</v>
      </c>
      <c r="B211">
        <v>157.80000000000001</v>
      </c>
      <c r="C211">
        <v>7.9340000000000002</v>
      </c>
      <c r="D211">
        <v>5.8120000000000003</v>
      </c>
      <c r="E211">
        <v>110.3</v>
      </c>
      <c r="F211">
        <v>48.09</v>
      </c>
      <c r="G211">
        <v>26.4</v>
      </c>
      <c r="H211">
        <v>61.93</v>
      </c>
      <c r="I211">
        <v>61.37</v>
      </c>
      <c r="J211" s="111">
        <v>3.3250000000000002E-2</v>
      </c>
      <c r="M211" t="s">
        <v>4020</v>
      </c>
      <c r="N211">
        <v>177.6</v>
      </c>
      <c r="O211">
        <v>17.149999999999999</v>
      </c>
      <c r="P211">
        <v>8.98</v>
      </c>
      <c r="Q211">
        <v>139.4</v>
      </c>
      <c r="R211">
        <v>76</v>
      </c>
      <c r="S211">
        <v>54.64</v>
      </c>
      <c r="T211">
        <v>56.37</v>
      </c>
      <c r="U211">
        <v>55.4</v>
      </c>
      <c r="V211" s="111">
        <v>9.7689999999999999E-2</v>
      </c>
      <c r="X211" s="111"/>
      <c r="Y211" s="111"/>
      <c r="Z211" s="111"/>
      <c r="AA211" s="111"/>
      <c r="AB211" s="111"/>
      <c r="AC211" s="111"/>
      <c r="AD211" s="111"/>
      <c r="AE211" s="111"/>
      <c r="AF211" s="111"/>
      <c r="AG211" s="111"/>
      <c r="AH211" s="111"/>
      <c r="AI211" s="111"/>
      <c r="AJ211" s="111"/>
    </row>
    <row r="212" spans="1:36" x14ac:dyDescent="0.55000000000000004">
      <c r="A212" t="s">
        <v>4099</v>
      </c>
      <c r="B212">
        <v>138.4</v>
      </c>
      <c r="C212">
        <v>4.8019999999999996</v>
      </c>
      <c r="D212">
        <v>2.8650000000000002</v>
      </c>
      <c r="E212">
        <v>83.45</v>
      </c>
      <c r="F212">
        <v>35.78</v>
      </c>
      <c r="G212">
        <v>16.75</v>
      </c>
      <c r="H212">
        <v>47.96</v>
      </c>
      <c r="I212">
        <v>47.25</v>
      </c>
      <c r="J212" s="111">
        <v>3.1480000000000001E-2</v>
      </c>
      <c r="M212" t="s">
        <v>4021</v>
      </c>
      <c r="N212">
        <v>75.11</v>
      </c>
      <c r="O212">
        <v>7.0960000000000001</v>
      </c>
      <c r="P212">
        <v>3.7080000000000002</v>
      </c>
      <c r="Q212">
        <v>58.65</v>
      </c>
      <c r="R212">
        <v>50.3</v>
      </c>
      <c r="S212">
        <v>30.57</v>
      </c>
      <c r="T212">
        <v>21.61</v>
      </c>
      <c r="U212">
        <v>21.05</v>
      </c>
      <c r="V212" s="111">
        <v>9.6460000000000004E-2</v>
      </c>
      <c r="X212" s="111"/>
      <c r="Y212" s="111"/>
      <c r="Z212" s="111"/>
      <c r="AA212" s="111"/>
      <c r="AB212" s="111"/>
      <c r="AC212" s="111"/>
      <c r="AD212" s="111"/>
      <c r="AE212" s="111"/>
      <c r="AF212" s="111"/>
      <c r="AG212" s="111"/>
      <c r="AH212" s="111"/>
      <c r="AI212" s="111"/>
      <c r="AJ212" s="111"/>
    </row>
    <row r="213" spans="1:36" x14ac:dyDescent="0.55000000000000004">
      <c r="A213" t="s">
        <v>4100</v>
      </c>
      <c r="B213">
        <v>65.709999999999994</v>
      </c>
      <c r="C213">
        <v>6.1609999999999996</v>
      </c>
      <c r="D213">
        <v>3.077</v>
      </c>
      <c r="E213">
        <v>48.23</v>
      </c>
      <c r="F213">
        <v>40.11</v>
      </c>
      <c r="G213">
        <v>28.11</v>
      </c>
      <c r="H213">
        <v>20.010000000000002</v>
      </c>
      <c r="I213">
        <v>19.43</v>
      </c>
      <c r="J213" s="111">
        <v>8.3699999999999997E-2</v>
      </c>
      <c r="M213" t="s">
        <v>4022</v>
      </c>
      <c r="N213">
        <v>249</v>
      </c>
      <c r="O213">
        <v>20.61</v>
      </c>
      <c r="P213">
        <v>10.61</v>
      </c>
      <c r="Q213">
        <v>154.80000000000001</v>
      </c>
      <c r="R213">
        <v>86.38</v>
      </c>
      <c r="S213">
        <v>55.59</v>
      </c>
      <c r="T213">
        <v>72.739999999999995</v>
      </c>
      <c r="U213">
        <v>71.760000000000005</v>
      </c>
      <c r="V213">
        <v>0.1087</v>
      </c>
      <c r="X213" s="111"/>
      <c r="Y213" s="111"/>
      <c r="Z213" s="111"/>
      <c r="AA213" s="111"/>
      <c r="AB213" s="111"/>
      <c r="AC213" s="111"/>
      <c r="AD213" s="111"/>
      <c r="AE213" s="111"/>
      <c r="AF213" s="111"/>
      <c r="AG213" s="111"/>
      <c r="AH213" s="111"/>
      <c r="AI213" s="111"/>
      <c r="AJ213" s="111"/>
    </row>
    <row r="214" spans="1:36" x14ac:dyDescent="0.55000000000000004">
      <c r="A214" t="s">
        <v>4101</v>
      </c>
      <c r="B214">
        <v>83.77</v>
      </c>
      <c r="C214">
        <v>5.367</v>
      </c>
      <c r="D214">
        <v>2.6920000000000002</v>
      </c>
      <c r="E214">
        <v>58.12</v>
      </c>
      <c r="F214">
        <v>40.58</v>
      </c>
      <c r="G214">
        <v>26.7</v>
      </c>
      <c r="H214">
        <v>22.72</v>
      </c>
      <c r="I214">
        <v>21.97</v>
      </c>
      <c r="J214" s="111">
        <v>8.0829999999999999E-2</v>
      </c>
      <c r="M214" t="s">
        <v>4023</v>
      </c>
      <c r="N214">
        <v>249.4</v>
      </c>
      <c r="O214">
        <v>13.38</v>
      </c>
      <c r="P214">
        <v>6.5049999999999999</v>
      </c>
      <c r="Q214">
        <v>182.1</v>
      </c>
      <c r="R214">
        <v>109.2</v>
      </c>
      <c r="S214">
        <v>62.64</v>
      </c>
      <c r="T214">
        <v>69.14</v>
      </c>
      <c r="U214">
        <v>66.08</v>
      </c>
      <c r="V214">
        <v>0.15440000000000001</v>
      </c>
      <c r="X214" s="111"/>
      <c r="Y214" s="111"/>
      <c r="Z214" s="111"/>
      <c r="AA214" s="111"/>
      <c r="AB214" s="111"/>
      <c r="AC214" s="111"/>
      <c r="AD214" s="111"/>
      <c r="AE214" s="111"/>
      <c r="AF214" s="111"/>
      <c r="AG214" s="111"/>
      <c r="AH214" s="111"/>
      <c r="AI214" s="111"/>
      <c r="AJ214" s="111"/>
    </row>
    <row r="215" spans="1:36" x14ac:dyDescent="0.55000000000000004">
      <c r="A215" t="s">
        <v>4102</v>
      </c>
      <c r="B215">
        <v>72.989999999999995</v>
      </c>
      <c r="C215">
        <v>4.2130000000000001</v>
      </c>
      <c r="D215">
        <v>1.9730000000000001</v>
      </c>
      <c r="E215">
        <v>51.74</v>
      </c>
      <c r="F215">
        <v>37.14</v>
      </c>
      <c r="G215">
        <v>22.24</v>
      </c>
      <c r="H215">
        <v>14.11</v>
      </c>
      <c r="I215">
        <v>13.42</v>
      </c>
      <c r="J215" s="111">
        <v>8.5309999999999997E-2</v>
      </c>
      <c r="M215" t="s">
        <v>4024</v>
      </c>
      <c r="N215">
        <v>182.6</v>
      </c>
      <c r="O215">
        <v>9</v>
      </c>
      <c r="P215">
        <v>4.4950000000000001</v>
      </c>
      <c r="Q215">
        <v>126</v>
      </c>
      <c r="R215">
        <v>79.66</v>
      </c>
      <c r="S215">
        <v>44.89</v>
      </c>
      <c r="T215">
        <v>46.66</v>
      </c>
      <c r="U215">
        <v>44.89</v>
      </c>
      <c r="V215">
        <v>0.1419</v>
      </c>
      <c r="X215" s="111"/>
      <c r="Y215" s="111"/>
      <c r="Z215" s="111"/>
      <c r="AA215" s="111"/>
      <c r="AB215" s="111"/>
      <c r="AC215" s="111"/>
      <c r="AD215" s="111"/>
      <c r="AE215" s="111"/>
      <c r="AF215" s="111"/>
      <c r="AG215" s="111"/>
      <c r="AH215" s="111"/>
      <c r="AI215" s="111"/>
      <c r="AJ215" s="111"/>
    </row>
    <row r="216" spans="1:36" x14ac:dyDescent="0.55000000000000004">
      <c r="A216" t="s">
        <v>4103</v>
      </c>
      <c r="B216">
        <v>66.37</v>
      </c>
      <c r="C216">
        <v>4.1820000000000004</v>
      </c>
      <c r="D216">
        <v>2.0190000000000001</v>
      </c>
      <c r="E216">
        <v>44.28</v>
      </c>
      <c r="F216">
        <v>30.74</v>
      </c>
      <c r="G216">
        <v>24.37</v>
      </c>
      <c r="H216">
        <v>15.54</v>
      </c>
      <c r="I216">
        <v>15.06</v>
      </c>
      <c r="J216" s="111">
        <v>8.924E-2</v>
      </c>
      <c r="M216" t="s">
        <v>4025</v>
      </c>
      <c r="N216">
        <v>250.8</v>
      </c>
      <c r="O216">
        <v>8.1159999999999997</v>
      </c>
      <c r="P216">
        <v>3.4550000000000001</v>
      </c>
      <c r="Q216">
        <v>163.80000000000001</v>
      </c>
      <c r="R216">
        <v>76.900000000000006</v>
      </c>
      <c r="S216">
        <v>37.21</v>
      </c>
      <c r="T216">
        <v>63.78</v>
      </c>
      <c r="U216">
        <v>62.66</v>
      </c>
      <c r="V216" s="111">
        <v>6.1269999999999998E-2</v>
      </c>
      <c r="X216" s="111"/>
      <c r="Y216" s="111"/>
      <c r="Z216" s="111"/>
      <c r="AA216" s="111"/>
      <c r="AB216" s="111"/>
      <c r="AC216" s="111"/>
      <c r="AD216" s="111"/>
      <c r="AE216" s="111"/>
      <c r="AF216" s="111"/>
      <c r="AG216" s="111"/>
      <c r="AH216" s="111"/>
      <c r="AI216" s="111"/>
      <c r="AJ216" s="111"/>
    </row>
    <row r="217" spans="1:36" x14ac:dyDescent="0.55000000000000004">
      <c r="A217" t="s">
        <v>4104</v>
      </c>
      <c r="B217">
        <v>69.53</v>
      </c>
      <c r="C217">
        <v>3.024</v>
      </c>
      <c r="D217">
        <v>1.381</v>
      </c>
      <c r="E217">
        <v>40.71</v>
      </c>
      <c r="F217">
        <v>28.7</v>
      </c>
      <c r="G217">
        <v>16.239999999999998</v>
      </c>
      <c r="H217">
        <v>11.72</v>
      </c>
      <c r="I217">
        <v>10.84</v>
      </c>
      <c r="J217" s="111">
        <v>9.3479999999999994E-2</v>
      </c>
      <c r="M217" t="s">
        <v>4026</v>
      </c>
      <c r="N217">
        <v>87.46</v>
      </c>
      <c r="O217">
        <v>6.0090000000000003</v>
      </c>
      <c r="P217">
        <v>2.7949999999999999</v>
      </c>
      <c r="Q217">
        <v>62.61</v>
      </c>
      <c r="R217">
        <v>33.700000000000003</v>
      </c>
      <c r="S217">
        <v>20.38</v>
      </c>
      <c r="T217">
        <v>29.27</v>
      </c>
      <c r="U217">
        <v>28.77</v>
      </c>
      <c r="V217" s="111">
        <v>3.4450000000000001E-2</v>
      </c>
      <c r="X217" s="111"/>
      <c r="Y217" s="111"/>
      <c r="Z217" s="111"/>
      <c r="AA217" s="111"/>
      <c r="AB217" s="111"/>
      <c r="AC217" s="111"/>
      <c r="AD217" s="111"/>
      <c r="AE217" s="111"/>
      <c r="AF217" s="111"/>
      <c r="AG217" s="111"/>
      <c r="AH217" s="111"/>
      <c r="AI217" s="111"/>
      <c r="AJ217" s="111"/>
    </row>
    <row r="218" spans="1:36" x14ac:dyDescent="0.55000000000000004">
      <c r="A218" t="s">
        <v>4105</v>
      </c>
      <c r="B218">
        <v>76.06</v>
      </c>
      <c r="C218">
        <v>6.19</v>
      </c>
      <c r="D218">
        <v>2.819</v>
      </c>
      <c r="E218">
        <v>52.78</v>
      </c>
      <c r="F218">
        <v>38.56</v>
      </c>
      <c r="G218">
        <v>27.65</v>
      </c>
      <c r="H218">
        <v>20.81</v>
      </c>
      <c r="I218">
        <v>20</v>
      </c>
      <c r="J218" s="111">
        <v>6.9190000000000002E-2</v>
      </c>
      <c r="M218" t="s">
        <v>4027</v>
      </c>
      <c r="N218">
        <v>341.1</v>
      </c>
      <c r="O218">
        <v>11.35</v>
      </c>
      <c r="P218">
        <v>5.8109999999999999</v>
      </c>
      <c r="Q218">
        <v>235.7</v>
      </c>
      <c r="R218">
        <v>88.95</v>
      </c>
      <c r="S218">
        <v>45.87</v>
      </c>
      <c r="T218">
        <v>94.8</v>
      </c>
      <c r="U218">
        <v>95.07</v>
      </c>
      <c r="V218" s="111">
        <v>8.0729999999999996E-2</v>
      </c>
      <c r="X218" s="111"/>
      <c r="Y218" s="111"/>
      <c r="Z218" s="111"/>
      <c r="AA218" s="111"/>
      <c r="AB218" s="111"/>
      <c r="AC218" s="111"/>
      <c r="AD218" s="111"/>
      <c r="AE218" s="111"/>
      <c r="AF218" s="111"/>
      <c r="AG218" s="111"/>
      <c r="AH218" s="111"/>
      <c r="AI218" s="111"/>
      <c r="AJ218" s="111"/>
    </row>
    <row r="219" spans="1:36" x14ac:dyDescent="0.55000000000000004">
      <c r="A219" t="s">
        <v>4106</v>
      </c>
      <c r="B219">
        <v>83.48</v>
      </c>
      <c r="C219">
        <v>4.923</v>
      </c>
      <c r="D219">
        <v>2.3980000000000001</v>
      </c>
      <c r="E219">
        <v>50.7</v>
      </c>
      <c r="F219">
        <v>36.909999999999997</v>
      </c>
      <c r="G219">
        <v>22.63</v>
      </c>
      <c r="H219">
        <v>18.34</v>
      </c>
      <c r="I219">
        <v>18.21</v>
      </c>
      <c r="J219" s="111">
        <v>8.2280000000000006E-2</v>
      </c>
      <c r="M219" t="s">
        <v>4028</v>
      </c>
      <c r="N219">
        <v>185.6</v>
      </c>
      <c r="O219">
        <v>14.88</v>
      </c>
      <c r="P219">
        <v>7.4610000000000003</v>
      </c>
      <c r="Q219">
        <v>124.5</v>
      </c>
      <c r="R219">
        <v>67.290000000000006</v>
      </c>
      <c r="S219">
        <v>49.4</v>
      </c>
      <c r="T219">
        <v>82.46</v>
      </c>
      <c r="U219">
        <v>81.92</v>
      </c>
      <c r="V219" s="111">
        <v>5.0860000000000002E-2</v>
      </c>
      <c r="X219" s="111"/>
      <c r="Y219" s="111"/>
      <c r="Z219" s="111"/>
      <c r="AA219" s="111"/>
      <c r="AB219" s="111"/>
      <c r="AC219" s="111"/>
      <c r="AD219" s="111"/>
      <c r="AE219" s="111"/>
      <c r="AF219" s="111"/>
      <c r="AG219" s="111"/>
      <c r="AH219" s="111"/>
      <c r="AI219" s="111"/>
      <c r="AJ219" s="111"/>
    </row>
    <row r="220" spans="1:36" x14ac:dyDescent="0.55000000000000004">
      <c r="A220" t="s">
        <v>4107</v>
      </c>
      <c r="B220">
        <v>60.65</v>
      </c>
      <c r="C220">
        <v>3.2360000000000002</v>
      </c>
      <c r="D220">
        <v>1.673</v>
      </c>
      <c r="E220">
        <v>45.47</v>
      </c>
      <c r="F220">
        <v>29.34</v>
      </c>
      <c r="G220">
        <v>17.690000000000001</v>
      </c>
      <c r="H220">
        <v>12.91</v>
      </c>
      <c r="I220">
        <v>12.34</v>
      </c>
      <c r="J220" s="111">
        <v>6.9500000000000006E-2</v>
      </c>
      <c r="M220" t="s">
        <v>4029</v>
      </c>
      <c r="N220">
        <v>73.78</v>
      </c>
      <c r="O220">
        <v>5.16</v>
      </c>
      <c r="P220">
        <v>2.3279999999999998</v>
      </c>
      <c r="Q220">
        <v>52.36</v>
      </c>
      <c r="R220">
        <v>33.03</v>
      </c>
      <c r="S220">
        <v>20.58</v>
      </c>
      <c r="T220">
        <v>25.47</v>
      </c>
      <c r="U220">
        <v>25.22</v>
      </c>
      <c r="V220" s="111">
        <v>3.0249999999999999E-2</v>
      </c>
      <c r="X220" s="111"/>
      <c r="Y220" s="111"/>
      <c r="Z220" s="111"/>
      <c r="AA220" s="111"/>
      <c r="AB220" s="111"/>
      <c r="AC220" s="111"/>
      <c r="AD220" s="111"/>
      <c r="AE220" s="111"/>
      <c r="AF220" s="111"/>
      <c r="AG220" s="111"/>
      <c r="AH220" s="111"/>
      <c r="AI220" s="111"/>
      <c r="AJ220" s="111"/>
    </row>
    <row r="221" spans="1:36" x14ac:dyDescent="0.55000000000000004">
      <c r="A221" t="s">
        <v>4108</v>
      </c>
      <c r="B221">
        <v>66.88</v>
      </c>
      <c r="C221">
        <v>5.5759999999999996</v>
      </c>
      <c r="D221">
        <v>2.6619999999999999</v>
      </c>
      <c r="E221">
        <v>46.82</v>
      </c>
      <c r="F221">
        <v>33.590000000000003</v>
      </c>
      <c r="G221">
        <v>24.61</v>
      </c>
      <c r="H221">
        <v>19.14</v>
      </c>
      <c r="I221">
        <v>18.45</v>
      </c>
      <c r="J221" s="111">
        <v>7.0610000000000006E-2</v>
      </c>
      <c r="M221" t="s">
        <v>4030</v>
      </c>
      <c r="N221">
        <v>248.7</v>
      </c>
      <c r="O221">
        <v>11.73</v>
      </c>
      <c r="P221">
        <v>5.891</v>
      </c>
      <c r="Q221">
        <v>170.1</v>
      </c>
      <c r="R221">
        <v>93.61</v>
      </c>
      <c r="S221">
        <v>50.12</v>
      </c>
      <c r="T221">
        <v>78.510000000000005</v>
      </c>
      <c r="U221">
        <v>75</v>
      </c>
      <c r="V221" s="111">
        <v>9.0929999999999997E-2</v>
      </c>
      <c r="X221" s="111"/>
      <c r="Y221" s="111"/>
      <c r="Z221" s="111"/>
      <c r="AA221" s="111"/>
      <c r="AB221" s="111"/>
      <c r="AC221" s="111"/>
      <c r="AD221" s="111"/>
      <c r="AE221" s="111"/>
      <c r="AF221" s="111"/>
      <c r="AG221" s="111"/>
      <c r="AH221" s="111"/>
      <c r="AI221" s="111"/>
      <c r="AJ221" s="111"/>
    </row>
    <row r="222" spans="1:36" x14ac:dyDescent="0.55000000000000004">
      <c r="A222" t="s">
        <v>4109</v>
      </c>
      <c r="B222">
        <v>94.31</v>
      </c>
      <c r="C222">
        <v>4.2389999999999999</v>
      </c>
      <c r="D222">
        <v>2.0289999999999999</v>
      </c>
      <c r="E222">
        <v>55</v>
      </c>
      <c r="F222">
        <v>36.590000000000003</v>
      </c>
      <c r="G222">
        <v>21.26</v>
      </c>
      <c r="H222">
        <v>18.77</v>
      </c>
      <c r="I222">
        <v>18.149999999999999</v>
      </c>
      <c r="J222">
        <v>0.10249999999999999</v>
      </c>
      <c r="N222"/>
      <c r="V222" s="111"/>
      <c r="X222" s="111"/>
      <c r="Y222" s="111"/>
      <c r="Z222" s="111"/>
      <c r="AA222" s="111"/>
      <c r="AB222" s="111"/>
      <c r="AC222" s="111"/>
      <c r="AD222" s="111"/>
      <c r="AE222" s="111"/>
      <c r="AF222" s="111"/>
      <c r="AG222" s="111"/>
      <c r="AH222" s="111"/>
      <c r="AI222" s="111"/>
      <c r="AJ222" s="111"/>
    </row>
    <row r="223" spans="1:36" x14ac:dyDescent="0.55000000000000004">
      <c r="A223" t="s">
        <v>4110</v>
      </c>
      <c r="B223">
        <v>119.9</v>
      </c>
      <c r="C223">
        <v>7.5229999999999997</v>
      </c>
      <c r="D223">
        <v>3.6560000000000001</v>
      </c>
      <c r="E223">
        <v>78.48</v>
      </c>
      <c r="F223">
        <v>48</v>
      </c>
      <c r="G223">
        <v>27.98</v>
      </c>
      <c r="H223">
        <v>30.87</v>
      </c>
      <c r="I223">
        <v>29.58</v>
      </c>
      <c r="J223" s="111">
        <v>6.4579999999999999E-2</v>
      </c>
      <c r="N223"/>
      <c r="V223"/>
      <c r="X223" s="111"/>
      <c r="Y223" s="111"/>
      <c r="Z223" s="111"/>
      <c r="AA223" s="111"/>
      <c r="AB223" s="111"/>
      <c r="AC223" s="111"/>
      <c r="AD223" s="111"/>
      <c r="AE223" s="111"/>
      <c r="AF223" s="111"/>
      <c r="AG223" s="111"/>
      <c r="AH223" s="111"/>
      <c r="AI223" s="111"/>
      <c r="AJ223" s="111"/>
    </row>
    <row r="224" spans="1:36" x14ac:dyDescent="0.55000000000000004">
      <c r="A224" t="s">
        <v>4111</v>
      </c>
      <c r="B224">
        <v>200.4</v>
      </c>
      <c r="C224">
        <v>10.98</v>
      </c>
      <c r="D224">
        <v>5.4619999999999997</v>
      </c>
      <c r="E224">
        <v>133.80000000000001</v>
      </c>
      <c r="F224">
        <v>61.91</v>
      </c>
      <c r="G224">
        <v>36.39</v>
      </c>
      <c r="H224">
        <v>64.73</v>
      </c>
      <c r="I224">
        <v>63.94</v>
      </c>
      <c r="J224" s="111">
        <v>8.1320000000000003E-2</v>
      </c>
      <c r="N224"/>
      <c r="V224" s="111"/>
      <c r="X224" s="111"/>
      <c r="Y224" s="111"/>
      <c r="Z224" s="111"/>
      <c r="AA224" s="111"/>
      <c r="AB224" s="111"/>
      <c r="AC224" s="111"/>
      <c r="AD224" s="111"/>
      <c r="AE224" s="111"/>
      <c r="AF224" s="111"/>
      <c r="AG224" s="111"/>
      <c r="AH224" s="111"/>
      <c r="AI224" s="111"/>
      <c r="AJ224" s="111"/>
    </row>
    <row r="225" spans="1:36" x14ac:dyDescent="0.55000000000000004">
      <c r="A225" t="s">
        <v>4112</v>
      </c>
      <c r="B225">
        <v>97.91</v>
      </c>
      <c r="C225">
        <v>7.1539999999999999</v>
      </c>
      <c r="D225">
        <v>3.4409999999999998</v>
      </c>
      <c r="E225">
        <v>69.5</v>
      </c>
      <c r="F225">
        <v>42.36</v>
      </c>
      <c r="G225">
        <v>28.26</v>
      </c>
      <c r="H225">
        <v>27.08</v>
      </c>
      <c r="I225">
        <v>25.92</v>
      </c>
      <c r="J225" s="111">
        <v>7.0959999999999995E-2</v>
      </c>
      <c r="N225"/>
      <c r="V225" s="111"/>
      <c r="X225" s="111"/>
      <c r="Y225" s="111"/>
      <c r="Z225" s="111"/>
      <c r="AA225" s="111"/>
      <c r="AB225" s="111"/>
      <c r="AC225" s="111"/>
      <c r="AD225" s="111"/>
      <c r="AE225" s="111"/>
      <c r="AF225" s="111"/>
      <c r="AG225" s="111"/>
      <c r="AH225" s="111"/>
      <c r="AI225" s="111"/>
      <c r="AJ225" s="111"/>
    </row>
    <row r="226" spans="1:36" x14ac:dyDescent="0.55000000000000004">
      <c r="A226" t="s">
        <v>4113</v>
      </c>
      <c r="B226">
        <v>116.3</v>
      </c>
      <c r="C226">
        <v>6.6319999999999997</v>
      </c>
      <c r="D226">
        <v>3.0270000000000001</v>
      </c>
      <c r="E226">
        <v>74.69</v>
      </c>
      <c r="F226">
        <v>49.2</v>
      </c>
      <c r="G226">
        <v>31.13</v>
      </c>
      <c r="H226">
        <v>28.86</v>
      </c>
      <c r="I226">
        <v>27.84</v>
      </c>
      <c r="J226">
        <v>0.1065</v>
      </c>
      <c r="N226"/>
      <c r="V226" s="111"/>
      <c r="X226" s="111"/>
      <c r="Y226" s="111"/>
      <c r="Z226" s="111"/>
      <c r="AA226" s="111"/>
      <c r="AB226" s="111"/>
      <c r="AC226" s="111"/>
      <c r="AD226" s="111"/>
      <c r="AE226" s="111"/>
      <c r="AF226" s="111"/>
      <c r="AG226" s="111"/>
      <c r="AH226" s="111"/>
      <c r="AI226" s="111"/>
      <c r="AJ226" s="111"/>
    </row>
    <row r="227" spans="1:36" x14ac:dyDescent="0.55000000000000004">
      <c r="A227" t="s">
        <v>4114</v>
      </c>
      <c r="B227">
        <v>80.59</v>
      </c>
      <c r="C227">
        <v>4.54</v>
      </c>
      <c r="D227">
        <v>2.2069999999999999</v>
      </c>
      <c r="E227">
        <v>55.45</v>
      </c>
      <c r="F227">
        <v>35.92</v>
      </c>
      <c r="G227">
        <v>26.94</v>
      </c>
      <c r="H227">
        <v>22.56</v>
      </c>
      <c r="I227">
        <v>21.91</v>
      </c>
      <c r="J227">
        <v>0.10489999999999999</v>
      </c>
      <c r="N227"/>
      <c r="V227"/>
      <c r="X227" s="111"/>
      <c r="Y227" s="111"/>
      <c r="Z227" s="111"/>
      <c r="AA227" s="111"/>
      <c r="AB227" s="111"/>
      <c r="AC227" s="111"/>
      <c r="AD227" s="111"/>
      <c r="AE227" s="111"/>
      <c r="AF227" s="111"/>
      <c r="AG227" s="111"/>
      <c r="AH227" s="111"/>
      <c r="AI227" s="111"/>
      <c r="AJ227" s="111"/>
    </row>
    <row r="228" spans="1:36" x14ac:dyDescent="0.55000000000000004">
      <c r="A228" t="s">
        <v>4115</v>
      </c>
      <c r="B228">
        <v>77.08</v>
      </c>
      <c r="C228">
        <v>1.6910000000000001</v>
      </c>
      <c r="D228">
        <v>0.93259999999999998</v>
      </c>
      <c r="E228">
        <v>42.38</v>
      </c>
      <c r="F228">
        <v>13.13</v>
      </c>
      <c r="G228">
        <v>6.8520000000000003</v>
      </c>
      <c r="H228">
        <v>34.68</v>
      </c>
      <c r="I228">
        <v>34.090000000000003</v>
      </c>
      <c r="J228" s="111">
        <v>1.9060000000000001E-2</v>
      </c>
      <c r="N228"/>
      <c r="V228" s="111"/>
      <c r="X228" s="111"/>
      <c r="Y228" s="111"/>
      <c r="Z228" s="111"/>
      <c r="AA228" s="111"/>
      <c r="AB228" s="111"/>
      <c r="AC228" s="111"/>
      <c r="AD228" s="111"/>
      <c r="AE228" s="111"/>
      <c r="AF228" s="111"/>
      <c r="AG228" s="111"/>
      <c r="AH228" s="111"/>
      <c r="AI228" s="111"/>
      <c r="AJ228" s="111"/>
    </row>
    <row r="229" spans="1:36" x14ac:dyDescent="0.55000000000000004">
      <c r="A229" t="s">
        <v>4116</v>
      </c>
      <c r="B229">
        <v>142.6</v>
      </c>
      <c r="C229">
        <v>7.7729999999999997</v>
      </c>
      <c r="D229">
        <v>4.1260000000000003</v>
      </c>
      <c r="E229">
        <v>96.41</v>
      </c>
      <c r="F229">
        <v>40.909999999999997</v>
      </c>
      <c r="G229">
        <v>21.81</v>
      </c>
      <c r="H229">
        <v>46.2</v>
      </c>
      <c r="I229">
        <v>45.78</v>
      </c>
      <c r="J229" s="111">
        <v>2.5610000000000001E-2</v>
      </c>
      <c r="N229"/>
      <c r="V229" s="111"/>
      <c r="X229" s="111"/>
      <c r="Y229" s="111"/>
      <c r="Z229" s="111"/>
      <c r="AA229" s="111"/>
      <c r="AB229" s="111"/>
      <c r="AC229" s="111"/>
      <c r="AD229" s="111"/>
      <c r="AE229" s="111"/>
      <c r="AF229" s="111"/>
      <c r="AG229" s="111"/>
      <c r="AH229" s="111"/>
      <c r="AI229" s="111"/>
      <c r="AJ229" s="111"/>
    </row>
    <row r="230" spans="1:36" x14ac:dyDescent="0.55000000000000004">
      <c r="A230" t="s">
        <v>4117</v>
      </c>
      <c r="B230">
        <v>62.67</v>
      </c>
      <c r="C230">
        <v>1.825</v>
      </c>
      <c r="D230">
        <v>0.87070000000000003</v>
      </c>
      <c r="E230">
        <v>43.17</v>
      </c>
      <c r="F230">
        <v>24.8</v>
      </c>
      <c r="G230">
        <v>13.75</v>
      </c>
      <c r="H230">
        <v>36.67</v>
      </c>
      <c r="I230">
        <v>36.380000000000003</v>
      </c>
      <c r="J230" s="111">
        <v>2.3189999999999999E-2</v>
      </c>
      <c r="N230"/>
      <c r="V230" s="111"/>
      <c r="X230" s="111"/>
      <c r="Y230" s="111"/>
      <c r="Z230" s="111"/>
      <c r="AA230" s="111"/>
      <c r="AB230" s="111"/>
      <c r="AC230" s="111"/>
      <c r="AD230" s="111"/>
      <c r="AE230" s="111"/>
      <c r="AF230" s="111"/>
      <c r="AG230" s="111"/>
      <c r="AH230" s="111"/>
      <c r="AI230" s="111"/>
      <c r="AJ230" s="111"/>
    </row>
    <row r="231" spans="1:36" x14ac:dyDescent="0.55000000000000004">
      <c r="A231" t="s">
        <v>4118</v>
      </c>
      <c r="B231">
        <v>60.59</v>
      </c>
      <c r="C231">
        <v>5.2270000000000003</v>
      </c>
      <c r="D231">
        <v>2.8860000000000001</v>
      </c>
      <c r="E231">
        <v>44.97</v>
      </c>
      <c r="F231">
        <v>32.53</v>
      </c>
      <c r="G231">
        <v>17.53</v>
      </c>
      <c r="H231">
        <v>26.01</v>
      </c>
      <c r="I231">
        <v>24.31</v>
      </c>
      <c r="J231" s="111">
        <v>6.4339999999999994E-2</v>
      </c>
      <c r="N231"/>
      <c r="P231" s="111"/>
      <c r="V231" s="111"/>
      <c r="X231" s="111"/>
      <c r="Y231" s="111"/>
      <c r="Z231" s="111"/>
      <c r="AA231" s="111"/>
      <c r="AB231" s="111"/>
      <c r="AC231" s="111"/>
      <c r="AD231" s="111"/>
      <c r="AE231" s="111"/>
      <c r="AF231" s="111"/>
      <c r="AG231" s="111"/>
      <c r="AH231" s="111"/>
      <c r="AI231" s="111"/>
      <c r="AJ231" s="111"/>
    </row>
    <row r="232" spans="1:36" x14ac:dyDescent="0.55000000000000004">
      <c r="A232" t="s">
        <v>4119</v>
      </c>
      <c r="B232">
        <v>114.6</v>
      </c>
      <c r="C232">
        <v>5.7549999999999999</v>
      </c>
      <c r="D232">
        <v>3.2890000000000001</v>
      </c>
      <c r="E232">
        <v>77.010000000000005</v>
      </c>
      <c r="F232">
        <v>41.97</v>
      </c>
      <c r="G232">
        <v>21.28</v>
      </c>
      <c r="H232">
        <v>33.9</v>
      </c>
      <c r="I232">
        <v>35.229999999999997</v>
      </c>
      <c r="J232" s="111">
        <v>2.5430000000000001E-2</v>
      </c>
      <c r="N232"/>
      <c r="P232" s="111"/>
      <c r="V232" s="111"/>
      <c r="X232" s="111"/>
      <c r="Y232" s="111"/>
      <c r="Z232" s="111"/>
      <c r="AA232" s="111"/>
      <c r="AB232" s="111"/>
      <c r="AC232" s="111"/>
      <c r="AD232" s="111"/>
      <c r="AE232" s="111"/>
      <c r="AF232" s="111"/>
      <c r="AG232" s="111"/>
      <c r="AH232" s="111"/>
      <c r="AI232" s="111"/>
      <c r="AJ232" s="111"/>
    </row>
    <row r="233" spans="1:36" x14ac:dyDescent="0.55000000000000004">
      <c r="A233" t="s">
        <v>4120</v>
      </c>
      <c r="B233">
        <v>134.6</v>
      </c>
      <c r="C233">
        <v>5.5380000000000003</v>
      </c>
      <c r="D233">
        <v>1.8440000000000001</v>
      </c>
      <c r="E233">
        <v>97.49</v>
      </c>
      <c r="F233">
        <v>61.57</v>
      </c>
      <c r="G233">
        <v>29.84</v>
      </c>
      <c r="H233">
        <v>53.63</v>
      </c>
      <c r="I233">
        <v>52.94</v>
      </c>
      <c r="J233" s="111">
        <v>4.2070000000000003E-2</v>
      </c>
      <c r="N233"/>
      <c r="V233" s="111"/>
      <c r="X233" s="111"/>
      <c r="Y233" s="111"/>
      <c r="Z233" s="111"/>
      <c r="AA233" s="111"/>
      <c r="AB233" s="111"/>
      <c r="AC233" s="111"/>
      <c r="AD233" s="111"/>
      <c r="AE233" s="111"/>
      <c r="AF233" s="111"/>
      <c r="AG233" s="111"/>
      <c r="AH233" s="111"/>
      <c r="AI233" s="111"/>
      <c r="AJ233" s="111"/>
    </row>
    <row r="234" spans="1:36" x14ac:dyDescent="0.55000000000000004">
      <c r="A234" t="s">
        <v>3933</v>
      </c>
      <c r="B234">
        <v>30.49</v>
      </c>
      <c r="C234">
        <v>2.7639999999999998</v>
      </c>
      <c r="D234">
        <v>1.2130000000000001</v>
      </c>
      <c r="E234">
        <v>22.45</v>
      </c>
      <c r="F234">
        <v>17.73</v>
      </c>
      <c r="G234">
        <v>12.68</v>
      </c>
      <c r="H234">
        <v>9.1760000000000002</v>
      </c>
      <c r="I234">
        <v>8.9269999999999996</v>
      </c>
      <c r="J234" s="111">
        <v>3.9109999999999999E-2</v>
      </c>
      <c r="N234"/>
      <c r="V234" s="111"/>
      <c r="X234" s="111"/>
      <c r="Y234" s="111"/>
      <c r="Z234" s="111"/>
      <c r="AA234" s="111"/>
      <c r="AB234" s="111"/>
      <c r="AC234" s="111"/>
      <c r="AD234" s="111"/>
      <c r="AE234" s="111"/>
      <c r="AF234" s="111"/>
      <c r="AG234" s="111"/>
      <c r="AH234" s="111"/>
      <c r="AI234" s="111"/>
      <c r="AJ234" s="111"/>
    </row>
    <row r="235" spans="1:36" x14ac:dyDescent="0.55000000000000004">
      <c r="A235" t="s">
        <v>3934</v>
      </c>
      <c r="B235">
        <v>37.76</v>
      </c>
      <c r="C235">
        <v>2.2850000000000001</v>
      </c>
      <c r="D235">
        <v>1.002</v>
      </c>
      <c r="E235">
        <v>25.16</v>
      </c>
      <c r="F235">
        <v>16.97</v>
      </c>
      <c r="G235">
        <v>11.72</v>
      </c>
      <c r="H235">
        <v>9.35</v>
      </c>
      <c r="I235">
        <v>8.9169999999999998</v>
      </c>
      <c r="J235" s="111">
        <v>3.823E-2</v>
      </c>
      <c r="N235"/>
      <c r="V235" s="111"/>
      <c r="X235" s="111"/>
      <c r="Y235" s="111"/>
      <c r="Z235" s="111"/>
      <c r="AA235" s="111"/>
      <c r="AB235" s="111"/>
      <c r="AC235" s="111"/>
      <c r="AD235" s="111"/>
      <c r="AE235" s="111"/>
      <c r="AF235" s="111"/>
      <c r="AG235" s="111"/>
      <c r="AH235" s="111"/>
      <c r="AI235" s="111"/>
      <c r="AJ235" s="111"/>
    </row>
    <row r="236" spans="1:36" x14ac:dyDescent="0.55000000000000004">
      <c r="A236" t="s">
        <v>3935</v>
      </c>
      <c r="B236">
        <v>32.07</v>
      </c>
      <c r="C236">
        <v>1.8939999999999999</v>
      </c>
      <c r="D236">
        <v>0.72370000000000001</v>
      </c>
      <c r="E236">
        <v>23.07</v>
      </c>
      <c r="F236">
        <v>16.84</v>
      </c>
      <c r="G236">
        <v>9.4480000000000004</v>
      </c>
      <c r="H236">
        <v>6.1159999999999997</v>
      </c>
      <c r="I236">
        <v>5.875</v>
      </c>
      <c r="J236" s="111">
        <v>3.9559999999999998E-2</v>
      </c>
      <c r="N236"/>
      <c r="V236" s="111"/>
      <c r="X236" s="111"/>
      <c r="Y236" s="111"/>
      <c r="Z236" s="111"/>
      <c r="AA236" s="111"/>
      <c r="AB236" s="111"/>
      <c r="AC236" s="111"/>
      <c r="AD236" s="111"/>
      <c r="AE236" s="111"/>
      <c r="AF236" s="111"/>
      <c r="AG236" s="111"/>
      <c r="AH236" s="111"/>
      <c r="AI236" s="111"/>
      <c r="AJ236" s="111"/>
    </row>
    <row r="237" spans="1:36" x14ac:dyDescent="0.55000000000000004">
      <c r="A237" t="s">
        <v>3936</v>
      </c>
      <c r="B237">
        <v>31.09</v>
      </c>
      <c r="C237">
        <v>1.8859999999999999</v>
      </c>
      <c r="D237">
        <v>0.73870000000000002</v>
      </c>
      <c r="E237">
        <v>20.96</v>
      </c>
      <c r="F237">
        <v>14.04</v>
      </c>
      <c r="G237">
        <v>11.64</v>
      </c>
      <c r="H237">
        <v>7.1050000000000004</v>
      </c>
      <c r="I237">
        <v>6.9829999999999997</v>
      </c>
      <c r="J237" s="111">
        <v>4.1829999999999999E-2</v>
      </c>
      <c r="N237"/>
      <c r="V237" s="111"/>
      <c r="X237" s="111"/>
      <c r="Y237" s="111"/>
      <c r="Z237" s="111"/>
      <c r="AA237" s="111"/>
      <c r="AB237" s="111"/>
      <c r="AC237" s="111"/>
      <c r="AD237" s="111"/>
      <c r="AE237" s="111"/>
      <c r="AF237" s="111"/>
      <c r="AG237" s="111"/>
      <c r="AH237" s="111"/>
      <c r="AI237" s="111"/>
      <c r="AJ237" s="111"/>
    </row>
    <row r="238" spans="1:36" x14ac:dyDescent="0.55000000000000004">
      <c r="A238" t="s">
        <v>3937</v>
      </c>
      <c r="B238">
        <v>32.729999999999997</v>
      </c>
      <c r="C238">
        <v>1.337</v>
      </c>
      <c r="D238">
        <v>0.4602</v>
      </c>
      <c r="E238">
        <v>19.03</v>
      </c>
      <c r="F238">
        <v>12.9</v>
      </c>
      <c r="G238">
        <v>7.5439999999999996</v>
      </c>
      <c r="H238">
        <v>5.45</v>
      </c>
      <c r="I238">
        <v>5.0049999999999999</v>
      </c>
      <c r="J238" s="111">
        <v>4.4720000000000003E-2</v>
      </c>
      <c r="N238"/>
      <c r="V238" s="111"/>
      <c r="X238" s="111"/>
      <c r="Y238" s="111"/>
      <c r="Z238" s="111"/>
      <c r="AA238" s="111"/>
      <c r="AB238" s="111"/>
      <c r="AC238" s="111"/>
      <c r="AD238" s="111"/>
      <c r="AE238" s="111"/>
      <c r="AF238" s="111"/>
      <c r="AG238" s="111"/>
      <c r="AH238" s="111"/>
      <c r="AI238" s="111"/>
      <c r="AJ238" s="111"/>
    </row>
    <row r="239" spans="1:36" x14ac:dyDescent="0.55000000000000004">
      <c r="A239" t="s">
        <v>3938</v>
      </c>
      <c r="B239">
        <v>31.08</v>
      </c>
      <c r="C239">
        <v>2.6960000000000002</v>
      </c>
      <c r="D239">
        <v>0.91620000000000001</v>
      </c>
      <c r="E239">
        <v>23.04</v>
      </c>
      <c r="F239">
        <v>16.43</v>
      </c>
      <c r="G239">
        <v>12.66</v>
      </c>
      <c r="H239">
        <v>8.5410000000000004</v>
      </c>
      <c r="I239">
        <v>8.4109999999999996</v>
      </c>
      <c r="J239" s="111">
        <v>3.108E-2</v>
      </c>
      <c r="N239"/>
      <c r="V239" s="111"/>
      <c r="X239" s="111"/>
      <c r="Y239" s="111"/>
      <c r="Z239" s="111"/>
      <c r="AA239" s="111"/>
      <c r="AB239" s="111"/>
      <c r="AC239" s="111"/>
      <c r="AD239" s="111"/>
      <c r="AE239" s="111"/>
      <c r="AF239" s="111"/>
      <c r="AG239" s="111"/>
      <c r="AH239" s="111"/>
      <c r="AI239" s="111"/>
      <c r="AJ239" s="111"/>
    </row>
    <row r="240" spans="1:36" x14ac:dyDescent="0.55000000000000004">
      <c r="A240" t="s">
        <v>3939</v>
      </c>
      <c r="B240">
        <v>34.99</v>
      </c>
      <c r="C240">
        <v>2.06</v>
      </c>
      <c r="D240">
        <v>0.86040000000000005</v>
      </c>
      <c r="E240">
        <v>22.87</v>
      </c>
      <c r="F240">
        <v>16.170000000000002</v>
      </c>
      <c r="G240">
        <v>9.6639999999999997</v>
      </c>
      <c r="H240">
        <v>7.5979999999999999</v>
      </c>
      <c r="I240">
        <v>7.4480000000000004</v>
      </c>
      <c r="J240" s="111">
        <v>3.7999999999999999E-2</v>
      </c>
      <c r="N240"/>
      <c r="V240" s="111"/>
      <c r="X240" s="111"/>
      <c r="Y240" s="111"/>
      <c r="Z240" s="111"/>
      <c r="AA240" s="111"/>
      <c r="AB240" s="111"/>
      <c r="AC240" s="111"/>
      <c r="AD240" s="111"/>
      <c r="AE240" s="111"/>
      <c r="AF240" s="111"/>
      <c r="AG240" s="111"/>
      <c r="AH240" s="111"/>
      <c r="AI240" s="111"/>
      <c r="AJ240" s="111"/>
    </row>
    <row r="241" spans="1:36" x14ac:dyDescent="0.55000000000000004">
      <c r="A241" t="s">
        <v>3940</v>
      </c>
      <c r="B241">
        <v>25.93</v>
      </c>
      <c r="C241">
        <v>1.4730000000000001</v>
      </c>
      <c r="D241">
        <v>0.55769999999999997</v>
      </c>
      <c r="E241">
        <v>19.059999999999999</v>
      </c>
      <c r="F241">
        <v>13.31</v>
      </c>
      <c r="G241">
        <v>7.6719999999999997</v>
      </c>
      <c r="H241">
        <v>4.923</v>
      </c>
      <c r="I241">
        <v>4.875</v>
      </c>
      <c r="J241" s="111">
        <v>3.1669999999999997E-2</v>
      </c>
      <c r="N241"/>
      <c r="V241" s="111"/>
      <c r="X241" s="111"/>
      <c r="Y241" s="111"/>
      <c r="Z241" s="111"/>
      <c r="AA241" s="111"/>
      <c r="AB241" s="111"/>
      <c r="AC241" s="111"/>
      <c r="AD241" s="111"/>
      <c r="AE241" s="111"/>
      <c r="AF241" s="111"/>
      <c r="AG241" s="111"/>
      <c r="AH241" s="111"/>
      <c r="AI241" s="111"/>
      <c r="AJ241" s="111"/>
    </row>
    <row r="242" spans="1:36" x14ac:dyDescent="0.55000000000000004">
      <c r="A242" t="s">
        <v>3941</v>
      </c>
      <c r="B242">
        <v>29.91</v>
      </c>
      <c r="C242">
        <v>2.4460000000000002</v>
      </c>
      <c r="D242">
        <v>0.9163</v>
      </c>
      <c r="E242">
        <v>20.21</v>
      </c>
      <c r="F242">
        <v>15.32</v>
      </c>
      <c r="G242">
        <v>10.64</v>
      </c>
      <c r="H242">
        <v>8.0630000000000006</v>
      </c>
      <c r="I242">
        <v>7.9560000000000004</v>
      </c>
      <c r="J242" s="111">
        <v>3.2489999999999998E-2</v>
      </c>
      <c r="N242"/>
      <c r="V242" s="111"/>
      <c r="X242" s="111"/>
      <c r="Y242" s="111"/>
      <c r="Z242" s="111"/>
      <c r="AA242" s="111"/>
      <c r="AB242" s="111"/>
      <c r="AC242" s="111"/>
      <c r="AD242" s="111"/>
      <c r="AE242" s="111"/>
      <c r="AF242" s="111"/>
      <c r="AG242" s="111"/>
      <c r="AH242" s="111"/>
      <c r="AI242" s="111"/>
      <c r="AJ242" s="111"/>
    </row>
    <row r="243" spans="1:36" x14ac:dyDescent="0.55000000000000004">
      <c r="A243" t="s">
        <v>3942</v>
      </c>
      <c r="B243">
        <v>43.13</v>
      </c>
      <c r="C243">
        <v>1.8660000000000001</v>
      </c>
      <c r="D243">
        <v>0.79269999999999996</v>
      </c>
      <c r="E243">
        <v>25.29</v>
      </c>
      <c r="F243">
        <v>16.47</v>
      </c>
      <c r="G243">
        <v>9.9009999999999998</v>
      </c>
      <c r="H243">
        <v>7.6210000000000004</v>
      </c>
      <c r="I243">
        <v>7.4180000000000001</v>
      </c>
      <c r="J243" s="111">
        <v>4.879E-2</v>
      </c>
      <c r="N243"/>
      <c r="V243" s="111"/>
      <c r="X243" s="111"/>
      <c r="Y243" s="111"/>
      <c r="Z243" s="111"/>
      <c r="AA243" s="111"/>
      <c r="AB243" s="111"/>
      <c r="AC243" s="111"/>
      <c r="AD243" s="111"/>
      <c r="AE243" s="111"/>
      <c r="AF243" s="111"/>
      <c r="AG243" s="111"/>
      <c r="AH243" s="111"/>
      <c r="AI243" s="111"/>
      <c r="AJ243" s="111"/>
    </row>
    <row r="244" spans="1:36" x14ac:dyDescent="0.55000000000000004">
      <c r="A244" t="s">
        <v>3943</v>
      </c>
      <c r="B244">
        <v>44.59</v>
      </c>
      <c r="C244">
        <v>2.9380000000000002</v>
      </c>
      <c r="D244">
        <v>1.1339999999999999</v>
      </c>
      <c r="E244">
        <v>30.32</v>
      </c>
      <c r="F244">
        <v>18.91</v>
      </c>
      <c r="G244">
        <v>11.66</v>
      </c>
      <c r="H244">
        <v>12.15</v>
      </c>
      <c r="I244">
        <v>11.68</v>
      </c>
      <c r="J244" s="111">
        <v>2.8639999999999999E-2</v>
      </c>
      <c r="N244"/>
      <c r="V244" s="111"/>
      <c r="X244" s="111"/>
      <c r="Y244" s="111"/>
      <c r="Z244" s="111"/>
      <c r="AA244" s="111"/>
      <c r="AB244" s="111"/>
      <c r="AC244" s="111"/>
      <c r="AD244" s="111"/>
      <c r="AE244" s="111"/>
      <c r="AF244" s="111"/>
      <c r="AG244" s="111"/>
      <c r="AH244" s="111"/>
      <c r="AI244" s="111"/>
      <c r="AJ244" s="111"/>
    </row>
    <row r="245" spans="1:36" x14ac:dyDescent="0.55000000000000004">
      <c r="A245" t="s">
        <v>3944</v>
      </c>
      <c r="B245">
        <v>79.930000000000007</v>
      </c>
      <c r="C245">
        <v>4.2309999999999999</v>
      </c>
      <c r="D245">
        <v>1.583</v>
      </c>
      <c r="E245">
        <v>57.61</v>
      </c>
      <c r="F245">
        <v>26.4</v>
      </c>
      <c r="G245">
        <v>15.36</v>
      </c>
      <c r="H245">
        <v>27.24</v>
      </c>
      <c r="I245">
        <v>26.41</v>
      </c>
      <c r="J245" s="111">
        <v>3.7280000000000001E-2</v>
      </c>
      <c r="N245"/>
      <c r="V245" s="111"/>
      <c r="X245" s="111"/>
      <c r="Y245" s="111"/>
      <c r="Z245" s="111"/>
      <c r="AA245" s="111"/>
      <c r="AB245" s="111"/>
      <c r="AC245" s="111"/>
      <c r="AD245" s="111"/>
      <c r="AE245" s="111"/>
      <c r="AF245" s="111"/>
      <c r="AG245" s="111"/>
      <c r="AH245" s="111"/>
      <c r="AI245" s="111"/>
      <c r="AJ245" s="111"/>
    </row>
    <row r="246" spans="1:36" x14ac:dyDescent="0.55000000000000004">
      <c r="A246" t="s">
        <v>3945</v>
      </c>
      <c r="B246">
        <v>39.57</v>
      </c>
      <c r="C246">
        <v>3.0550000000000002</v>
      </c>
      <c r="D246">
        <v>1.1379999999999999</v>
      </c>
      <c r="E246">
        <v>30.1</v>
      </c>
      <c r="F246">
        <v>19</v>
      </c>
      <c r="G246">
        <v>12.8</v>
      </c>
      <c r="H246">
        <v>11.31</v>
      </c>
      <c r="I246">
        <v>10.82</v>
      </c>
      <c r="J246" s="111">
        <v>3.2539999999999999E-2</v>
      </c>
      <c r="N246"/>
      <c r="V246" s="111"/>
      <c r="X246" s="111"/>
      <c r="Y246" s="111"/>
      <c r="Z246" s="111"/>
      <c r="AA246" s="111"/>
      <c r="AB246" s="111"/>
      <c r="AC246" s="111"/>
      <c r="AD246" s="111"/>
      <c r="AE246" s="111"/>
      <c r="AF246" s="111"/>
      <c r="AG246" s="111"/>
      <c r="AH246" s="111"/>
      <c r="AI246" s="111"/>
      <c r="AJ246" s="111"/>
    </row>
    <row r="247" spans="1:36" x14ac:dyDescent="0.55000000000000004">
      <c r="A247" t="s">
        <v>3946</v>
      </c>
      <c r="B247">
        <v>55.17</v>
      </c>
      <c r="C247">
        <v>2.95</v>
      </c>
      <c r="D247">
        <v>1.1379999999999999</v>
      </c>
      <c r="E247">
        <v>34.409999999999997</v>
      </c>
      <c r="F247">
        <v>23.39</v>
      </c>
      <c r="G247">
        <v>14.95</v>
      </c>
      <c r="H247">
        <v>12.24</v>
      </c>
      <c r="I247">
        <v>11.42</v>
      </c>
      <c r="J247" s="111">
        <v>5.21E-2</v>
      </c>
      <c r="N247"/>
      <c r="V247" s="111"/>
      <c r="X247" s="111"/>
      <c r="Y247" s="111"/>
      <c r="Z247" s="111"/>
      <c r="AA247" s="111"/>
      <c r="AB247" s="111"/>
      <c r="AC247" s="111"/>
      <c r="AD247" s="111"/>
      <c r="AE247" s="111"/>
      <c r="AF247" s="111"/>
      <c r="AG247" s="111"/>
      <c r="AH247" s="111"/>
      <c r="AI247" s="111"/>
      <c r="AJ247" s="111"/>
    </row>
    <row r="248" spans="1:36" x14ac:dyDescent="0.55000000000000004">
      <c r="A248" t="s">
        <v>3947</v>
      </c>
      <c r="B248">
        <v>36.94</v>
      </c>
      <c r="C248">
        <v>1.9219999999999999</v>
      </c>
      <c r="D248">
        <v>0.75919999999999999</v>
      </c>
      <c r="E248">
        <v>26.04</v>
      </c>
      <c r="F248">
        <v>16.32</v>
      </c>
      <c r="G248">
        <v>11.81</v>
      </c>
      <c r="H248">
        <v>7.992</v>
      </c>
      <c r="I248">
        <v>8.3219999999999992</v>
      </c>
      <c r="J248" s="111">
        <v>4.9730000000000003E-2</v>
      </c>
      <c r="N248"/>
      <c r="V248" s="111"/>
      <c r="X248" s="111"/>
      <c r="Y248" s="111"/>
      <c r="Z248" s="111"/>
      <c r="AA248" s="111"/>
      <c r="AB248" s="111"/>
      <c r="AC248" s="111"/>
      <c r="AD248" s="111"/>
      <c r="AE248" s="111"/>
      <c r="AF248" s="111"/>
      <c r="AG248" s="111"/>
      <c r="AH248" s="111"/>
      <c r="AI248" s="111"/>
      <c r="AJ248" s="111"/>
    </row>
    <row r="249" spans="1:36" x14ac:dyDescent="0.55000000000000004">
      <c r="A249" t="s">
        <v>3948</v>
      </c>
      <c r="B249">
        <v>15.04</v>
      </c>
      <c r="C249">
        <v>0.1782</v>
      </c>
      <c r="D249" s="111">
        <v>7.1690000000000004E-2</v>
      </c>
      <c r="E249">
        <v>7.3319999999999999</v>
      </c>
      <c r="F249">
        <v>2.2240000000000002</v>
      </c>
      <c r="G249">
        <v>1.198</v>
      </c>
      <c r="H249">
        <v>3.891</v>
      </c>
      <c r="I249">
        <v>3.8479999999999999</v>
      </c>
      <c r="J249" s="111">
        <v>2.578E-3</v>
      </c>
      <c r="N249"/>
      <c r="V249" s="111"/>
      <c r="X249" s="111"/>
      <c r="Y249" s="111"/>
      <c r="Z249" s="111"/>
      <c r="AA249" s="111"/>
      <c r="AB249" s="111"/>
      <c r="AC249" s="111"/>
      <c r="AD249" s="111"/>
      <c r="AE249" s="111"/>
      <c r="AF249" s="111"/>
      <c r="AG249" s="111"/>
      <c r="AH249" s="111"/>
      <c r="AI249" s="111"/>
      <c r="AJ249" s="111"/>
    </row>
    <row r="250" spans="1:36" x14ac:dyDescent="0.55000000000000004">
      <c r="A250" t="s">
        <v>3949</v>
      </c>
      <c r="B250">
        <v>43.16</v>
      </c>
      <c r="C250">
        <v>2.2290000000000001</v>
      </c>
      <c r="D250">
        <v>0.63</v>
      </c>
      <c r="E250">
        <v>27.91</v>
      </c>
      <c r="F250">
        <v>13.99</v>
      </c>
      <c r="G250">
        <v>6.9960000000000004</v>
      </c>
      <c r="H250">
        <v>13.52</v>
      </c>
      <c r="I250">
        <v>13.37</v>
      </c>
      <c r="J250" s="111">
        <v>9.0629999999999999E-3</v>
      </c>
      <c r="N250"/>
      <c r="V250" s="111"/>
      <c r="X250" s="111"/>
      <c r="Y250" s="111"/>
      <c r="Z250" s="111"/>
      <c r="AA250" s="111"/>
      <c r="AB250" s="111"/>
      <c r="AC250" s="111"/>
      <c r="AD250" s="111"/>
      <c r="AE250" s="111"/>
      <c r="AF250" s="111"/>
      <c r="AG250" s="111"/>
      <c r="AH250" s="111"/>
      <c r="AI250" s="111"/>
      <c r="AJ250" s="111"/>
    </row>
    <row r="251" spans="1:36" x14ac:dyDescent="0.55000000000000004">
      <c r="A251" t="s">
        <v>3950</v>
      </c>
      <c r="B251">
        <v>15.02</v>
      </c>
      <c r="C251">
        <v>0.40670000000000001</v>
      </c>
      <c r="D251">
        <v>0.1605</v>
      </c>
      <c r="E251">
        <v>11.61</v>
      </c>
      <c r="F251">
        <v>6.125</v>
      </c>
      <c r="G251">
        <v>4.609</v>
      </c>
      <c r="H251">
        <v>6.0229999999999997</v>
      </c>
      <c r="I251">
        <v>5.9640000000000004</v>
      </c>
      <c r="J251" s="111">
        <v>4.3689999999999996E-3</v>
      </c>
      <c r="N251"/>
      <c r="V251" s="111"/>
      <c r="X251" s="111"/>
      <c r="Y251" s="111"/>
      <c r="Z251" s="111"/>
      <c r="AA251" s="111"/>
      <c r="AB251" s="111"/>
      <c r="AC251" s="111"/>
      <c r="AD251" s="111"/>
      <c r="AE251" s="111"/>
      <c r="AF251" s="111"/>
      <c r="AG251" s="111"/>
      <c r="AH251" s="111"/>
      <c r="AI251" s="111"/>
      <c r="AJ251" s="111"/>
    </row>
    <row r="252" spans="1:36" x14ac:dyDescent="0.55000000000000004">
      <c r="A252" t="s">
        <v>3951</v>
      </c>
      <c r="B252">
        <v>24.92</v>
      </c>
      <c r="C252">
        <v>1.587</v>
      </c>
      <c r="D252">
        <v>0.65800000000000003</v>
      </c>
      <c r="E252">
        <v>19.600000000000001</v>
      </c>
      <c r="F252">
        <v>12.07</v>
      </c>
      <c r="G252">
        <v>6.4960000000000004</v>
      </c>
      <c r="H252">
        <v>6.2359999999999998</v>
      </c>
      <c r="I252">
        <v>5.6859999999999999</v>
      </c>
      <c r="J252" s="111">
        <v>2.894E-2</v>
      </c>
      <c r="N252"/>
      <c r="O252" s="111"/>
      <c r="P252" s="111"/>
      <c r="V252" s="111"/>
      <c r="X252" s="111"/>
      <c r="Y252" s="111"/>
      <c r="Z252" s="111"/>
      <c r="AA252" s="111"/>
      <c r="AB252" s="111"/>
      <c r="AC252" s="111"/>
      <c r="AD252" s="111"/>
      <c r="AE252" s="111"/>
      <c r="AF252" s="111"/>
      <c r="AG252" s="111"/>
      <c r="AH252" s="111"/>
      <c r="AI252" s="111"/>
      <c r="AJ252" s="111"/>
    </row>
    <row r="253" spans="1:36" x14ac:dyDescent="0.55000000000000004">
      <c r="A253" t="s">
        <v>3952</v>
      </c>
      <c r="B253">
        <v>27.85</v>
      </c>
      <c r="C253">
        <v>1.663</v>
      </c>
      <c r="D253">
        <v>0.51</v>
      </c>
      <c r="E253">
        <v>21.19</v>
      </c>
      <c r="F253">
        <v>12.3</v>
      </c>
      <c r="G253">
        <v>6.944</v>
      </c>
      <c r="H253">
        <v>11.65</v>
      </c>
      <c r="I253">
        <v>11.69</v>
      </c>
      <c r="J253" s="111">
        <v>8.5459999999999998E-3</v>
      </c>
      <c r="N253"/>
      <c r="P253" s="111"/>
      <c r="V253" s="111"/>
      <c r="X253" s="111"/>
      <c r="Y253" s="111"/>
      <c r="Z253" s="111"/>
      <c r="AA253" s="111"/>
      <c r="AB253" s="111"/>
      <c r="AC253" s="111"/>
      <c r="AD253" s="111"/>
      <c r="AE253" s="111"/>
      <c r="AF253" s="111"/>
      <c r="AG253" s="111"/>
      <c r="AH253" s="111"/>
      <c r="AI253" s="111"/>
      <c r="AJ253" s="111"/>
    </row>
    <row r="254" spans="1:36" x14ac:dyDescent="0.55000000000000004">
      <c r="A254" t="s">
        <v>3953</v>
      </c>
      <c r="B254">
        <v>51.78</v>
      </c>
      <c r="C254">
        <v>2.0619999999999998</v>
      </c>
      <c r="D254">
        <v>0.46279999999999999</v>
      </c>
      <c r="E254">
        <v>34.79</v>
      </c>
      <c r="F254">
        <v>18.059999999999999</v>
      </c>
      <c r="G254">
        <v>11.58</v>
      </c>
      <c r="H254">
        <v>18.77</v>
      </c>
      <c r="I254">
        <v>18.5</v>
      </c>
      <c r="J254" s="111">
        <v>1.464E-2</v>
      </c>
      <c r="N254"/>
      <c r="V254" s="111"/>
      <c r="X254" s="111"/>
      <c r="Y254" s="111"/>
      <c r="Z254" s="111"/>
      <c r="AA254" s="111"/>
      <c r="AB254" s="111"/>
      <c r="AC254" s="111"/>
      <c r="AD254" s="111"/>
      <c r="AE254" s="111"/>
      <c r="AF254" s="111"/>
      <c r="AG254" s="111"/>
      <c r="AH254" s="111"/>
      <c r="AI254" s="111"/>
      <c r="AJ254" s="111"/>
    </row>
    <row r="255" spans="1:36" x14ac:dyDescent="0.55000000000000004">
      <c r="A255" t="s">
        <v>3954</v>
      </c>
      <c r="B255">
        <v>129.30000000000001</v>
      </c>
      <c r="C255">
        <v>10.66</v>
      </c>
      <c r="D255">
        <v>4.3129999999999997</v>
      </c>
      <c r="E255">
        <v>98.47</v>
      </c>
      <c r="F255">
        <v>66.14</v>
      </c>
      <c r="G255">
        <v>46.6</v>
      </c>
      <c r="H255">
        <v>31.71</v>
      </c>
      <c r="I255">
        <v>29.98</v>
      </c>
      <c r="J255">
        <v>0.13200000000000001</v>
      </c>
      <c r="N255"/>
      <c r="P255" s="111"/>
      <c r="V255" s="111"/>
      <c r="X255" s="111"/>
      <c r="Y255" s="111"/>
      <c r="Z255" s="111"/>
      <c r="AA255" s="111"/>
      <c r="AB255" s="111"/>
      <c r="AC255" s="111"/>
      <c r="AD255" s="111"/>
      <c r="AE255" s="111"/>
      <c r="AF255" s="111"/>
      <c r="AG255" s="111"/>
      <c r="AH255" s="111"/>
      <c r="AI255" s="111"/>
      <c r="AJ255" s="111"/>
    </row>
    <row r="256" spans="1:36" x14ac:dyDescent="0.55000000000000004">
      <c r="A256" t="s">
        <v>3955</v>
      </c>
      <c r="B256">
        <v>161.69999999999999</v>
      </c>
      <c r="C256">
        <v>9.2810000000000006</v>
      </c>
      <c r="D256">
        <v>4.0289999999999999</v>
      </c>
      <c r="E256">
        <v>109.1</v>
      </c>
      <c r="F256">
        <v>61.61</v>
      </c>
      <c r="G256">
        <v>39.71</v>
      </c>
      <c r="H256">
        <v>33.5</v>
      </c>
      <c r="I256">
        <v>31.53</v>
      </c>
      <c r="J256">
        <v>0.1963</v>
      </c>
      <c r="N256"/>
      <c r="V256"/>
      <c r="X256" s="111"/>
      <c r="Y256" s="111"/>
      <c r="Z256" s="111"/>
      <c r="AA256" s="111"/>
      <c r="AB256" s="111"/>
      <c r="AC256" s="111"/>
      <c r="AD256" s="111"/>
      <c r="AE256" s="111"/>
      <c r="AF256" s="111"/>
      <c r="AG256" s="111"/>
      <c r="AH256" s="111"/>
      <c r="AI256" s="111"/>
      <c r="AJ256" s="111"/>
    </row>
    <row r="257" spans="1:36" x14ac:dyDescent="0.55000000000000004">
      <c r="A257" t="s">
        <v>3956</v>
      </c>
      <c r="B257">
        <v>93.3</v>
      </c>
      <c r="C257">
        <v>6.617</v>
      </c>
      <c r="D257">
        <v>2.7989999999999999</v>
      </c>
      <c r="E257">
        <v>66.14</v>
      </c>
      <c r="F257">
        <v>51.53</v>
      </c>
      <c r="G257">
        <v>32.67</v>
      </c>
      <c r="H257">
        <v>23.76</v>
      </c>
      <c r="I257">
        <v>24.01</v>
      </c>
      <c r="J257">
        <v>0.1026</v>
      </c>
      <c r="N257"/>
      <c r="V257" s="111"/>
      <c r="X257" s="111"/>
      <c r="Y257" s="111"/>
      <c r="Z257" s="111"/>
      <c r="AA257" s="111"/>
      <c r="AB257" s="111"/>
      <c r="AC257" s="111"/>
      <c r="AD257" s="111"/>
      <c r="AE257" s="111"/>
      <c r="AF257" s="111"/>
      <c r="AG257" s="111"/>
      <c r="AH257" s="111"/>
      <c r="AI257" s="111"/>
      <c r="AJ257" s="111"/>
    </row>
    <row r="258" spans="1:36" x14ac:dyDescent="0.55000000000000004">
      <c r="A258" t="s">
        <v>3957</v>
      </c>
      <c r="B258">
        <v>133.30000000000001</v>
      </c>
      <c r="C258">
        <v>8.5370000000000008</v>
      </c>
      <c r="D258">
        <v>3.2309999999999999</v>
      </c>
      <c r="E258">
        <v>100.8</v>
      </c>
      <c r="F258">
        <v>56.43</v>
      </c>
      <c r="G258">
        <v>33.44</v>
      </c>
      <c r="H258">
        <v>35.22</v>
      </c>
      <c r="I258">
        <v>34.47</v>
      </c>
      <c r="J258" s="111">
        <v>7.0349999999999996E-2</v>
      </c>
      <c r="N258"/>
      <c r="V258" s="111"/>
      <c r="X258" s="111"/>
      <c r="Y258" s="111"/>
      <c r="Z258" s="111"/>
      <c r="AA258" s="111"/>
      <c r="AB258" s="111"/>
      <c r="AC258" s="111"/>
      <c r="AD258" s="111"/>
      <c r="AE258" s="111"/>
      <c r="AF258" s="111"/>
      <c r="AG258" s="111"/>
      <c r="AH258" s="111"/>
      <c r="AI258" s="111"/>
      <c r="AJ258" s="111"/>
    </row>
    <row r="259" spans="1:36" x14ac:dyDescent="0.55000000000000004">
      <c r="A259" t="s">
        <v>3958</v>
      </c>
      <c r="B259">
        <v>241.7</v>
      </c>
      <c r="C259">
        <v>13.26</v>
      </c>
      <c r="D259">
        <v>5.867</v>
      </c>
      <c r="E259">
        <v>163.69999999999999</v>
      </c>
      <c r="F259">
        <v>97.2</v>
      </c>
      <c r="G259">
        <v>51.9</v>
      </c>
      <c r="H259">
        <v>72.69</v>
      </c>
      <c r="I259">
        <v>70.78</v>
      </c>
      <c r="J259">
        <v>0.113</v>
      </c>
      <c r="N259"/>
      <c r="V259" s="111"/>
      <c r="X259" s="111"/>
      <c r="Y259" s="111"/>
      <c r="Z259" s="111"/>
      <c r="AA259" s="111"/>
      <c r="AB259" s="111"/>
      <c r="AC259" s="111"/>
      <c r="AD259" s="111"/>
      <c r="AE259" s="111"/>
      <c r="AF259" s="111"/>
      <c r="AG259" s="111"/>
      <c r="AH259" s="111"/>
      <c r="AI259" s="111"/>
      <c r="AJ259" s="111"/>
    </row>
    <row r="260" spans="1:36" x14ac:dyDescent="0.55000000000000004">
      <c r="A260" t="s">
        <v>3959</v>
      </c>
      <c r="B260">
        <v>291.8</v>
      </c>
      <c r="C260">
        <v>16.989999999999998</v>
      </c>
      <c r="D260">
        <v>7.7759999999999998</v>
      </c>
      <c r="E260">
        <v>200.5</v>
      </c>
      <c r="F260">
        <v>113.6</v>
      </c>
      <c r="G260">
        <v>65.02</v>
      </c>
      <c r="H260">
        <v>83.41</v>
      </c>
      <c r="I260">
        <v>79.56</v>
      </c>
      <c r="J260">
        <v>0.1154</v>
      </c>
      <c r="N260"/>
      <c r="V260" s="111"/>
      <c r="X260" s="111"/>
      <c r="Y260" s="111"/>
      <c r="Z260" s="111"/>
      <c r="AA260" s="111"/>
      <c r="AB260" s="111"/>
      <c r="AC260" s="111"/>
      <c r="AD260" s="111"/>
      <c r="AE260" s="111"/>
      <c r="AF260" s="111"/>
      <c r="AG260" s="111"/>
      <c r="AH260" s="111"/>
      <c r="AI260" s="111"/>
      <c r="AJ260" s="111"/>
    </row>
    <row r="261" spans="1:36" x14ac:dyDescent="0.55000000000000004">
      <c r="A261" t="s">
        <v>3960</v>
      </c>
      <c r="B261">
        <v>100.7</v>
      </c>
      <c r="C261">
        <v>5.5960000000000001</v>
      </c>
      <c r="D261">
        <v>1.907</v>
      </c>
      <c r="E261">
        <v>69.8</v>
      </c>
      <c r="F261">
        <v>43.78</v>
      </c>
      <c r="G261">
        <v>25.18</v>
      </c>
      <c r="H261">
        <v>26.12</v>
      </c>
      <c r="I261">
        <v>24.5</v>
      </c>
      <c r="J261" s="111">
        <v>4.5339999999999998E-2</v>
      </c>
      <c r="N261"/>
      <c r="V261" s="111"/>
      <c r="X261" s="111"/>
      <c r="Y261" s="111"/>
      <c r="Z261" s="111"/>
      <c r="AA261" s="111"/>
      <c r="AB261" s="111"/>
      <c r="AC261" s="111"/>
      <c r="AD261" s="111"/>
      <c r="AE261" s="111"/>
      <c r="AF261" s="111"/>
      <c r="AG261" s="111"/>
      <c r="AH261" s="111"/>
      <c r="AI261" s="111"/>
      <c r="AJ261" s="111"/>
    </row>
    <row r="262" spans="1:36" x14ac:dyDescent="0.55000000000000004">
      <c r="A262" t="s">
        <v>3961</v>
      </c>
      <c r="B262">
        <v>108.1</v>
      </c>
      <c r="C262">
        <v>5.3869999999999996</v>
      </c>
      <c r="D262">
        <v>1.768</v>
      </c>
      <c r="E262">
        <v>79.900000000000006</v>
      </c>
      <c r="F262">
        <v>49.62</v>
      </c>
      <c r="G262">
        <v>27.59</v>
      </c>
      <c r="H262">
        <v>28.57</v>
      </c>
      <c r="I262">
        <v>27.95</v>
      </c>
      <c r="J262" s="111">
        <v>6.4990000000000006E-2</v>
      </c>
      <c r="N262"/>
      <c r="V262" s="111"/>
      <c r="X262" s="111"/>
      <c r="Y262" s="111"/>
      <c r="Z262" s="111"/>
      <c r="AA262" s="111"/>
      <c r="AB262" s="111"/>
      <c r="AC262" s="111"/>
      <c r="AD262" s="111"/>
      <c r="AE262" s="111"/>
      <c r="AF262" s="111"/>
      <c r="AG262" s="111"/>
      <c r="AH262" s="111"/>
      <c r="AI262" s="111"/>
      <c r="AJ262" s="111"/>
    </row>
    <row r="263" spans="1:36" x14ac:dyDescent="0.55000000000000004">
      <c r="A263" t="s">
        <v>3962</v>
      </c>
      <c r="B263">
        <v>159.80000000000001</v>
      </c>
      <c r="C263">
        <v>8.1270000000000007</v>
      </c>
      <c r="D263">
        <v>2.3330000000000002</v>
      </c>
      <c r="E263">
        <v>111.6</v>
      </c>
      <c r="F263">
        <v>70.28</v>
      </c>
      <c r="G263">
        <v>40</v>
      </c>
      <c r="H263">
        <v>44.66</v>
      </c>
      <c r="I263">
        <v>42.71</v>
      </c>
      <c r="J263">
        <v>0.1153</v>
      </c>
      <c r="N263"/>
      <c r="V263" s="111"/>
      <c r="X263" s="111"/>
      <c r="Y263" s="111"/>
      <c r="Z263" s="111"/>
      <c r="AA263" s="111"/>
      <c r="AB263" s="111"/>
      <c r="AC263" s="111"/>
      <c r="AD263" s="111"/>
      <c r="AE263" s="111"/>
      <c r="AF263" s="111"/>
      <c r="AG263" s="111"/>
      <c r="AH263" s="111"/>
      <c r="AI263" s="111"/>
      <c r="AJ263" s="111"/>
    </row>
    <row r="264" spans="1:36" x14ac:dyDescent="0.55000000000000004">
      <c r="A264" t="s">
        <v>3963</v>
      </c>
      <c r="B264">
        <v>273.3</v>
      </c>
      <c r="C264">
        <v>19.29</v>
      </c>
      <c r="D264">
        <v>8.8309999999999995</v>
      </c>
      <c r="E264">
        <v>190.7</v>
      </c>
      <c r="F264">
        <v>101.6</v>
      </c>
      <c r="G264">
        <v>64.63</v>
      </c>
      <c r="H264">
        <v>85.11</v>
      </c>
      <c r="I264">
        <v>84.08</v>
      </c>
      <c r="J264">
        <v>0.13700000000000001</v>
      </c>
      <c r="N264"/>
      <c r="V264" s="111"/>
      <c r="X264" s="111"/>
      <c r="Y264" s="111"/>
      <c r="Z264" s="111"/>
      <c r="AA264" s="111"/>
      <c r="AB264" s="111"/>
      <c r="AC264" s="111"/>
      <c r="AD264" s="111"/>
      <c r="AE264" s="111"/>
      <c r="AF264" s="111"/>
      <c r="AG264" s="111"/>
      <c r="AH264" s="111"/>
      <c r="AI264" s="111"/>
      <c r="AJ264" s="111"/>
    </row>
    <row r="265" spans="1:36" x14ac:dyDescent="0.55000000000000004">
      <c r="A265" t="s">
        <v>3964</v>
      </c>
      <c r="B265">
        <v>59.06</v>
      </c>
      <c r="C265">
        <v>1.8140000000000001</v>
      </c>
      <c r="D265">
        <v>0.76700000000000002</v>
      </c>
      <c r="E265">
        <v>52.44</v>
      </c>
      <c r="F265">
        <v>38.909999999999997</v>
      </c>
      <c r="G265">
        <v>14.91</v>
      </c>
      <c r="H265">
        <v>24.94</v>
      </c>
      <c r="I265">
        <v>18.670000000000002</v>
      </c>
      <c r="J265" s="111">
        <v>2.75E-2</v>
      </c>
      <c r="N265"/>
      <c r="V265" s="111"/>
      <c r="X265" s="111"/>
      <c r="Y265" s="111"/>
      <c r="Z265" s="111"/>
      <c r="AA265" s="111"/>
      <c r="AB265" s="111"/>
      <c r="AC265" s="111"/>
      <c r="AD265" s="111"/>
      <c r="AE265" s="111"/>
      <c r="AF265" s="111"/>
      <c r="AG265" s="111"/>
      <c r="AH265" s="111"/>
      <c r="AI265" s="111"/>
      <c r="AJ265" s="111"/>
    </row>
    <row r="266" spans="1:36" x14ac:dyDescent="0.55000000000000004">
      <c r="A266" t="s">
        <v>3965</v>
      </c>
      <c r="B266">
        <v>211.1</v>
      </c>
      <c r="C266">
        <v>13.89</v>
      </c>
      <c r="D266">
        <v>6.6790000000000003</v>
      </c>
      <c r="E266">
        <v>137</v>
      </c>
      <c r="F266">
        <v>76.209999999999994</v>
      </c>
      <c r="G266">
        <v>46.98</v>
      </c>
      <c r="H266">
        <v>63.1</v>
      </c>
      <c r="I266">
        <v>64.63</v>
      </c>
      <c r="J266" s="111">
        <v>7.5399999999999995E-2</v>
      </c>
      <c r="N266"/>
      <c r="V266" s="111"/>
      <c r="X266" s="111"/>
      <c r="Y266" s="111"/>
      <c r="Z266" s="111"/>
      <c r="AA266" s="111"/>
      <c r="AB266" s="111"/>
      <c r="AC266" s="111"/>
      <c r="AD266" s="111"/>
      <c r="AE266" s="111"/>
      <c r="AF266" s="111"/>
      <c r="AG266" s="111"/>
      <c r="AH266" s="111"/>
      <c r="AI266" s="111"/>
      <c r="AJ266" s="111"/>
    </row>
    <row r="267" spans="1:36" x14ac:dyDescent="0.55000000000000004">
      <c r="A267" t="s">
        <v>3966</v>
      </c>
      <c r="B267">
        <v>116.2</v>
      </c>
      <c r="C267">
        <v>10.41</v>
      </c>
      <c r="D267">
        <v>3.7749999999999999</v>
      </c>
      <c r="E267">
        <v>84.46</v>
      </c>
      <c r="F267">
        <v>47.61</v>
      </c>
      <c r="G267">
        <v>34.32</v>
      </c>
      <c r="H267">
        <v>45.31</v>
      </c>
      <c r="I267">
        <v>44.62</v>
      </c>
      <c r="J267" s="111">
        <v>4.3729999999999998E-2</v>
      </c>
      <c r="N267"/>
      <c r="V267" s="111"/>
      <c r="X267" s="111"/>
      <c r="Y267" s="111"/>
      <c r="Z267" s="111"/>
      <c r="AA267" s="111"/>
      <c r="AB267" s="111"/>
      <c r="AC267" s="111"/>
      <c r="AD267" s="111"/>
      <c r="AE267" s="111"/>
      <c r="AF267" s="111"/>
      <c r="AG267" s="111"/>
      <c r="AH267" s="111"/>
      <c r="AI267" s="111"/>
      <c r="AJ267" s="111"/>
    </row>
    <row r="268" spans="1:36" x14ac:dyDescent="0.55000000000000004">
      <c r="A268" t="s">
        <v>3967</v>
      </c>
      <c r="B268">
        <v>134.30000000000001</v>
      </c>
      <c r="C268">
        <v>4.1779999999999999</v>
      </c>
      <c r="D268">
        <v>1.46</v>
      </c>
      <c r="E268">
        <v>116.6</v>
      </c>
      <c r="F268">
        <v>86.21</v>
      </c>
      <c r="G268">
        <v>59.07</v>
      </c>
      <c r="H268">
        <v>53.26</v>
      </c>
      <c r="I268">
        <v>47.32</v>
      </c>
      <c r="J268" s="111">
        <v>5.7360000000000001E-2</v>
      </c>
      <c r="N268"/>
      <c r="V268" s="111"/>
      <c r="X268" s="111"/>
      <c r="Y268" s="111"/>
      <c r="Z268" s="111"/>
      <c r="AA268" s="111"/>
      <c r="AB268" s="111"/>
      <c r="AC268" s="111"/>
      <c r="AD268" s="111"/>
      <c r="AE268" s="111"/>
      <c r="AF268" s="111"/>
      <c r="AG268" s="111"/>
      <c r="AH268" s="111"/>
      <c r="AI268" s="111"/>
      <c r="AJ268" s="111"/>
    </row>
    <row r="269" spans="1:36" x14ac:dyDescent="0.55000000000000004">
      <c r="A269" t="s">
        <v>4121</v>
      </c>
      <c r="B269">
        <v>364.1</v>
      </c>
      <c r="C269">
        <v>23.46</v>
      </c>
      <c r="D269">
        <v>16.14</v>
      </c>
      <c r="E269">
        <v>266.7</v>
      </c>
      <c r="F269">
        <v>150.30000000000001</v>
      </c>
      <c r="G269">
        <v>95.65</v>
      </c>
      <c r="H269">
        <v>115.5</v>
      </c>
      <c r="I269">
        <v>109.8</v>
      </c>
      <c r="J269">
        <v>0.1804</v>
      </c>
      <c r="N269"/>
      <c r="V269" s="111"/>
      <c r="X269" s="111"/>
      <c r="Y269" s="111"/>
      <c r="Z269" s="111"/>
      <c r="AA269" s="111"/>
      <c r="AB269" s="111"/>
      <c r="AC269" s="111"/>
      <c r="AD269" s="111"/>
      <c r="AE269" s="111"/>
      <c r="AF269" s="111"/>
      <c r="AG269" s="111"/>
      <c r="AH269" s="111"/>
      <c r="AI269" s="111"/>
      <c r="AJ269" s="111"/>
    </row>
    <row r="270" spans="1:36" x14ac:dyDescent="0.55000000000000004">
      <c r="A270" t="s">
        <v>4122</v>
      </c>
      <c r="B270">
        <v>387.4</v>
      </c>
      <c r="C270">
        <v>18.079999999999998</v>
      </c>
      <c r="D270">
        <v>12.71</v>
      </c>
      <c r="E270">
        <v>274.5</v>
      </c>
      <c r="F270">
        <v>136.19999999999999</v>
      </c>
      <c r="G270">
        <v>78.09</v>
      </c>
      <c r="H270">
        <v>115</v>
      </c>
      <c r="I270">
        <v>111.6</v>
      </c>
      <c r="J270">
        <v>0.14430000000000001</v>
      </c>
      <c r="N270"/>
      <c r="V270" s="111"/>
      <c r="X270" s="111"/>
      <c r="Y270" s="111"/>
      <c r="Z270" s="111"/>
      <c r="AA270" s="111"/>
      <c r="AB270" s="111"/>
      <c r="AC270" s="111"/>
      <c r="AD270" s="111"/>
      <c r="AE270" s="111"/>
      <c r="AF270" s="111"/>
      <c r="AG270" s="111"/>
      <c r="AH270" s="111"/>
      <c r="AI270" s="111"/>
      <c r="AJ270" s="111"/>
    </row>
    <row r="271" spans="1:36" x14ac:dyDescent="0.55000000000000004">
      <c r="A271" t="s">
        <v>4123</v>
      </c>
      <c r="B271">
        <v>339.7</v>
      </c>
      <c r="C271">
        <v>17.350000000000001</v>
      </c>
      <c r="D271">
        <v>12.65</v>
      </c>
      <c r="E271">
        <v>239.4</v>
      </c>
      <c r="F271">
        <v>124.7</v>
      </c>
      <c r="G271">
        <v>73.97</v>
      </c>
      <c r="H271">
        <v>92.38</v>
      </c>
      <c r="I271">
        <v>88.14</v>
      </c>
      <c r="J271">
        <v>0.14169999999999999</v>
      </c>
      <c r="N271"/>
      <c r="V271" s="111"/>
      <c r="X271" s="111"/>
      <c r="Y271" s="111"/>
      <c r="Z271" s="111"/>
      <c r="AA271" s="111"/>
      <c r="AB271" s="111"/>
      <c r="AC271" s="111"/>
      <c r="AD271" s="111"/>
      <c r="AE271" s="111"/>
      <c r="AF271" s="111"/>
      <c r="AG271" s="111"/>
      <c r="AH271" s="111"/>
      <c r="AI271" s="111"/>
      <c r="AJ271" s="111"/>
    </row>
    <row r="272" spans="1:36" x14ac:dyDescent="0.55000000000000004">
      <c r="A272" t="s">
        <v>4124</v>
      </c>
      <c r="B272">
        <v>473.6</v>
      </c>
      <c r="C272">
        <v>20.64</v>
      </c>
      <c r="D272">
        <v>14.42</v>
      </c>
      <c r="E272">
        <v>303.10000000000002</v>
      </c>
      <c r="F272">
        <v>140.69999999999999</v>
      </c>
      <c r="G272">
        <v>81.03</v>
      </c>
      <c r="H272">
        <v>123.9</v>
      </c>
      <c r="I272">
        <v>121.4</v>
      </c>
      <c r="J272">
        <v>0.14680000000000001</v>
      </c>
      <c r="N272"/>
      <c r="V272" s="111"/>
      <c r="X272" s="111"/>
      <c r="Y272" s="111"/>
      <c r="Z272" s="111"/>
      <c r="AA272" s="111"/>
      <c r="AB272" s="111"/>
      <c r="AC272" s="111"/>
      <c r="AD272" s="111"/>
      <c r="AE272" s="111"/>
      <c r="AF272" s="111"/>
      <c r="AG272" s="111"/>
      <c r="AH272" s="111"/>
      <c r="AI272" s="111"/>
      <c r="AJ272" s="111"/>
    </row>
    <row r="273" spans="1:36" x14ac:dyDescent="0.55000000000000004">
      <c r="A273" t="s">
        <v>4125</v>
      </c>
      <c r="B273">
        <v>502.9</v>
      </c>
      <c r="C273">
        <v>20.23</v>
      </c>
      <c r="D273">
        <v>13.18</v>
      </c>
      <c r="E273">
        <v>322.5</v>
      </c>
      <c r="F273">
        <v>147.1</v>
      </c>
      <c r="G273">
        <v>91.2</v>
      </c>
      <c r="H273">
        <v>124.3</v>
      </c>
      <c r="I273">
        <v>120.3</v>
      </c>
      <c r="J273">
        <v>0.19969999999999999</v>
      </c>
      <c r="N273"/>
      <c r="O273" s="111"/>
      <c r="P273" s="111"/>
      <c r="V273" s="111"/>
      <c r="X273" s="111"/>
      <c r="Y273" s="111"/>
      <c r="Z273" s="111"/>
      <c r="AA273" s="111"/>
      <c r="AB273" s="111"/>
      <c r="AC273" s="111"/>
      <c r="AD273" s="111"/>
      <c r="AE273" s="111"/>
      <c r="AF273" s="111"/>
      <c r="AG273" s="111"/>
      <c r="AH273" s="111"/>
      <c r="AI273" s="111"/>
      <c r="AJ273" s="111"/>
    </row>
    <row r="274" spans="1:36" x14ac:dyDescent="0.55000000000000004">
      <c r="A274" t="s">
        <v>4126</v>
      </c>
      <c r="B274">
        <v>546.70000000000005</v>
      </c>
      <c r="C274">
        <v>29.22</v>
      </c>
      <c r="D274">
        <v>20.81</v>
      </c>
      <c r="E274">
        <v>364.7</v>
      </c>
      <c r="F274">
        <v>169.8</v>
      </c>
      <c r="G274">
        <v>107.3</v>
      </c>
      <c r="H274">
        <v>165.9</v>
      </c>
      <c r="I274">
        <v>159</v>
      </c>
      <c r="J274">
        <v>0.1784</v>
      </c>
      <c r="N274"/>
      <c r="P274" s="111"/>
      <c r="V274" s="111"/>
      <c r="X274" s="111"/>
      <c r="Y274" s="111"/>
      <c r="Z274" s="111"/>
      <c r="AA274" s="111"/>
      <c r="AB274" s="111"/>
      <c r="AC274" s="111"/>
      <c r="AD274" s="111"/>
      <c r="AE274" s="111"/>
      <c r="AF274" s="111"/>
      <c r="AG274" s="111"/>
      <c r="AH274" s="111"/>
      <c r="AI274" s="111"/>
      <c r="AJ274" s="111"/>
    </row>
    <row r="275" spans="1:36" x14ac:dyDescent="0.55000000000000004">
      <c r="A275" t="s">
        <v>4127</v>
      </c>
      <c r="B275">
        <v>282</v>
      </c>
      <c r="C275">
        <v>19.559999999999999</v>
      </c>
      <c r="D275">
        <v>12.9</v>
      </c>
      <c r="E275">
        <v>205.5</v>
      </c>
      <c r="F275">
        <v>120.9</v>
      </c>
      <c r="G275">
        <v>74.86</v>
      </c>
      <c r="H275">
        <v>88.36</v>
      </c>
      <c r="I275">
        <v>84.2</v>
      </c>
      <c r="J275">
        <v>0.1807</v>
      </c>
      <c r="N275"/>
      <c r="V275" s="111"/>
      <c r="X275" s="111"/>
      <c r="Y275" s="111"/>
      <c r="Z275" s="111"/>
      <c r="AA275" s="111"/>
      <c r="AB275" s="111"/>
      <c r="AC275" s="111"/>
      <c r="AD275" s="111"/>
      <c r="AE275" s="111"/>
      <c r="AF275" s="111"/>
      <c r="AG275" s="111"/>
      <c r="AH275" s="111"/>
      <c r="AI275" s="111"/>
      <c r="AJ275" s="111"/>
    </row>
    <row r="276" spans="1:36" x14ac:dyDescent="0.55000000000000004">
      <c r="A276" t="s">
        <v>4128</v>
      </c>
      <c r="B276">
        <v>318.2</v>
      </c>
      <c r="C276">
        <v>19.62</v>
      </c>
      <c r="D276">
        <v>12.82</v>
      </c>
      <c r="E276">
        <v>215.7</v>
      </c>
      <c r="F276">
        <v>124.8</v>
      </c>
      <c r="G276">
        <v>78.959999999999994</v>
      </c>
      <c r="H276">
        <v>87.06</v>
      </c>
      <c r="I276">
        <v>79.900000000000006</v>
      </c>
      <c r="J276">
        <v>0.1759</v>
      </c>
      <c r="N276"/>
      <c r="V276" s="111"/>
      <c r="X276" s="111"/>
      <c r="Y276" s="111"/>
      <c r="Z276" s="111"/>
      <c r="AA276" s="111"/>
      <c r="AB276" s="111"/>
      <c r="AC276" s="111"/>
      <c r="AD276" s="111"/>
      <c r="AE276" s="111"/>
      <c r="AF276" s="111"/>
      <c r="AG276" s="111"/>
      <c r="AH276" s="111"/>
      <c r="AI276" s="111"/>
      <c r="AJ276" s="111"/>
    </row>
    <row r="277" spans="1:36" x14ac:dyDescent="0.55000000000000004">
      <c r="A277" t="s">
        <v>4129</v>
      </c>
      <c r="B277">
        <v>522.6</v>
      </c>
      <c r="C277">
        <v>31.42</v>
      </c>
      <c r="D277">
        <v>22.21</v>
      </c>
      <c r="E277">
        <v>330</v>
      </c>
      <c r="F277">
        <v>164.9</v>
      </c>
      <c r="G277">
        <v>106.8</v>
      </c>
      <c r="H277">
        <v>139.4</v>
      </c>
      <c r="I277">
        <v>132.5</v>
      </c>
      <c r="J277">
        <v>0.1895</v>
      </c>
      <c r="N277"/>
      <c r="V277" s="111"/>
      <c r="X277" s="111"/>
      <c r="Y277" s="111"/>
      <c r="Z277" s="111"/>
      <c r="AA277" s="111"/>
      <c r="AB277" s="111"/>
      <c r="AC277" s="111"/>
      <c r="AD277" s="111"/>
      <c r="AE277" s="111"/>
      <c r="AF277" s="111"/>
      <c r="AG277" s="111"/>
      <c r="AH277" s="111"/>
      <c r="AI277" s="111"/>
      <c r="AJ277" s="111"/>
    </row>
    <row r="278" spans="1:36" x14ac:dyDescent="0.55000000000000004">
      <c r="A278" t="s">
        <v>4130</v>
      </c>
      <c r="B278">
        <v>458.9</v>
      </c>
      <c r="C278">
        <v>22.43</v>
      </c>
      <c r="D278">
        <v>15.92</v>
      </c>
      <c r="E278">
        <v>301.2</v>
      </c>
      <c r="F278">
        <v>153.6</v>
      </c>
      <c r="G278">
        <v>92.49</v>
      </c>
      <c r="H278">
        <v>131.30000000000001</v>
      </c>
      <c r="I278">
        <v>126.7</v>
      </c>
      <c r="J278">
        <v>0.18790000000000001</v>
      </c>
      <c r="N278"/>
      <c r="V278"/>
      <c r="X278" s="111"/>
      <c r="Y278" s="111"/>
      <c r="Z278" s="111"/>
      <c r="AA278" s="111"/>
      <c r="AB278" s="111"/>
      <c r="AC278" s="111"/>
      <c r="AD278" s="111"/>
      <c r="AE278" s="111"/>
      <c r="AF278" s="111"/>
      <c r="AG278" s="111"/>
      <c r="AH278" s="111"/>
      <c r="AI278" s="111"/>
      <c r="AJ278" s="111"/>
    </row>
    <row r="279" spans="1:36" x14ac:dyDescent="0.55000000000000004">
      <c r="A279" t="s">
        <v>4131</v>
      </c>
      <c r="B279">
        <v>666.9</v>
      </c>
      <c r="C279">
        <v>42.11</v>
      </c>
      <c r="D279">
        <v>30.38</v>
      </c>
      <c r="E279">
        <v>414.8</v>
      </c>
      <c r="F279">
        <v>196.8</v>
      </c>
      <c r="G279">
        <v>123.8</v>
      </c>
      <c r="H279">
        <v>179.4</v>
      </c>
      <c r="I279">
        <v>172.6</v>
      </c>
      <c r="J279">
        <v>0.21110000000000001</v>
      </c>
      <c r="N279"/>
      <c r="V279" s="111"/>
      <c r="X279" s="111"/>
      <c r="Y279" s="111"/>
      <c r="Z279" s="111"/>
      <c r="AA279" s="111"/>
      <c r="AB279" s="111"/>
      <c r="AC279" s="111"/>
      <c r="AD279" s="111"/>
      <c r="AE279" s="111"/>
      <c r="AF279" s="111"/>
      <c r="AG279" s="111"/>
      <c r="AH279" s="111"/>
      <c r="AI279" s="111"/>
      <c r="AJ279" s="111"/>
    </row>
    <row r="280" spans="1:36" x14ac:dyDescent="0.55000000000000004">
      <c r="A280" t="s">
        <v>4132</v>
      </c>
      <c r="B280">
        <v>863.7</v>
      </c>
      <c r="C280">
        <v>83.38</v>
      </c>
      <c r="D280">
        <v>54.34</v>
      </c>
      <c r="E280">
        <v>522.4</v>
      </c>
      <c r="F280">
        <v>266.60000000000002</v>
      </c>
      <c r="G280">
        <v>192</v>
      </c>
      <c r="H280">
        <v>345.4</v>
      </c>
      <c r="I280">
        <v>340.9</v>
      </c>
      <c r="J280">
        <v>0.223</v>
      </c>
      <c r="N280"/>
      <c r="V280" s="111"/>
      <c r="X280" s="111"/>
      <c r="Y280" s="111"/>
      <c r="Z280" s="111"/>
      <c r="AA280" s="111"/>
      <c r="AB280" s="111"/>
      <c r="AC280" s="111"/>
      <c r="AD280" s="111"/>
      <c r="AE280" s="111"/>
      <c r="AF280" s="111"/>
      <c r="AG280" s="111"/>
      <c r="AH280" s="111"/>
      <c r="AI280" s="111"/>
      <c r="AJ280" s="111"/>
    </row>
    <row r="281" spans="1:36" x14ac:dyDescent="0.55000000000000004">
      <c r="A281" t="s">
        <v>4133</v>
      </c>
      <c r="B281">
        <v>760.9</v>
      </c>
      <c r="C281">
        <v>57.06</v>
      </c>
      <c r="D281">
        <v>35.380000000000003</v>
      </c>
      <c r="E281">
        <v>465</v>
      </c>
      <c r="F281">
        <v>210.2</v>
      </c>
      <c r="G281">
        <v>138.30000000000001</v>
      </c>
      <c r="H281">
        <v>317.8</v>
      </c>
      <c r="I281">
        <v>312.8</v>
      </c>
      <c r="J281">
        <v>0.2077</v>
      </c>
      <c r="N281"/>
      <c r="V281" s="111"/>
      <c r="X281" s="111"/>
      <c r="Y281" s="111"/>
      <c r="Z281" s="111"/>
      <c r="AA281" s="111"/>
      <c r="AB281" s="111"/>
      <c r="AC281" s="111"/>
      <c r="AD281" s="111"/>
      <c r="AE281" s="111"/>
      <c r="AF281" s="111"/>
      <c r="AG281" s="111"/>
      <c r="AH281" s="111"/>
      <c r="AI281" s="111"/>
      <c r="AJ281" s="111"/>
    </row>
    <row r="282" spans="1:36" x14ac:dyDescent="0.55000000000000004">
      <c r="A282" t="s">
        <v>4134</v>
      </c>
      <c r="B282">
        <v>611.70000000000005</v>
      </c>
      <c r="C282">
        <v>29.02</v>
      </c>
      <c r="D282">
        <v>17.7</v>
      </c>
      <c r="E282">
        <v>363.3</v>
      </c>
      <c r="F282">
        <v>174.2</v>
      </c>
      <c r="G282">
        <v>113.6</v>
      </c>
      <c r="H282">
        <v>164.3</v>
      </c>
      <c r="I282">
        <v>155.69999999999999</v>
      </c>
      <c r="J282">
        <v>0.215</v>
      </c>
      <c r="N282"/>
      <c r="V282" s="111"/>
      <c r="X282" s="111"/>
      <c r="Y282" s="111"/>
      <c r="Z282" s="111"/>
      <c r="AA282" s="111"/>
      <c r="AB282" s="111"/>
      <c r="AC282" s="111"/>
      <c r="AD282" s="111"/>
      <c r="AE282" s="111"/>
      <c r="AF282" s="111"/>
      <c r="AG282" s="111"/>
      <c r="AH282" s="111"/>
      <c r="AI282" s="111"/>
      <c r="AJ282" s="111"/>
    </row>
    <row r="283" spans="1:36" x14ac:dyDescent="0.55000000000000004">
      <c r="A283" t="s">
        <v>4135</v>
      </c>
      <c r="B283">
        <v>608.70000000000005</v>
      </c>
      <c r="C283">
        <v>22.8</v>
      </c>
      <c r="D283">
        <v>15.05</v>
      </c>
      <c r="E283">
        <v>355.2</v>
      </c>
      <c r="F283">
        <v>159.9</v>
      </c>
      <c r="G283">
        <v>91.01</v>
      </c>
      <c r="H283">
        <v>175.5</v>
      </c>
      <c r="I283">
        <v>168.9</v>
      </c>
      <c r="J283">
        <v>0.1832</v>
      </c>
      <c r="N283"/>
      <c r="V283" s="111"/>
      <c r="X283" s="111"/>
      <c r="Y283" s="111"/>
      <c r="Z283" s="111"/>
      <c r="AA283" s="111"/>
      <c r="AB283" s="111"/>
      <c r="AC283" s="111"/>
      <c r="AD283" s="111"/>
      <c r="AE283" s="111"/>
      <c r="AF283" s="111"/>
      <c r="AG283" s="111"/>
      <c r="AH283" s="111"/>
      <c r="AI283" s="111"/>
      <c r="AJ283" s="111"/>
    </row>
    <row r="284" spans="1:36" x14ac:dyDescent="0.55000000000000004">
      <c r="A284" t="s">
        <v>4136</v>
      </c>
      <c r="B284">
        <v>639.4</v>
      </c>
      <c r="C284">
        <v>22.08</v>
      </c>
      <c r="D284">
        <v>11.04</v>
      </c>
      <c r="E284">
        <v>380.4</v>
      </c>
      <c r="F284">
        <v>156.5</v>
      </c>
      <c r="G284">
        <v>70.45</v>
      </c>
      <c r="H284">
        <v>358.2</v>
      </c>
      <c r="I284">
        <v>353.6</v>
      </c>
      <c r="J284">
        <v>0.215</v>
      </c>
      <c r="N284"/>
      <c r="V284" s="111"/>
      <c r="X284" s="111"/>
      <c r="Y284" s="111"/>
      <c r="Z284" s="111"/>
      <c r="AA284" s="111"/>
      <c r="AB284" s="111"/>
      <c r="AC284" s="111"/>
      <c r="AD284" s="111"/>
      <c r="AE284" s="111"/>
      <c r="AF284" s="111"/>
      <c r="AG284" s="111"/>
      <c r="AH284" s="111"/>
      <c r="AI284" s="111"/>
      <c r="AJ284" s="111"/>
    </row>
    <row r="285" spans="1:36" x14ac:dyDescent="0.55000000000000004">
      <c r="A285" t="s">
        <v>4137</v>
      </c>
      <c r="B285">
        <v>941.4</v>
      </c>
      <c r="C285">
        <v>109.9</v>
      </c>
      <c r="D285">
        <v>72.92</v>
      </c>
      <c r="E285">
        <v>634.29999999999995</v>
      </c>
      <c r="F285">
        <v>386.2</v>
      </c>
      <c r="G285">
        <v>293.89999999999998</v>
      </c>
      <c r="H285">
        <v>513.9</v>
      </c>
      <c r="I285">
        <v>509.2</v>
      </c>
      <c r="J285">
        <v>0.29110000000000003</v>
      </c>
      <c r="N285"/>
      <c r="V285" s="111"/>
      <c r="X285" s="111"/>
      <c r="Y285" s="111"/>
      <c r="Z285" s="111"/>
      <c r="AA285" s="111"/>
      <c r="AB285" s="111"/>
      <c r="AC285" s="111"/>
      <c r="AD285" s="111"/>
      <c r="AE285" s="111"/>
      <c r="AF285" s="111"/>
      <c r="AG285" s="111"/>
      <c r="AH285" s="111"/>
      <c r="AI285" s="111"/>
      <c r="AJ285" s="111"/>
    </row>
    <row r="286" spans="1:36" x14ac:dyDescent="0.55000000000000004">
      <c r="A286" t="s">
        <v>4138</v>
      </c>
      <c r="B286">
        <v>524.79999999999995</v>
      </c>
      <c r="C286">
        <v>18.48</v>
      </c>
      <c r="D286">
        <v>7.1319999999999997</v>
      </c>
      <c r="E286">
        <v>346.3</v>
      </c>
      <c r="F286">
        <v>153.5</v>
      </c>
      <c r="G286">
        <v>94.04</v>
      </c>
      <c r="H286">
        <v>428</v>
      </c>
      <c r="I286">
        <v>420.4</v>
      </c>
      <c r="J286">
        <v>0.24410000000000001</v>
      </c>
      <c r="N286"/>
      <c r="V286" s="111"/>
      <c r="X286" s="111"/>
      <c r="Y286" s="111"/>
      <c r="Z286" s="111"/>
      <c r="AA286" s="111"/>
      <c r="AB286" s="111"/>
      <c r="AC286" s="111"/>
      <c r="AD286" s="111"/>
      <c r="AE286" s="111"/>
      <c r="AF286" s="111"/>
      <c r="AG286" s="111"/>
      <c r="AH286" s="111"/>
      <c r="AI286" s="111"/>
      <c r="AJ286" s="111"/>
    </row>
    <row r="287" spans="1:36" x14ac:dyDescent="0.55000000000000004">
      <c r="A287" t="s">
        <v>4139</v>
      </c>
      <c r="B287">
        <v>759</v>
      </c>
      <c r="C287">
        <v>54.09</v>
      </c>
      <c r="D287">
        <v>36.81</v>
      </c>
      <c r="E287">
        <v>451.8</v>
      </c>
      <c r="F287">
        <v>218</v>
      </c>
      <c r="G287">
        <v>149.6</v>
      </c>
      <c r="H287">
        <v>343.9</v>
      </c>
      <c r="I287">
        <v>340.1</v>
      </c>
      <c r="J287">
        <v>0.1867</v>
      </c>
      <c r="N287"/>
      <c r="V287" s="111"/>
      <c r="X287" s="111"/>
      <c r="Y287" s="111"/>
      <c r="Z287" s="111"/>
      <c r="AA287" s="111"/>
      <c r="AB287" s="111"/>
      <c r="AC287" s="111"/>
      <c r="AD287" s="111"/>
      <c r="AE287" s="111"/>
      <c r="AF287" s="111"/>
      <c r="AG287" s="111"/>
      <c r="AH287" s="111"/>
      <c r="AI287" s="111"/>
      <c r="AJ287" s="111"/>
    </row>
    <row r="288" spans="1:36" x14ac:dyDescent="0.55000000000000004">
      <c r="A288" t="s">
        <v>4140</v>
      </c>
      <c r="B288">
        <v>876.6</v>
      </c>
      <c r="C288">
        <v>80.02</v>
      </c>
      <c r="D288">
        <v>52.61</v>
      </c>
      <c r="E288">
        <v>536.20000000000005</v>
      </c>
      <c r="F288">
        <v>243.8</v>
      </c>
      <c r="G288">
        <v>178</v>
      </c>
      <c r="H288">
        <v>319.2</v>
      </c>
      <c r="I288">
        <v>314.89999999999998</v>
      </c>
      <c r="J288">
        <v>0.2031</v>
      </c>
      <c r="N288"/>
      <c r="V288" s="111"/>
      <c r="X288" s="111"/>
      <c r="Y288" s="111"/>
      <c r="Z288" s="111"/>
      <c r="AA288" s="111"/>
      <c r="AB288" s="111"/>
      <c r="AC288" s="111"/>
      <c r="AD288" s="111"/>
      <c r="AE288" s="111"/>
      <c r="AF288" s="111"/>
      <c r="AG288" s="111"/>
      <c r="AH288" s="111"/>
      <c r="AI288" s="111"/>
      <c r="AJ288" s="111"/>
    </row>
    <row r="289" spans="1:36" x14ac:dyDescent="0.55000000000000004">
      <c r="A289" t="s">
        <v>4141</v>
      </c>
      <c r="B289">
        <v>758.4</v>
      </c>
      <c r="C289">
        <v>31.56</v>
      </c>
      <c r="D289">
        <v>22.18</v>
      </c>
      <c r="E289">
        <v>447.4</v>
      </c>
      <c r="F289">
        <v>192.6</v>
      </c>
      <c r="G289">
        <v>99.81</v>
      </c>
      <c r="H289">
        <v>234.2</v>
      </c>
      <c r="I289">
        <v>232.2</v>
      </c>
      <c r="J289">
        <v>0.14030000000000001</v>
      </c>
      <c r="N289"/>
      <c r="V289" s="111"/>
      <c r="X289" s="111"/>
      <c r="Y289" s="111"/>
      <c r="Z289" s="111"/>
      <c r="AA289" s="111"/>
      <c r="AB289" s="111"/>
      <c r="AC289" s="111"/>
      <c r="AD289" s="111"/>
      <c r="AE289" s="111"/>
      <c r="AF289" s="111"/>
      <c r="AG289" s="111"/>
      <c r="AH289" s="111"/>
      <c r="AI289" s="111"/>
      <c r="AJ289" s="111"/>
    </row>
    <row r="290" spans="1:36" x14ac:dyDescent="0.55000000000000004">
      <c r="A290" t="s">
        <v>4142</v>
      </c>
      <c r="B290">
        <v>189.5</v>
      </c>
      <c r="C290">
        <v>16.809999999999999</v>
      </c>
      <c r="D290">
        <v>10.82</v>
      </c>
      <c r="E290">
        <v>143.4</v>
      </c>
      <c r="F290">
        <v>95.59</v>
      </c>
      <c r="G290">
        <v>66.62</v>
      </c>
      <c r="H290">
        <v>64.31</v>
      </c>
      <c r="I290">
        <v>60.9</v>
      </c>
      <c r="J290">
        <v>0.15390000000000001</v>
      </c>
      <c r="N290"/>
      <c r="V290" s="111"/>
      <c r="X290" s="111"/>
      <c r="Y290" s="111"/>
      <c r="Z290" s="111"/>
      <c r="AA290" s="111"/>
      <c r="AB290" s="111"/>
      <c r="AC290" s="111"/>
      <c r="AD290" s="111"/>
      <c r="AE290" s="111"/>
      <c r="AF290" s="111"/>
      <c r="AG290" s="111"/>
      <c r="AH290" s="111"/>
      <c r="AI290" s="111"/>
      <c r="AJ290" s="111"/>
    </row>
    <row r="291" spans="1:36" x14ac:dyDescent="0.55000000000000004">
      <c r="A291" t="s">
        <v>4143</v>
      </c>
      <c r="B291">
        <v>194.8</v>
      </c>
      <c r="C291">
        <v>11.65</v>
      </c>
      <c r="D291">
        <v>7.51</v>
      </c>
      <c r="E291">
        <v>139.69999999999999</v>
      </c>
      <c r="F291">
        <v>80.58</v>
      </c>
      <c r="G291">
        <v>50.23</v>
      </c>
      <c r="H291">
        <v>53.3</v>
      </c>
      <c r="I291">
        <v>51.81</v>
      </c>
      <c r="J291">
        <v>0.1183</v>
      </c>
      <c r="N291"/>
      <c r="V291" s="111"/>
      <c r="X291" s="111"/>
      <c r="Y291" s="111"/>
      <c r="Z291" s="111"/>
      <c r="AA291" s="111"/>
      <c r="AB291" s="111"/>
      <c r="AC291" s="111"/>
      <c r="AD291" s="111"/>
      <c r="AE291" s="111"/>
      <c r="AF291" s="111"/>
      <c r="AG291" s="111"/>
      <c r="AH291" s="111"/>
      <c r="AI291" s="111"/>
      <c r="AJ291" s="111"/>
    </row>
    <row r="292" spans="1:36" x14ac:dyDescent="0.55000000000000004">
      <c r="A292" t="s">
        <v>4144</v>
      </c>
      <c r="B292">
        <v>157.5</v>
      </c>
      <c r="C292">
        <v>10.52</v>
      </c>
      <c r="D292">
        <v>7.3</v>
      </c>
      <c r="E292">
        <v>110.3</v>
      </c>
      <c r="F292">
        <v>65.58</v>
      </c>
      <c r="G292">
        <v>43.58</v>
      </c>
      <c r="H292">
        <v>45.68</v>
      </c>
      <c r="I292">
        <v>44.34</v>
      </c>
      <c r="J292">
        <v>0.12130000000000001</v>
      </c>
      <c r="N292"/>
      <c r="V292" s="111"/>
      <c r="X292" s="111"/>
      <c r="Y292" s="111"/>
      <c r="Z292" s="111"/>
      <c r="AA292" s="111"/>
      <c r="AB292" s="111"/>
      <c r="AC292" s="111"/>
      <c r="AD292" s="111"/>
      <c r="AE292" s="111"/>
      <c r="AF292" s="111"/>
      <c r="AG292" s="111"/>
      <c r="AH292" s="111"/>
      <c r="AI292" s="111"/>
      <c r="AJ292" s="111"/>
    </row>
    <row r="293" spans="1:36" x14ac:dyDescent="0.55000000000000004">
      <c r="A293" t="s">
        <v>4145</v>
      </c>
      <c r="B293">
        <v>226.5</v>
      </c>
      <c r="C293">
        <v>13.61</v>
      </c>
      <c r="D293">
        <v>8.3249999999999993</v>
      </c>
      <c r="E293">
        <v>147.19999999999999</v>
      </c>
      <c r="F293">
        <v>83.69</v>
      </c>
      <c r="G293">
        <v>52.42</v>
      </c>
      <c r="H293">
        <v>59.26</v>
      </c>
      <c r="I293">
        <v>56.42</v>
      </c>
      <c r="J293">
        <v>0.1222</v>
      </c>
      <c r="N293"/>
      <c r="V293" s="111"/>
      <c r="X293" s="111"/>
      <c r="Y293" s="111"/>
      <c r="Z293" s="111"/>
      <c r="AA293" s="111"/>
      <c r="AB293" s="111"/>
      <c r="AC293" s="111"/>
      <c r="AD293" s="111"/>
      <c r="AE293" s="111"/>
      <c r="AF293" s="111"/>
      <c r="AG293" s="111"/>
      <c r="AH293" s="111"/>
      <c r="AI293" s="111"/>
      <c r="AJ293" s="111"/>
    </row>
    <row r="294" spans="1:36" x14ac:dyDescent="0.55000000000000004">
      <c r="A294" t="s">
        <v>4146</v>
      </c>
      <c r="B294">
        <v>301.7</v>
      </c>
      <c r="C294">
        <v>14.65</v>
      </c>
      <c r="D294">
        <v>8.9909999999999997</v>
      </c>
      <c r="E294">
        <v>198.3</v>
      </c>
      <c r="F294">
        <v>104.8</v>
      </c>
      <c r="G294">
        <v>65.62</v>
      </c>
      <c r="H294">
        <v>74.27</v>
      </c>
      <c r="I294">
        <v>71.819999999999993</v>
      </c>
      <c r="J294">
        <v>0.18360000000000001</v>
      </c>
      <c r="N294"/>
      <c r="V294" s="111"/>
      <c r="X294" s="111"/>
      <c r="Y294" s="111"/>
      <c r="Z294" s="111"/>
      <c r="AA294" s="111"/>
      <c r="AB294" s="111"/>
      <c r="AC294" s="111"/>
      <c r="AD294" s="111"/>
      <c r="AE294" s="111"/>
      <c r="AF294" s="111"/>
      <c r="AG294" s="111"/>
      <c r="AH294" s="111"/>
      <c r="AI294" s="111"/>
      <c r="AJ294" s="111"/>
    </row>
    <row r="295" spans="1:36" x14ac:dyDescent="0.55000000000000004">
      <c r="A295" t="s">
        <v>4147</v>
      </c>
      <c r="B295">
        <v>315</v>
      </c>
      <c r="C295">
        <v>20.96</v>
      </c>
      <c r="D295">
        <v>13.55</v>
      </c>
      <c r="E295">
        <v>213.5</v>
      </c>
      <c r="F295">
        <v>119</v>
      </c>
      <c r="G295">
        <v>78.349999999999994</v>
      </c>
      <c r="H295">
        <v>98.08</v>
      </c>
      <c r="I295">
        <v>93.83</v>
      </c>
      <c r="J295">
        <v>0.15160000000000001</v>
      </c>
      <c r="N295"/>
      <c r="V295" s="111"/>
      <c r="X295" s="111"/>
      <c r="Y295" s="111"/>
      <c r="Z295" s="111"/>
      <c r="AA295" s="111"/>
      <c r="AB295" s="111"/>
      <c r="AC295" s="111"/>
      <c r="AD295" s="111"/>
      <c r="AE295" s="111"/>
      <c r="AF295" s="111"/>
      <c r="AG295" s="111"/>
      <c r="AH295" s="111"/>
      <c r="AI295" s="111"/>
      <c r="AJ295" s="111"/>
    </row>
    <row r="296" spans="1:36" x14ac:dyDescent="0.55000000000000004">
      <c r="A296" t="s">
        <v>4148</v>
      </c>
      <c r="B296">
        <v>163.80000000000001</v>
      </c>
      <c r="C296">
        <v>13.44</v>
      </c>
      <c r="D296">
        <v>8.8379999999999992</v>
      </c>
      <c r="E296">
        <v>124.7</v>
      </c>
      <c r="F296">
        <v>77.56</v>
      </c>
      <c r="G296">
        <v>53.54</v>
      </c>
      <c r="H296">
        <v>55.5</v>
      </c>
      <c r="I296">
        <v>53.29</v>
      </c>
      <c r="J296">
        <v>0.16389999999999999</v>
      </c>
      <c r="N296"/>
      <c r="V296" s="111"/>
      <c r="X296" s="111"/>
      <c r="Y296" s="111"/>
      <c r="Z296" s="111"/>
      <c r="AA296" s="111"/>
      <c r="AB296" s="111"/>
      <c r="AC296" s="111"/>
      <c r="AD296" s="111"/>
      <c r="AE296" s="111"/>
      <c r="AF296" s="111"/>
      <c r="AG296" s="111"/>
      <c r="AH296" s="111"/>
      <c r="AI296" s="111"/>
      <c r="AJ296" s="111"/>
    </row>
    <row r="297" spans="1:36" x14ac:dyDescent="0.55000000000000004">
      <c r="A297" t="s">
        <v>4149</v>
      </c>
      <c r="B297">
        <v>206.4</v>
      </c>
      <c r="C297">
        <v>13.95</v>
      </c>
      <c r="D297">
        <v>8.9030000000000005</v>
      </c>
      <c r="E297">
        <v>138.9</v>
      </c>
      <c r="F297">
        <v>82.83</v>
      </c>
      <c r="G297">
        <v>56.83</v>
      </c>
      <c r="H297">
        <v>54.79</v>
      </c>
      <c r="I297">
        <v>52.04</v>
      </c>
      <c r="J297">
        <v>0.1552</v>
      </c>
      <c r="N297"/>
      <c r="O297" s="111"/>
      <c r="P297" s="111"/>
      <c r="V297" s="111"/>
      <c r="X297" s="111"/>
      <c r="Y297" s="111"/>
      <c r="Z297" s="111"/>
      <c r="AA297" s="111"/>
      <c r="AB297" s="111"/>
      <c r="AC297" s="111"/>
      <c r="AD297" s="111"/>
      <c r="AE297" s="111"/>
      <c r="AF297" s="111"/>
      <c r="AG297" s="111"/>
      <c r="AH297" s="111"/>
      <c r="AI297" s="111"/>
      <c r="AJ297" s="111"/>
    </row>
    <row r="298" spans="1:36" x14ac:dyDescent="0.55000000000000004">
      <c r="A298" t="s">
        <v>4150</v>
      </c>
      <c r="B298">
        <v>300.5</v>
      </c>
      <c r="C298">
        <v>22.26</v>
      </c>
      <c r="D298">
        <v>14.69</v>
      </c>
      <c r="E298">
        <v>195.6</v>
      </c>
      <c r="F298">
        <v>110.2</v>
      </c>
      <c r="G298">
        <v>73.84</v>
      </c>
      <c r="H298">
        <v>82.93</v>
      </c>
      <c r="I298">
        <v>78.3</v>
      </c>
      <c r="J298">
        <v>0.15840000000000001</v>
      </c>
      <c r="N298"/>
      <c r="V298" s="111"/>
      <c r="X298" s="111"/>
      <c r="Y298" s="111"/>
      <c r="Z298" s="111"/>
      <c r="AA298" s="111"/>
      <c r="AB298" s="111"/>
      <c r="AC298" s="111"/>
      <c r="AD298" s="111"/>
      <c r="AE298" s="111"/>
      <c r="AF298" s="111"/>
      <c r="AG298" s="111"/>
      <c r="AH298" s="111"/>
      <c r="AI298" s="111"/>
      <c r="AJ298" s="111"/>
    </row>
    <row r="299" spans="1:36" x14ac:dyDescent="0.55000000000000004">
      <c r="A299" t="s">
        <v>4151</v>
      </c>
      <c r="B299">
        <v>269.39999999999998</v>
      </c>
      <c r="C299">
        <v>16.37</v>
      </c>
      <c r="D299">
        <v>10.72</v>
      </c>
      <c r="E299">
        <v>184.2</v>
      </c>
      <c r="F299">
        <v>104.3</v>
      </c>
      <c r="G299">
        <v>68</v>
      </c>
      <c r="H299">
        <v>76.739999999999995</v>
      </c>
      <c r="I299">
        <v>72.349999999999994</v>
      </c>
      <c r="J299">
        <v>0.16689999999999999</v>
      </c>
      <c r="N299"/>
      <c r="V299"/>
      <c r="X299" s="111"/>
      <c r="Y299" s="111"/>
      <c r="Z299" s="111"/>
      <c r="AA299" s="111"/>
      <c r="AB299" s="111"/>
      <c r="AC299" s="111"/>
      <c r="AD299" s="111"/>
      <c r="AE299" s="111"/>
      <c r="AF299" s="111"/>
      <c r="AG299" s="111"/>
      <c r="AH299" s="111"/>
      <c r="AI299" s="111"/>
      <c r="AJ299" s="111"/>
    </row>
    <row r="300" spans="1:36" x14ac:dyDescent="0.55000000000000004">
      <c r="A300" t="s">
        <v>4152</v>
      </c>
      <c r="B300">
        <v>393.8</v>
      </c>
      <c r="C300">
        <v>30.65</v>
      </c>
      <c r="D300">
        <v>20.2</v>
      </c>
      <c r="E300">
        <v>266.60000000000002</v>
      </c>
      <c r="F300">
        <v>139</v>
      </c>
      <c r="G300">
        <v>90.41</v>
      </c>
      <c r="H300">
        <v>119</v>
      </c>
      <c r="I300">
        <v>113.8</v>
      </c>
      <c r="J300">
        <v>0.17730000000000001</v>
      </c>
      <c r="N300"/>
      <c r="V300" s="111"/>
      <c r="X300" s="111"/>
      <c r="Y300" s="111"/>
      <c r="Z300" s="111"/>
      <c r="AA300" s="111"/>
      <c r="AB300" s="111"/>
      <c r="AC300" s="111"/>
      <c r="AD300" s="111"/>
      <c r="AE300" s="111"/>
      <c r="AF300" s="111"/>
      <c r="AG300" s="111"/>
      <c r="AH300" s="111"/>
      <c r="AI300" s="111"/>
      <c r="AJ300" s="111"/>
    </row>
    <row r="301" spans="1:36" x14ac:dyDescent="0.55000000000000004">
      <c r="A301" t="s">
        <v>4153</v>
      </c>
      <c r="B301">
        <v>514.20000000000005</v>
      </c>
      <c r="C301">
        <v>47.69</v>
      </c>
      <c r="D301">
        <v>30.43</v>
      </c>
      <c r="E301">
        <v>336.7</v>
      </c>
      <c r="F301">
        <v>169.1</v>
      </c>
      <c r="G301">
        <v>112.3</v>
      </c>
      <c r="H301">
        <v>195.8</v>
      </c>
      <c r="I301">
        <v>192.9</v>
      </c>
      <c r="J301">
        <v>0.14419999999999999</v>
      </c>
      <c r="N301"/>
      <c r="V301" s="111"/>
      <c r="X301" s="111"/>
      <c r="Y301" s="111"/>
      <c r="Z301" s="111"/>
      <c r="AA301" s="111"/>
      <c r="AB301" s="111"/>
      <c r="AC301" s="111"/>
      <c r="AD301" s="111"/>
      <c r="AE301" s="111"/>
      <c r="AF301" s="111"/>
      <c r="AG301" s="111"/>
      <c r="AH301" s="111"/>
      <c r="AI301" s="111"/>
      <c r="AJ301" s="111"/>
    </row>
    <row r="302" spans="1:36" x14ac:dyDescent="0.55000000000000004">
      <c r="A302" t="s">
        <v>4154</v>
      </c>
      <c r="B302">
        <v>432.5</v>
      </c>
      <c r="C302">
        <v>35.24</v>
      </c>
      <c r="D302">
        <v>20.64</v>
      </c>
      <c r="E302">
        <v>276.60000000000002</v>
      </c>
      <c r="F302">
        <v>138.30000000000001</v>
      </c>
      <c r="G302">
        <v>90.28</v>
      </c>
      <c r="H302">
        <v>170.1</v>
      </c>
      <c r="I302">
        <v>164</v>
      </c>
      <c r="J302">
        <v>0.1454</v>
      </c>
      <c r="N302"/>
      <c r="V302" s="111"/>
      <c r="X302" s="111"/>
      <c r="Y302" s="111"/>
      <c r="Z302" s="111"/>
      <c r="AA302" s="111"/>
      <c r="AB302" s="111"/>
      <c r="AC302" s="111"/>
      <c r="AD302" s="111"/>
      <c r="AE302" s="111"/>
      <c r="AF302" s="111"/>
      <c r="AG302" s="111"/>
      <c r="AH302" s="111"/>
      <c r="AI302" s="111"/>
      <c r="AJ302" s="111"/>
    </row>
    <row r="303" spans="1:36" x14ac:dyDescent="0.55000000000000004">
      <c r="A303" t="s">
        <v>4155</v>
      </c>
      <c r="B303">
        <v>430.2</v>
      </c>
      <c r="C303">
        <v>21</v>
      </c>
      <c r="D303">
        <v>13.02</v>
      </c>
      <c r="E303">
        <v>264.5</v>
      </c>
      <c r="F303">
        <v>138.69999999999999</v>
      </c>
      <c r="G303">
        <v>86.45</v>
      </c>
      <c r="H303">
        <v>118.7</v>
      </c>
      <c r="I303">
        <v>109.9</v>
      </c>
      <c r="J303">
        <v>0.19350000000000001</v>
      </c>
      <c r="N303"/>
      <c r="V303" s="111"/>
      <c r="X303" s="111"/>
      <c r="Y303" s="111"/>
      <c r="Z303" s="111"/>
      <c r="AA303" s="111"/>
      <c r="AB303" s="111"/>
      <c r="AC303" s="111"/>
      <c r="AD303" s="111"/>
      <c r="AE303" s="111"/>
      <c r="AF303" s="111"/>
      <c r="AG303" s="111"/>
      <c r="AH303" s="111"/>
      <c r="AI303" s="111"/>
      <c r="AJ303" s="111"/>
    </row>
    <row r="304" spans="1:36" x14ac:dyDescent="0.55000000000000004">
      <c r="A304" t="s">
        <v>4156</v>
      </c>
      <c r="B304">
        <v>377.2</v>
      </c>
      <c r="C304">
        <v>16.25</v>
      </c>
      <c r="D304">
        <v>9.7810000000000006</v>
      </c>
      <c r="E304">
        <v>241.4</v>
      </c>
      <c r="F304">
        <v>121.5</v>
      </c>
      <c r="G304">
        <v>69</v>
      </c>
      <c r="H304">
        <v>110.1</v>
      </c>
      <c r="I304">
        <v>106.5</v>
      </c>
      <c r="J304">
        <v>0.1593</v>
      </c>
      <c r="N304"/>
      <c r="V304" s="111"/>
      <c r="X304" s="111"/>
      <c r="Y304" s="111"/>
      <c r="Z304" s="111"/>
      <c r="AA304" s="111"/>
      <c r="AB304" s="111"/>
      <c r="AC304" s="111"/>
      <c r="AD304" s="111"/>
      <c r="AE304" s="111"/>
      <c r="AF304" s="111"/>
      <c r="AG304" s="111"/>
      <c r="AH304" s="111"/>
      <c r="AI304" s="111"/>
      <c r="AJ304" s="111"/>
    </row>
    <row r="305" spans="1:36" x14ac:dyDescent="0.55000000000000004">
      <c r="A305" t="s">
        <v>4157</v>
      </c>
      <c r="B305">
        <v>401.6</v>
      </c>
      <c r="C305">
        <v>12.93</v>
      </c>
      <c r="D305">
        <v>6.2679999999999998</v>
      </c>
      <c r="E305">
        <v>256.5</v>
      </c>
      <c r="F305">
        <v>111.8</v>
      </c>
      <c r="G305">
        <v>47.34</v>
      </c>
      <c r="H305">
        <v>178.2</v>
      </c>
      <c r="I305">
        <v>175.5</v>
      </c>
      <c r="J305">
        <v>0.124</v>
      </c>
      <c r="N305"/>
      <c r="V305" s="111"/>
      <c r="X305" s="111"/>
      <c r="Y305" s="111"/>
      <c r="Z305" s="111"/>
      <c r="AA305" s="111"/>
      <c r="AB305" s="111"/>
      <c r="AC305" s="111"/>
      <c r="AD305" s="111"/>
      <c r="AE305" s="111"/>
      <c r="AF305" s="111"/>
      <c r="AG305" s="111"/>
      <c r="AH305" s="111"/>
      <c r="AI305" s="111"/>
      <c r="AJ305" s="111"/>
    </row>
    <row r="306" spans="1:36" x14ac:dyDescent="0.55000000000000004">
      <c r="A306" t="s">
        <v>4158</v>
      </c>
      <c r="B306">
        <v>565.1</v>
      </c>
      <c r="C306">
        <v>64.53</v>
      </c>
      <c r="D306">
        <v>38.78</v>
      </c>
      <c r="E306">
        <v>388.6</v>
      </c>
      <c r="F306">
        <v>224.7</v>
      </c>
      <c r="G306">
        <v>151.1</v>
      </c>
      <c r="H306">
        <v>253.6</v>
      </c>
      <c r="I306">
        <v>251.2</v>
      </c>
      <c r="J306">
        <v>0.17499999999999999</v>
      </c>
      <c r="N306"/>
      <c r="V306"/>
      <c r="X306" s="111"/>
      <c r="Y306" s="111"/>
      <c r="Z306" s="111"/>
      <c r="AA306" s="111"/>
      <c r="AB306" s="111"/>
      <c r="AC306" s="111"/>
      <c r="AD306" s="111"/>
      <c r="AE306" s="111"/>
      <c r="AF306" s="111"/>
      <c r="AG306" s="111"/>
      <c r="AH306" s="111"/>
      <c r="AI306" s="111"/>
      <c r="AJ306" s="111"/>
    </row>
    <row r="307" spans="1:36" x14ac:dyDescent="0.55000000000000004">
      <c r="A307" t="s">
        <v>4159</v>
      </c>
      <c r="B307">
        <v>399.6</v>
      </c>
      <c r="C307">
        <v>13.15</v>
      </c>
      <c r="D307">
        <v>4.8550000000000004</v>
      </c>
      <c r="E307">
        <v>284.60000000000002</v>
      </c>
      <c r="F307">
        <v>129.5</v>
      </c>
      <c r="G307">
        <v>85.6</v>
      </c>
      <c r="H307">
        <v>240.2</v>
      </c>
      <c r="I307">
        <v>236.4</v>
      </c>
      <c r="J307">
        <v>0.16339999999999999</v>
      </c>
      <c r="N307"/>
      <c r="V307" s="111"/>
      <c r="X307" s="111"/>
      <c r="Y307" s="111"/>
      <c r="Z307" s="111"/>
      <c r="AA307" s="111"/>
      <c r="AB307" s="111"/>
      <c r="AC307" s="111"/>
      <c r="AD307" s="111"/>
      <c r="AE307" s="111"/>
      <c r="AF307" s="111"/>
      <c r="AG307" s="111"/>
      <c r="AH307" s="111"/>
      <c r="AI307" s="111"/>
      <c r="AJ307" s="111"/>
    </row>
    <row r="308" spans="1:36" x14ac:dyDescent="0.55000000000000004">
      <c r="A308" t="s">
        <v>4160</v>
      </c>
      <c r="B308">
        <v>350.1</v>
      </c>
      <c r="C308">
        <v>24.54</v>
      </c>
      <c r="D308">
        <v>16.09</v>
      </c>
      <c r="E308">
        <v>206.6</v>
      </c>
      <c r="F308">
        <v>98.75</v>
      </c>
      <c r="G308">
        <v>67.95</v>
      </c>
      <c r="H308">
        <v>144.69999999999999</v>
      </c>
      <c r="I308">
        <v>142.9</v>
      </c>
      <c r="J308" s="111">
        <v>8.0409999999999995E-2</v>
      </c>
      <c r="N308"/>
      <c r="V308" s="111"/>
      <c r="X308" s="111"/>
      <c r="Y308" s="111"/>
      <c r="Z308" s="111"/>
      <c r="AA308" s="111"/>
      <c r="AB308" s="111"/>
      <c r="AC308" s="111"/>
      <c r="AD308" s="111"/>
      <c r="AE308" s="111"/>
      <c r="AF308" s="111"/>
      <c r="AG308" s="111"/>
      <c r="AH308" s="111"/>
      <c r="AI308" s="111"/>
      <c r="AJ308" s="111"/>
    </row>
    <row r="309" spans="1:36" x14ac:dyDescent="0.55000000000000004">
      <c r="A309" t="s">
        <v>4161</v>
      </c>
      <c r="B309">
        <v>543.4</v>
      </c>
      <c r="C309">
        <v>45.41</v>
      </c>
      <c r="D309">
        <v>28.16</v>
      </c>
      <c r="E309">
        <v>340.4</v>
      </c>
      <c r="F309">
        <v>153.80000000000001</v>
      </c>
      <c r="G309">
        <v>101.6</v>
      </c>
      <c r="H309">
        <v>169.8</v>
      </c>
      <c r="I309">
        <v>167.8</v>
      </c>
      <c r="J309">
        <v>0.12909999999999999</v>
      </c>
      <c r="N309"/>
      <c r="V309" s="111"/>
      <c r="X309" s="111"/>
      <c r="Y309" s="111"/>
      <c r="Z309" s="111"/>
      <c r="AA309" s="111"/>
      <c r="AB309" s="111"/>
      <c r="AC309" s="111"/>
      <c r="AD309" s="111"/>
      <c r="AE309" s="111"/>
      <c r="AF309" s="111"/>
      <c r="AG309" s="111"/>
      <c r="AH309" s="111"/>
      <c r="AI309" s="111"/>
      <c r="AJ309" s="111"/>
    </row>
    <row r="310" spans="1:36" x14ac:dyDescent="0.55000000000000004">
      <c r="A310" t="s">
        <v>4162</v>
      </c>
      <c r="B310">
        <v>374.5</v>
      </c>
      <c r="C310">
        <v>17.57</v>
      </c>
      <c r="D310">
        <v>10.85</v>
      </c>
      <c r="E310">
        <v>229.9</v>
      </c>
      <c r="F310">
        <v>111.2</v>
      </c>
      <c r="G310">
        <v>58.71</v>
      </c>
      <c r="H310">
        <v>120.4</v>
      </c>
      <c r="I310">
        <v>119.2</v>
      </c>
      <c r="J310" s="111">
        <v>7.9009999999999997E-2</v>
      </c>
      <c r="N310"/>
      <c r="V310" s="111"/>
      <c r="X310" s="111"/>
      <c r="Y310" s="111"/>
      <c r="Z310" s="111"/>
      <c r="AA310" s="111"/>
      <c r="AB310" s="111"/>
      <c r="AC310" s="111"/>
      <c r="AD310" s="111"/>
      <c r="AE310" s="111"/>
      <c r="AF310" s="111"/>
      <c r="AG310" s="111"/>
      <c r="AH310" s="111"/>
      <c r="AI310" s="111"/>
      <c r="AJ310" s="111"/>
    </row>
    <row r="311" spans="1:36" x14ac:dyDescent="0.55000000000000004">
      <c r="A311" t="s">
        <v>4163</v>
      </c>
      <c r="B311">
        <v>588.9</v>
      </c>
      <c r="C311">
        <v>48.87</v>
      </c>
      <c r="D311">
        <v>33</v>
      </c>
      <c r="E311">
        <v>471.4</v>
      </c>
      <c r="F311">
        <v>345.6</v>
      </c>
      <c r="G311">
        <v>232.5</v>
      </c>
      <c r="H311">
        <v>182</v>
      </c>
      <c r="I311">
        <v>165.4</v>
      </c>
      <c r="J311">
        <v>0.35149999999999998</v>
      </c>
      <c r="N311"/>
      <c r="V311" s="111"/>
      <c r="X311" s="111"/>
      <c r="Y311" s="111"/>
      <c r="Z311" s="111"/>
      <c r="AA311" s="111"/>
      <c r="AB311" s="111"/>
      <c r="AC311" s="111"/>
      <c r="AD311" s="111"/>
      <c r="AE311" s="111"/>
      <c r="AF311" s="111"/>
      <c r="AG311" s="111"/>
      <c r="AH311" s="111"/>
      <c r="AI311" s="111"/>
      <c r="AJ311" s="111"/>
    </row>
    <row r="312" spans="1:36" x14ac:dyDescent="0.55000000000000004">
      <c r="A312" t="s">
        <v>4164</v>
      </c>
      <c r="B312">
        <v>1071</v>
      </c>
      <c r="C312">
        <v>55.31</v>
      </c>
      <c r="D312">
        <v>37.85</v>
      </c>
      <c r="E312">
        <v>788</v>
      </c>
      <c r="F312">
        <v>437.4</v>
      </c>
      <c r="G312">
        <v>257.5</v>
      </c>
      <c r="H312">
        <v>352.7</v>
      </c>
      <c r="I312">
        <v>344.4</v>
      </c>
      <c r="J312">
        <v>0.45240000000000002</v>
      </c>
      <c r="N312"/>
      <c r="V312" s="111"/>
      <c r="X312" s="111"/>
      <c r="Y312" s="111"/>
      <c r="Z312" s="111"/>
      <c r="AA312" s="111"/>
      <c r="AB312" s="111"/>
      <c r="AC312" s="111"/>
      <c r="AD312" s="111"/>
      <c r="AE312" s="111"/>
      <c r="AF312" s="111"/>
      <c r="AG312" s="111"/>
      <c r="AH312" s="111"/>
      <c r="AI312" s="111"/>
      <c r="AJ312" s="111"/>
    </row>
    <row r="313" spans="1:36" x14ac:dyDescent="0.55000000000000004">
      <c r="A313" t="s">
        <v>4165</v>
      </c>
      <c r="B313">
        <v>1704</v>
      </c>
      <c r="C313">
        <v>47.15</v>
      </c>
      <c r="D313">
        <v>30.98</v>
      </c>
      <c r="E313">
        <v>1018</v>
      </c>
      <c r="F313">
        <v>468.5</v>
      </c>
      <c r="G313">
        <v>223.8</v>
      </c>
      <c r="H313">
        <v>442.8</v>
      </c>
      <c r="I313">
        <v>415.4</v>
      </c>
      <c r="J313">
        <v>0.33310000000000001</v>
      </c>
      <c r="N313"/>
      <c r="V313" s="111"/>
      <c r="X313" s="111"/>
      <c r="Y313" s="111"/>
      <c r="Z313" s="111"/>
      <c r="AA313" s="111"/>
      <c r="AB313" s="111"/>
      <c r="AC313" s="111"/>
      <c r="AD313" s="111"/>
      <c r="AE313" s="111"/>
      <c r="AF313" s="111"/>
      <c r="AG313" s="111"/>
      <c r="AH313" s="111"/>
      <c r="AI313" s="111"/>
      <c r="AJ313" s="111"/>
    </row>
    <row r="314" spans="1:36" x14ac:dyDescent="0.55000000000000004">
      <c r="A314" t="s">
        <v>4166</v>
      </c>
      <c r="B314">
        <v>1782</v>
      </c>
      <c r="C314">
        <v>53.17</v>
      </c>
      <c r="D314">
        <v>34.64</v>
      </c>
      <c r="E314">
        <v>1075</v>
      </c>
      <c r="F314">
        <v>490.2</v>
      </c>
      <c r="G314">
        <v>230.6</v>
      </c>
      <c r="H314">
        <v>474.7</v>
      </c>
      <c r="I314">
        <v>444</v>
      </c>
      <c r="J314">
        <v>0.27250000000000002</v>
      </c>
      <c r="N314"/>
      <c r="V314" s="111"/>
      <c r="X314" s="111"/>
      <c r="Y314" s="111"/>
      <c r="Z314" s="111"/>
      <c r="AA314" s="111"/>
      <c r="AB314" s="111"/>
      <c r="AC314" s="111"/>
      <c r="AD314" s="111"/>
      <c r="AE314" s="111"/>
      <c r="AF314" s="111"/>
      <c r="AG314" s="111"/>
      <c r="AH314" s="111"/>
      <c r="AI314" s="111"/>
      <c r="AJ314" s="111"/>
    </row>
    <row r="315" spans="1:36" x14ac:dyDescent="0.55000000000000004">
      <c r="A315" t="s">
        <v>4167</v>
      </c>
      <c r="B315">
        <v>1835</v>
      </c>
      <c r="C315">
        <v>53.36</v>
      </c>
      <c r="D315">
        <v>41.46</v>
      </c>
      <c r="E315">
        <v>1172</v>
      </c>
      <c r="F315">
        <v>491.3</v>
      </c>
      <c r="G315">
        <v>230.4</v>
      </c>
      <c r="H315">
        <v>425.1</v>
      </c>
      <c r="I315">
        <v>418.5</v>
      </c>
      <c r="J315">
        <v>0.27329999999999999</v>
      </c>
      <c r="N315"/>
      <c r="V315" s="111"/>
      <c r="X315" s="111"/>
      <c r="Y315" s="111"/>
      <c r="Z315" s="111"/>
      <c r="AA315" s="111"/>
      <c r="AB315" s="111"/>
      <c r="AC315" s="111"/>
      <c r="AD315" s="111"/>
      <c r="AE315" s="111"/>
      <c r="AF315" s="111"/>
      <c r="AG315" s="111"/>
      <c r="AH315" s="111"/>
      <c r="AI315" s="111"/>
      <c r="AJ315" s="111"/>
    </row>
    <row r="316" spans="1:36" x14ac:dyDescent="0.55000000000000004">
      <c r="A316" t="s">
        <v>4168</v>
      </c>
      <c r="B316">
        <v>1999</v>
      </c>
      <c r="C316">
        <v>82.01</v>
      </c>
      <c r="D316">
        <v>59.3</v>
      </c>
      <c r="E316">
        <v>1237</v>
      </c>
      <c r="F316">
        <v>570.4</v>
      </c>
      <c r="G316">
        <v>274.5</v>
      </c>
      <c r="H316">
        <v>539.9</v>
      </c>
      <c r="I316">
        <v>522</v>
      </c>
      <c r="J316">
        <v>0.35060000000000002</v>
      </c>
      <c r="N316"/>
      <c r="V316" s="111"/>
      <c r="X316" s="111"/>
      <c r="Y316" s="111"/>
      <c r="Z316" s="111"/>
      <c r="AA316" s="111"/>
      <c r="AB316" s="111"/>
      <c r="AC316" s="111"/>
      <c r="AD316" s="111"/>
      <c r="AE316" s="111"/>
      <c r="AF316" s="111"/>
      <c r="AG316" s="111"/>
      <c r="AH316" s="111"/>
      <c r="AI316" s="111"/>
      <c r="AJ316" s="111"/>
    </row>
    <row r="317" spans="1:36" x14ac:dyDescent="0.55000000000000004">
      <c r="A317" t="s">
        <v>4169</v>
      </c>
      <c r="B317">
        <v>1692</v>
      </c>
      <c r="C317">
        <v>72.2</v>
      </c>
      <c r="D317">
        <v>53.68</v>
      </c>
      <c r="E317">
        <v>1050</v>
      </c>
      <c r="F317">
        <v>519.70000000000005</v>
      </c>
      <c r="G317">
        <v>266.7</v>
      </c>
      <c r="H317">
        <v>446.5</v>
      </c>
      <c r="I317">
        <v>432.3</v>
      </c>
      <c r="J317">
        <v>0.35149999999999998</v>
      </c>
      <c r="N317"/>
      <c r="V317" s="111"/>
      <c r="X317" s="111"/>
      <c r="Y317" s="111"/>
      <c r="Z317" s="111"/>
      <c r="AA317" s="111"/>
      <c r="AB317" s="111"/>
      <c r="AC317" s="111"/>
      <c r="AD317" s="111"/>
      <c r="AE317" s="111"/>
      <c r="AF317" s="111"/>
      <c r="AG317" s="111"/>
      <c r="AH317" s="111"/>
      <c r="AI317" s="111"/>
      <c r="AJ317" s="111"/>
    </row>
    <row r="318" spans="1:36" x14ac:dyDescent="0.55000000000000004">
      <c r="A318" t="s">
        <v>4170</v>
      </c>
      <c r="B318">
        <v>1189</v>
      </c>
      <c r="C318">
        <v>49.55</v>
      </c>
      <c r="D318">
        <v>33.76</v>
      </c>
      <c r="E318">
        <v>866.5</v>
      </c>
      <c r="F318">
        <v>465.4</v>
      </c>
      <c r="G318">
        <v>235.8</v>
      </c>
      <c r="H318">
        <v>285.8</v>
      </c>
      <c r="I318">
        <v>264.7</v>
      </c>
      <c r="J318">
        <v>0.34310000000000002</v>
      </c>
      <c r="N318"/>
      <c r="O318" s="111"/>
      <c r="P318" s="111"/>
      <c r="V318" s="111"/>
      <c r="X318" s="111"/>
      <c r="Y318" s="111"/>
      <c r="Z318" s="111"/>
      <c r="AA318" s="111"/>
      <c r="AB318" s="111"/>
      <c r="AC318" s="111"/>
      <c r="AD318" s="111"/>
      <c r="AE318" s="111"/>
      <c r="AF318" s="111"/>
      <c r="AG318" s="111"/>
      <c r="AH318" s="111"/>
      <c r="AI318" s="111"/>
      <c r="AJ318" s="111"/>
    </row>
    <row r="319" spans="1:36" x14ac:dyDescent="0.55000000000000004">
      <c r="A319" t="s">
        <v>4171</v>
      </c>
      <c r="B319">
        <v>1866</v>
      </c>
      <c r="C319">
        <v>94.82</v>
      </c>
      <c r="D319">
        <v>63.26</v>
      </c>
      <c r="E319">
        <v>1125</v>
      </c>
      <c r="F319">
        <v>523</v>
      </c>
      <c r="G319">
        <v>270.60000000000002</v>
      </c>
      <c r="H319">
        <v>560.9</v>
      </c>
      <c r="I319">
        <v>547.79999999999995</v>
      </c>
      <c r="J319">
        <v>0.3861</v>
      </c>
      <c r="N319"/>
      <c r="V319" s="111"/>
      <c r="X319" s="111"/>
      <c r="Y319" s="111"/>
      <c r="Z319" s="111"/>
      <c r="AA319" s="111"/>
      <c r="AB319" s="111"/>
      <c r="AC319" s="111"/>
      <c r="AD319" s="111"/>
      <c r="AE319" s="111"/>
      <c r="AF319" s="111"/>
      <c r="AG319" s="111"/>
      <c r="AH319" s="111"/>
      <c r="AI319" s="111"/>
      <c r="AJ319" s="111"/>
    </row>
    <row r="320" spans="1:36" x14ac:dyDescent="0.55000000000000004">
      <c r="A320" t="s">
        <v>4172</v>
      </c>
      <c r="B320">
        <v>1914</v>
      </c>
      <c r="C320">
        <v>51.97</v>
      </c>
      <c r="D320">
        <v>37.270000000000003</v>
      </c>
      <c r="E320">
        <v>1086</v>
      </c>
      <c r="F320">
        <v>475.6</v>
      </c>
      <c r="G320">
        <v>230.3</v>
      </c>
      <c r="H320">
        <v>470</v>
      </c>
      <c r="I320">
        <v>444.9</v>
      </c>
      <c r="J320">
        <v>0.3508</v>
      </c>
      <c r="N320"/>
      <c r="V320" s="111"/>
      <c r="X320" s="111"/>
      <c r="Y320" s="111"/>
      <c r="Z320" s="111"/>
      <c r="AA320" s="111"/>
      <c r="AB320" s="111"/>
      <c r="AC320" s="111"/>
      <c r="AD320" s="111"/>
      <c r="AE320" s="111"/>
      <c r="AF320" s="111"/>
      <c r="AG320" s="111"/>
      <c r="AH320" s="111"/>
      <c r="AI320" s="111"/>
      <c r="AJ320" s="111"/>
    </row>
    <row r="321" spans="1:36" x14ac:dyDescent="0.55000000000000004">
      <c r="A321" t="s">
        <v>4173</v>
      </c>
      <c r="B321">
        <v>1978</v>
      </c>
      <c r="C321">
        <v>111.3</v>
      </c>
      <c r="D321">
        <v>74.260000000000005</v>
      </c>
      <c r="E321">
        <v>1206</v>
      </c>
      <c r="F321">
        <v>589.70000000000005</v>
      </c>
      <c r="G321">
        <v>312.7</v>
      </c>
      <c r="H321">
        <v>528.6</v>
      </c>
      <c r="I321">
        <v>491.5</v>
      </c>
      <c r="J321">
        <v>0.40279999999999999</v>
      </c>
      <c r="N321"/>
      <c r="V321" s="111"/>
      <c r="X321" s="111"/>
      <c r="Y321" s="111"/>
      <c r="Z321" s="111"/>
      <c r="AA321" s="111"/>
      <c r="AB321" s="111"/>
      <c r="AC321" s="111"/>
      <c r="AD321" s="111"/>
      <c r="AE321" s="111"/>
      <c r="AF321" s="111"/>
      <c r="AG321" s="111"/>
      <c r="AH321" s="111"/>
      <c r="AI321" s="111"/>
      <c r="AJ321" s="111"/>
    </row>
    <row r="322" spans="1:36" x14ac:dyDescent="0.55000000000000004">
      <c r="A322" t="s">
        <v>4174</v>
      </c>
      <c r="B322">
        <v>1673</v>
      </c>
      <c r="C322">
        <v>55.95</v>
      </c>
      <c r="D322">
        <v>37.6</v>
      </c>
      <c r="E322">
        <v>1027</v>
      </c>
      <c r="F322">
        <v>440.6</v>
      </c>
      <c r="G322">
        <v>236.7</v>
      </c>
      <c r="H322">
        <v>433.5</v>
      </c>
      <c r="I322">
        <v>416.6</v>
      </c>
      <c r="J322">
        <v>0.41149999999999998</v>
      </c>
      <c r="N322"/>
      <c r="V322" s="111"/>
      <c r="X322" s="111"/>
      <c r="Y322" s="111"/>
      <c r="Z322" s="111"/>
      <c r="AA322" s="111"/>
      <c r="AB322" s="111"/>
      <c r="AC322" s="111"/>
      <c r="AD322" s="111"/>
      <c r="AE322" s="111"/>
      <c r="AF322" s="111"/>
      <c r="AG322" s="111"/>
      <c r="AH322" s="111"/>
      <c r="AI322" s="111"/>
      <c r="AJ322" s="111"/>
    </row>
    <row r="323" spans="1:36" x14ac:dyDescent="0.55000000000000004">
      <c r="A323" t="s">
        <v>4175</v>
      </c>
      <c r="B323">
        <v>2531</v>
      </c>
      <c r="C323">
        <v>213.5</v>
      </c>
      <c r="D323">
        <v>128.4</v>
      </c>
      <c r="E323">
        <v>1575</v>
      </c>
      <c r="F323">
        <v>695.9</v>
      </c>
      <c r="G323">
        <v>449.4</v>
      </c>
      <c r="H323">
        <v>867.1</v>
      </c>
      <c r="I323">
        <v>858.4</v>
      </c>
      <c r="J323">
        <v>0.50129999999999997</v>
      </c>
      <c r="N323"/>
      <c r="V323" s="111"/>
      <c r="X323" s="111"/>
      <c r="Y323" s="111"/>
      <c r="Z323" s="111"/>
      <c r="AA323" s="111"/>
      <c r="AB323" s="111"/>
      <c r="AC323" s="111"/>
      <c r="AD323" s="111"/>
      <c r="AE323" s="111"/>
      <c r="AF323" s="111"/>
      <c r="AG323" s="111"/>
      <c r="AH323" s="111"/>
      <c r="AI323" s="111"/>
      <c r="AJ323" s="111"/>
    </row>
    <row r="324" spans="1:36" x14ac:dyDescent="0.55000000000000004">
      <c r="A324" t="s">
        <v>4176</v>
      </c>
      <c r="B324">
        <v>1879</v>
      </c>
      <c r="C324">
        <v>57.48</v>
      </c>
      <c r="D324">
        <v>41.2</v>
      </c>
      <c r="E324">
        <v>1114</v>
      </c>
      <c r="F324">
        <v>462.8</v>
      </c>
      <c r="G324">
        <v>224.4</v>
      </c>
      <c r="H324">
        <v>507.5</v>
      </c>
      <c r="I324">
        <v>484.1</v>
      </c>
      <c r="J324">
        <v>0.41699999999999998</v>
      </c>
      <c r="N324"/>
      <c r="V324" s="111"/>
      <c r="X324" s="111"/>
      <c r="Y324" s="111"/>
      <c r="Z324" s="111"/>
      <c r="AA324" s="111"/>
      <c r="AB324" s="111"/>
      <c r="AC324" s="111"/>
      <c r="AD324" s="111"/>
      <c r="AE324" s="111"/>
      <c r="AF324" s="111"/>
      <c r="AG324" s="111"/>
      <c r="AH324" s="111"/>
      <c r="AI324" s="111"/>
      <c r="AJ324" s="111"/>
    </row>
    <row r="325" spans="1:36" x14ac:dyDescent="0.55000000000000004">
      <c r="A325" t="s">
        <v>4177</v>
      </c>
      <c r="B325">
        <v>1916</v>
      </c>
      <c r="C325">
        <v>56.49</v>
      </c>
      <c r="D325">
        <v>38.47</v>
      </c>
      <c r="E325">
        <v>1152</v>
      </c>
      <c r="F325">
        <v>488.8</v>
      </c>
      <c r="G325">
        <v>248.2</v>
      </c>
      <c r="H325">
        <v>533.9</v>
      </c>
      <c r="I325">
        <v>518.20000000000005</v>
      </c>
      <c r="J325">
        <v>0.43519999999999998</v>
      </c>
      <c r="N325"/>
      <c r="V325" s="111"/>
      <c r="X325" s="111"/>
      <c r="Y325" s="111"/>
      <c r="Z325" s="111"/>
      <c r="AA325" s="111"/>
      <c r="AB325" s="111"/>
      <c r="AC325" s="111"/>
      <c r="AD325" s="111"/>
      <c r="AE325" s="111"/>
      <c r="AF325" s="111"/>
      <c r="AG325" s="111"/>
      <c r="AH325" s="111"/>
      <c r="AI325" s="111"/>
      <c r="AJ325" s="111"/>
    </row>
    <row r="326" spans="1:36" x14ac:dyDescent="0.55000000000000004">
      <c r="A326" t="s">
        <v>4178</v>
      </c>
      <c r="B326">
        <v>1576</v>
      </c>
      <c r="C326">
        <v>61.61</v>
      </c>
      <c r="D326">
        <v>28.19</v>
      </c>
      <c r="E326">
        <v>945</v>
      </c>
      <c r="F326">
        <v>373</v>
      </c>
      <c r="G326">
        <v>192.6</v>
      </c>
      <c r="H326">
        <v>1112</v>
      </c>
      <c r="I326">
        <v>1087</v>
      </c>
      <c r="J326">
        <v>0.60860000000000003</v>
      </c>
      <c r="N326"/>
      <c r="V326" s="111"/>
      <c r="X326" s="111"/>
      <c r="Y326" s="111"/>
      <c r="Z326" s="111"/>
      <c r="AA326" s="111"/>
      <c r="AB326" s="111"/>
      <c r="AC326" s="111"/>
      <c r="AD326" s="111"/>
      <c r="AE326" s="111"/>
      <c r="AF326" s="111"/>
      <c r="AG326" s="111"/>
      <c r="AH326" s="111"/>
      <c r="AI326" s="111"/>
      <c r="AJ326" s="111"/>
    </row>
    <row r="327" spans="1:36" x14ac:dyDescent="0.55000000000000004">
      <c r="A327" t="s">
        <v>4179</v>
      </c>
      <c r="B327">
        <v>2376</v>
      </c>
      <c r="C327">
        <v>155.69999999999999</v>
      </c>
      <c r="D327">
        <v>106</v>
      </c>
      <c r="E327">
        <v>1543</v>
      </c>
      <c r="F327">
        <v>729.6</v>
      </c>
      <c r="G327">
        <v>435.8</v>
      </c>
      <c r="H327">
        <v>850.9</v>
      </c>
      <c r="I327">
        <v>845.6</v>
      </c>
      <c r="J327">
        <v>0.47910000000000003</v>
      </c>
      <c r="N327"/>
      <c r="V327" s="111"/>
      <c r="X327" s="111"/>
      <c r="Y327" s="111"/>
      <c r="Z327" s="111"/>
      <c r="AA327" s="111"/>
      <c r="AB327" s="111"/>
      <c r="AC327" s="111"/>
      <c r="AD327" s="111"/>
      <c r="AE327" s="111"/>
      <c r="AF327" s="111"/>
      <c r="AG327" s="111"/>
      <c r="AH327" s="111"/>
      <c r="AI327" s="111"/>
      <c r="AJ327" s="111"/>
    </row>
    <row r="328" spans="1:36" x14ac:dyDescent="0.55000000000000004">
      <c r="A328" t="s">
        <v>4180</v>
      </c>
      <c r="B328">
        <v>1210</v>
      </c>
      <c r="C328">
        <v>55.65</v>
      </c>
      <c r="D328">
        <v>33.520000000000003</v>
      </c>
      <c r="E328">
        <v>777.8</v>
      </c>
      <c r="F328">
        <v>370.1</v>
      </c>
      <c r="G328">
        <v>197.4</v>
      </c>
      <c r="H328">
        <v>1087</v>
      </c>
      <c r="I328">
        <v>1071</v>
      </c>
      <c r="J328">
        <v>0.58630000000000004</v>
      </c>
      <c r="N328"/>
      <c r="V328" s="111"/>
      <c r="X328" s="111"/>
      <c r="Y328" s="111"/>
      <c r="Z328" s="111"/>
      <c r="AA328" s="111"/>
      <c r="AB328" s="111"/>
      <c r="AC328" s="111"/>
      <c r="AD328" s="111"/>
      <c r="AE328" s="111"/>
      <c r="AF328" s="111"/>
      <c r="AG328" s="111"/>
      <c r="AH328" s="111"/>
      <c r="AI328" s="111"/>
      <c r="AJ328" s="111"/>
    </row>
    <row r="329" spans="1:36" x14ac:dyDescent="0.55000000000000004">
      <c r="A329" t="s">
        <v>4181</v>
      </c>
      <c r="B329">
        <v>2383</v>
      </c>
      <c r="C329">
        <v>120.4</v>
      </c>
      <c r="D329">
        <v>85.15</v>
      </c>
      <c r="E329">
        <v>1486</v>
      </c>
      <c r="F329">
        <v>630.1</v>
      </c>
      <c r="G329">
        <v>310.39999999999998</v>
      </c>
      <c r="H329">
        <v>758.5</v>
      </c>
      <c r="I329">
        <v>750.5</v>
      </c>
      <c r="J329">
        <v>0.42130000000000001</v>
      </c>
      <c r="N329"/>
      <c r="V329" s="111"/>
      <c r="X329" s="111"/>
      <c r="Y329" s="111"/>
      <c r="Z329" s="111"/>
      <c r="AA329" s="111"/>
      <c r="AB329" s="111"/>
      <c r="AC329" s="111"/>
      <c r="AD329" s="111"/>
      <c r="AE329" s="111"/>
      <c r="AF329" s="111"/>
      <c r="AG329" s="111"/>
      <c r="AH329" s="111"/>
      <c r="AI329" s="111"/>
      <c r="AJ329" s="111"/>
    </row>
    <row r="330" spans="1:36" x14ac:dyDescent="0.55000000000000004">
      <c r="A330" t="s">
        <v>4182</v>
      </c>
      <c r="B330">
        <v>624.79999999999995</v>
      </c>
      <c r="C330">
        <v>47.47</v>
      </c>
      <c r="D330">
        <v>33.01</v>
      </c>
      <c r="E330">
        <v>425.8</v>
      </c>
      <c r="F330">
        <v>222.6</v>
      </c>
      <c r="G330">
        <v>165.3</v>
      </c>
      <c r="H330">
        <v>198.7</v>
      </c>
      <c r="I330">
        <v>191.6</v>
      </c>
      <c r="J330">
        <v>0.31269999999999998</v>
      </c>
      <c r="N330"/>
      <c r="V330" s="111"/>
      <c r="X330" s="111"/>
      <c r="Y330" s="111"/>
      <c r="Z330" s="111"/>
      <c r="AA330" s="111"/>
      <c r="AB330" s="111"/>
      <c r="AC330" s="111"/>
      <c r="AD330" s="111"/>
      <c r="AE330" s="111"/>
      <c r="AF330" s="111"/>
      <c r="AG330" s="111"/>
      <c r="AH330" s="111"/>
      <c r="AI330" s="111"/>
      <c r="AJ330" s="111"/>
    </row>
    <row r="331" spans="1:36" x14ac:dyDescent="0.55000000000000004">
      <c r="A331" t="s">
        <v>4183</v>
      </c>
      <c r="B331">
        <v>2062</v>
      </c>
      <c r="C331">
        <v>67.819999999999993</v>
      </c>
      <c r="D331">
        <v>53.1</v>
      </c>
      <c r="E331">
        <v>1372</v>
      </c>
      <c r="F331">
        <v>597.9</v>
      </c>
      <c r="G331">
        <v>277.89999999999998</v>
      </c>
      <c r="H331">
        <v>486.6</v>
      </c>
      <c r="I331">
        <v>481.4</v>
      </c>
      <c r="J331">
        <v>0.37940000000000002</v>
      </c>
      <c r="N331"/>
      <c r="O331" s="111"/>
      <c r="P331" s="111"/>
      <c r="S331" s="111"/>
      <c r="T331" s="111"/>
      <c r="U331" s="111"/>
      <c r="V331" s="111"/>
      <c r="X331" s="111"/>
      <c r="Y331" s="111"/>
      <c r="Z331" s="111"/>
      <c r="AA331" s="111"/>
      <c r="AB331" s="111"/>
      <c r="AC331" s="111"/>
      <c r="AD331" s="111"/>
      <c r="AE331" s="111"/>
      <c r="AF331" s="111"/>
      <c r="AG331" s="111"/>
      <c r="AH331" s="111"/>
      <c r="AI331" s="111"/>
      <c r="AJ331" s="111"/>
    </row>
    <row r="332" spans="1:36" x14ac:dyDescent="0.55000000000000004">
      <c r="A332" t="s">
        <v>4184</v>
      </c>
      <c r="B332">
        <v>210.3</v>
      </c>
      <c r="C332">
        <v>19.350000000000001</v>
      </c>
      <c r="D332">
        <v>12.37</v>
      </c>
      <c r="E332">
        <v>167.3</v>
      </c>
      <c r="F332">
        <v>127.9</v>
      </c>
      <c r="G332">
        <v>85.66</v>
      </c>
      <c r="H332">
        <v>59.32</v>
      </c>
      <c r="I332">
        <v>56.86</v>
      </c>
      <c r="J332">
        <v>0.23089999999999999</v>
      </c>
      <c r="N332"/>
      <c r="V332" s="111"/>
      <c r="X332" s="111"/>
      <c r="Y332" s="111"/>
      <c r="Z332" s="111"/>
      <c r="AA332" s="111"/>
      <c r="AB332" s="111"/>
      <c r="AC332" s="111"/>
      <c r="AD332" s="111"/>
      <c r="AE332" s="111"/>
      <c r="AF332" s="111"/>
      <c r="AG332" s="111"/>
      <c r="AH332" s="111"/>
      <c r="AI332" s="111"/>
      <c r="AJ332" s="111"/>
    </row>
    <row r="333" spans="1:36" x14ac:dyDescent="0.55000000000000004">
      <c r="A333" t="s">
        <v>4185</v>
      </c>
      <c r="B333">
        <v>350.8</v>
      </c>
      <c r="C333">
        <v>28.93</v>
      </c>
      <c r="D333">
        <v>17.600000000000001</v>
      </c>
      <c r="E333">
        <v>271.2</v>
      </c>
      <c r="F333">
        <v>187.2</v>
      </c>
      <c r="G333">
        <v>125.1</v>
      </c>
      <c r="H333">
        <v>120</v>
      </c>
      <c r="I333">
        <v>116.5</v>
      </c>
      <c r="J333">
        <v>0.3196</v>
      </c>
      <c r="N333"/>
      <c r="V333" s="111"/>
      <c r="X333" s="111"/>
      <c r="Y333" s="111"/>
      <c r="Z333" s="111"/>
      <c r="AA333" s="111"/>
      <c r="AB333" s="111"/>
      <c r="AC333" s="111"/>
      <c r="AD333" s="111"/>
      <c r="AE333" s="111"/>
      <c r="AF333" s="111"/>
      <c r="AG333" s="111"/>
      <c r="AH333" s="111"/>
      <c r="AI333" s="111"/>
      <c r="AJ333" s="111"/>
    </row>
    <row r="334" spans="1:36" x14ac:dyDescent="0.55000000000000004">
      <c r="A334" t="s">
        <v>4186</v>
      </c>
      <c r="B334">
        <v>428.5</v>
      </c>
      <c r="C334">
        <v>16.2</v>
      </c>
      <c r="D334">
        <v>10.26</v>
      </c>
      <c r="E334">
        <v>267.39999999999998</v>
      </c>
      <c r="F334">
        <v>135.30000000000001</v>
      </c>
      <c r="G334">
        <v>77.05</v>
      </c>
      <c r="H334">
        <v>113.1</v>
      </c>
      <c r="I334">
        <v>107.1</v>
      </c>
      <c r="J334">
        <v>0.18149999999999999</v>
      </c>
      <c r="N334"/>
      <c r="V334" s="111"/>
      <c r="X334" s="111"/>
      <c r="Y334" s="111"/>
      <c r="Z334" s="111"/>
      <c r="AA334" s="111"/>
      <c r="AB334" s="111"/>
      <c r="AC334" s="111"/>
      <c r="AD334" s="111"/>
      <c r="AE334" s="111"/>
      <c r="AF334" s="111"/>
      <c r="AG334" s="111"/>
      <c r="AH334" s="111"/>
      <c r="AI334" s="111"/>
      <c r="AJ334" s="111"/>
    </row>
    <row r="335" spans="1:36" x14ac:dyDescent="0.55000000000000004">
      <c r="A335" t="s">
        <v>4187</v>
      </c>
      <c r="B335">
        <v>432.4</v>
      </c>
      <c r="C335">
        <v>14.1</v>
      </c>
      <c r="D335">
        <v>9.0570000000000004</v>
      </c>
      <c r="E335">
        <v>259.3</v>
      </c>
      <c r="F335">
        <v>121.8</v>
      </c>
      <c r="G335">
        <v>60.1</v>
      </c>
      <c r="H335">
        <v>114.3</v>
      </c>
      <c r="I335">
        <v>107.5</v>
      </c>
      <c r="J335" s="111">
        <v>9.2719999999999997E-2</v>
      </c>
      <c r="N335"/>
      <c r="V335" s="111"/>
      <c r="X335" s="111"/>
      <c r="Y335" s="111"/>
      <c r="Z335" s="111"/>
      <c r="AA335" s="111"/>
      <c r="AB335" s="111"/>
      <c r="AC335" s="111"/>
      <c r="AD335" s="111"/>
      <c r="AE335" s="111"/>
      <c r="AF335" s="111"/>
      <c r="AG335" s="111"/>
      <c r="AH335" s="111"/>
      <c r="AI335" s="111"/>
      <c r="AJ335" s="111"/>
    </row>
    <row r="336" spans="1:36" x14ac:dyDescent="0.55000000000000004">
      <c r="A336" t="s">
        <v>4188</v>
      </c>
      <c r="B336">
        <v>447.4</v>
      </c>
      <c r="C336">
        <v>14.46</v>
      </c>
      <c r="D336">
        <v>10.9</v>
      </c>
      <c r="E336">
        <v>285.7</v>
      </c>
      <c r="F336">
        <v>122.5</v>
      </c>
      <c r="G336">
        <v>59.88</v>
      </c>
      <c r="H336">
        <v>102.3</v>
      </c>
      <c r="I336">
        <v>100.7</v>
      </c>
      <c r="J336" s="111">
        <v>8.7760000000000005E-2</v>
      </c>
      <c r="N336"/>
      <c r="V336" s="111"/>
      <c r="X336" s="111"/>
      <c r="Y336" s="111"/>
      <c r="Z336" s="111"/>
      <c r="AA336" s="111"/>
      <c r="AB336" s="111"/>
      <c r="AC336" s="111"/>
      <c r="AD336" s="111"/>
      <c r="AE336" s="111"/>
      <c r="AF336" s="111"/>
      <c r="AG336" s="111"/>
      <c r="AH336" s="111"/>
      <c r="AI336" s="111"/>
      <c r="AJ336" s="111"/>
    </row>
    <row r="337" spans="1:36" x14ac:dyDescent="0.55000000000000004">
      <c r="A337" t="s">
        <v>4189</v>
      </c>
      <c r="B337">
        <v>524.9</v>
      </c>
      <c r="C337">
        <v>28.48</v>
      </c>
      <c r="D337">
        <v>19.23</v>
      </c>
      <c r="E337">
        <v>334.4</v>
      </c>
      <c r="F337">
        <v>164</v>
      </c>
      <c r="G337">
        <v>103.4</v>
      </c>
      <c r="H337">
        <v>154.6</v>
      </c>
      <c r="I337">
        <v>149.5</v>
      </c>
      <c r="J337">
        <v>0.16289999999999999</v>
      </c>
      <c r="N337"/>
      <c r="V337" s="111"/>
      <c r="X337" s="111"/>
      <c r="Y337" s="111"/>
      <c r="Z337" s="111"/>
      <c r="AA337" s="111"/>
      <c r="AB337" s="111"/>
      <c r="AC337" s="111"/>
      <c r="AD337" s="111"/>
      <c r="AE337" s="111"/>
      <c r="AF337" s="111"/>
      <c r="AG337" s="111"/>
      <c r="AH337" s="111"/>
      <c r="AI337" s="111"/>
      <c r="AJ337" s="111"/>
    </row>
    <row r="338" spans="1:36" x14ac:dyDescent="0.55000000000000004">
      <c r="A338" t="s">
        <v>4190</v>
      </c>
      <c r="B338">
        <v>502.8</v>
      </c>
      <c r="C338">
        <v>29.53</v>
      </c>
      <c r="D338">
        <v>18.96</v>
      </c>
      <c r="E338">
        <v>328.3</v>
      </c>
      <c r="F338">
        <v>159.69999999999999</v>
      </c>
      <c r="G338">
        <v>111.4</v>
      </c>
      <c r="H338">
        <v>136</v>
      </c>
      <c r="I338">
        <v>133.4</v>
      </c>
      <c r="J338">
        <v>0.19589999999999999</v>
      </c>
      <c r="N338"/>
      <c r="V338" s="111"/>
      <c r="X338" s="111"/>
      <c r="Y338" s="111"/>
      <c r="Z338" s="111"/>
      <c r="AA338" s="111"/>
      <c r="AB338" s="111"/>
      <c r="AC338" s="111"/>
      <c r="AD338" s="111"/>
      <c r="AE338" s="111"/>
      <c r="AF338" s="111"/>
      <c r="AG338" s="111"/>
      <c r="AH338" s="111"/>
      <c r="AI338" s="111"/>
      <c r="AJ338" s="111"/>
    </row>
    <row r="339" spans="1:36" x14ac:dyDescent="0.55000000000000004">
      <c r="A339" t="s">
        <v>4191</v>
      </c>
      <c r="B339">
        <v>312.5</v>
      </c>
      <c r="C339">
        <v>16.55</v>
      </c>
      <c r="D339">
        <v>11.18</v>
      </c>
      <c r="E339">
        <v>221.1</v>
      </c>
      <c r="F339">
        <v>131.80000000000001</v>
      </c>
      <c r="G339">
        <v>73.680000000000007</v>
      </c>
      <c r="H339">
        <v>77.760000000000005</v>
      </c>
      <c r="I339">
        <v>73.790000000000006</v>
      </c>
      <c r="J339">
        <v>0.21690000000000001</v>
      </c>
      <c r="N339"/>
      <c r="V339" s="111"/>
      <c r="X339" s="111"/>
      <c r="Y339" s="111"/>
      <c r="Z339" s="111"/>
      <c r="AA339" s="111"/>
      <c r="AB339" s="111"/>
      <c r="AC339" s="111"/>
      <c r="AD339" s="111"/>
      <c r="AE339" s="111"/>
      <c r="AF339" s="111"/>
      <c r="AG339" s="111"/>
      <c r="AH339" s="111"/>
      <c r="AI339" s="111"/>
      <c r="AJ339" s="111"/>
    </row>
    <row r="340" spans="1:36" x14ac:dyDescent="0.55000000000000004">
      <c r="A340" t="s">
        <v>4192</v>
      </c>
      <c r="B340">
        <v>553.9</v>
      </c>
      <c r="C340">
        <v>38.44</v>
      </c>
      <c r="D340">
        <v>23.69</v>
      </c>
      <c r="E340">
        <v>347.6</v>
      </c>
      <c r="F340">
        <v>176.4</v>
      </c>
      <c r="G340">
        <v>112.6</v>
      </c>
      <c r="H340">
        <v>162.6</v>
      </c>
      <c r="I340">
        <v>156.9</v>
      </c>
      <c r="J340">
        <v>0.21410000000000001</v>
      </c>
      <c r="N340"/>
      <c r="V340" s="111"/>
      <c r="X340" s="111"/>
      <c r="Y340" s="111"/>
      <c r="Z340" s="111"/>
      <c r="AA340" s="111"/>
      <c r="AB340" s="111"/>
      <c r="AC340" s="111"/>
      <c r="AD340" s="111"/>
      <c r="AE340" s="111"/>
      <c r="AF340" s="111"/>
      <c r="AG340" s="111"/>
      <c r="AH340" s="111"/>
      <c r="AI340" s="111"/>
      <c r="AJ340" s="111"/>
    </row>
    <row r="341" spans="1:36" x14ac:dyDescent="0.55000000000000004">
      <c r="A341" t="s">
        <v>4193</v>
      </c>
      <c r="B341">
        <v>517.9</v>
      </c>
      <c r="C341">
        <v>21.3</v>
      </c>
      <c r="D341">
        <v>13.53</v>
      </c>
      <c r="E341">
        <v>315.60000000000002</v>
      </c>
      <c r="F341">
        <v>162.69999999999999</v>
      </c>
      <c r="G341">
        <v>96.36</v>
      </c>
      <c r="H341">
        <v>136.6</v>
      </c>
      <c r="I341">
        <v>129.5</v>
      </c>
      <c r="J341">
        <v>0.19939999999999999</v>
      </c>
      <c r="N341"/>
      <c r="V341" s="111"/>
      <c r="X341" s="111"/>
      <c r="Y341" s="111"/>
      <c r="Z341" s="111"/>
      <c r="AA341" s="111"/>
      <c r="AB341" s="111"/>
      <c r="AC341" s="111"/>
      <c r="AD341" s="111"/>
      <c r="AE341" s="111"/>
      <c r="AF341" s="111"/>
      <c r="AG341" s="111"/>
      <c r="AH341" s="111"/>
      <c r="AI341" s="111"/>
      <c r="AJ341" s="111"/>
    </row>
    <row r="342" spans="1:36" x14ac:dyDescent="0.55000000000000004">
      <c r="A342" t="s">
        <v>4194</v>
      </c>
      <c r="B342">
        <v>530.79999999999995</v>
      </c>
      <c r="C342">
        <v>41.1</v>
      </c>
      <c r="D342">
        <v>26.65</v>
      </c>
      <c r="E342">
        <v>352.7</v>
      </c>
      <c r="F342">
        <v>199.2</v>
      </c>
      <c r="G342">
        <v>132.19999999999999</v>
      </c>
      <c r="H342">
        <v>155.5</v>
      </c>
      <c r="I342">
        <v>148</v>
      </c>
      <c r="J342">
        <v>0.2303</v>
      </c>
      <c r="N342"/>
      <c r="V342" s="111"/>
      <c r="X342" s="111"/>
      <c r="Y342" s="111"/>
      <c r="Z342" s="111"/>
      <c r="AA342" s="111"/>
      <c r="AB342" s="111"/>
      <c r="AC342" s="111"/>
      <c r="AD342" s="111"/>
      <c r="AE342" s="111"/>
      <c r="AF342" s="111"/>
      <c r="AG342" s="111"/>
      <c r="AH342" s="111"/>
      <c r="AI342" s="111"/>
      <c r="AJ342" s="111"/>
    </row>
    <row r="343" spans="1:36" x14ac:dyDescent="0.55000000000000004">
      <c r="A343" t="s">
        <v>4195</v>
      </c>
      <c r="B343">
        <v>568.6</v>
      </c>
      <c r="C343">
        <v>26.14</v>
      </c>
      <c r="D343">
        <v>16.09</v>
      </c>
      <c r="E343">
        <v>372.6</v>
      </c>
      <c r="F343">
        <v>200.5</v>
      </c>
      <c r="G343">
        <v>118</v>
      </c>
      <c r="H343">
        <v>140.9</v>
      </c>
      <c r="I343">
        <v>133.9</v>
      </c>
      <c r="J343">
        <v>0.28770000000000001</v>
      </c>
      <c r="N343"/>
      <c r="V343"/>
      <c r="X343" s="111"/>
      <c r="Y343" s="111"/>
      <c r="Z343" s="111"/>
      <c r="AA343" s="111"/>
      <c r="AB343" s="111"/>
      <c r="AC343" s="111"/>
      <c r="AD343" s="111"/>
      <c r="AE343" s="111"/>
      <c r="AF343" s="111"/>
      <c r="AG343" s="111"/>
      <c r="AH343" s="111"/>
      <c r="AI343" s="111"/>
      <c r="AJ343" s="111"/>
    </row>
    <row r="344" spans="1:36" x14ac:dyDescent="0.55000000000000004">
      <c r="A344" t="s">
        <v>4196</v>
      </c>
      <c r="B344">
        <v>721.8</v>
      </c>
      <c r="C344">
        <v>61.13</v>
      </c>
      <c r="D344">
        <v>37.4</v>
      </c>
      <c r="E344">
        <v>460.9</v>
      </c>
      <c r="F344">
        <v>217.1</v>
      </c>
      <c r="G344">
        <v>131.1</v>
      </c>
      <c r="H344">
        <v>228.9</v>
      </c>
      <c r="I344">
        <v>225.3</v>
      </c>
      <c r="J344">
        <v>0.1714</v>
      </c>
      <c r="N344"/>
      <c r="V344" s="111"/>
      <c r="X344" s="111"/>
      <c r="Y344" s="111"/>
      <c r="Z344" s="111"/>
      <c r="AA344" s="111"/>
      <c r="AB344" s="111"/>
      <c r="AC344" s="111"/>
      <c r="AD344" s="111"/>
      <c r="AE344" s="111"/>
      <c r="AF344" s="111"/>
      <c r="AG344" s="111"/>
      <c r="AH344" s="111"/>
      <c r="AI344" s="111"/>
      <c r="AJ344" s="111"/>
    </row>
    <row r="345" spans="1:36" x14ac:dyDescent="0.55000000000000004">
      <c r="A345" t="s">
        <v>4197</v>
      </c>
      <c r="B345">
        <v>599</v>
      </c>
      <c r="C345">
        <v>28.18</v>
      </c>
      <c r="D345">
        <v>17.12</v>
      </c>
      <c r="E345">
        <v>388.2</v>
      </c>
      <c r="F345">
        <v>197.6</v>
      </c>
      <c r="G345">
        <v>110.3</v>
      </c>
      <c r="H345">
        <v>164.3</v>
      </c>
      <c r="I345">
        <v>156.19999999999999</v>
      </c>
      <c r="J345">
        <v>0.27039999999999997</v>
      </c>
      <c r="N345"/>
      <c r="V345" s="111"/>
      <c r="X345" s="111"/>
      <c r="Y345" s="111"/>
      <c r="Z345" s="111"/>
      <c r="AA345" s="111"/>
      <c r="AB345" s="111"/>
      <c r="AC345" s="111"/>
      <c r="AD345" s="111"/>
      <c r="AE345" s="111"/>
      <c r="AF345" s="111"/>
      <c r="AG345" s="111"/>
      <c r="AH345" s="111"/>
      <c r="AI345" s="111"/>
      <c r="AJ345" s="111"/>
    </row>
    <row r="346" spans="1:36" x14ac:dyDescent="0.55000000000000004">
      <c r="A346" t="s">
        <v>4198</v>
      </c>
      <c r="B346">
        <v>787.1</v>
      </c>
      <c r="C346">
        <v>28.29</v>
      </c>
      <c r="D346">
        <v>17.34</v>
      </c>
      <c r="E346">
        <v>483.5</v>
      </c>
      <c r="F346">
        <v>238.8</v>
      </c>
      <c r="G346">
        <v>125.5</v>
      </c>
      <c r="H346">
        <v>214.5</v>
      </c>
      <c r="I346">
        <v>203.6</v>
      </c>
      <c r="J346">
        <v>0.28179999999999999</v>
      </c>
      <c r="N346"/>
      <c r="V346"/>
      <c r="X346" s="111"/>
      <c r="Y346" s="111"/>
      <c r="Z346" s="111"/>
      <c r="AA346" s="111"/>
      <c r="AB346" s="111"/>
      <c r="AC346" s="111"/>
      <c r="AD346" s="111"/>
      <c r="AE346" s="111"/>
      <c r="AF346" s="111"/>
      <c r="AG346" s="111"/>
      <c r="AH346" s="111"/>
      <c r="AI346" s="111"/>
      <c r="AJ346" s="111"/>
    </row>
    <row r="347" spans="1:36" x14ac:dyDescent="0.55000000000000004">
      <c r="A347" t="s">
        <v>4199</v>
      </c>
      <c r="B347">
        <v>665.1</v>
      </c>
      <c r="C347">
        <v>21.34</v>
      </c>
      <c r="D347">
        <v>10.08</v>
      </c>
      <c r="E347">
        <v>396.9</v>
      </c>
      <c r="F347">
        <v>167.3</v>
      </c>
      <c r="G347">
        <v>81.459999999999994</v>
      </c>
      <c r="H347">
        <v>316.10000000000002</v>
      </c>
      <c r="I347">
        <v>308.89999999999998</v>
      </c>
      <c r="J347">
        <v>0.214</v>
      </c>
      <c r="N347"/>
      <c r="V347" s="111"/>
      <c r="X347" s="111"/>
      <c r="Y347" s="111"/>
      <c r="Z347" s="111"/>
      <c r="AA347" s="111"/>
      <c r="AB347" s="111"/>
      <c r="AC347" s="111"/>
      <c r="AD347" s="111"/>
      <c r="AE347" s="111"/>
      <c r="AF347" s="111"/>
      <c r="AG347" s="111"/>
      <c r="AH347" s="111"/>
      <c r="AI347" s="111"/>
      <c r="AJ347" s="111"/>
    </row>
    <row r="348" spans="1:36" x14ac:dyDescent="0.55000000000000004">
      <c r="A348" t="s">
        <v>4200</v>
      </c>
      <c r="B348">
        <v>617.6</v>
      </c>
      <c r="C348">
        <v>40.56</v>
      </c>
      <c r="D348">
        <v>27.5</v>
      </c>
      <c r="E348">
        <v>400.5</v>
      </c>
      <c r="F348">
        <v>192.1</v>
      </c>
      <c r="G348">
        <v>114.3</v>
      </c>
      <c r="H348">
        <v>207.1</v>
      </c>
      <c r="I348">
        <v>205.8</v>
      </c>
      <c r="J348">
        <v>0.13450000000000001</v>
      </c>
      <c r="N348"/>
      <c r="V348" s="111"/>
      <c r="X348" s="111"/>
      <c r="Y348" s="111"/>
      <c r="Z348" s="111"/>
      <c r="AA348" s="111"/>
      <c r="AB348" s="111"/>
      <c r="AC348" s="111"/>
      <c r="AD348" s="111"/>
      <c r="AE348" s="111"/>
      <c r="AF348" s="111"/>
      <c r="AG348" s="111"/>
      <c r="AH348" s="111"/>
      <c r="AI348" s="111"/>
      <c r="AJ348" s="111"/>
    </row>
    <row r="349" spans="1:36" x14ac:dyDescent="0.55000000000000004">
      <c r="A349" t="s">
        <v>4201</v>
      </c>
      <c r="B349">
        <v>466.9</v>
      </c>
      <c r="C349">
        <v>16.86</v>
      </c>
      <c r="D349">
        <v>9.9280000000000008</v>
      </c>
      <c r="E349">
        <v>296.3</v>
      </c>
      <c r="F349">
        <v>116.3</v>
      </c>
      <c r="G349">
        <v>65.28</v>
      </c>
      <c r="H349">
        <v>285.60000000000002</v>
      </c>
      <c r="I349">
        <v>280.7</v>
      </c>
      <c r="J349">
        <v>0.17879999999999999</v>
      </c>
      <c r="N349"/>
      <c r="V349" s="111"/>
      <c r="X349" s="111"/>
      <c r="Y349" s="111"/>
      <c r="Z349" s="111"/>
      <c r="AA349" s="111"/>
      <c r="AB349" s="111"/>
      <c r="AC349" s="111"/>
      <c r="AD349" s="111"/>
      <c r="AE349" s="111"/>
      <c r="AF349" s="111"/>
      <c r="AG349" s="111"/>
      <c r="AH349" s="111"/>
      <c r="AI349" s="111"/>
      <c r="AJ349" s="111"/>
    </row>
    <row r="350" spans="1:36" x14ac:dyDescent="0.55000000000000004">
      <c r="A350" t="s">
        <v>4202</v>
      </c>
      <c r="B350">
        <v>671.5</v>
      </c>
      <c r="C350">
        <v>33.96</v>
      </c>
      <c r="D350">
        <v>22.89</v>
      </c>
      <c r="E350">
        <v>400.1</v>
      </c>
      <c r="F350">
        <v>169.2</v>
      </c>
      <c r="G350">
        <v>81.63</v>
      </c>
      <c r="H350">
        <v>206.2</v>
      </c>
      <c r="I350">
        <v>202.7</v>
      </c>
      <c r="J350">
        <v>0.1208</v>
      </c>
      <c r="N350"/>
      <c r="O350" s="111"/>
      <c r="P350" s="111"/>
      <c r="V350" s="111"/>
      <c r="X350" s="111"/>
      <c r="Y350" s="111"/>
      <c r="Z350" s="111"/>
      <c r="AA350" s="111"/>
      <c r="AB350" s="111"/>
      <c r="AC350" s="111"/>
      <c r="AD350" s="111"/>
      <c r="AE350" s="111"/>
      <c r="AF350" s="111"/>
      <c r="AG350" s="111"/>
      <c r="AH350" s="111"/>
      <c r="AI350" s="111"/>
      <c r="AJ350" s="111"/>
    </row>
    <row r="351" spans="1:36" x14ac:dyDescent="0.55000000000000004">
      <c r="A351" t="s">
        <v>4203</v>
      </c>
      <c r="B351">
        <v>255.2</v>
      </c>
      <c r="C351">
        <v>18.34</v>
      </c>
      <c r="D351">
        <v>12.14</v>
      </c>
      <c r="E351">
        <v>181.3</v>
      </c>
      <c r="F351">
        <v>91.75</v>
      </c>
      <c r="G351">
        <v>66.55</v>
      </c>
      <c r="H351">
        <v>79.5</v>
      </c>
      <c r="I351">
        <v>78.63</v>
      </c>
      <c r="J351">
        <v>0.17610000000000001</v>
      </c>
      <c r="N351"/>
      <c r="V351" s="111"/>
      <c r="X351" s="111"/>
      <c r="Y351" s="111"/>
      <c r="Z351" s="111"/>
      <c r="AA351" s="111"/>
      <c r="AB351" s="111"/>
      <c r="AC351" s="111"/>
      <c r="AD351" s="111"/>
      <c r="AE351" s="111"/>
      <c r="AF351" s="111"/>
      <c r="AG351" s="111"/>
      <c r="AH351" s="111"/>
      <c r="AI351" s="111"/>
      <c r="AJ351" s="111"/>
    </row>
    <row r="352" spans="1:36" x14ac:dyDescent="0.55000000000000004">
      <c r="A352" t="s">
        <v>4204</v>
      </c>
      <c r="B352">
        <v>621.70000000000005</v>
      </c>
      <c r="C352">
        <v>26.7</v>
      </c>
      <c r="D352">
        <v>18.34</v>
      </c>
      <c r="E352">
        <v>401.9</v>
      </c>
      <c r="F352">
        <v>183.3</v>
      </c>
      <c r="G352">
        <v>110.8</v>
      </c>
      <c r="H352">
        <v>172.1</v>
      </c>
      <c r="I352">
        <v>175.3</v>
      </c>
      <c r="J352">
        <v>0.1943</v>
      </c>
      <c r="N352"/>
      <c r="O352" s="111"/>
      <c r="P352" s="111"/>
      <c r="V352" s="111"/>
      <c r="X352" s="111"/>
      <c r="Y352" s="111"/>
      <c r="Z352" s="111"/>
      <c r="AA352" s="111"/>
      <c r="AB352" s="111"/>
      <c r="AC352" s="111"/>
      <c r="AD352" s="111"/>
      <c r="AE352" s="111"/>
      <c r="AF352" s="111"/>
      <c r="AG352" s="111"/>
      <c r="AH352" s="111"/>
      <c r="AI352" s="111"/>
      <c r="AJ352" s="111"/>
    </row>
    <row r="353" spans="1:36" x14ac:dyDescent="0.55000000000000004">
      <c r="A353" t="s">
        <v>4205</v>
      </c>
      <c r="B353">
        <v>365</v>
      </c>
      <c r="C353">
        <v>32.22</v>
      </c>
      <c r="D353">
        <v>22.25</v>
      </c>
      <c r="E353">
        <v>298.8</v>
      </c>
      <c r="F353">
        <v>220.6</v>
      </c>
      <c r="G353">
        <v>146.6</v>
      </c>
      <c r="H353">
        <v>117.1</v>
      </c>
      <c r="I353">
        <v>110.1</v>
      </c>
      <c r="J353">
        <v>0.2797</v>
      </c>
      <c r="N353"/>
      <c r="V353" s="111"/>
      <c r="X353" s="111"/>
      <c r="Y353" s="111"/>
      <c r="Z353" s="111"/>
      <c r="AA353" s="111"/>
      <c r="AB353" s="111"/>
      <c r="AC353" s="111"/>
      <c r="AD353" s="111"/>
      <c r="AE353" s="111"/>
      <c r="AF353" s="111"/>
      <c r="AG353" s="111"/>
      <c r="AH353" s="111"/>
      <c r="AI353" s="111"/>
      <c r="AJ353" s="111"/>
    </row>
    <row r="354" spans="1:36" x14ac:dyDescent="0.55000000000000004">
      <c r="A354" t="s">
        <v>4206</v>
      </c>
      <c r="B354">
        <v>659.3</v>
      </c>
      <c r="C354">
        <v>40.43</v>
      </c>
      <c r="D354">
        <v>27.3</v>
      </c>
      <c r="E354">
        <v>505.2</v>
      </c>
      <c r="F354">
        <v>303.39999999999998</v>
      </c>
      <c r="G354">
        <v>181.4</v>
      </c>
      <c r="H354">
        <v>218.9</v>
      </c>
      <c r="I354">
        <v>213.5</v>
      </c>
      <c r="J354">
        <v>0.37740000000000001</v>
      </c>
      <c r="N354"/>
      <c r="O354" s="111"/>
      <c r="P354" s="111"/>
      <c r="T354" s="111"/>
      <c r="U354" s="111"/>
      <c r="V354" s="111"/>
      <c r="X354" s="111"/>
      <c r="Y354" s="111"/>
      <c r="Z354" s="111"/>
      <c r="AA354" s="111"/>
      <c r="AB354" s="111"/>
      <c r="AC354" s="111"/>
      <c r="AD354" s="111"/>
      <c r="AE354" s="111"/>
      <c r="AF354" s="111"/>
      <c r="AG354" s="111"/>
      <c r="AH354" s="111"/>
      <c r="AI354" s="111"/>
      <c r="AJ354" s="111"/>
    </row>
    <row r="355" spans="1:36" x14ac:dyDescent="0.55000000000000004">
      <c r="A355" t="s">
        <v>4207</v>
      </c>
      <c r="B355">
        <v>1044</v>
      </c>
      <c r="C355">
        <v>31.18</v>
      </c>
      <c r="D355">
        <v>20.170000000000002</v>
      </c>
      <c r="E355">
        <v>625.5</v>
      </c>
      <c r="F355">
        <v>295.89999999999998</v>
      </c>
      <c r="G355">
        <v>147.9</v>
      </c>
      <c r="H355">
        <v>270.7</v>
      </c>
      <c r="I355">
        <v>254.6</v>
      </c>
      <c r="J355">
        <v>0.25309999999999999</v>
      </c>
      <c r="N355"/>
      <c r="V355" s="111"/>
      <c r="X355" s="111"/>
      <c r="Y355" s="111"/>
      <c r="Z355" s="111"/>
      <c r="AA355" s="111"/>
      <c r="AB355" s="111"/>
      <c r="AC355" s="111"/>
      <c r="AD355" s="111"/>
      <c r="AE355" s="111"/>
      <c r="AF355" s="111"/>
      <c r="AG355" s="111"/>
      <c r="AH355" s="111"/>
      <c r="AI355" s="111"/>
      <c r="AJ355" s="111"/>
    </row>
    <row r="356" spans="1:36" x14ac:dyDescent="0.55000000000000004">
      <c r="A356" t="s">
        <v>4208</v>
      </c>
      <c r="B356">
        <v>1083</v>
      </c>
      <c r="C356">
        <v>32.96</v>
      </c>
      <c r="D356">
        <v>21.35</v>
      </c>
      <c r="E356">
        <v>651.29999999999995</v>
      </c>
      <c r="F356">
        <v>299.2</v>
      </c>
      <c r="G356">
        <v>143.4</v>
      </c>
      <c r="H356">
        <v>287.89999999999998</v>
      </c>
      <c r="I356">
        <v>269.3</v>
      </c>
      <c r="J356">
        <v>0.17169999999999999</v>
      </c>
      <c r="N356"/>
      <c r="V356"/>
      <c r="X356" s="111"/>
      <c r="Y356" s="111"/>
      <c r="Z356" s="111"/>
      <c r="AA356" s="111"/>
      <c r="AB356" s="111"/>
      <c r="AC356" s="111"/>
      <c r="AD356" s="111"/>
      <c r="AE356" s="111"/>
      <c r="AF356" s="111"/>
      <c r="AG356" s="111"/>
      <c r="AH356" s="111"/>
      <c r="AI356" s="111"/>
      <c r="AJ356" s="111"/>
    </row>
    <row r="357" spans="1:36" x14ac:dyDescent="0.55000000000000004">
      <c r="A357" t="s">
        <v>4209</v>
      </c>
      <c r="B357">
        <v>1112</v>
      </c>
      <c r="C357">
        <v>32.619999999999997</v>
      </c>
      <c r="D357">
        <v>25.67</v>
      </c>
      <c r="E357">
        <v>710.2</v>
      </c>
      <c r="F357">
        <v>301.3</v>
      </c>
      <c r="G357">
        <v>141.5</v>
      </c>
      <c r="H357">
        <v>257.7</v>
      </c>
      <c r="I357">
        <v>253.7</v>
      </c>
      <c r="J357">
        <v>0.17699999999999999</v>
      </c>
      <c r="N357"/>
      <c r="V357"/>
      <c r="X357" s="111"/>
      <c r="Y357" s="111"/>
      <c r="Z357" s="111"/>
      <c r="AA357" s="111"/>
      <c r="AB357" s="111"/>
      <c r="AC357" s="111"/>
      <c r="AD357" s="111"/>
      <c r="AE357" s="111"/>
      <c r="AF357" s="111"/>
      <c r="AG357" s="111"/>
      <c r="AH357" s="111"/>
      <c r="AI357" s="111"/>
      <c r="AJ357" s="111"/>
    </row>
    <row r="358" spans="1:36" x14ac:dyDescent="0.55000000000000004">
      <c r="A358" t="s">
        <v>4210</v>
      </c>
      <c r="B358">
        <v>1223</v>
      </c>
      <c r="C358">
        <v>53.64</v>
      </c>
      <c r="D358">
        <v>38.57</v>
      </c>
      <c r="E358">
        <v>757.5</v>
      </c>
      <c r="F358">
        <v>355.3</v>
      </c>
      <c r="G358">
        <v>180.2</v>
      </c>
      <c r="H358">
        <v>331.6</v>
      </c>
      <c r="I358">
        <v>323.39999999999998</v>
      </c>
      <c r="J358">
        <v>0.24959999999999999</v>
      </c>
      <c r="N358"/>
      <c r="V358" s="111"/>
      <c r="X358" s="111"/>
      <c r="Y358" s="111"/>
      <c r="Z358" s="111"/>
      <c r="AA358" s="111"/>
      <c r="AB358" s="111"/>
      <c r="AC358" s="111"/>
      <c r="AD358" s="111"/>
      <c r="AE358" s="111"/>
      <c r="AF358" s="111"/>
      <c r="AG358" s="111"/>
      <c r="AH358" s="111"/>
      <c r="AI358" s="111"/>
      <c r="AJ358" s="111"/>
    </row>
    <row r="359" spans="1:36" x14ac:dyDescent="0.55000000000000004">
      <c r="A359" t="s">
        <v>4211</v>
      </c>
      <c r="B359">
        <v>1081</v>
      </c>
      <c r="C359">
        <v>47.8</v>
      </c>
      <c r="D359">
        <v>35.65</v>
      </c>
      <c r="E359">
        <v>698.7</v>
      </c>
      <c r="F359">
        <v>326.7</v>
      </c>
      <c r="G359">
        <v>177.3</v>
      </c>
      <c r="H359">
        <v>286.60000000000002</v>
      </c>
      <c r="I359">
        <v>282.7</v>
      </c>
      <c r="J359">
        <v>0.2742</v>
      </c>
      <c r="N359"/>
      <c r="V359" s="111"/>
      <c r="X359" s="111"/>
      <c r="Y359" s="111"/>
      <c r="Z359" s="111"/>
      <c r="AA359" s="111"/>
      <c r="AB359" s="111"/>
      <c r="AC359" s="111"/>
      <c r="AD359" s="111"/>
      <c r="AE359" s="111"/>
      <c r="AF359" s="111"/>
      <c r="AG359" s="111"/>
      <c r="AH359" s="111"/>
      <c r="AI359" s="111"/>
      <c r="AJ359" s="111"/>
    </row>
    <row r="360" spans="1:36" x14ac:dyDescent="0.55000000000000004">
      <c r="A360" t="s">
        <v>4212</v>
      </c>
      <c r="B360">
        <v>733.3</v>
      </c>
      <c r="C360">
        <v>31.38</v>
      </c>
      <c r="D360">
        <v>22.07</v>
      </c>
      <c r="E360">
        <v>525.4</v>
      </c>
      <c r="F360">
        <v>283.2</v>
      </c>
      <c r="G360">
        <v>149.80000000000001</v>
      </c>
      <c r="H360">
        <v>177.5</v>
      </c>
      <c r="I360">
        <v>163.19999999999999</v>
      </c>
      <c r="J360">
        <v>0.27279999999999999</v>
      </c>
      <c r="N360"/>
      <c r="V360" s="111"/>
      <c r="X360" s="111"/>
      <c r="Y360" s="111"/>
      <c r="Z360" s="111"/>
      <c r="AA360" s="111"/>
      <c r="AB360" s="111"/>
      <c r="AC360" s="111"/>
      <c r="AD360" s="111"/>
      <c r="AE360" s="111"/>
      <c r="AF360" s="111"/>
      <c r="AG360" s="111"/>
      <c r="AH360" s="111"/>
      <c r="AI360" s="111"/>
      <c r="AJ360" s="111"/>
    </row>
    <row r="361" spans="1:36" x14ac:dyDescent="0.55000000000000004">
      <c r="A361" t="s">
        <v>4213</v>
      </c>
      <c r="B361">
        <v>1174</v>
      </c>
      <c r="C361">
        <v>63.66</v>
      </c>
      <c r="D361">
        <v>42.99</v>
      </c>
      <c r="E361">
        <v>702.1</v>
      </c>
      <c r="F361">
        <v>336.3</v>
      </c>
      <c r="G361">
        <v>188.5</v>
      </c>
      <c r="H361">
        <v>351.7</v>
      </c>
      <c r="I361">
        <v>345.4</v>
      </c>
      <c r="J361">
        <v>0.28999999999999998</v>
      </c>
      <c r="N361"/>
      <c r="V361" s="111"/>
      <c r="X361" s="111"/>
      <c r="Y361" s="111"/>
      <c r="Z361" s="111"/>
      <c r="AA361" s="111"/>
      <c r="AB361" s="111"/>
      <c r="AC361" s="111"/>
      <c r="AD361" s="111"/>
      <c r="AE361" s="111"/>
      <c r="AF361" s="111"/>
      <c r="AG361" s="111"/>
      <c r="AH361" s="111"/>
      <c r="AI361" s="111"/>
      <c r="AJ361" s="111"/>
    </row>
    <row r="362" spans="1:36" x14ac:dyDescent="0.55000000000000004">
      <c r="A362" t="s">
        <v>4214</v>
      </c>
      <c r="B362">
        <v>1185</v>
      </c>
      <c r="C362">
        <v>35.44</v>
      </c>
      <c r="D362">
        <v>24.98</v>
      </c>
      <c r="E362">
        <v>684.8</v>
      </c>
      <c r="F362">
        <v>304.10000000000002</v>
      </c>
      <c r="G362">
        <v>158.80000000000001</v>
      </c>
      <c r="H362">
        <v>293.89999999999998</v>
      </c>
      <c r="I362">
        <v>276.3</v>
      </c>
      <c r="J362">
        <v>0.26819999999999999</v>
      </c>
      <c r="N362"/>
      <c r="V362" s="111"/>
      <c r="X362" s="111"/>
      <c r="Y362" s="111"/>
      <c r="Z362" s="111"/>
      <c r="AA362" s="111"/>
      <c r="AB362" s="111"/>
      <c r="AC362" s="111"/>
      <c r="AD362" s="111"/>
      <c r="AE362" s="111"/>
      <c r="AF362" s="111"/>
      <c r="AG362" s="111"/>
      <c r="AH362" s="111"/>
      <c r="AI362" s="111"/>
      <c r="AJ362" s="111"/>
    </row>
    <row r="363" spans="1:36" x14ac:dyDescent="0.55000000000000004">
      <c r="A363" t="s">
        <v>4215</v>
      </c>
      <c r="B363">
        <v>1221</v>
      </c>
      <c r="C363">
        <v>73.16</v>
      </c>
      <c r="D363">
        <v>49.76</v>
      </c>
      <c r="E363">
        <v>761.4</v>
      </c>
      <c r="F363">
        <v>385.4</v>
      </c>
      <c r="G363">
        <v>215.2</v>
      </c>
      <c r="H363">
        <v>326.10000000000002</v>
      </c>
      <c r="I363">
        <v>313</v>
      </c>
      <c r="J363">
        <v>0.30680000000000002</v>
      </c>
      <c r="N363"/>
      <c r="V363" s="111"/>
      <c r="X363" s="111"/>
      <c r="Y363" s="111"/>
      <c r="Z363" s="111"/>
      <c r="AA363" s="111"/>
      <c r="AB363" s="111"/>
      <c r="AC363" s="111"/>
      <c r="AD363" s="111"/>
      <c r="AE363" s="111"/>
      <c r="AF363" s="111"/>
      <c r="AG363" s="111"/>
      <c r="AH363" s="111"/>
      <c r="AI363" s="111"/>
      <c r="AJ363" s="111"/>
    </row>
    <row r="364" spans="1:36" x14ac:dyDescent="0.55000000000000004">
      <c r="A364" t="s">
        <v>4216</v>
      </c>
      <c r="B364">
        <v>1083</v>
      </c>
      <c r="C364">
        <v>39.24</v>
      </c>
      <c r="D364">
        <v>26.25</v>
      </c>
      <c r="E364">
        <v>674.2</v>
      </c>
      <c r="F364">
        <v>312.10000000000002</v>
      </c>
      <c r="G364">
        <v>171.8</v>
      </c>
      <c r="H364">
        <v>268.60000000000002</v>
      </c>
      <c r="I364">
        <v>256.5</v>
      </c>
      <c r="J364">
        <v>0.34649999999999997</v>
      </c>
      <c r="N364"/>
      <c r="V364" s="111"/>
      <c r="X364" s="111"/>
      <c r="Y364" s="111"/>
      <c r="Z364" s="111"/>
      <c r="AA364" s="111"/>
      <c r="AB364" s="111"/>
      <c r="AC364" s="111"/>
      <c r="AD364" s="111"/>
      <c r="AE364" s="111"/>
      <c r="AF364" s="111"/>
      <c r="AG364" s="111"/>
      <c r="AH364" s="111"/>
      <c r="AI364" s="111"/>
      <c r="AJ364" s="111"/>
    </row>
    <row r="365" spans="1:36" x14ac:dyDescent="0.55000000000000004">
      <c r="A365" t="s">
        <v>4217</v>
      </c>
      <c r="B365">
        <v>1563</v>
      </c>
      <c r="C365">
        <v>133.4</v>
      </c>
      <c r="D365">
        <v>81.349999999999994</v>
      </c>
      <c r="E365">
        <v>986.7</v>
      </c>
      <c r="F365">
        <v>443</v>
      </c>
      <c r="G365">
        <v>285.8</v>
      </c>
      <c r="H365">
        <v>534.6</v>
      </c>
      <c r="I365">
        <v>528.6</v>
      </c>
      <c r="J365">
        <v>0.31769999999999998</v>
      </c>
      <c r="N365"/>
      <c r="V365"/>
      <c r="X365" s="111"/>
      <c r="Y365" s="111"/>
      <c r="Z365" s="111"/>
      <c r="AA365" s="111"/>
      <c r="AB365" s="111"/>
      <c r="AC365" s="111"/>
      <c r="AD365" s="111"/>
      <c r="AE365" s="111"/>
      <c r="AF365" s="111"/>
      <c r="AG365" s="111"/>
      <c r="AH365" s="111"/>
      <c r="AI365" s="111"/>
      <c r="AJ365" s="111"/>
    </row>
    <row r="366" spans="1:36" x14ac:dyDescent="0.55000000000000004">
      <c r="A366" t="s">
        <v>4218</v>
      </c>
      <c r="B366">
        <v>1186</v>
      </c>
      <c r="C366">
        <v>41.61</v>
      </c>
      <c r="D366">
        <v>28.79</v>
      </c>
      <c r="E366">
        <v>709.2</v>
      </c>
      <c r="F366">
        <v>307</v>
      </c>
      <c r="G366">
        <v>161.9</v>
      </c>
      <c r="H366">
        <v>318.7</v>
      </c>
      <c r="I366">
        <v>307.2</v>
      </c>
      <c r="J366">
        <v>0.33289999999999997</v>
      </c>
      <c r="N366"/>
      <c r="V366" s="111"/>
      <c r="X366" s="111"/>
      <c r="Y366" s="111"/>
      <c r="Z366" s="111"/>
      <c r="AA366" s="111"/>
      <c r="AB366" s="111"/>
      <c r="AC366" s="111"/>
      <c r="AD366" s="111"/>
      <c r="AE366" s="111"/>
      <c r="AF366" s="111"/>
      <c r="AG366" s="111"/>
      <c r="AH366" s="111"/>
      <c r="AI366" s="111"/>
      <c r="AJ366" s="111"/>
    </row>
    <row r="367" spans="1:36" x14ac:dyDescent="0.55000000000000004">
      <c r="A367" t="s">
        <v>4219</v>
      </c>
      <c r="B367">
        <v>1296</v>
      </c>
      <c r="C367">
        <v>40.96</v>
      </c>
      <c r="D367">
        <v>27.49</v>
      </c>
      <c r="E367">
        <v>767.5</v>
      </c>
      <c r="F367">
        <v>348.5</v>
      </c>
      <c r="G367">
        <v>184.7</v>
      </c>
      <c r="H367">
        <v>351.8</v>
      </c>
      <c r="I367">
        <v>342.9</v>
      </c>
      <c r="J367">
        <v>0.34399999999999997</v>
      </c>
      <c r="N367"/>
      <c r="V367" s="111"/>
      <c r="X367" s="111"/>
      <c r="Y367" s="111"/>
      <c r="Z367" s="111"/>
      <c r="AA367" s="111"/>
      <c r="AB367" s="111"/>
      <c r="AC367" s="111"/>
      <c r="AD367" s="111"/>
      <c r="AE367" s="111"/>
      <c r="AF367" s="111"/>
      <c r="AG367" s="111"/>
      <c r="AH367" s="111"/>
      <c r="AI367" s="111"/>
      <c r="AJ367" s="111"/>
    </row>
    <row r="368" spans="1:36" x14ac:dyDescent="0.55000000000000004">
      <c r="A368" t="s">
        <v>4220</v>
      </c>
      <c r="B368">
        <v>1144</v>
      </c>
      <c r="C368">
        <v>40.549999999999997</v>
      </c>
      <c r="D368">
        <v>18.920000000000002</v>
      </c>
      <c r="E368">
        <v>670.1</v>
      </c>
      <c r="F368">
        <v>258.7</v>
      </c>
      <c r="G368">
        <v>132</v>
      </c>
      <c r="H368">
        <v>689.3</v>
      </c>
      <c r="I368">
        <v>675.5</v>
      </c>
      <c r="J368">
        <v>0.38719999999999999</v>
      </c>
      <c r="N368"/>
      <c r="V368" s="111"/>
      <c r="X368" s="111"/>
      <c r="Y368" s="111"/>
      <c r="Z368" s="111"/>
      <c r="AA368" s="111"/>
      <c r="AB368" s="111"/>
      <c r="AC368" s="111"/>
      <c r="AD368" s="111"/>
      <c r="AE368" s="111"/>
      <c r="AF368" s="111"/>
      <c r="AG368" s="111"/>
      <c r="AH368" s="111"/>
      <c r="AI368" s="111"/>
      <c r="AJ368" s="111"/>
    </row>
    <row r="369" spans="1:36" x14ac:dyDescent="0.55000000000000004">
      <c r="A369" t="s">
        <v>4221</v>
      </c>
      <c r="B369">
        <v>1494</v>
      </c>
      <c r="C369">
        <v>94.97</v>
      </c>
      <c r="D369">
        <v>65</v>
      </c>
      <c r="E369">
        <v>946.1</v>
      </c>
      <c r="F369">
        <v>446.6</v>
      </c>
      <c r="G369">
        <v>266.39999999999998</v>
      </c>
      <c r="H369">
        <v>517.1</v>
      </c>
      <c r="I369">
        <v>513.9</v>
      </c>
      <c r="J369">
        <v>0.2989</v>
      </c>
      <c r="N369"/>
      <c r="V369" s="111"/>
      <c r="X369" s="111"/>
      <c r="Y369" s="111"/>
      <c r="Z369" s="111"/>
      <c r="AA369" s="111"/>
      <c r="AB369" s="111"/>
      <c r="AC369" s="111"/>
      <c r="AD369" s="111"/>
      <c r="AE369" s="111"/>
      <c r="AF369" s="111"/>
      <c r="AG369" s="111"/>
      <c r="AH369" s="111"/>
      <c r="AI369" s="111"/>
      <c r="AJ369" s="111"/>
    </row>
    <row r="370" spans="1:36" x14ac:dyDescent="0.55000000000000004">
      <c r="A370" t="s">
        <v>4222</v>
      </c>
      <c r="B370">
        <v>815.5</v>
      </c>
      <c r="C370">
        <v>36.049999999999997</v>
      </c>
      <c r="D370">
        <v>21.3</v>
      </c>
      <c r="E370">
        <v>505.5</v>
      </c>
      <c r="F370">
        <v>233.2</v>
      </c>
      <c r="G370">
        <v>136.1</v>
      </c>
      <c r="H370">
        <v>664.7</v>
      </c>
      <c r="I370">
        <v>655.9</v>
      </c>
      <c r="J370">
        <v>0.37340000000000001</v>
      </c>
      <c r="N370"/>
      <c r="V370" s="111"/>
      <c r="X370" s="111"/>
      <c r="Y370" s="111"/>
      <c r="Z370" s="111"/>
      <c r="AA370" s="111"/>
      <c r="AB370" s="111"/>
      <c r="AC370" s="111"/>
      <c r="AD370" s="111"/>
      <c r="AE370" s="111"/>
      <c r="AF370" s="111"/>
      <c r="AG370" s="111"/>
      <c r="AH370" s="111"/>
      <c r="AI370" s="111"/>
      <c r="AJ370" s="111"/>
    </row>
    <row r="371" spans="1:36" x14ac:dyDescent="0.55000000000000004">
      <c r="A371" t="s">
        <v>4223</v>
      </c>
      <c r="B371">
        <v>1472</v>
      </c>
      <c r="C371">
        <v>73.87</v>
      </c>
      <c r="D371">
        <v>52.84</v>
      </c>
      <c r="E371">
        <v>911.2</v>
      </c>
      <c r="F371">
        <v>388.9</v>
      </c>
      <c r="G371">
        <v>189.8</v>
      </c>
      <c r="H371">
        <v>465.9</v>
      </c>
      <c r="I371">
        <v>460.9</v>
      </c>
      <c r="J371">
        <v>0.2651</v>
      </c>
      <c r="N371"/>
      <c r="O371" s="111"/>
      <c r="P371" s="111"/>
      <c r="V371" s="111"/>
      <c r="X371" s="111"/>
      <c r="Y371" s="111"/>
      <c r="Z371" s="111"/>
      <c r="AA371" s="111"/>
      <c r="AB371" s="111"/>
      <c r="AC371" s="111"/>
      <c r="AD371" s="111"/>
      <c r="AE371" s="111"/>
      <c r="AF371" s="111"/>
      <c r="AG371" s="111"/>
      <c r="AH371" s="111"/>
      <c r="AI371" s="111"/>
      <c r="AJ371" s="111"/>
    </row>
    <row r="372" spans="1:36" x14ac:dyDescent="0.55000000000000004">
      <c r="A372" t="s">
        <v>4224</v>
      </c>
      <c r="B372">
        <v>421.2</v>
      </c>
      <c r="C372">
        <v>32.26</v>
      </c>
      <c r="D372">
        <v>22.19</v>
      </c>
      <c r="E372">
        <v>294.3</v>
      </c>
      <c r="F372">
        <v>152.69999999999999</v>
      </c>
      <c r="G372">
        <v>110.8</v>
      </c>
      <c r="H372">
        <v>132.30000000000001</v>
      </c>
      <c r="I372">
        <v>129.1</v>
      </c>
      <c r="J372">
        <v>0.24340000000000001</v>
      </c>
      <c r="N372"/>
      <c r="V372" s="111"/>
      <c r="X372" s="111"/>
      <c r="Y372" s="111"/>
      <c r="Z372" s="111"/>
      <c r="AA372" s="111"/>
      <c r="AB372" s="111"/>
      <c r="AC372" s="111"/>
      <c r="AD372" s="111"/>
      <c r="AE372" s="111"/>
      <c r="AF372" s="111"/>
      <c r="AG372" s="111"/>
      <c r="AH372" s="111"/>
      <c r="AI372" s="111"/>
      <c r="AJ372" s="111"/>
    </row>
    <row r="373" spans="1:36" x14ac:dyDescent="0.55000000000000004">
      <c r="A373" t="s">
        <v>4225</v>
      </c>
      <c r="B373">
        <v>1290</v>
      </c>
      <c r="C373">
        <v>45.74</v>
      </c>
      <c r="D373">
        <v>35.14</v>
      </c>
      <c r="E373">
        <v>863</v>
      </c>
      <c r="F373">
        <v>369.5</v>
      </c>
      <c r="G373">
        <v>180</v>
      </c>
      <c r="H373">
        <v>329.8</v>
      </c>
      <c r="I373">
        <v>326.89999999999998</v>
      </c>
      <c r="J373">
        <v>0.27910000000000001</v>
      </c>
      <c r="N373"/>
      <c r="P373" s="111"/>
      <c r="V373" s="111"/>
      <c r="X373" s="111"/>
      <c r="Y373" s="111"/>
      <c r="Z373" s="111"/>
      <c r="AA373" s="111"/>
      <c r="AB373" s="111"/>
      <c r="AC373" s="111"/>
      <c r="AD373" s="111"/>
      <c r="AE373" s="111"/>
      <c r="AF373" s="111"/>
      <c r="AG373" s="111"/>
      <c r="AH373" s="111"/>
      <c r="AI373" s="111"/>
      <c r="AJ373" s="111"/>
    </row>
    <row r="374" spans="1:36" x14ac:dyDescent="0.55000000000000004">
      <c r="A374" t="s">
        <v>4226</v>
      </c>
      <c r="B374">
        <v>95.62</v>
      </c>
      <c r="C374">
        <v>11.98</v>
      </c>
      <c r="D374">
        <v>8.8140000000000001</v>
      </c>
      <c r="E374">
        <v>68.180000000000007</v>
      </c>
      <c r="F374">
        <v>56.2</v>
      </c>
      <c r="G374">
        <v>41.62</v>
      </c>
      <c r="H374">
        <v>27.81</v>
      </c>
      <c r="I374">
        <v>26.56</v>
      </c>
      <c r="J374">
        <v>0.1318</v>
      </c>
      <c r="N374"/>
      <c r="V374" s="111"/>
      <c r="X374" s="111"/>
      <c r="Y374" s="111"/>
      <c r="Z374" s="111"/>
      <c r="AA374" s="111"/>
      <c r="AB374" s="111"/>
      <c r="AC374" s="111"/>
      <c r="AD374" s="111"/>
      <c r="AE374" s="111"/>
      <c r="AF374" s="111"/>
      <c r="AG374" s="111"/>
      <c r="AH374" s="111"/>
      <c r="AI374" s="111"/>
      <c r="AJ374" s="111"/>
    </row>
    <row r="375" spans="1:36" x14ac:dyDescent="0.55000000000000004">
      <c r="A375" t="s">
        <v>4227</v>
      </c>
      <c r="B375">
        <v>122.4</v>
      </c>
      <c r="C375">
        <v>13.83</v>
      </c>
      <c r="D375">
        <v>9.5020000000000007</v>
      </c>
      <c r="E375">
        <v>85.23</v>
      </c>
      <c r="F375">
        <v>63.99</v>
      </c>
      <c r="G375">
        <v>49.84</v>
      </c>
      <c r="H375">
        <v>38.11</v>
      </c>
      <c r="I375">
        <v>37.29</v>
      </c>
      <c r="J375">
        <v>0.14760000000000001</v>
      </c>
      <c r="N375"/>
      <c r="O375" s="111"/>
      <c r="P375" s="111"/>
      <c r="V375" s="111"/>
      <c r="X375" s="111"/>
      <c r="Y375" s="111"/>
      <c r="Z375" s="111"/>
      <c r="AA375" s="111"/>
      <c r="AB375" s="111"/>
      <c r="AC375" s="111"/>
      <c r="AD375" s="111"/>
      <c r="AE375" s="111"/>
      <c r="AF375" s="111"/>
      <c r="AG375" s="111"/>
      <c r="AH375" s="111"/>
      <c r="AI375" s="111"/>
      <c r="AJ375" s="111"/>
    </row>
    <row r="376" spans="1:36" x14ac:dyDescent="0.55000000000000004">
      <c r="A376" t="s">
        <v>4228</v>
      </c>
      <c r="B376">
        <v>154.30000000000001</v>
      </c>
      <c r="C376">
        <v>14.95</v>
      </c>
      <c r="D376">
        <v>9.5340000000000007</v>
      </c>
      <c r="E376">
        <v>114.7</v>
      </c>
      <c r="F376">
        <v>76.97</v>
      </c>
      <c r="G376">
        <v>55.62</v>
      </c>
      <c r="H376">
        <v>56.91</v>
      </c>
      <c r="I376">
        <v>52.5</v>
      </c>
      <c r="J376">
        <v>0.14960000000000001</v>
      </c>
      <c r="N376"/>
      <c r="V376" s="111"/>
      <c r="X376" s="111"/>
      <c r="Y376" s="111"/>
      <c r="Z376" s="111"/>
      <c r="AA376" s="111"/>
      <c r="AB376" s="111"/>
      <c r="AC376" s="111"/>
      <c r="AD376" s="111"/>
      <c r="AE376" s="111"/>
      <c r="AF376" s="111"/>
      <c r="AG376" s="111"/>
      <c r="AH376" s="111"/>
      <c r="AI376" s="111"/>
      <c r="AJ376" s="111"/>
    </row>
    <row r="377" spans="1:36" x14ac:dyDescent="0.55000000000000004">
      <c r="A377" t="s">
        <v>4229</v>
      </c>
      <c r="B377">
        <v>378.3</v>
      </c>
      <c r="C377">
        <v>15.87</v>
      </c>
      <c r="D377">
        <v>10.3</v>
      </c>
      <c r="E377">
        <v>247.8</v>
      </c>
      <c r="F377">
        <v>135.1</v>
      </c>
      <c r="G377">
        <v>83.31</v>
      </c>
      <c r="H377">
        <v>93.56</v>
      </c>
      <c r="I377">
        <v>91.25</v>
      </c>
      <c r="J377">
        <v>0.17929999999999999</v>
      </c>
      <c r="N377"/>
      <c r="V377" s="111"/>
      <c r="X377" s="111"/>
      <c r="Y377" s="111"/>
      <c r="Z377" s="111"/>
      <c r="AA377" s="111"/>
      <c r="AB377" s="111"/>
      <c r="AC377" s="111"/>
      <c r="AD377" s="111"/>
      <c r="AE377" s="111"/>
      <c r="AF377" s="111"/>
      <c r="AG377" s="111"/>
      <c r="AH377" s="111"/>
      <c r="AI377" s="111"/>
      <c r="AJ377" s="111"/>
    </row>
    <row r="378" spans="1:36" x14ac:dyDescent="0.55000000000000004">
      <c r="A378" t="s">
        <v>4230</v>
      </c>
      <c r="B378">
        <v>145.19999999999999</v>
      </c>
      <c r="C378">
        <v>12.84</v>
      </c>
      <c r="D378">
        <v>6.5220000000000002</v>
      </c>
      <c r="E378">
        <v>97.07</v>
      </c>
      <c r="F378">
        <v>72.11</v>
      </c>
      <c r="G378">
        <v>53.64</v>
      </c>
      <c r="H378">
        <v>43.64</v>
      </c>
      <c r="I378">
        <v>41.29</v>
      </c>
      <c r="J378">
        <v>0.1729</v>
      </c>
      <c r="N378"/>
      <c r="V378" s="111"/>
      <c r="X378" s="111"/>
      <c r="Y378" s="111"/>
      <c r="Z378" s="111"/>
      <c r="AA378" s="111"/>
      <c r="AB378" s="111"/>
      <c r="AC378" s="111"/>
      <c r="AD378" s="111"/>
      <c r="AE378" s="111"/>
      <c r="AF378" s="111"/>
      <c r="AG378" s="111"/>
      <c r="AH378" s="111"/>
      <c r="AI378" s="111"/>
      <c r="AJ378" s="111"/>
    </row>
    <row r="379" spans="1:36" x14ac:dyDescent="0.55000000000000004">
      <c r="A379" t="s">
        <v>4231</v>
      </c>
      <c r="B379">
        <v>123.4</v>
      </c>
      <c r="C379">
        <v>14.87</v>
      </c>
      <c r="D379">
        <v>10.01</v>
      </c>
      <c r="E379">
        <v>86.98</v>
      </c>
      <c r="F379">
        <v>59.8</v>
      </c>
      <c r="G379">
        <v>45.59</v>
      </c>
      <c r="H379">
        <v>44.95</v>
      </c>
      <c r="I379">
        <v>43.1</v>
      </c>
      <c r="J379">
        <v>0.1308</v>
      </c>
      <c r="N379"/>
      <c r="V379" s="111"/>
      <c r="X379" s="111"/>
      <c r="Y379" s="111"/>
      <c r="Z379" s="111"/>
      <c r="AA379" s="111"/>
      <c r="AB379" s="111"/>
      <c r="AC379" s="111"/>
      <c r="AD379" s="111"/>
      <c r="AE379" s="111"/>
      <c r="AF379" s="111"/>
      <c r="AG379" s="111"/>
      <c r="AH379" s="111"/>
      <c r="AI379" s="111"/>
      <c r="AJ379" s="111"/>
    </row>
    <row r="380" spans="1:36" x14ac:dyDescent="0.55000000000000004">
      <c r="A380" t="s">
        <v>4232</v>
      </c>
      <c r="B380">
        <v>151.6</v>
      </c>
      <c r="C380">
        <v>15.11</v>
      </c>
      <c r="D380">
        <v>9.2479999999999993</v>
      </c>
      <c r="E380">
        <v>101</v>
      </c>
      <c r="F380">
        <v>71.52</v>
      </c>
      <c r="G380">
        <v>55.89</v>
      </c>
      <c r="H380">
        <v>46.48</v>
      </c>
      <c r="I380">
        <v>43.4</v>
      </c>
      <c r="J380">
        <v>0.14149999999999999</v>
      </c>
      <c r="N380"/>
      <c r="V380" s="111"/>
      <c r="X380" s="111"/>
      <c r="Y380" s="111"/>
      <c r="Z380" s="111"/>
      <c r="AA380" s="111"/>
      <c r="AB380" s="111"/>
      <c r="AC380" s="111"/>
      <c r="AD380" s="111"/>
      <c r="AE380" s="111"/>
      <c r="AF380" s="111"/>
      <c r="AG380" s="111"/>
      <c r="AH380" s="111"/>
      <c r="AI380" s="111"/>
      <c r="AJ380" s="111"/>
    </row>
    <row r="381" spans="1:36" x14ac:dyDescent="0.55000000000000004">
      <c r="A381" t="s">
        <v>4233</v>
      </c>
      <c r="B381">
        <v>140</v>
      </c>
      <c r="C381">
        <v>11.8</v>
      </c>
      <c r="D381">
        <v>7.2329999999999997</v>
      </c>
      <c r="E381">
        <v>88.22</v>
      </c>
      <c r="F381">
        <v>64.849999999999994</v>
      </c>
      <c r="G381">
        <v>47.78</v>
      </c>
      <c r="H381">
        <v>33.380000000000003</v>
      </c>
      <c r="I381">
        <v>31.24</v>
      </c>
      <c r="J381">
        <v>0.1812</v>
      </c>
      <c r="N381"/>
      <c r="V381" s="111"/>
      <c r="X381" s="111"/>
      <c r="Y381" s="111"/>
      <c r="Z381" s="111"/>
      <c r="AA381" s="111"/>
      <c r="AB381" s="111"/>
      <c r="AC381" s="111"/>
      <c r="AD381" s="111"/>
      <c r="AE381" s="111"/>
      <c r="AF381" s="111"/>
      <c r="AG381" s="111"/>
      <c r="AH381" s="111"/>
      <c r="AI381" s="111"/>
      <c r="AJ381" s="111"/>
    </row>
    <row r="382" spans="1:36" x14ac:dyDescent="0.55000000000000004">
      <c r="A382" t="s">
        <v>4234</v>
      </c>
      <c r="B382">
        <v>175.6</v>
      </c>
      <c r="C382">
        <v>17.84</v>
      </c>
      <c r="D382">
        <v>11.13</v>
      </c>
      <c r="E382">
        <v>131.1</v>
      </c>
      <c r="F382">
        <v>79.739999999999995</v>
      </c>
      <c r="G382">
        <v>61.56</v>
      </c>
      <c r="H382">
        <v>57.83</v>
      </c>
      <c r="I382">
        <v>54.61</v>
      </c>
      <c r="J382">
        <v>0.13919999999999999</v>
      </c>
      <c r="N382"/>
      <c r="V382" s="111"/>
      <c r="X382" s="111"/>
      <c r="Y382" s="111"/>
      <c r="Z382" s="111"/>
      <c r="AA382" s="111"/>
      <c r="AB382" s="111"/>
      <c r="AC382" s="111"/>
      <c r="AD382" s="111"/>
      <c r="AE382" s="111"/>
      <c r="AF382" s="111"/>
      <c r="AG382" s="111"/>
      <c r="AH382" s="111"/>
      <c r="AI382" s="111"/>
      <c r="AJ382" s="111"/>
    </row>
    <row r="383" spans="1:36" x14ac:dyDescent="0.55000000000000004">
      <c r="A383" t="s">
        <v>4235</v>
      </c>
      <c r="B383">
        <v>163.9</v>
      </c>
      <c r="C383">
        <v>11.07</v>
      </c>
      <c r="D383">
        <v>6.2510000000000003</v>
      </c>
      <c r="E383">
        <v>98.81</v>
      </c>
      <c r="F383">
        <v>78.2</v>
      </c>
      <c r="G383">
        <v>52.47</v>
      </c>
      <c r="H383">
        <v>36.82</v>
      </c>
      <c r="I383">
        <v>34.5</v>
      </c>
      <c r="J383">
        <v>0.2036</v>
      </c>
      <c r="N383"/>
      <c r="V383" s="111"/>
      <c r="X383" s="111"/>
      <c r="Y383" s="111"/>
      <c r="Z383" s="111"/>
      <c r="AA383" s="111"/>
      <c r="AB383" s="111"/>
      <c r="AC383" s="111"/>
      <c r="AD383" s="111"/>
      <c r="AE383" s="111"/>
      <c r="AF383" s="111"/>
      <c r="AG383" s="111"/>
      <c r="AH383" s="111"/>
      <c r="AI383" s="111"/>
      <c r="AJ383" s="111"/>
    </row>
    <row r="384" spans="1:36" x14ac:dyDescent="0.55000000000000004">
      <c r="A384" t="s">
        <v>4236</v>
      </c>
      <c r="B384">
        <v>484.1</v>
      </c>
      <c r="C384">
        <v>41.49</v>
      </c>
      <c r="D384">
        <v>25.86</v>
      </c>
      <c r="E384">
        <v>366.3</v>
      </c>
      <c r="F384">
        <v>228</v>
      </c>
      <c r="G384">
        <v>120.3</v>
      </c>
      <c r="H384">
        <v>167.8</v>
      </c>
      <c r="I384">
        <v>163.6</v>
      </c>
      <c r="J384">
        <v>0.1633</v>
      </c>
      <c r="N384"/>
      <c r="V384" s="111"/>
      <c r="X384" s="111"/>
      <c r="Y384" s="111"/>
      <c r="Z384" s="111"/>
      <c r="AA384" s="111"/>
      <c r="AB384" s="111"/>
      <c r="AC384" s="111"/>
      <c r="AD384" s="111"/>
      <c r="AE384" s="111"/>
      <c r="AF384" s="111"/>
      <c r="AG384" s="111"/>
      <c r="AH384" s="111"/>
      <c r="AI384" s="111"/>
      <c r="AJ384" s="111"/>
    </row>
    <row r="385" spans="1:36" x14ac:dyDescent="0.55000000000000004">
      <c r="A385" t="s">
        <v>4237</v>
      </c>
      <c r="B385">
        <v>146.9</v>
      </c>
      <c r="C385">
        <v>16.29</v>
      </c>
      <c r="D385">
        <v>10.07</v>
      </c>
      <c r="E385">
        <v>126.2</v>
      </c>
      <c r="F385">
        <v>85.36</v>
      </c>
      <c r="G385">
        <v>68.19</v>
      </c>
      <c r="H385">
        <v>51.42</v>
      </c>
      <c r="I385">
        <v>49.02</v>
      </c>
      <c r="J385">
        <v>0.13519999999999999</v>
      </c>
      <c r="N385"/>
      <c r="V385"/>
      <c r="X385" s="111"/>
      <c r="Y385" s="111"/>
      <c r="Z385" s="111"/>
      <c r="AA385" s="111"/>
      <c r="AB385" s="111"/>
      <c r="AC385" s="111"/>
      <c r="AD385" s="111"/>
      <c r="AE385" s="111"/>
      <c r="AF385" s="111"/>
      <c r="AG385" s="111"/>
      <c r="AH385" s="111"/>
      <c r="AI385" s="111"/>
      <c r="AJ385" s="111"/>
    </row>
    <row r="386" spans="1:36" x14ac:dyDescent="0.55000000000000004">
      <c r="A386" t="s">
        <v>4238</v>
      </c>
      <c r="B386">
        <v>761.9</v>
      </c>
      <c r="C386">
        <v>55.6</v>
      </c>
      <c r="D386">
        <v>34.090000000000003</v>
      </c>
      <c r="E386">
        <v>571.6</v>
      </c>
      <c r="F386">
        <v>278.7</v>
      </c>
      <c r="G386">
        <v>170.9</v>
      </c>
      <c r="H386">
        <v>262.2</v>
      </c>
      <c r="I386">
        <v>257.3</v>
      </c>
      <c r="J386">
        <v>0.19850000000000001</v>
      </c>
      <c r="N386"/>
      <c r="V386" s="111"/>
      <c r="X386" s="111"/>
      <c r="Y386" s="111"/>
      <c r="Z386" s="111"/>
      <c r="AA386" s="111"/>
      <c r="AB386" s="111"/>
      <c r="AC386" s="111"/>
      <c r="AD386" s="111"/>
      <c r="AE386" s="111"/>
      <c r="AF386" s="111"/>
      <c r="AG386" s="111"/>
      <c r="AH386" s="111"/>
      <c r="AI386" s="111"/>
      <c r="AJ386" s="111"/>
    </row>
    <row r="387" spans="1:36" x14ac:dyDescent="0.55000000000000004">
      <c r="A387" t="s">
        <v>4239</v>
      </c>
      <c r="B387">
        <v>547.1</v>
      </c>
      <c r="C387">
        <v>23.36</v>
      </c>
      <c r="D387">
        <v>14.99</v>
      </c>
      <c r="E387">
        <v>387</v>
      </c>
      <c r="F387">
        <v>167.4</v>
      </c>
      <c r="G387">
        <v>104.3</v>
      </c>
      <c r="H387">
        <v>150.1</v>
      </c>
      <c r="I387">
        <v>144.30000000000001</v>
      </c>
      <c r="J387">
        <v>0.1928</v>
      </c>
      <c r="N387"/>
      <c r="V387" s="111"/>
      <c r="X387" s="111"/>
      <c r="Y387" s="111"/>
      <c r="Z387" s="111"/>
      <c r="AA387" s="111"/>
      <c r="AB387" s="111"/>
      <c r="AC387" s="111"/>
      <c r="AD387" s="111"/>
      <c r="AE387" s="111"/>
      <c r="AF387" s="111"/>
      <c r="AG387" s="111"/>
      <c r="AH387" s="111"/>
      <c r="AI387" s="111"/>
      <c r="AJ387" s="111"/>
    </row>
    <row r="388" spans="1:36" x14ac:dyDescent="0.55000000000000004">
      <c r="A388" t="s">
        <v>4240</v>
      </c>
      <c r="B388">
        <v>409.6</v>
      </c>
      <c r="C388">
        <v>17.41</v>
      </c>
      <c r="D388">
        <v>11.63</v>
      </c>
      <c r="E388">
        <v>294.39999999999998</v>
      </c>
      <c r="F388">
        <v>141.69999999999999</v>
      </c>
      <c r="G388">
        <v>81.63</v>
      </c>
      <c r="H388">
        <v>124.8</v>
      </c>
      <c r="I388">
        <v>118.9</v>
      </c>
      <c r="J388">
        <v>0.1837</v>
      </c>
      <c r="N388"/>
      <c r="V388"/>
      <c r="X388" s="111"/>
      <c r="Y388" s="111"/>
      <c r="Z388" s="111"/>
      <c r="AA388" s="111"/>
      <c r="AB388" s="111"/>
      <c r="AC388" s="111"/>
      <c r="AD388" s="111"/>
      <c r="AE388" s="111"/>
      <c r="AF388" s="111"/>
      <c r="AG388" s="111"/>
      <c r="AH388" s="111"/>
      <c r="AI388" s="111"/>
      <c r="AJ388" s="111"/>
    </row>
    <row r="389" spans="1:36" x14ac:dyDescent="0.55000000000000004">
      <c r="A389" t="s">
        <v>4241</v>
      </c>
      <c r="B389">
        <v>694.2</v>
      </c>
      <c r="C389">
        <v>19.399999999999999</v>
      </c>
      <c r="D389">
        <v>11.54</v>
      </c>
      <c r="E389">
        <v>418.2</v>
      </c>
      <c r="F389">
        <v>158.9</v>
      </c>
      <c r="G389">
        <v>77.56</v>
      </c>
      <c r="H389">
        <v>232.7</v>
      </c>
      <c r="I389">
        <v>230.4</v>
      </c>
      <c r="J389">
        <v>0.1537</v>
      </c>
      <c r="N389"/>
      <c r="V389" s="111"/>
      <c r="X389" s="111"/>
      <c r="Y389" s="111"/>
      <c r="Z389" s="111"/>
      <c r="AA389" s="111"/>
      <c r="AB389" s="111"/>
      <c r="AC389" s="111"/>
      <c r="AD389" s="111"/>
      <c r="AE389" s="111"/>
      <c r="AF389" s="111"/>
      <c r="AG389" s="111"/>
      <c r="AH389" s="111"/>
      <c r="AI389" s="111"/>
      <c r="AJ389" s="111"/>
    </row>
    <row r="390" spans="1:36" x14ac:dyDescent="0.55000000000000004">
      <c r="A390" t="s">
        <v>4242</v>
      </c>
      <c r="B390">
        <v>384.5</v>
      </c>
      <c r="C390">
        <v>30.37</v>
      </c>
      <c r="D390">
        <v>19.100000000000001</v>
      </c>
      <c r="E390">
        <v>262</v>
      </c>
      <c r="F390">
        <v>148.1</v>
      </c>
      <c r="G390">
        <v>107.4</v>
      </c>
      <c r="H390">
        <v>124.8</v>
      </c>
      <c r="I390">
        <v>123.4</v>
      </c>
      <c r="J390">
        <v>0.1172</v>
      </c>
      <c r="N390"/>
      <c r="V390" s="111"/>
      <c r="X390" s="111"/>
      <c r="Y390" s="111"/>
      <c r="Z390" s="111"/>
      <c r="AA390" s="111"/>
      <c r="AB390" s="111"/>
      <c r="AC390" s="111"/>
      <c r="AD390" s="111"/>
      <c r="AE390" s="111"/>
      <c r="AF390" s="111"/>
      <c r="AG390" s="111"/>
      <c r="AH390" s="111"/>
      <c r="AI390" s="111"/>
      <c r="AJ390" s="111"/>
    </row>
    <row r="391" spans="1:36" x14ac:dyDescent="0.55000000000000004">
      <c r="A391" t="s">
        <v>4243</v>
      </c>
      <c r="B391">
        <v>759</v>
      </c>
      <c r="C391">
        <v>27.87</v>
      </c>
      <c r="D391">
        <v>18.09</v>
      </c>
      <c r="E391">
        <v>491</v>
      </c>
      <c r="F391">
        <v>200.6</v>
      </c>
      <c r="G391">
        <v>108.4</v>
      </c>
      <c r="H391">
        <v>259.5</v>
      </c>
      <c r="I391">
        <v>256.5</v>
      </c>
      <c r="J391">
        <v>0.15920000000000001</v>
      </c>
      <c r="N391"/>
      <c r="V391" s="111"/>
      <c r="X391" s="111"/>
      <c r="Y391" s="111"/>
      <c r="Z391" s="111"/>
      <c r="AA391" s="111"/>
      <c r="AB391" s="111"/>
      <c r="AC391" s="111"/>
      <c r="AD391" s="111"/>
      <c r="AE391" s="111"/>
      <c r="AF391" s="111"/>
      <c r="AG391" s="111"/>
      <c r="AH391" s="111"/>
      <c r="AI391" s="111"/>
      <c r="AJ391" s="111"/>
    </row>
    <row r="392" spans="1:36" x14ac:dyDescent="0.55000000000000004">
      <c r="A392" t="s">
        <v>4244</v>
      </c>
      <c r="B392">
        <v>1058</v>
      </c>
      <c r="C392">
        <v>73.11</v>
      </c>
      <c r="D392">
        <v>43.46</v>
      </c>
      <c r="E392">
        <v>729.6</v>
      </c>
      <c r="F392">
        <v>380.9</v>
      </c>
      <c r="G392">
        <v>236.2</v>
      </c>
      <c r="H392">
        <v>373.6</v>
      </c>
      <c r="I392">
        <v>370.7</v>
      </c>
      <c r="J392">
        <v>0.21510000000000001</v>
      </c>
      <c r="N392"/>
      <c r="O392" s="111"/>
      <c r="P392" s="111"/>
      <c r="V392" s="111"/>
      <c r="X392" s="111"/>
      <c r="Y392" s="111"/>
      <c r="Z392" s="111"/>
      <c r="AA392" s="111"/>
      <c r="AB392" s="111"/>
      <c r="AC392" s="111"/>
      <c r="AD392" s="111"/>
      <c r="AE392" s="111"/>
      <c r="AF392" s="111"/>
      <c r="AG392" s="111"/>
      <c r="AH392" s="111"/>
      <c r="AI392" s="111"/>
      <c r="AJ392" s="111"/>
    </row>
    <row r="393" spans="1:36" x14ac:dyDescent="0.55000000000000004">
      <c r="A393" t="s">
        <v>4245</v>
      </c>
      <c r="B393">
        <v>338.7</v>
      </c>
      <c r="C393">
        <v>27.02</v>
      </c>
      <c r="D393">
        <v>21.72</v>
      </c>
      <c r="E393">
        <v>222.4</v>
      </c>
      <c r="F393">
        <v>121.6</v>
      </c>
      <c r="G393">
        <v>86.52</v>
      </c>
      <c r="H393">
        <v>102.7</v>
      </c>
      <c r="I393">
        <v>100.7</v>
      </c>
      <c r="J393">
        <v>0.10589999999999999</v>
      </c>
      <c r="N393"/>
      <c r="V393" s="111"/>
      <c r="X393" s="111"/>
      <c r="Y393" s="111"/>
      <c r="Z393" s="111"/>
      <c r="AA393" s="111"/>
      <c r="AB393" s="111"/>
      <c r="AC393" s="111"/>
      <c r="AD393" s="111"/>
      <c r="AE393" s="111"/>
      <c r="AF393" s="111"/>
      <c r="AG393" s="111"/>
      <c r="AH393" s="111"/>
      <c r="AI393" s="111"/>
      <c r="AJ393" s="111"/>
    </row>
    <row r="394" spans="1:36" x14ac:dyDescent="0.55000000000000004">
      <c r="A394" t="s">
        <v>4246</v>
      </c>
      <c r="B394">
        <v>629.70000000000005</v>
      </c>
      <c r="C394">
        <v>24.47</v>
      </c>
      <c r="D394">
        <v>16.489999999999998</v>
      </c>
      <c r="E394">
        <v>419.9</v>
      </c>
      <c r="F394">
        <v>177.1</v>
      </c>
      <c r="G394">
        <v>102.9</v>
      </c>
      <c r="H394">
        <v>177.4</v>
      </c>
      <c r="I394">
        <v>175.3</v>
      </c>
      <c r="J394">
        <v>0.14610000000000001</v>
      </c>
      <c r="N394"/>
      <c r="O394" s="111"/>
      <c r="P394" s="111"/>
      <c r="V394" s="111"/>
      <c r="X394" s="111"/>
      <c r="Y394" s="111"/>
      <c r="Z394" s="111"/>
      <c r="AA394" s="111"/>
      <c r="AB394" s="111"/>
      <c r="AC394" s="111"/>
      <c r="AD394" s="111"/>
      <c r="AE394" s="111"/>
      <c r="AF394" s="111"/>
      <c r="AG394" s="111"/>
      <c r="AH394" s="111"/>
      <c r="AI394" s="111"/>
      <c r="AJ394" s="111"/>
    </row>
    <row r="395" spans="1:36" x14ac:dyDescent="0.55000000000000004">
      <c r="A395" t="s">
        <v>4247</v>
      </c>
      <c r="B395">
        <v>82.55</v>
      </c>
      <c r="C395">
        <v>7.8449999999999998</v>
      </c>
      <c r="D395">
        <v>5.0490000000000004</v>
      </c>
      <c r="E395">
        <v>55.31</v>
      </c>
      <c r="F395">
        <v>41.63</v>
      </c>
      <c r="G395">
        <v>26.7</v>
      </c>
      <c r="H395">
        <v>18.79</v>
      </c>
      <c r="I395">
        <v>18.29</v>
      </c>
      <c r="J395">
        <v>0.1108</v>
      </c>
      <c r="N395"/>
      <c r="V395" s="111"/>
      <c r="X395" s="111"/>
      <c r="Y395" s="111"/>
      <c r="Z395" s="111"/>
      <c r="AA395" s="111"/>
      <c r="AB395" s="111"/>
      <c r="AC395" s="111"/>
      <c r="AD395" s="111"/>
      <c r="AE395" s="111"/>
      <c r="AF395" s="111"/>
      <c r="AG395" s="111"/>
      <c r="AH395" s="111"/>
      <c r="AI395" s="111"/>
      <c r="AJ395" s="111"/>
    </row>
    <row r="396" spans="1:36" x14ac:dyDescent="0.55000000000000004">
      <c r="A396" t="s">
        <v>4248</v>
      </c>
      <c r="B396">
        <v>90.9</v>
      </c>
      <c r="C396">
        <v>8.8350000000000009</v>
      </c>
      <c r="D396">
        <v>5.6239999999999997</v>
      </c>
      <c r="E396">
        <v>62.49</v>
      </c>
      <c r="F396">
        <v>46.84</v>
      </c>
      <c r="G396">
        <v>33.35</v>
      </c>
      <c r="H396">
        <v>22.38</v>
      </c>
      <c r="I396">
        <v>22.12</v>
      </c>
      <c r="J396">
        <v>0.1197</v>
      </c>
      <c r="N396"/>
      <c r="O396" s="111"/>
      <c r="P396" s="111"/>
      <c r="T396" s="111"/>
      <c r="U396" s="111"/>
      <c r="V396" s="111"/>
      <c r="X396" s="111"/>
      <c r="Y396" s="111"/>
      <c r="Z396" s="111"/>
      <c r="AA396" s="111"/>
      <c r="AB396" s="111"/>
      <c r="AC396" s="111"/>
      <c r="AD396" s="111"/>
      <c r="AE396" s="111"/>
      <c r="AF396" s="111"/>
      <c r="AG396" s="111"/>
      <c r="AH396" s="111"/>
      <c r="AI396" s="111"/>
      <c r="AJ396" s="111"/>
    </row>
    <row r="397" spans="1:36" x14ac:dyDescent="0.55000000000000004">
      <c r="A397" t="s">
        <v>4249</v>
      </c>
      <c r="B397">
        <v>111.8</v>
      </c>
      <c r="C397">
        <v>9.0449999999999999</v>
      </c>
      <c r="D397">
        <v>5.3479999999999999</v>
      </c>
      <c r="E397">
        <v>73.47</v>
      </c>
      <c r="F397">
        <v>50.63</v>
      </c>
      <c r="G397">
        <v>37.450000000000003</v>
      </c>
      <c r="H397">
        <v>31.76</v>
      </c>
      <c r="I397">
        <v>29.61</v>
      </c>
      <c r="J397">
        <v>0.1225</v>
      </c>
      <c r="N397"/>
      <c r="V397" s="111"/>
      <c r="X397" s="111"/>
      <c r="Y397" s="111"/>
      <c r="Z397" s="111"/>
      <c r="AA397" s="111"/>
      <c r="AB397" s="111"/>
      <c r="AC397" s="111"/>
      <c r="AD397" s="111"/>
      <c r="AE397" s="111"/>
      <c r="AF397" s="111"/>
      <c r="AG397" s="111"/>
      <c r="AH397" s="111"/>
      <c r="AI397" s="111"/>
      <c r="AJ397" s="111"/>
    </row>
    <row r="398" spans="1:36" x14ac:dyDescent="0.55000000000000004">
      <c r="A398" t="s">
        <v>4250</v>
      </c>
      <c r="B398">
        <v>223.5</v>
      </c>
      <c r="C398">
        <v>10.47</v>
      </c>
      <c r="D398">
        <v>5.7380000000000004</v>
      </c>
      <c r="E398">
        <v>144.19999999999999</v>
      </c>
      <c r="F398">
        <v>85.33</v>
      </c>
      <c r="G398">
        <v>54.5</v>
      </c>
      <c r="H398">
        <v>59.96</v>
      </c>
      <c r="I398">
        <v>57.58</v>
      </c>
      <c r="J398">
        <v>0.1479</v>
      </c>
      <c r="N398"/>
      <c r="V398"/>
      <c r="X398" s="111"/>
      <c r="Y398" s="111"/>
      <c r="Z398" s="111"/>
      <c r="AA398" s="111"/>
      <c r="AB398" s="111"/>
      <c r="AC398" s="111"/>
      <c r="AD398" s="111"/>
      <c r="AE398" s="111"/>
      <c r="AF398" s="111"/>
      <c r="AG398" s="111"/>
      <c r="AH398" s="111"/>
      <c r="AI398" s="111"/>
      <c r="AJ398" s="111"/>
    </row>
    <row r="399" spans="1:36" x14ac:dyDescent="0.55000000000000004">
      <c r="A399" t="s">
        <v>4251</v>
      </c>
      <c r="B399">
        <v>111.4</v>
      </c>
      <c r="C399">
        <v>6.3929999999999998</v>
      </c>
      <c r="D399">
        <v>3.6680000000000001</v>
      </c>
      <c r="E399">
        <v>65.48</v>
      </c>
      <c r="F399">
        <v>47.14</v>
      </c>
      <c r="G399">
        <v>28.82</v>
      </c>
      <c r="H399">
        <v>21.73</v>
      </c>
      <c r="I399">
        <v>20.94</v>
      </c>
      <c r="J399">
        <v>0.14560000000000001</v>
      </c>
      <c r="N399"/>
      <c r="V399"/>
      <c r="X399" s="111"/>
      <c r="Y399" s="111"/>
      <c r="Z399" s="111"/>
      <c r="AA399" s="111"/>
      <c r="AB399" s="111"/>
      <c r="AC399" s="111"/>
      <c r="AD399" s="111"/>
      <c r="AE399" s="111"/>
      <c r="AF399" s="111"/>
      <c r="AG399" s="111"/>
      <c r="AH399" s="111"/>
      <c r="AI399" s="111"/>
      <c r="AJ399" s="111"/>
    </row>
    <row r="400" spans="1:36" x14ac:dyDescent="0.55000000000000004">
      <c r="A400" t="s">
        <v>4252</v>
      </c>
      <c r="B400">
        <v>86.33</v>
      </c>
      <c r="C400">
        <v>8.7279999999999998</v>
      </c>
      <c r="D400">
        <v>5.9420000000000002</v>
      </c>
      <c r="E400">
        <v>61.47</v>
      </c>
      <c r="F400">
        <v>41.21</v>
      </c>
      <c r="G400">
        <v>29.48</v>
      </c>
      <c r="H400">
        <v>28.03</v>
      </c>
      <c r="I400">
        <v>26.14</v>
      </c>
      <c r="J400">
        <v>0.1017</v>
      </c>
      <c r="N400"/>
      <c r="V400" s="111"/>
      <c r="X400" s="111"/>
      <c r="Y400" s="111"/>
      <c r="Z400" s="111"/>
      <c r="AA400" s="111"/>
      <c r="AB400" s="111"/>
      <c r="AC400" s="111"/>
      <c r="AD400" s="111"/>
      <c r="AE400" s="111"/>
      <c r="AF400" s="111"/>
      <c r="AG400" s="111"/>
      <c r="AH400" s="111"/>
      <c r="AI400" s="111"/>
      <c r="AJ400" s="111"/>
    </row>
    <row r="401" spans="1:36" x14ac:dyDescent="0.55000000000000004">
      <c r="A401" t="s">
        <v>4253</v>
      </c>
      <c r="B401">
        <v>101.9</v>
      </c>
      <c r="C401">
        <v>8.7690000000000001</v>
      </c>
      <c r="D401">
        <v>5.2809999999999997</v>
      </c>
      <c r="E401">
        <v>67.33</v>
      </c>
      <c r="F401">
        <v>49.81</v>
      </c>
      <c r="G401">
        <v>33.590000000000003</v>
      </c>
      <c r="H401">
        <v>27.99</v>
      </c>
      <c r="I401">
        <v>26.31</v>
      </c>
      <c r="J401">
        <v>0.1157</v>
      </c>
      <c r="N401"/>
      <c r="V401" s="111"/>
      <c r="X401" s="111"/>
      <c r="Y401" s="111"/>
      <c r="Z401" s="111"/>
      <c r="AA401" s="111"/>
      <c r="AB401" s="111"/>
      <c r="AC401" s="111"/>
      <c r="AD401" s="111"/>
      <c r="AE401" s="111"/>
      <c r="AF401" s="111"/>
      <c r="AG401" s="111"/>
      <c r="AH401" s="111"/>
      <c r="AI401" s="111"/>
      <c r="AJ401" s="111"/>
    </row>
    <row r="402" spans="1:36" x14ac:dyDescent="0.55000000000000004">
      <c r="A402" t="s">
        <v>4254</v>
      </c>
      <c r="B402">
        <v>119.6</v>
      </c>
      <c r="C402">
        <v>6.9379999999999997</v>
      </c>
      <c r="D402">
        <v>4.2750000000000004</v>
      </c>
      <c r="E402">
        <v>71.180000000000007</v>
      </c>
      <c r="F402">
        <v>48.97</v>
      </c>
      <c r="G402">
        <v>30.78</v>
      </c>
      <c r="H402">
        <v>20.65</v>
      </c>
      <c r="I402">
        <v>20.37</v>
      </c>
      <c r="J402">
        <v>0.15579999999999999</v>
      </c>
      <c r="N402"/>
      <c r="V402" s="111"/>
      <c r="X402" s="111"/>
      <c r="Y402" s="111"/>
      <c r="Z402" s="111"/>
      <c r="AA402" s="111"/>
      <c r="AB402" s="111"/>
      <c r="AC402" s="111"/>
      <c r="AD402" s="111"/>
      <c r="AE402" s="111"/>
      <c r="AF402" s="111"/>
      <c r="AG402" s="111"/>
      <c r="AH402" s="111"/>
      <c r="AI402" s="111"/>
      <c r="AJ402" s="111"/>
    </row>
    <row r="403" spans="1:36" x14ac:dyDescent="0.55000000000000004">
      <c r="A403" t="s">
        <v>4255</v>
      </c>
      <c r="B403">
        <v>105.9</v>
      </c>
      <c r="C403">
        <v>9.8059999999999992</v>
      </c>
      <c r="D403">
        <v>5.8890000000000002</v>
      </c>
      <c r="E403">
        <v>67.34</v>
      </c>
      <c r="F403">
        <v>51.65</v>
      </c>
      <c r="G403">
        <v>36.619999999999997</v>
      </c>
      <c r="H403">
        <v>29.74</v>
      </c>
      <c r="I403">
        <v>27.45</v>
      </c>
      <c r="J403">
        <v>0.10390000000000001</v>
      </c>
      <c r="N403"/>
      <c r="V403" s="111"/>
      <c r="X403" s="111"/>
      <c r="Y403" s="111"/>
      <c r="Z403" s="111"/>
      <c r="AA403" s="111"/>
      <c r="AB403" s="111"/>
      <c r="AC403" s="111"/>
      <c r="AD403" s="111"/>
      <c r="AE403" s="111"/>
      <c r="AF403" s="111"/>
      <c r="AG403" s="111"/>
      <c r="AH403" s="111"/>
      <c r="AI403" s="111"/>
      <c r="AJ403" s="111"/>
    </row>
    <row r="404" spans="1:36" x14ac:dyDescent="0.55000000000000004">
      <c r="A404" t="s">
        <v>4256</v>
      </c>
      <c r="B404">
        <v>135.69999999999999</v>
      </c>
      <c r="C404">
        <v>6.9050000000000002</v>
      </c>
      <c r="D404">
        <v>3.875</v>
      </c>
      <c r="E404">
        <v>81.64</v>
      </c>
      <c r="F404">
        <v>55.32</v>
      </c>
      <c r="G404">
        <v>33.42</v>
      </c>
      <c r="H404">
        <v>23.63</v>
      </c>
      <c r="I404">
        <v>21.69</v>
      </c>
      <c r="J404">
        <v>0.1741</v>
      </c>
      <c r="N404"/>
      <c r="V404" s="111"/>
      <c r="X404" s="111"/>
      <c r="Y404" s="111"/>
      <c r="Z404" s="111"/>
      <c r="AA404" s="111"/>
      <c r="AB404" s="111"/>
      <c r="AC404" s="111"/>
      <c r="AD404" s="111"/>
      <c r="AE404" s="111"/>
      <c r="AF404" s="111"/>
      <c r="AG404" s="111"/>
      <c r="AH404" s="111"/>
      <c r="AI404" s="111"/>
      <c r="AJ404" s="111"/>
    </row>
    <row r="405" spans="1:36" x14ac:dyDescent="0.55000000000000004">
      <c r="A405" t="s">
        <v>4257</v>
      </c>
      <c r="B405">
        <v>242.9</v>
      </c>
      <c r="C405">
        <v>22.21</v>
      </c>
      <c r="D405">
        <v>12.99</v>
      </c>
      <c r="E405">
        <v>183.4</v>
      </c>
      <c r="F405">
        <v>93.95</v>
      </c>
      <c r="G405">
        <v>67.16</v>
      </c>
      <c r="H405">
        <v>78.010000000000005</v>
      </c>
      <c r="I405">
        <v>76.55</v>
      </c>
      <c r="J405">
        <v>0.1111</v>
      </c>
      <c r="N405"/>
      <c r="V405" s="111"/>
      <c r="X405" s="111"/>
      <c r="Y405" s="111"/>
      <c r="Z405" s="111"/>
      <c r="AA405" s="111"/>
      <c r="AB405" s="111"/>
      <c r="AC405" s="111"/>
      <c r="AD405" s="111"/>
      <c r="AE405" s="111"/>
      <c r="AF405" s="111"/>
      <c r="AG405" s="111"/>
      <c r="AH405" s="111"/>
      <c r="AI405" s="111"/>
      <c r="AJ405" s="111"/>
    </row>
    <row r="406" spans="1:36" x14ac:dyDescent="0.55000000000000004">
      <c r="A406" t="s">
        <v>4258</v>
      </c>
      <c r="B406">
        <v>85.3</v>
      </c>
      <c r="C406">
        <v>9.3620000000000001</v>
      </c>
      <c r="D406">
        <v>5.2510000000000003</v>
      </c>
      <c r="E406">
        <v>67.540000000000006</v>
      </c>
      <c r="F406">
        <v>56.8</v>
      </c>
      <c r="G406">
        <v>39.020000000000003</v>
      </c>
      <c r="H406">
        <v>27.44</v>
      </c>
      <c r="I406">
        <v>26.19</v>
      </c>
      <c r="J406">
        <v>0.10249999999999999</v>
      </c>
      <c r="N406"/>
      <c r="V406" s="111"/>
      <c r="X406" s="111"/>
      <c r="Y406" s="111"/>
      <c r="Z406" s="111"/>
      <c r="AA406" s="111"/>
      <c r="AB406" s="111"/>
      <c r="AC406" s="111"/>
      <c r="AD406" s="111"/>
      <c r="AE406" s="111"/>
      <c r="AF406" s="111"/>
      <c r="AG406" s="111"/>
      <c r="AH406" s="111"/>
      <c r="AI406" s="111"/>
      <c r="AJ406" s="111"/>
    </row>
    <row r="407" spans="1:36" x14ac:dyDescent="0.55000000000000004">
      <c r="A407" t="s">
        <v>4259</v>
      </c>
      <c r="B407">
        <v>336.6</v>
      </c>
      <c r="C407">
        <v>26.19</v>
      </c>
      <c r="D407">
        <v>16.21</v>
      </c>
      <c r="E407">
        <v>227.9</v>
      </c>
      <c r="F407">
        <v>109.9</v>
      </c>
      <c r="G407">
        <v>72.290000000000006</v>
      </c>
      <c r="H407">
        <v>113.7</v>
      </c>
      <c r="I407">
        <v>111.2</v>
      </c>
      <c r="J407">
        <v>0.13289999999999999</v>
      </c>
      <c r="N407"/>
      <c r="V407"/>
      <c r="X407" s="111"/>
      <c r="Y407" s="111"/>
      <c r="Z407" s="111"/>
      <c r="AA407" s="111"/>
      <c r="AB407" s="111"/>
      <c r="AC407" s="111"/>
      <c r="AD407" s="111"/>
      <c r="AE407" s="111"/>
      <c r="AF407" s="111"/>
      <c r="AG407" s="111"/>
      <c r="AH407" s="111"/>
      <c r="AI407" s="111"/>
      <c r="AJ407" s="111"/>
    </row>
    <row r="408" spans="1:36" x14ac:dyDescent="0.55000000000000004">
      <c r="A408" t="s">
        <v>4260</v>
      </c>
      <c r="B408">
        <v>288.7</v>
      </c>
      <c r="C408">
        <v>15.77</v>
      </c>
      <c r="D408">
        <v>8.5429999999999993</v>
      </c>
      <c r="E408">
        <v>209.3</v>
      </c>
      <c r="F408">
        <v>119.4</v>
      </c>
      <c r="G408">
        <v>70.459999999999994</v>
      </c>
      <c r="H408">
        <v>83.15</v>
      </c>
      <c r="I408">
        <v>80.11</v>
      </c>
      <c r="J408">
        <v>0.16420000000000001</v>
      </c>
      <c r="N408"/>
      <c r="V408" s="111"/>
      <c r="X408" s="111"/>
      <c r="Y408" s="111"/>
      <c r="Z408" s="111"/>
      <c r="AA408" s="111"/>
      <c r="AB408" s="111"/>
      <c r="AC408" s="111"/>
      <c r="AD408" s="111"/>
      <c r="AE408" s="111"/>
      <c r="AF408" s="111"/>
      <c r="AG408" s="111"/>
      <c r="AH408" s="111"/>
      <c r="AI408" s="111"/>
      <c r="AJ408" s="111"/>
    </row>
    <row r="409" spans="1:36" x14ac:dyDescent="0.55000000000000004">
      <c r="A409" t="s">
        <v>4261</v>
      </c>
      <c r="B409">
        <v>218.9</v>
      </c>
      <c r="C409">
        <v>10.75</v>
      </c>
      <c r="D409">
        <v>6.2480000000000002</v>
      </c>
      <c r="E409">
        <v>143.19999999999999</v>
      </c>
      <c r="F409">
        <v>91.47</v>
      </c>
      <c r="G409">
        <v>51.59</v>
      </c>
      <c r="H409">
        <v>61.32</v>
      </c>
      <c r="I409">
        <v>57.56</v>
      </c>
      <c r="J409">
        <v>0.15190000000000001</v>
      </c>
      <c r="N409"/>
      <c r="V409" s="111"/>
      <c r="X409" s="111"/>
      <c r="Y409" s="111"/>
      <c r="Z409" s="111"/>
      <c r="AA409" s="111"/>
      <c r="AB409" s="111"/>
      <c r="AC409" s="111"/>
      <c r="AD409" s="111"/>
      <c r="AE409" s="111"/>
      <c r="AF409" s="111"/>
      <c r="AG409" s="111"/>
      <c r="AH409" s="111"/>
      <c r="AI409" s="111"/>
      <c r="AJ409" s="111"/>
    </row>
    <row r="410" spans="1:36" x14ac:dyDescent="0.55000000000000004">
      <c r="A410" t="s">
        <v>4262</v>
      </c>
      <c r="B410">
        <v>294.5</v>
      </c>
      <c r="C410">
        <v>10.59</v>
      </c>
      <c r="D410">
        <v>5.4530000000000003</v>
      </c>
      <c r="E410">
        <v>190</v>
      </c>
      <c r="F410">
        <v>90.13</v>
      </c>
      <c r="G410">
        <v>43.77</v>
      </c>
      <c r="H410">
        <v>100.7</v>
      </c>
      <c r="I410">
        <v>98.3</v>
      </c>
      <c r="J410" s="111">
        <v>8.1390000000000004E-2</v>
      </c>
      <c r="N410"/>
      <c r="V410" s="111"/>
      <c r="X410" s="111"/>
      <c r="Y410" s="111"/>
      <c r="Z410" s="111"/>
      <c r="AA410" s="111"/>
      <c r="AB410" s="111"/>
      <c r="AC410" s="111"/>
      <c r="AD410" s="111"/>
      <c r="AE410" s="111"/>
      <c r="AF410" s="111"/>
      <c r="AG410" s="111"/>
      <c r="AH410" s="111"/>
      <c r="AI410" s="111"/>
      <c r="AJ410" s="111"/>
    </row>
    <row r="411" spans="1:36" x14ac:dyDescent="0.55000000000000004">
      <c r="A411" t="s">
        <v>4263</v>
      </c>
      <c r="B411">
        <v>146.5</v>
      </c>
      <c r="C411">
        <v>11.38</v>
      </c>
      <c r="D411">
        <v>6.6849999999999996</v>
      </c>
      <c r="E411">
        <v>103.3</v>
      </c>
      <c r="F411">
        <v>51.17</v>
      </c>
      <c r="G411">
        <v>38.799999999999997</v>
      </c>
      <c r="H411">
        <v>47.21</v>
      </c>
      <c r="I411">
        <v>46.44</v>
      </c>
      <c r="J411" s="111">
        <v>4.9099999999999998E-2</v>
      </c>
      <c r="N411"/>
      <c r="V411" s="111"/>
      <c r="X411" s="111"/>
      <c r="Y411" s="111"/>
      <c r="Z411" s="111"/>
      <c r="AA411" s="111"/>
      <c r="AB411" s="111"/>
      <c r="AC411" s="111"/>
      <c r="AD411" s="111"/>
      <c r="AE411" s="111"/>
      <c r="AF411" s="111"/>
      <c r="AG411" s="111"/>
      <c r="AH411" s="111"/>
      <c r="AI411" s="111"/>
      <c r="AJ411" s="111"/>
    </row>
    <row r="412" spans="1:36" x14ac:dyDescent="0.55000000000000004">
      <c r="A412" t="s">
        <v>4264</v>
      </c>
      <c r="B412">
        <v>395.6</v>
      </c>
      <c r="C412">
        <v>15.51</v>
      </c>
      <c r="D412">
        <v>8.7750000000000004</v>
      </c>
      <c r="E412">
        <v>248.4</v>
      </c>
      <c r="F412">
        <v>100.1</v>
      </c>
      <c r="G412">
        <v>57.08</v>
      </c>
      <c r="H412">
        <v>127.9</v>
      </c>
      <c r="I412">
        <v>125.1</v>
      </c>
      <c r="J412" s="111">
        <v>9.8390000000000005E-2</v>
      </c>
      <c r="N412"/>
      <c r="V412" s="111"/>
      <c r="X412" s="111"/>
      <c r="Y412" s="111"/>
      <c r="Z412" s="111"/>
      <c r="AA412" s="111"/>
      <c r="AB412" s="111"/>
      <c r="AC412" s="111"/>
      <c r="AD412" s="111"/>
      <c r="AE412" s="111"/>
      <c r="AF412" s="111"/>
      <c r="AG412" s="111"/>
      <c r="AH412" s="111"/>
      <c r="AI412" s="111"/>
      <c r="AJ412" s="111"/>
    </row>
    <row r="413" spans="1:36" x14ac:dyDescent="0.55000000000000004">
      <c r="A413" t="s">
        <v>4265</v>
      </c>
      <c r="B413">
        <v>340.1</v>
      </c>
      <c r="C413">
        <v>29.52</v>
      </c>
      <c r="D413">
        <v>16.149999999999999</v>
      </c>
      <c r="E413">
        <v>243.2</v>
      </c>
      <c r="F413">
        <v>133.19999999999999</v>
      </c>
      <c r="G413">
        <v>89.64</v>
      </c>
      <c r="H413">
        <v>149</v>
      </c>
      <c r="I413">
        <v>148.1</v>
      </c>
      <c r="J413" s="111">
        <v>8.7980000000000003E-2</v>
      </c>
      <c r="N413"/>
      <c r="O413" s="111"/>
      <c r="P413" s="111"/>
      <c r="V413" s="111"/>
      <c r="X413" s="111"/>
      <c r="Y413" s="111"/>
      <c r="Z413" s="111"/>
      <c r="AA413" s="111"/>
      <c r="AB413" s="111"/>
      <c r="AC413" s="111"/>
      <c r="AD413" s="111"/>
      <c r="AE413" s="111"/>
      <c r="AF413" s="111"/>
      <c r="AG413" s="111"/>
      <c r="AH413" s="111"/>
      <c r="AI413" s="111"/>
      <c r="AJ413" s="111"/>
    </row>
    <row r="414" spans="1:36" x14ac:dyDescent="0.55000000000000004">
      <c r="A414" t="s">
        <v>4266</v>
      </c>
      <c r="B414">
        <v>117.6</v>
      </c>
      <c r="C414">
        <v>9.7289999999999992</v>
      </c>
      <c r="D414">
        <v>6.9740000000000002</v>
      </c>
      <c r="E414">
        <v>84.23</v>
      </c>
      <c r="F414">
        <v>47.37</v>
      </c>
      <c r="G414">
        <v>32.57</v>
      </c>
      <c r="H414">
        <v>41.63</v>
      </c>
      <c r="I414">
        <v>41.22</v>
      </c>
      <c r="J414" s="111">
        <v>4.403E-2</v>
      </c>
      <c r="N414"/>
      <c r="V414" s="111"/>
      <c r="X414" s="111"/>
      <c r="Y414" s="111"/>
      <c r="Z414" s="111"/>
      <c r="AA414" s="111"/>
      <c r="AB414" s="111"/>
      <c r="AC414" s="111"/>
      <c r="AD414" s="111"/>
      <c r="AE414" s="111"/>
      <c r="AF414" s="111"/>
      <c r="AG414" s="111"/>
      <c r="AH414" s="111"/>
      <c r="AI414" s="111"/>
      <c r="AJ414" s="111"/>
    </row>
    <row r="415" spans="1:36" x14ac:dyDescent="0.55000000000000004">
      <c r="A415" t="s">
        <v>4267</v>
      </c>
      <c r="B415">
        <v>288.10000000000002</v>
      </c>
      <c r="C415">
        <v>14.36</v>
      </c>
      <c r="D415">
        <v>8.4719999999999995</v>
      </c>
      <c r="E415">
        <v>190.8</v>
      </c>
      <c r="F415">
        <v>111.1</v>
      </c>
      <c r="G415">
        <v>60.59</v>
      </c>
      <c r="H415">
        <v>94.04</v>
      </c>
      <c r="I415">
        <v>92.43</v>
      </c>
      <c r="J415">
        <v>0.1008</v>
      </c>
      <c r="N415"/>
      <c r="P415" s="111"/>
      <c r="V415" s="111"/>
      <c r="X415" s="111"/>
      <c r="Y415" s="111"/>
      <c r="Z415" s="111"/>
      <c r="AA415" s="111"/>
      <c r="AB415" s="111"/>
      <c r="AC415" s="111"/>
      <c r="AD415" s="111"/>
      <c r="AE415" s="111"/>
      <c r="AF415" s="111"/>
      <c r="AG415" s="111"/>
      <c r="AH415" s="111"/>
      <c r="AI415" s="111"/>
      <c r="AJ415" s="111"/>
    </row>
    <row r="416" spans="1:36" x14ac:dyDescent="0.55000000000000004">
      <c r="N416"/>
      <c r="V416" s="111"/>
      <c r="X416" s="111"/>
      <c r="Y416" s="111"/>
      <c r="Z416" s="111"/>
      <c r="AA416" s="111"/>
      <c r="AB416" s="111"/>
      <c r="AC416" s="111"/>
      <c r="AD416" s="111"/>
      <c r="AE416" s="111"/>
      <c r="AF416" s="111"/>
      <c r="AG416" s="111"/>
      <c r="AH416" s="111"/>
      <c r="AI416" s="111"/>
      <c r="AJ416" s="111"/>
    </row>
    <row r="417" spans="14:36" x14ac:dyDescent="0.55000000000000004">
      <c r="N417"/>
      <c r="O417" s="111"/>
      <c r="P417" s="111"/>
      <c r="V417" s="111"/>
      <c r="X417" s="111"/>
      <c r="Y417" s="111"/>
      <c r="Z417" s="111"/>
      <c r="AA417" s="111"/>
      <c r="AB417" s="111"/>
      <c r="AC417" s="111"/>
      <c r="AD417" s="111"/>
      <c r="AE417" s="111"/>
      <c r="AF417" s="111"/>
      <c r="AG417" s="111"/>
      <c r="AH417" s="111"/>
      <c r="AI417" s="111"/>
      <c r="AJ417" s="111"/>
    </row>
    <row r="418" spans="14:36" x14ac:dyDescent="0.55000000000000004">
      <c r="N418"/>
      <c r="V418" s="111"/>
      <c r="X418" s="111"/>
      <c r="Y418" s="111"/>
      <c r="Z418" s="111"/>
      <c r="AA418" s="111"/>
      <c r="AB418" s="111"/>
      <c r="AC418" s="111"/>
      <c r="AD418" s="111"/>
      <c r="AE418" s="111"/>
      <c r="AF418" s="111"/>
      <c r="AG418" s="111"/>
      <c r="AH418" s="111"/>
      <c r="AI418" s="111"/>
      <c r="AJ418" s="111"/>
    </row>
    <row r="419" spans="14:36" x14ac:dyDescent="0.55000000000000004">
      <c r="N419"/>
      <c r="V419" s="111"/>
      <c r="X419" s="111"/>
      <c r="Y419" s="111"/>
      <c r="Z419" s="111"/>
      <c r="AA419" s="111"/>
      <c r="AB419" s="111"/>
      <c r="AC419" s="111"/>
      <c r="AD419" s="111"/>
      <c r="AE419" s="111"/>
      <c r="AF419" s="111"/>
      <c r="AG419" s="111"/>
      <c r="AH419" s="111"/>
      <c r="AI419" s="111"/>
      <c r="AJ419" s="111"/>
    </row>
    <row r="420" spans="14:36" x14ac:dyDescent="0.55000000000000004">
      <c r="N420"/>
      <c r="V420" s="111"/>
      <c r="X420" s="111"/>
      <c r="Y420" s="111"/>
      <c r="Z420" s="111"/>
      <c r="AA420" s="111"/>
      <c r="AB420" s="111"/>
      <c r="AC420" s="111"/>
      <c r="AD420" s="111"/>
      <c r="AE420" s="111"/>
      <c r="AF420" s="111"/>
      <c r="AG420" s="111"/>
      <c r="AH420" s="111"/>
      <c r="AI420" s="111"/>
      <c r="AJ420" s="111"/>
    </row>
    <row r="421" spans="14:36" x14ac:dyDescent="0.55000000000000004">
      <c r="N421"/>
      <c r="V421" s="111"/>
      <c r="X421" s="111"/>
      <c r="Y421" s="111"/>
      <c r="Z421" s="111"/>
      <c r="AA421" s="111"/>
      <c r="AB421" s="111"/>
      <c r="AC421" s="111"/>
      <c r="AD421" s="111"/>
      <c r="AE421" s="111"/>
      <c r="AF421" s="111"/>
      <c r="AG421" s="111"/>
      <c r="AH421" s="111"/>
      <c r="AI421" s="111"/>
      <c r="AJ421" s="111"/>
    </row>
    <row r="422" spans="14:36" x14ac:dyDescent="0.55000000000000004">
      <c r="N422"/>
      <c r="V422" s="111"/>
      <c r="X422" s="111"/>
      <c r="Y422" s="111"/>
      <c r="Z422" s="111"/>
      <c r="AA422" s="111"/>
      <c r="AB422" s="111"/>
      <c r="AC422" s="111"/>
      <c r="AD422" s="111"/>
      <c r="AE422" s="111"/>
      <c r="AF422" s="111"/>
      <c r="AG422" s="111"/>
      <c r="AH422" s="111"/>
      <c r="AI422" s="111"/>
      <c r="AJ422" s="111"/>
    </row>
    <row r="423" spans="14:36" x14ac:dyDescent="0.55000000000000004">
      <c r="N423"/>
      <c r="V423" s="111"/>
      <c r="X423" s="111"/>
      <c r="Y423" s="111"/>
      <c r="Z423" s="111"/>
      <c r="AA423" s="111"/>
      <c r="AB423" s="111"/>
      <c r="AC423" s="111"/>
      <c r="AD423" s="111"/>
      <c r="AE423" s="111"/>
      <c r="AF423" s="111"/>
      <c r="AG423" s="111"/>
      <c r="AH423" s="111"/>
      <c r="AI423" s="111"/>
      <c r="AJ423" s="111"/>
    </row>
    <row r="424" spans="14:36" x14ac:dyDescent="0.55000000000000004">
      <c r="N424"/>
      <c r="V424" s="111"/>
      <c r="X424" s="111"/>
      <c r="Y424" s="111"/>
      <c r="Z424" s="111"/>
      <c r="AA424" s="111"/>
      <c r="AB424" s="111"/>
      <c r="AC424" s="111"/>
      <c r="AD424" s="111"/>
      <c r="AE424" s="111"/>
      <c r="AF424" s="111"/>
      <c r="AG424" s="111"/>
      <c r="AH424" s="111"/>
      <c r="AI424" s="111"/>
      <c r="AJ424" s="111"/>
    </row>
    <row r="425" spans="14:36" x14ac:dyDescent="0.55000000000000004">
      <c r="N425"/>
      <c r="V425" s="111"/>
      <c r="X425" s="111"/>
      <c r="Y425" s="111"/>
      <c r="Z425" s="111"/>
      <c r="AA425" s="111"/>
      <c r="AB425" s="111"/>
      <c r="AC425" s="111"/>
      <c r="AD425" s="111"/>
      <c r="AE425" s="111"/>
      <c r="AF425" s="111"/>
      <c r="AG425" s="111"/>
      <c r="AH425" s="111"/>
      <c r="AI425" s="111"/>
      <c r="AJ425" s="111"/>
    </row>
    <row r="426" spans="14:36" x14ac:dyDescent="0.55000000000000004">
      <c r="N426"/>
      <c r="V426" s="111"/>
      <c r="X426" s="111"/>
      <c r="Y426" s="111"/>
      <c r="Z426" s="111"/>
      <c r="AA426" s="111"/>
      <c r="AB426" s="111"/>
      <c r="AC426" s="111"/>
      <c r="AD426" s="111"/>
      <c r="AE426" s="111"/>
      <c r="AF426" s="111"/>
      <c r="AG426" s="111"/>
      <c r="AH426" s="111"/>
      <c r="AI426" s="111"/>
      <c r="AJ426" s="111"/>
    </row>
    <row r="427" spans="14:36" x14ac:dyDescent="0.55000000000000004">
      <c r="N427"/>
      <c r="V427"/>
      <c r="X427" s="111"/>
      <c r="Y427" s="111"/>
      <c r="Z427" s="111"/>
      <c r="AA427" s="111"/>
      <c r="AB427" s="111"/>
      <c r="AC427" s="111"/>
      <c r="AD427" s="111"/>
      <c r="AE427" s="111"/>
      <c r="AF427" s="111"/>
      <c r="AG427" s="111"/>
      <c r="AH427" s="111"/>
      <c r="AI427" s="111"/>
      <c r="AJ427" s="111"/>
    </row>
    <row r="428" spans="14:36" x14ac:dyDescent="0.55000000000000004">
      <c r="N428"/>
      <c r="V428" s="111"/>
      <c r="X428" s="111"/>
      <c r="Y428" s="111"/>
      <c r="Z428" s="111"/>
      <c r="AA428" s="111"/>
      <c r="AB428" s="111"/>
      <c r="AC428" s="111"/>
      <c r="AD428" s="111"/>
      <c r="AE428" s="111"/>
      <c r="AF428" s="111"/>
      <c r="AG428" s="111"/>
      <c r="AH428" s="111"/>
      <c r="AI428" s="111"/>
      <c r="AJ428" s="111"/>
    </row>
    <row r="429" spans="14:36" x14ac:dyDescent="0.55000000000000004">
      <c r="N429"/>
      <c r="V429" s="111"/>
      <c r="X429" s="111"/>
      <c r="Y429" s="111"/>
      <c r="Z429" s="111"/>
      <c r="AA429" s="111"/>
      <c r="AB429" s="111"/>
      <c r="AC429" s="111"/>
      <c r="AD429" s="111"/>
      <c r="AE429" s="111"/>
      <c r="AF429" s="111"/>
      <c r="AG429" s="111"/>
      <c r="AH429" s="111"/>
      <c r="AI429" s="111"/>
      <c r="AJ429" s="111"/>
    </row>
    <row r="430" spans="14:36" x14ac:dyDescent="0.55000000000000004">
      <c r="N430"/>
      <c r="V430"/>
      <c r="X430" s="111"/>
      <c r="Y430" s="111"/>
      <c r="Z430" s="111"/>
      <c r="AA430" s="111"/>
      <c r="AB430" s="111"/>
      <c r="AC430" s="111"/>
      <c r="AD430" s="111"/>
      <c r="AE430" s="111"/>
      <c r="AF430" s="111"/>
      <c r="AG430" s="111"/>
      <c r="AH430" s="111"/>
      <c r="AI430" s="111"/>
      <c r="AJ430" s="111"/>
    </row>
    <row r="431" spans="14:36" x14ac:dyDescent="0.55000000000000004">
      <c r="N431"/>
      <c r="V431" s="111"/>
      <c r="X431" s="111"/>
      <c r="Y431" s="111"/>
      <c r="Z431" s="111"/>
      <c r="AA431" s="111"/>
      <c r="AB431" s="111"/>
      <c r="AC431" s="111"/>
      <c r="AD431" s="111"/>
      <c r="AE431" s="111"/>
      <c r="AF431" s="111"/>
      <c r="AG431" s="111"/>
      <c r="AH431" s="111"/>
      <c r="AI431" s="111"/>
      <c r="AJ431" s="111"/>
    </row>
    <row r="432" spans="14:36" x14ac:dyDescent="0.55000000000000004">
      <c r="N432"/>
      <c r="V432" s="111"/>
      <c r="X432" s="111"/>
      <c r="Y432" s="111"/>
      <c r="Z432" s="111"/>
      <c r="AA432" s="111"/>
      <c r="AB432" s="111"/>
      <c r="AC432" s="111"/>
      <c r="AD432" s="111"/>
      <c r="AE432" s="111"/>
      <c r="AF432" s="111"/>
      <c r="AG432" s="111"/>
      <c r="AH432" s="111"/>
      <c r="AI432" s="111"/>
      <c r="AJ432" s="111"/>
    </row>
    <row r="433" spans="14:36" x14ac:dyDescent="0.55000000000000004">
      <c r="N433"/>
      <c r="V433" s="111"/>
      <c r="X433" s="111"/>
      <c r="Y433" s="111"/>
      <c r="Z433" s="111"/>
      <c r="AA433" s="111"/>
      <c r="AB433" s="111"/>
      <c r="AC433" s="111"/>
      <c r="AD433" s="111"/>
      <c r="AE433" s="111"/>
      <c r="AF433" s="111"/>
      <c r="AG433" s="111"/>
      <c r="AH433" s="111"/>
      <c r="AI433" s="111"/>
      <c r="AJ433" s="111"/>
    </row>
    <row r="434" spans="14:36" x14ac:dyDescent="0.55000000000000004">
      <c r="N434"/>
      <c r="O434" s="111"/>
      <c r="P434" s="111"/>
      <c r="V434" s="111"/>
      <c r="X434" s="111"/>
      <c r="Y434" s="111"/>
      <c r="Z434" s="111"/>
      <c r="AA434" s="111"/>
      <c r="AB434" s="111"/>
      <c r="AC434" s="111"/>
      <c r="AD434" s="111"/>
      <c r="AE434" s="111"/>
      <c r="AF434" s="111"/>
      <c r="AG434" s="111"/>
      <c r="AH434" s="111"/>
      <c r="AI434" s="111"/>
      <c r="AJ434" s="111"/>
    </row>
    <row r="435" spans="14:36" x14ac:dyDescent="0.55000000000000004">
      <c r="N435"/>
      <c r="V435" s="111"/>
      <c r="X435" s="111"/>
      <c r="Y435" s="111"/>
      <c r="Z435" s="111"/>
      <c r="AA435" s="111"/>
      <c r="AB435" s="111"/>
      <c r="AC435" s="111"/>
      <c r="AD435" s="111"/>
      <c r="AE435" s="111"/>
      <c r="AF435" s="111"/>
      <c r="AG435" s="111"/>
      <c r="AH435" s="111"/>
      <c r="AI435" s="111"/>
      <c r="AJ435" s="111"/>
    </row>
    <row r="436" spans="14:36" x14ac:dyDescent="0.55000000000000004">
      <c r="N436"/>
      <c r="O436" s="111"/>
      <c r="P436" s="111"/>
      <c r="V436" s="111"/>
      <c r="X436" s="111"/>
      <c r="Y436" s="111"/>
      <c r="Z436" s="111"/>
      <c r="AA436" s="111"/>
      <c r="AB436" s="111"/>
      <c r="AC436" s="111"/>
      <c r="AD436" s="111"/>
      <c r="AE436" s="111"/>
      <c r="AF436" s="111"/>
      <c r="AG436" s="111"/>
      <c r="AH436" s="111"/>
      <c r="AI436" s="111"/>
      <c r="AJ436" s="111"/>
    </row>
    <row r="437" spans="14:36" x14ac:dyDescent="0.55000000000000004">
      <c r="N437"/>
      <c r="V437" s="111"/>
      <c r="X437" s="111"/>
      <c r="Y437" s="111"/>
      <c r="Z437" s="111"/>
      <c r="AA437" s="111"/>
      <c r="AB437" s="111"/>
      <c r="AC437" s="111"/>
      <c r="AD437" s="111"/>
      <c r="AE437" s="111"/>
      <c r="AF437" s="111"/>
      <c r="AG437" s="111"/>
      <c r="AH437" s="111"/>
      <c r="AI437" s="111"/>
      <c r="AJ437" s="111"/>
    </row>
    <row r="438" spans="14:36" x14ac:dyDescent="0.55000000000000004">
      <c r="N438"/>
      <c r="O438" s="111"/>
      <c r="P438" s="111"/>
      <c r="T438" s="111"/>
      <c r="U438" s="111"/>
      <c r="V438" s="111"/>
      <c r="X438" s="111"/>
      <c r="Y438" s="111"/>
      <c r="Z438" s="111"/>
      <c r="AA438" s="111"/>
      <c r="AB438" s="111"/>
      <c r="AC438" s="111"/>
      <c r="AD438" s="111"/>
      <c r="AE438" s="111"/>
      <c r="AF438" s="111"/>
      <c r="AG438" s="111"/>
      <c r="AH438" s="111"/>
      <c r="AI438" s="111"/>
      <c r="AJ438" s="111"/>
    </row>
    <row r="439" spans="14:36" x14ac:dyDescent="0.55000000000000004">
      <c r="N439"/>
      <c r="V439" s="111"/>
      <c r="X439" s="111"/>
      <c r="Y439" s="111"/>
      <c r="Z439" s="111"/>
      <c r="AA439" s="111"/>
      <c r="AB439" s="111"/>
      <c r="AC439" s="111"/>
      <c r="AD439" s="111"/>
      <c r="AE439" s="111"/>
      <c r="AF439" s="111"/>
      <c r="AG439" s="111"/>
      <c r="AH439" s="111"/>
      <c r="AI439" s="111"/>
      <c r="AJ439" s="111"/>
    </row>
    <row r="440" spans="14:36" x14ac:dyDescent="0.55000000000000004">
      <c r="N440"/>
      <c r="V440"/>
      <c r="X440" s="111"/>
      <c r="Y440" s="111"/>
      <c r="Z440" s="111"/>
      <c r="AA440" s="111"/>
      <c r="AB440" s="111"/>
      <c r="AC440" s="111"/>
      <c r="AD440" s="111"/>
      <c r="AE440" s="111"/>
      <c r="AF440" s="111"/>
      <c r="AG440" s="111"/>
      <c r="AH440" s="111"/>
      <c r="AI440" s="111"/>
      <c r="AJ440" s="111"/>
    </row>
    <row r="441" spans="14:36" x14ac:dyDescent="0.55000000000000004">
      <c r="N441"/>
      <c r="V441"/>
      <c r="X441" s="111"/>
      <c r="Y441" s="111"/>
      <c r="Z441" s="111"/>
      <c r="AA441" s="111"/>
      <c r="AB441" s="111"/>
      <c r="AC441" s="111"/>
      <c r="AD441" s="111"/>
      <c r="AE441" s="111"/>
      <c r="AF441" s="111"/>
      <c r="AG441" s="111"/>
      <c r="AH441" s="111"/>
      <c r="AI441" s="111"/>
      <c r="AJ441" s="111"/>
    </row>
    <row r="442" spans="14:36" x14ac:dyDescent="0.55000000000000004">
      <c r="N442"/>
      <c r="V442" s="111"/>
      <c r="X442" s="111"/>
      <c r="Y442" s="111"/>
      <c r="Z442" s="111"/>
      <c r="AA442" s="111"/>
      <c r="AB442" s="111"/>
      <c r="AC442" s="111"/>
      <c r="AD442" s="111"/>
      <c r="AE442" s="111"/>
      <c r="AF442" s="111"/>
      <c r="AG442" s="111"/>
      <c r="AH442" s="111"/>
      <c r="AI442" s="111"/>
      <c r="AJ442" s="111"/>
    </row>
    <row r="443" spans="14:36" x14ac:dyDescent="0.55000000000000004">
      <c r="N443"/>
      <c r="V443" s="111"/>
      <c r="X443" s="111"/>
      <c r="Y443" s="111"/>
      <c r="Z443" s="111"/>
      <c r="AA443" s="111"/>
      <c r="AB443" s="111"/>
      <c r="AC443" s="111"/>
      <c r="AD443" s="111"/>
      <c r="AE443" s="111"/>
      <c r="AF443" s="111"/>
      <c r="AG443" s="111"/>
      <c r="AH443" s="111"/>
      <c r="AI443" s="111"/>
      <c r="AJ443" s="111"/>
    </row>
    <row r="444" spans="14:36" x14ac:dyDescent="0.55000000000000004">
      <c r="N444"/>
      <c r="V444" s="111"/>
      <c r="X444" s="111"/>
      <c r="Y444" s="111"/>
      <c r="Z444" s="111"/>
      <c r="AA444" s="111"/>
      <c r="AB444" s="111"/>
      <c r="AC444" s="111"/>
      <c r="AD444" s="111"/>
      <c r="AE444" s="111"/>
      <c r="AF444" s="111"/>
      <c r="AG444" s="111"/>
      <c r="AH444" s="111"/>
      <c r="AI444" s="111"/>
      <c r="AJ444" s="111"/>
    </row>
    <row r="445" spans="14:36" x14ac:dyDescent="0.55000000000000004">
      <c r="N445"/>
      <c r="V445" s="111"/>
      <c r="X445" s="111"/>
      <c r="Y445" s="111"/>
      <c r="Z445" s="111"/>
      <c r="AA445" s="111"/>
      <c r="AB445" s="111"/>
      <c r="AC445" s="111"/>
      <c r="AD445" s="111"/>
      <c r="AE445" s="111"/>
      <c r="AF445" s="111"/>
      <c r="AG445" s="111"/>
      <c r="AH445" s="111"/>
      <c r="AI445" s="111"/>
      <c r="AJ445" s="111"/>
    </row>
    <row r="446" spans="14:36" x14ac:dyDescent="0.55000000000000004">
      <c r="N446"/>
      <c r="V446" s="111"/>
      <c r="X446" s="111"/>
      <c r="Y446" s="111"/>
      <c r="Z446" s="111"/>
      <c r="AA446" s="111"/>
      <c r="AB446" s="111"/>
      <c r="AC446" s="111"/>
      <c r="AD446" s="111"/>
      <c r="AE446" s="111"/>
      <c r="AF446" s="111"/>
      <c r="AG446" s="111"/>
      <c r="AH446" s="111"/>
      <c r="AI446" s="111"/>
      <c r="AJ446" s="111"/>
    </row>
    <row r="447" spans="14:36" x14ac:dyDescent="0.55000000000000004">
      <c r="N447"/>
      <c r="V447" s="111"/>
      <c r="X447" s="111"/>
      <c r="Y447" s="111"/>
      <c r="Z447" s="111"/>
      <c r="AA447" s="111"/>
      <c r="AB447" s="111"/>
      <c r="AC447" s="111"/>
      <c r="AD447" s="111"/>
      <c r="AE447" s="111"/>
      <c r="AF447" s="111"/>
      <c r="AG447" s="111"/>
      <c r="AH447" s="111"/>
      <c r="AI447" s="111"/>
      <c r="AJ447" s="111"/>
    </row>
    <row r="448" spans="14:36" x14ac:dyDescent="0.55000000000000004">
      <c r="N448"/>
      <c r="V448" s="111"/>
      <c r="X448" s="111"/>
      <c r="Y448" s="111"/>
      <c r="Z448" s="111"/>
      <c r="AA448" s="111"/>
      <c r="AB448" s="111"/>
      <c r="AC448" s="111"/>
      <c r="AD448" s="111"/>
      <c r="AE448" s="111"/>
      <c r="AF448" s="111"/>
      <c r="AG448" s="111"/>
      <c r="AH448" s="111"/>
      <c r="AI448" s="111"/>
      <c r="AJ448" s="111"/>
    </row>
    <row r="449" spans="14:36" x14ac:dyDescent="0.55000000000000004">
      <c r="N449"/>
      <c r="V449"/>
      <c r="X449" s="111"/>
      <c r="Y449" s="111"/>
      <c r="Z449" s="111"/>
      <c r="AA449" s="111"/>
      <c r="AB449" s="111"/>
      <c r="AC449" s="111"/>
      <c r="AD449" s="111"/>
      <c r="AE449" s="111"/>
      <c r="AF449" s="111"/>
      <c r="AG449" s="111"/>
      <c r="AH449" s="111"/>
      <c r="AI449" s="111"/>
      <c r="AJ449" s="111"/>
    </row>
    <row r="450" spans="14:36" x14ac:dyDescent="0.55000000000000004">
      <c r="N450"/>
      <c r="V450" s="111"/>
      <c r="X450" s="111"/>
      <c r="Y450" s="111"/>
      <c r="Z450" s="111"/>
      <c r="AA450" s="111"/>
      <c r="AB450" s="111"/>
      <c r="AC450" s="111"/>
      <c r="AD450" s="111"/>
      <c r="AE450" s="111"/>
      <c r="AF450" s="111"/>
      <c r="AG450" s="111"/>
      <c r="AH450" s="111"/>
      <c r="AI450" s="111"/>
      <c r="AJ450" s="111"/>
    </row>
    <row r="451" spans="14:36" x14ac:dyDescent="0.55000000000000004">
      <c r="N451"/>
      <c r="V451" s="111"/>
      <c r="X451" s="111"/>
      <c r="Y451" s="111"/>
      <c r="Z451" s="111"/>
      <c r="AA451" s="111"/>
      <c r="AB451" s="111"/>
      <c r="AC451" s="111"/>
      <c r="AD451" s="111"/>
      <c r="AE451" s="111"/>
      <c r="AF451" s="111"/>
      <c r="AG451" s="111"/>
      <c r="AH451" s="111"/>
      <c r="AI451" s="111"/>
      <c r="AJ451" s="111"/>
    </row>
    <row r="452" spans="14:36" x14ac:dyDescent="0.55000000000000004">
      <c r="N452"/>
      <c r="V452" s="111"/>
      <c r="X452" s="111"/>
      <c r="Y452" s="111"/>
      <c r="Z452" s="111"/>
      <c r="AA452" s="111"/>
      <c r="AB452" s="111"/>
      <c r="AC452" s="111"/>
      <c r="AD452" s="111"/>
      <c r="AE452" s="111"/>
      <c r="AF452" s="111"/>
      <c r="AG452" s="111"/>
      <c r="AH452" s="111"/>
      <c r="AI452" s="111"/>
      <c r="AJ452" s="111"/>
    </row>
    <row r="453" spans="14:36" x14ac:dyDescent="0.55000000000000004">
      <c r="N453"/>
      <c r="V453" s="111"/>
      <c r="X453" s="111"/>
      <c r="Y453" s="111"/>
      <c r="Z453" s="111"/>
      <c r="AA453" s="111"/>
      <c r="AB453" s="111"/>
      <c r="AC453" s="111"/>
      <c r="AD453" s="111"/>
      <c r="AE453" s="111"/>
      <c r="AF453" s="111"/>
      <c r="AG453" s="111"/>
      <c r="AH453" s="111"/>
      <c r="AI453" s="111"/>
      <c r="AJ453" s="111"/>
    </row>
    <row r="454" spans="14:36" x14ac:dyDescent="0.55000000000000004">
      <c r="N454"/>
      <c r="V454" s="111"/>
      <c r="X454" s="111"/>
      <c r="Y454" s="111"/>
      <c r="Z454" s="111"/>
      <c r="AA454" s="111"/>
      <c r="AB454" s="111"/>
      <c r="AC454" s="111"/>
      <c r="AD454" s="111"/>
      <c r="AE454" s="111"/>
      <c r="AF454" s="111"/>
      <c r="AG454" s="111"/>
      <c r="AH454" s="111"/>
      <c r="AI454" s="111"/>
      <c r="AJ454" s="111"/>
    </row>
    <row r="455" spans="14:36" x14ac:dyDescent="0.55000000000000004">
      <c r="N455"/>
      <c r="O455" s="111"/>
      <c r="P455" s="111"/>
      <c r="V455" s="111"/>
      <c r="X455" s="111"/>
      <c r="Y455" s="111"/>
      <c r="Z455" s="111"/>
      <c r="AA455" s="111"/>
      <c r="AB455" s="111"/>
      <c r="AC455" s="111"/>
      <c r="AD455" s="111"/>
      <c r="AE455" s="111"/>
      <c r="AF455" s="111"/>
      <c r="AG455" s="111"/>
      <c r="AH455" s="111"/>
      <c r="AI455" s="111"/>
      <c r="AJ455" s="111"/>
    </row>
    <row r="456" spans="14:36" x14ac:dyDescent="0.55000000000000004">
      <c r="N456"/>
      <c r="V456" s="111"/>
      <c r="X456" s="111"/>
      <c r="Y456" s="111"/>
      <c r="Z456" s="111"/>
      <c r="AA456" s="111"/>
      <c r="AB456" s="111"/>
      <c r="AC456" s="111"/>
      <c r="AD456" s="111"/>
      <c r="AE456" s="111"/>
      <c r="AF456" s="111"/>
      <c r="AG456" s="111"/>
      <c r="AH456" s="111"/>
      <c r="AI456" s="111"/>
      <c r="AJ456" s="111"/>
    </row>
    <row r="457" spans="14:36" x14ac:dyDescent="0.55000000000000004">
      <c r="N457"/>
      <c r="P457" s="111"/>
      <c r="V457" s="111"/>
      <c r="X457" s="111"/>
      <c r="Y457" s="111"/>
      <c r="Z457" s="111"/>
      <c r="AA457" s="111"/>
      <c r="AB457" s="111"/>
      <c r="AC457" s="111"/>
      <c r="AD457" s="111"/>
      <c r="AE457" s="111"/>
      <c r="AF457" s="111"/>
      <c r="AG457" s="111"/>
      <c r="AH457" s="111"/>
      <c r="AI457" s="111"/>
      <c r="AJ457" s="111"/>
    </row>
    <row r="458" spans="14:36" x14ac:dyDescent="0.55000000000000004">
      <c r="N458"/>
      <c r="V458" s="111"/>
      <c r="X458" s="111"/>
      <c r="Y458" s="111"/>
      <c r="Z458" s="111"/>
      <c r="AA458" s="111"/>
      <c r="AB458" s="111"/>
      <c r="AC458" s="111"/>
      <c r="AD458" s="111"/>
      <c r="AE458" s="111"/>
      <c r="AF458" s="111"/>
      <c r="AG458" s="111"/>
      <c r="AH458" s="111"/>
      <c r="AI458" s="111"/>
      <c r="AJ458" s="111"/>
    </row>
    <row r="459" spans="14:36" x14ac:dyDescent="0.55000000000000004">
      <c r="N459"/>
      <c r="O459" s="111"/>
      <c r="P459" s="111"/>
      <c r="V459" s="111"/>
      <c r="X459" s="111"/>
      <c r="Y459" s="111"/>
      <c r="Z459" s="111"/>
      <c r="AA459" s="111"/>
      <c r="AB459" s="111"/>
      <c r="AC459" s="111"/>
      <c r="AD459" s="111"/>
      <c r="AE459" s="111"/>
      <c r="AF459" s="111"/>
      <c r="AG459" s="111"/>
      <c r="AH459" s="111"/>
      <c r="AI459" s="111"/>
      <c r="AJ459" s="111"/>
    </row>
    <row r="460" spans="14:36" x14ac:dyDescent="0.55000000000000004">
      <c r="N460"/>
      <c r="V460" s="111"/>
      <c r="X460" s="111"/>
      <c r="Y460" s="111"/>
      <c r="Z460" s="111"/>
      <c r="AA460" s="111"/>
      <c r="AB460" s="111"/>
      <c r="AC460" s="111"/>
      <c r="AD460" s="111"/>
      <c r="AE460" s="111"/>
      <c r="AF460" s="111"/>
      <c r="AG460" s="111"/>
      <c r="AH460" s="111"/>
      <c r="AI460" s="111"/>
      <c r="AJ460" s="111"/>
    </row>
    <row r="461" spans="14:36" x14ac:dyDescent="0.55000000000000004">
      <c r="N461"/>
      <c r="V461" s="111"/>
      <c r="X461" s="111"/>
      <c r="Y461" s="111"/>
      <c r="Z461" s="111"/>
      <c r="AA461" s="111"/>
      <c r="AB461" s="111"/>
      <c r="AC461" s="111"/>
      <c r="AD461" s="111"/>
      <c r="AE461" s="111"/>
      <c r="AF461" s="111"/>
      <c r="AG461" s="111"/>
      <c r="AH461" s="111"/>
      <c r="AI461" s="111"/>
      <c r="AJ461" s="111"/>
    </row>
    <row r="462" spans="14:36" x14ac:dyDescent="0.55000000000000004">
      <c r="N462"/>
      <c r="V462" s="111"/>
      <c r="X462" s="111"/>
      <c r="Y462" s="111"/>
      <c r="Z462" s="111"/>
      <c r="AA462" s="111"/>
      <c r="AB462" s="111"/>
      <c r="AC462" s="111"/>
      <c r="AD462" s="111"/>
      <c r="AE462" s="111"/>
      <c r="AF462" s="111"/>
      <c r="AG462" s="111"/>
      <c r="AH462" s="111"/>
      <c r="AI462" s="111"/>
      <c r="AJ462" s="111"/>
    </row>
    <row r="463" spans="14:36" x14ac:dyDescent="0.55000000000000004">
      <c r="N463"/>
      <c r="P463" s="111"/>
      <c r="V463" s="111"/>
      <c r="X463" s="111"/>
      <c r="Y463" s="111"/>
      <c r="Z463" s="111"/>
      <c r="AA463" s="111"/>
      <c r="AB463" s="111"/>
      <c r="AC463" s="111"/>
      <c r="AD463" s="111"/>
      <c r="AE463" s="111"/>
      <c r="AF463" s="111"/>
      <c r="AG463" s="111"/>
      <c r="AH463" s="111"/>
      <c r="AI463" s="111"/>
      <c r="AJ463" s="111"/>
    </row>
    <row r="464" spans="14:36" x14ac:dyDescent="0.55000000000000004">
      <c r="N464"/>
      <c r="V464" s="111"/>
      <c r="X464" s="111"/>
      <c r="Y464" s="111"/>
      <c r="Z464" s="111"/>
      <c r="AA464" s="111"/>
      <c r="AB464" s="111"/>
      <c r="AC464" s="111"/>
      <c r="AD464" s="111"/>
      <c r="AE464" s="111"/>
      <c r="AF464" s="111"/>
      <c r="AG464" s="111"/>
      <c r="AH464" s="111"/>
      <c r="AI464" s="111"/>
      <c r="AJ464" s="111"/>
    </row>
    <row r="465" spans="14:36" x14ac:dyDescent="0.55000000000000004">
      <c r="N465"/>
      <c r="P465" s="111"/>
      <c r="V465" s="111"/>
      <c r="X465" s="111"/>
      <c r="Y465" s="111"/>
      <c r="Z465" s="111"/>
      <c r="AA465" s="111"/>
      <c r="AB465" s="111"/>
      <c r="AC465" s="111"/>
      <c r="AD465" s="111"/>
      <c r="AE465" s="111"/>
      <c r="AF465" s="111"/>
      <c r="AG465" s="111"/>
      <c r="AH465" s="111"/>
      <c r="AI465" s="111"/>
      <c r="AJ465" s="111"/>
    </row>
    <row r="466" spans="14:36" x14ac:dyDescent="0.55000000000000004">
      <c r="N466"/>
      <c r="V466" s="111"/>
      <c r="X466" s="111"/>
      <c r="Y466" s="111"/>
      <c r="Z466" s="111"/>
      <c r="AA466" s="111"/>
      <c r="AB466" s="111"/>
      <c r="AC466" s="111"/>
      <c r="AD466" s="111"/>
      <c r="AE466" s="111"/>
      <c r="AF466" s="111"/>
      <c r="AG466" s="111"/>
      <c r="AH466" s="111"/>
      <c r="AI466" s="111"/>
      <c r="AJ466" s="111"/>
    </row>
    <row r="467" spans="14:36" x14ac:dyDescent="0.55000000000000004">
      <c r="N467"/>
      <c r="V467" s="111"/>
      <c r="X467" s="111"/>
      <c r="Y467" s="111"/>
      <c r="Z467" s="111"/>
      <c r="AA467" s="111"/>
      <c r="AB467" s="111"/>
      <c r="AC467" s="111"/>
      <c r="AD467" s="111"/>
      <c r="AE467" s="111"/>
      <c r="AF467" s="111"/>
      <c r="AG467" s="111"/>
      <c r="AH467" s="111"/>
      <c r="AI467" s="111"/>
      <c r="AJ467" s="111"/>
    </row>
    <row r="468" spans="14:36" x14ac:dyDescent="0.55000000000000004">
      <c r="N468"/>
      <c r="V468" s="111"/>
      <c r="X468" s="111"/>
      <c r="Y468" s="111"/>
      <c r="Z468" s="111"/>
      <c r="AA468" s="111"/>
      <c r="AB468" s="111"/>
      <c r="AC468" s="111"/>
      <c r="AD468" s="111"/>
      <c r="AE468" s="111"/>
      <c r="AF468" s="111"/>
      <c r="AG468" s="111"/>
      <c r="AH468" s="111"/>
      <c r="AI468" s="111"/>
      <c r="AJ468" s="111"/>
    </row>
    <row r="469" spans="14:36" x14ac:dyDescent="0.55000000000000004">
      <c r="N469"/>
      <c r="V469" s="111"/>
      <c r="X469" s="111"/>
      <c r="Y469" s="111"/>
      <c r="Z469" s="111"/>
      <c r="AA469" s="111"/>
      <c r="AB469" s="111"/>
      <c r="AC469" s="111"/>
      <c r="AD469" s="111"/>
      <c r="AE469" s="111"/>
      <c r="AF469" s="111"/>
      <c r="AG469" s="111"/>
      <c r="AH469" s="111"/>
      <c r="AI469" s="111"/>
      <c r="AJ469" s="111"/>
    </row>
    <row r="470" spans="14:36" x14ac:dyDescent="0.55000000000000004">
      <c r="N470"/>
      <c r="V470" s="111"/>
      <c r="X470" s="111"/>
      <c r="Y470" s="111"/>
      <c r="Z470" s="111"/>
      <c r="AA470" s="111"/>
      <c r="AB470" s="111"/>
      <c r="AC470" s="111"/>
      <c r="AD470" s="111"/>
      <c r="AE470" s="111"/>
      <c r="AF470" s="111"/>
      <c r="AG470" s="111"/>
      <c r="AH470" s="111"/>
      <c r="AI470" s="111"/>
      <c r="AJ470" s="111"/>
    </row>
    <row r="471" spans="14:36" x14ac:dyDescent="0.55000000000000004">
      <c r="N471"/>
      <c r="V471" s="111"/>
      <c r="X471" s="111"/>
      <c r="Y471" s="111"/>
      <c r="Z471" s="111"/>
      <c r="AA471" s="111"/>
      <c r="AB471" s="111"/>
      <c r="AC471" s="111"/>
      <c r="AD471" s="111"/>
      <c r="AE471" s="111"/>
      <c r="AF471" s="111"/>
      <c r="AG471" s="111"/>
      <c r="AH471" s="111"/>
      <c r="AI471" s="111"/>
      <c r="AJ471" s="111"/>
    </row>
    <row r="472" spans="14:36" x14ac:dyDescent="0.55000000000000004">
      <c r="N472"/>
      <c r="V472" s="111"/>
      <c r="X472" s="111"/>
      <c r="Y472" s="111"/>
      <c r="Z472" s="111"/>
      <c r="AA472" s="111"/>
      <c r="AB472" s="111"/>
      <c r="AC472" s="111"/>
      <c r="AD472" s="111"/>
      <c r="AE472" s="111"/>
      <c r="AF472" s="111"/>
      <c r="AG472" s="111"/>
      <c r="AH472" s="111"/>
      <c r="AI472" s="111"/>
      <c r="AJ472" s="111"/>
    </row>
    <row r="473" spans="14:36" x14ac:dyDescent="0.55000000000000004">
      <c r="N473"/>
      <c r="V473" s="111"/>
      <c r="X473" s="111"/>
      <c r="Y473" s="111"/>
      <c r="Z473" s="111"/>
      <c r="AA473" s="111"/>
      <c r="AB473" s="111"/>
      <c r="AC473" s="111"/>
      <c r="AD473" s="111"/>
      <c r="AE473" s="111"/>
      <c r="AF473" s="111"/>
      <c r="AG473" s="111"/>
      <c r="AH473" s="111"/>
      <c r="AI473" s="111"/>
      <c r="AJ473" s="111"/>
    </row>
    <row r="474" spans="14:36" x14ac:dyDescent="0.55000000000000004">
      <c r="N474"/>
      <c r="V474" s="111"/>
      <c r="X474" s="111"/>
      <c r="Y474" s="111"/>
      <c r="Z474" s="111"/>
      <c r="AA474" s="111"/>
      <c r="AB474" s="111"/>
      <c r="AC474" s="111"/>
      <c r="AD474" s="111"/>
      <c r="AE474" s="111"/>
      <c r="AF474" s="111"/>
      <c r="AG474" s="111"/>
      <c r="AH474" s="111"/>
      <c r="AI474" s="111"/>
      <c r="AJ474" s="111"/>
    </row>
    <row r="475" spans="14:36" x14ac:dyDescent="0.55000000000000004">
      <c r="N475"/>
      <c r="V475" s="111"/>
      <c r="X475" s="111"/>
      <c r="Y475" s="111"/>
      <c r="Z475" s="111"/>
      <c r="AA475" s="111"/>
      <c r="AB475" s="111"/>
      <c r="AC475" s="111"/>
      <c r="AD475" s="111"/>
      <c r="AE475" s="111"/>
      <c r="AF475" s="111"/>
      <c r="AG475" s="111"/>
      <c r="AH475" s="111"/>
      <c r="AI475" s="111"/>
      <c r="AJ475" s="111"/>
    </row>
    <row r="476" spans="14:36" x14ac:dyDescent="0.55000000000000004">
      <c r="N476"/>
      <c r="O476" s="111"/>
      <c r="P476" s="111"/>
      <c r="T476" s="111"/>
      <c r="U476" s="111"/>
      <c r="V476" s="111"/>
      <c r="X476" s="111"/>
      <c r="Y476" s="111"/>
      <c r="Z476" s="111"/>
      <c r="AA476" s="111"/>
      <c r="AB476" s="111"/>
      <c r="AC476" s="111"/>
      <c r="AD476" s="111"/>
      <c r="AE476" s="111"/>
      <c r="AF476" s="111"/>
      <c r="AG476" s="111"/>
      <c r="AH476" s="111"/>
      <c r="AI476" s="111"/>
      <c r="AJ476" s="111"/>
    </row>
    <row r="477" spans="14:36" x14ac:dyDescent="0.55000000000000004">
      <c r="N477"/>
      <c r="P477" s="111"/>
      <c r="V477" s="111"/>
      <c r="X477" s="111"/>
      <c r="Y477" s="111"/>
      <c r="Z477" s="111"/>
      <c r="AA477" s="111"/>
      <c r="AB477" s="111"/>
      <c r="AC477" s="111"/>
      <c r="AD477" s="111"/>
      <c r="AE477" s="111"/>
      <c r="AF477" s="111"/>
      <c r="AG477" s="111"/>
      <c r="AH477" s="111"/>
      <c r="AI477" s="111"/>
      <c r="AJ477" s="111"/>
    </row>
    <row r="478" spans="14:36" x14ac:dyDescent="0.55000000000000004">
      <c r="N478"/>
      <c r="O478" s="111"/>
      <c r="P478" s="111"/>
      <c r="V478" s="111"/>
      <c r="X478" s="111"/>
      <c r="Y478" s="111"/>
      <c r="Z478" s="111"/>
      <c r="AA478" s="111"/>
      <c r="AB478" s="111"/>
      <c r="AC478" s="111"/>
      <c r="AD478" s="111"/>
      <c r="AE478" s="111"/>
      <c r="AF478" s="111"/>
      <c r="AG478" s="111"/>
      <c r="AH478" s="111"/>
      <c r="AI478" s="111"/>
      <c r="AJ478" s="111"/>
    </row>
    <row r="479" spans="14:36" x14ac:dyDescent="0.55000000000000004">
      <c r="N479"/>
      <c r="P479" s="111"/>
      <c r="V479" s="111"/>
      <c r="X479" s="111"/>
      <c r="Y479" s="111"/>
      <c r="Z479" s="111"/>
      <c r="AA479" s="111"/>
      <c r="AB479" s="111"/>
      <c r="AC479" s="111"/>
      <c r="AD479" s="111"/>
      <c r="AE479" s="111"/>
      <c r="AF479" s="111"/>
      <c r="AG479" s="111"/>
      <c r="AH479" s="111"/>
      <c r="AI479" s="111"/>
      <c r="AJ479" s="111"/>
    </row>
    <row r="480" spans="14:36" x14ac:dyDescent="0.55000000000000004">
      <c r="N480"/>
      <c r="O480" s="111"/>
      <c r="P480" s="111"/>
      <c r="S480" s="111"/>
      <c r="T480" s="111"/>
      <c r="U480" s="111"/>
      <c r="V480" s="111"/>
      <c r="X480" s="111"/>
      <c r="Y480" s="111"/>
      <c r="Z480" s="111"/>
      <c r="AA480" s="111"/>
      <c r="AB480" s="111"/>
      <c r="AC480" s="111"/>
      <c r="AD480" s="111"/>
      <c r="AE480" s="111"/>
      <c r="AF480" s="111"/>
      <c r="AG480" s="111"/>
      <c r="AH480" s="111"/>
      <c r="AI480" s="111"/>
      <c r="AJ480" s="111"/>
    </row>
    <row r="481" spans="14:36" x14ac:dyDescent="0.55000000000000004">
      <c r="N481"/>
      <c r="O481" s="111"/>
      <c r="P481" s="111"/>
      <c r="V481" s="111"/>
      <c r="X481" s="111"/>
      <c r="Y481" s="111"/>
      <c r="Z481" s="111"/>
      <c r="AA481" s="111"/>
      <c r="AB481" s="111"/>
      <c r="AC481" s="111"/>
      <c r="AD481" s="111"/>
      <c r="AE481" s="111"/>
      <c r="AF481" s="111"/>
      <c r="AG481" s="111"/>
      <c r="AH481" s="111"/>
      <c r="AI481" s="111"/>
      <c r="AJ481" s="111"/>
    </row>
    <row r="482" spans="14:36" x14ac:dyDescent="0.55000000000000004">
      <c r="N482"/>
      <c r="V482" s="111"/>
      <c r="X482" s="111"/>
      <c r="Y482" s="111"/>
      <c r="Z482" s="111"/>
      <c r="AA482" s="111"/>
      <c r="AB482" s="111"/>
      <c r="AC482" s="111"/>
      <c r="AD482" s="111"/>
      <c r="AE482" s="111"/>
      <c r="AF482" s="111"/>
      <c r="AG482" s="111"/>
      <c r="AH482" s="111"/>
      <c r="AI482" s="111"/>
      <c r="AJ482" s="111"/>
    </row>
    <row r="483" spans="14:36" x14ac:dyDescent="0.55000000000000004">
      <c r="N483"/>
      <c r="V483" s="111"/>
      <c r="X483" s="111"/>
      <c r="Y483" s="111"/>
      <c r="Z483" s="111"/>
      <c r="AA483" s="111"/>
      <c r="AB483" s="111"/>
      <c r="AC483" s="111"/>
      <c r="AD483" s="111"/>
      <c r="AE483" s="111"/>
      <c r="AF483" s="111"/>
      <c r="AG483" s="111"/>
      <c r="AH483" s="111"/>
      <c r="AI483" s="111"/>
      <c r="AJ483" s="111"/>
    </row>
    <row r="484" spans="14:36" x14ac:dyDescent="0.55000000000000004">
      <c r="N484"/>
      <c r="V484" s="111"/>
      <c r="X484" s="111"/>
      <c r="Y484" s="111"/>
      <c r="Z484" s="111"/>
      <c r="AA484" s="111"/>
      <c r="AB484" s="111"/>
      <c r="AC484" s="111"/>
      <c r="AD484" s="111"/>
      <c r="AE484" s="111"/>
      <c r="AF484" s="111"/>
      <c r="AG484" s="111"/>
      <c r="AH484" s="111"/>
      <c r="AI484" s="111"/>
      <c r="AJ484" s="111"/>
    </row>
    <row r="485" spans="14:36" x14ac:dyDescent="0.55000000000000004">
      <c r="N485"/>
      <c r="V485" s="111"/>
      <c r="X485" s="111"/>
      <c r="Y485" s="111"/>
      <c r="Z485" s="111"/>
      <c r="AA485" s="111"/>
      <c r="AB485" s="111"/>
      <c r="AC485" s="111"/>
      <c r="AD485" s="111"/>
      <c r="AE485" s="111"/>
      <c r="AF485" s="111"/>
      <c r="AG485" s="111"/>
      <c r="AH485" s="111"/>
      <c r="AI485" s="111"/>
      <c r="AJ485" s="111"/>
    </row>
    <row r="486" spans="14:36" x14ac:dyDescent="0.55000000000000004">
      <c r="N486"/>
      <c r="V486" s="111"/>
      <c r="X486" s="111"/>
      <c r="Y486" s="111"/>
      <c r="Z486" s="111"/>
      <c r="AA486" s="111"/>
      <c r="AB486" s="111"/>
      <c r="AC486" s="111"/>
      <c r="AD486" s="111"/>
      <c r="AE486" s="111"/>
      <c r="AF486" s="111"/>
      <c r="AG486" s="111"/>
      <c r="AH486" s="111"/>
      <c r="AI486" s="111"/>
      <c r="AJ486" s="111"/>
    </row>
    <row r="487" spans="14:36" x14ac:dyDescent="0.55000000000000004">
      <c r="N487"/>
      <c r="V487" s="111"/>
      <c r="X487" s="111"/>
      <c r="Y487" s="111"/>
      <c r="Z487" s="111"/>
      <c r="AA487" s="111"/>
      <c r="AB487" s="111"/>
      <c r="AC487" s="111"/>
      <c r="AD487" s="111"/>
      <c r="AE487" s="111"/>
      <c r="AF487" s="111"/>
      <c r="AG487" s="111"/>
      <c r="AH487" s="111"/>
      <c r="AI487" s="111"/>
      <c r="AJ487" s="111"/>
    </row>
    <row r="488" spans="14:36" x14ac:dyDescent="0.55000000000000004">
      <c r="N488"/>
      <c r="V488" s="111"/>
      <c r="X488" s="111"/>
      <c r="Y488" s="111"/>
      <c r="Z488" s="111"/>
      <c r="AA488" s="111"/>
      <c r="AB488" s="111"/>
      <c r="AC488" s="111"/>
      <c r="AD488" s="111"/>
      <c r="AE488" s="111"/>
      <c r="AF488" s="111"/>
      <c r="AG488" s="111"/>
      <c r="AH488" s="111"/>
      <c r="AI488" s="111"/>
      <c r="AJ488" s="111"/>
    </row>
    <row r="489" spans="14:36" x14ac:dyDescent="0.55000000000000004">
      <c r="N489"/>
      <c r="V489" s="111"/>
      <c r="X489" s="111"/>
      <c r="Y489" s="111"/>
      <c r="Z489" s="111"/>
      <c r="AA489" s="111"/>
      <c r="AB489" s="111"/>
      <c r="AC489" s="111"/>
      <c r="AD489" s="111"/>
      <c r="AE489" s="111"/>
      <c r="AF489" s="111"/>
      <c r="AG489" s="111"/>
      <c r="AH489" s="111"/>
      <c r="AI489" s="111"/>
      <c r="AJ489" s="111"/>
    </row>
    <row r="490" spans="14:36" x14ac:dyDescent="0.55000000000000004">
      <c r="N490"/>
      <c r="V490" s="111"/>
      <c r="X490" s="111"/>
      <c r="Y490" s="111"/>
      <c r="Z490" s="111"/>
      <c r="AA490" s="111"/>
      <c r="AB490" s="111"/>
      <c r="AC490" s="111"/>
      <c r="AD490" s="111"/>
      <c r="AE490" s="111"/>
      <c r="AF490" s="111"/>
      <c r="AG490" s="111"/>
      <c r="AH490" s="111"/>
      <c r="AI490" s="111"/>
      <c r="AJ490" s="111"/>
    </row>
    <row r="491" spans="14:36" x14ac:dyDescent="0.55000000000000004">
      <c r="N491"/>
      <c r="V491" s="111"/>
      <c r="X491" s="111"/>
      <c r="Y491" s="111"/>
      <c r="Z491" s="111"/>
      <c r="AA491" s="111"/>
      <c r="AB491" s="111"/>
      <c r="AC491" s="111"/>
      <c r="AD491" s="111"/>
      <c r="AE491" s="111"/>
      <c r="AF491" s="111"/>
      <c r="AG491" s="111"/>
      <c r="AH491" s="111"/>
      <c r="AI491" s="111"/>
      <c r="AJ491" s="111"/>
    </row>
    <row r="492" spans="14:36" x14ac:dyDescent="0.55000000000000004">
      <c r="N492"/>
      <c r="V492" s="111"/>
      <c r="X492" s="111"/>
      <c r="Y492" s="111"/>
      <c r="Z492" s="111"/>
      <c r="AA492" s="111"/>
      <c r="AB492" s="111"/>
      <c r="AC492" s="111"/>
      <c r="AD492" s="111"/>
      <c r="AE492" s="111"/>
      <c r="AF492" s="111"/>
      <c r="AG492" s="111"/>
      <c r="AH492" s="111"/>
      <c r="AI492" s="111"/>
      <c r="AJ492" s="111"/>
    </row>
    <row r="493" spans="14:36" x14ac:dyDescent="0.55000000000000004">
      <c r="N493"/>
      <c r="V493" s="111"/>
      <c r="X493" s="111"/>
      <c r="Y493" s="111"/>
      <c r="Z493" s="111"/>
      <c r="AA493" s="111"/>
      <c r="AB493" s="111"/>
      <c r="AC493" s="111"/>
      <c r="AD493" s="111"/>
      <c r="AE493" s="111"/>
      <c r="AF493" s="111"/>
      <c r="AG493" s="111"/>
      <c r="AH493" s="111"/>
      <c r="AI493" s="111"/>
      <c r="AJ493" s="111"/>
    </row>
    <row r="494" spans="14:36" x14ac:dyDescent="0.55000000000000004">
      <c r="N494"/>
      <c r="V494" s="111"/>
      <c r="X494" s="111"/>
      <c r="Y494" s="111"/>
      <c r="Z494" s="111"/>
      <c r="AA494" s="111"/>
      <c r="AB494" s="111"/>
      <c r="AC494" s="111"/>
      <c r="AD494" s="111"/>
      <c r="AE494" s="111"/>
      <c r="AF494" s="111"/>
      <c r="AG494" s="111"/>
      <c r="AH494" s="111"/>
      <c r="AI494" s="111"/>
      <c r="AJ494" s="111"/>
    </row>
    <row r="495" spans="14:36" x14ac:dyDescent="0.55000000000000004">
      <c r="N495"/>
      <c r="V495" s="111"/>
      <c r="X495" s="111"/>
      <c r="Y495" s="111"/>
      <c r="Z495" s="111"/>
      <c r="AA495" s="111"/>
      <c r="AB495" s="111"/>
      <c r="AC495" s="111"/>
      <c r="AD495" s="111"/>
      <c r="AE495" s="111"/>
      <c r="AF495" s="111"/>
      <c r="AG495" s="111"/>
      <c r="AH495" s="111"/>
      <c r="AI495" s="111"/>
      <c r="AJ495" s="111"/>
    </row>
    <row r="496" spans="14:36" x14ac:dyDescent="0.55000000000000004">
      <c r="N496"/>
      <c r="V496" s="111"/>
      <c r="X496" s="111"/>
      <c r="Y496" s="111"/>
      <c r="Z496" s="111"/>
      <c r="AA496" s="111"/>
      <c r="AB496" s="111"/>
      <c r="AC496" s="111"/>
      <c r="AD496" s="111"/>
      <c r="AE496" s="111"/>
      <c r="AF496" s="111"/>
      <c r="AG496" s="111"/>
      <c r="AH496" s="111"/>
      <c r="AI496" s="111"/>
      <c r="AJ496" s="111"/>
    </row>
    <row r="497" spans="14:36" x14ac:dyDescent="0.55000000000000004">
      <c r="N497"/>
      <c r="V497" s="111"/>
      <c r="X497" s="111"/>
      <c r="Y497" s="111"/>
      <c r="Z497" s="111"/>
      <c r="AA497" s="111"/>
      <c r="AB497" s="111"/>
      <c r="AC497" s="111"/>
      <c r="AD497" s="111"/>
      <c r="AE497" s="111"/>
      <c r="AF497" s="111"/>
      <c r="AG497" s="111"/>
      <c r="AH497" s="111"/>
      <c r="AI497" s="111"/>
      <c r="AJ497" s="111"/>
    </row>
    <row r="498" spans="14:36" x14ac:dyDescent="0.55000000000000004">
      <c r="N498"/>
      <c r="V498" s="111"/>
      <c r="X498" s="111"/>
      <c r="Y498" s="111"/>
      <c r="Z498" s="111"/>
      <c r="AA498" s="111"/>
      <c r="AB498" s="111"/>
      <c r="AC498" s="111"/>
      <c r="AD498" s="111"/>
      <c r="AE498" s="111"/>
      <c r="AF498" s="111"/>
      <c r="AG498" s="111"/>
      <c r="AH498" s="111"/>
      <c r="AI498" s="111"/>
      <c r="AJ498" s="111"/>
    </row>
    <row r="499" spans="14:36" x14ac:dyDescent="0.55000000000000004">
      <c r="N499"/>
      <c r="P499" s="111"/>
      <c r="V499" s="111"/>
      <c r="X499" s="111"/>
      <c r="Y499" s="111"/>
      <c r="Z499" s="111"/>
      <c r="AA499" s="111"/>
      <c r="AB499" s="111"/>
      <c r="AC499" s="111"/>
      <c r="AD499" s="111"/>
      <c r="AE499" s="111"/>
      <c r="AF499" s="111"/>
      <c r="AG499" s="111"/>
      <c r="AH499" s="111"/>
      <c r="AI499" s="111"/>
      <c r="AJ499" s="111"/>
    </row>
    <row r="500" spans="14:36" x14ac:dyDescent="0.55000000000000004">
      <c r="N500"/>
      <c r="P500" s="111"/>
      <c r="V500" s="111"/>
      <c r="X500" s="111"/>
      <c r="Y500" s="111"/>
      <c r="Z500" s="111"/>
      <c r="AA500" s="111"/>
      <c r="AB500" s="111"/>
      <c r="AC500" s="111"/>
      <c r="AD500" s="111"/>
      <c r="AE500" s="111"/>
      <c r="AF500" s="111"/>
      <c r="AG500" s="111"/>
      <c r="AH500" s="111"/>
      <c r="AI500" s="111"/>
      <c r="AJ500" s="111"/>
    </row>
    <row r="501" spans="14:36" x14ac:dyDescent="0.55000000000000004">
      <c r="N501"/>
      <c r="O501" s="111"/>
      <c r="P501" s="111"/>
      <c r="V501" s="111"/>
      <c r="X501" s="111"/>
      <c r="Y501" s="111"/>
      <c r="Z501" s="111"/>
      <c r="AA501" s="111"/>
      <c r="AB501" s="111"/>
      <c r="AC501" s="111"/>
      <c r="AD501" s="111"/>
      <c r="AE501" s="111"/>
      <c r="AF501" s="111"/>
      <c r="AG501" s="111"/>
      <c r="AH501" s="111"/>
      <c r="AI501" s="111"/>
      <c r="AJ501" s="111"/>
    </row>
    <row r="502" spans="14:36" x14ac:dyDescent="0.55000000000000004">
      <c r="N502"/>
      <c r="O502" s="111"/>
      <c r="P502" s="111"/>
      <c r="V502" s="111"/>
      <c r="X502" s="111"/>
      <c r="Y502" s="111"/>
      <c r="Z502" s="111"/>
      <c r="AA502" s="111"/>
      <c r="AB502" s="111"/>
      <c r="AC502" s="111"/>
      <c r="AD502" s="111"/>
      <c r="AE502" s="111"/>
      <c r="AF502" s="111"/>
      <c r="AG502" s="111"/>
      <c r="AH502" s="111"/>
      <c r="AI502" s="111"/>
      <c r="AJ502" s="111"/>
    </row>
    <row r="503" spans="14:36" x14ac:dyDescent="0.55000000000000004">
      <c r="N503"/>
      <c r="V503"/>
      <c r="X503" s="111"/>
      <c r="Y503" s="111"/>
      <c r="Z503" s="111"/>
      <c r="AA503" s="111"/>
      <c r="AB503" s="111"/>
      <c r="AC503" s="111"/>
      <c r="AD503" s="111"/>
      <c r="AE503" s="111"/>
      <c r="AF503" s="111"/>
      <c r="AG503" s="111"/>
      <c r="AH503" s="111"/>
      <c r="AI503" s="111"/>
      <c r="AJ503" s="111"/>
    </row>
    <row r="504" spans="14:36" x14ac:dyDescent="0.55000000000000004">
      <c r="N504"/>
      <c r="V504" s="111"/>
      <c r="X504" s="111"/>
      <c r="Y504" s="111"/>
      <c r="Z504" s="111"/>
      <c r="AA504" s="111"/>
      <c r="AB504" s="111"/>
      <c r="AC504" s="111"/>
      <c r="AD504" s="111"/>
      <c r="AE504" s="111"/>
      <c r="AF504" s="111"/>
      <c r="AG504" s="111"/>
      <c r="AH504" s="111"/>
      <c r="AI504" s="111"/>
      <c r="AJ504" s="111"/>
    </row>
    <row r="505" spans="14:36" x14ac:dyDescent="0.55000000000000004">
      <c r="N505"/>
      <c r="V505" s="111"/>
      <c r="X505" s="111"/>
      <c r="Y505" s="111"/>
      <c r="Z505" s="111"/>
      <c r="AA505" s="111"/>
      <c r="AB505" s="111"/>
      <c r="AC505" s="111"/>
      <c r="AD505" s="111"/>
      <c r="AE505" s="111"/>
      <c r="AF505" s="111"/>
      <c r="AG505" s="111"/>
      <c r="AH505" s="111"/>
      <c r="AI505" s="111"/>
      <c r="AJ505" s="111"/>
    </row>
    <row r="506" spans="14:36" x14ac:dyDescent="0.55000000000000004">
      <c r="N506"/>
      <c r="V506" s="111"/>
      <c r="X506" s="111"/>
      <c r="Y506" s="111"/>
      <c r="Z506" s="111"/>
      <c r="AA506" s="111"/>
      <c r="AB506" s="111"/>
      <c r="AC506" s="111"/>
      <c r="AD506" s="111"/>
      <c r="AE506" s="111"/>
      <c r="AF506" s="111"/>
      <c r="AG506" s="111"/>
      <c r="AH506" s="111"/>
      <c r="AI506" s="111"/>
      <c r="AJ506" s="111"/>
    </row>
    <row r="507" spans="14:36" x14ac:dyDescent="0.55000000000000004">
      <c r="N507"/>
      <c r="V507" s="111"/>
      <c r="X507" s="111"/>
      <c r="Y507" s="111"/>
      <c r="Z507" s="111"/>
      <c r="AA507" s="111"/>
      <c r="AB507" s="111"/>
      <c r="AC507" s="111"/>
      <c r="AD507" s="111"/>
      <c r="AE507" s="111"/>
      <c r="AF507" s="111"/>
      <c r="AG507" s="111"/>
      <c r="AH507" s="111"/>
      <c r="AI507" s="111"/>
      <c r="AJ507" s="111"/>
    </row>
    <row r="508" spans="14:36" x14ac:dyDescent="0.55000000000000004">
      <c r="N508"/>
      <c r="V508" s="111"/>
      <c r="X508" s="111"/>
      <c r="Y508" s="111"/>
      <c r="Z508" s="111"/>
      <c r="AA508" s="111"/>
      <c r="AB508" s="111"/>
      <c r="AC508" s="111"/>
      <c r="AD508" s="111"/>
      <c r="AE508" s="111"/>
      <c r="AF508" s="111"/>
      <c r="AG508" s="111"/>
      <c r="AH508" s="111"/>
      <c r="AI508" s="111"/>
      <c r="AJ508" s="111"/>
    </row>
    <row r="509" spans="14:36" x14ac:dyDescent="0.55000000000000004">
      <c r="N509"/>
      <c r="V509" s="111"/>
      <c r="X509" s="111"/>
      <c r="Y509" s="111"/>
      <c r="Z509" s="111"/>
      <c r="AA509" s="111"/>
      <c r="AB509" s="111"/>
      <c r="AC509" s="111"/>
      <c r="AD509" s="111"/>
      <c r="AE509" s="111"/>
      <c r="AF509" s="111"/>
      <c r="AG509" s="111"/>
      <c r="AH509" s="111"/>
      <c r="AI509" s="111"/>
      <c r="AJ509" s="111"/>
    </row>
    <row r="510" spans="14:36" x14ac:dyDescent="0.55000000000000004">
      <c r="N510"/>
      <c r="V510" s="111"/>
      <c r="X510" s="111"/>
      <c r="Y510" s="111"/>
      <c r="Z510" s="111"/>
      <c r="AA510" s="111"/>
      <c r="AB510" s="111"/>
      <c r="AC510" s="111"/>
      <c r="AD510" s="111"/>
      <c r="AE510" s="111"/>
      <c r="AF510" s="111"/>
      <c r="AG510" s="111"/>
      <c r="AH510" s="111"/>
      <c r="AI510" s="111"/>
      <c r="AJ510" s="111"/>
    </row>
    <row r="511" spans="14:36" x14ac:dyDescent="0.55000000000000004">
      <c r="N511"/>
      <c r="V511" s="111"/>
      <c r="X511" s="111"/>
      <c r="Y511" s="111"/>
      <c r="Z511" s="111"/>
      <c r="AA511" s="111"/>
      <c r="AB511" s="111"/>
      <c r="AC511" s="111"/>
      <c r="AD511" s="111"/>
      <c r="AE511" s="111"/>
      <c r="AF511" s="111"/>
      <c r="AG511" s="111"/>
      <c r="AH511" s="111"/>
      <c r="AI511" s="111"/>
      <c r="AJ511" s="111"/>
    </row>
    <row r="512" spans="14:36" x14ac:dyDescent="0.55000000000000004">
      <c r="N512"/>
      <c r="V512" s="111"/>
      <c r="X512" s="111"/>
      <c r="Y512" s="111"/>
      <c r="Z512" s="111"/>
      <c r="AA512" s="111"/>
      <c r="AB512" s="111"/>
      <c r="AC512" s="111"/>
      <c r="AD512" s="111"/>
      <c r="AE512" s="111"/>
      <c r="AF512" s="111"/>
      <c r="AG512" s="111"/>
      <c r="AH512" s="111"/>
      <c r="AI512" s="111"/>
      <c r="AJ512" s="111"/>
    </row>
    <row r="513" spans="14:36" x14ac:dyDescent="0.55000000000000004">
      <c r="N513"/>
      <c r="V513" s="111"/>
      <c r="X513" s="111"/>
      <c r="Y513" s="111"/>
      <c r="Z513" s="111"/>
      <c r="AA513" s="111"/>
      <c r="AB513" s="111"/>
      <c r="AC513" s="111"/>
      <c r="AD513" s="111"/>
      <c r="AE513" s="111"/>
      <c r="AF513" s="111"/>
      <c r="AG513" s="111"/>
      <c r="AH513" s="111"/>
      <c r="AI513" s="111"/>
      <c r="AJ513" s="111"/>
    </row>
    <row r="514" spans="14:36" x14ac:dyDescent="0.55000000000000004">
      <c r="N514"/>
      <c r="V514" s="111"/>
      <c r="X514" s="111"/>
      <c r="Y514" s="111"/>
      <c r="Z514" s="111"/>
      <c r="AA514" s="111"/>
      <c r="AB514" s="111"/>
      <c r="AC514" s="111"/>
      <c r="AD514" s="111"/>
      <c r="AE514" s="111"/>
      <c r="AF514" s="111"/>
      <c r="AG514" s="111"/>
      <c r="AH514" s="111"/>
      <c r="AI514" s="111"/>
      <c r="AJ514" s="111"/>
    </row>
    <row r="515" spans="14:36" x14ac:dyDescent="0.55000000000000004">
      <c r="N515"/>
      <c r="V515" s="111"/>
      <c r="X515" s="111"/>
      <c r="Y515" s="111"/>
      <c r="Z515" s="111"/>
      <c r="AA515" s="111"/>
      <c r="AB515" s="111"/>
      <c r="AC515" s="111"/>
      <c r="AD515" s="111"/>
      <c r="AE515" s="111"/>
      <c r="AF515" s="111"/>
      <c r="AG515" s="111"/>
      <c r="AH515" s="111"/>
      <c r="AI515" s="111"/>
      <c r="AJ515" s="111"/>
    </row>
    <row r="516" spans="14:36" x14ac:dyDescent="0.55000000000000004">
      <c r="N516"/>
      <c r="V516" s="111"/>
      <c r="X516" s="111"/>
      <c r="Y516" s="111"/>
      <c r="Z516" s="111"/>
      <c r="AA516" s="111"/>
      <c r="AB516" s="111"/>
      <c r="AC516" s="111"/>
      <c r="AD516" s="111"/>
      <c r="AE516" s="111"/>
      <c r="AF516" s="111"/>
      <c r="AG516" s="111"/>
      <c r="AH516" s="111"/>
      <c r="AI516" s="111"/>
      <c r="AJ516" s="111"/>
    </row>
    <row r="517" spans="14:36" x14ac:dyDescent="0.55000000000000004">
      <c r="N517"/>
      <c r="V517" s="111"/>
      <c r="X517" s="111"/>
      <c r="Y517" s="111"/>
      <c r="Z517" s="111"/>
      <c r="AA517" s="111"/>
      <c r="AB517" s="111"/>
      <c r="AC517" s="111"/>
      <c r="AD517" s="111"/>
      <c r="AE517" s="111"/>
      <c r="AF517" s="111"/>
      <c r="AG517" s="111"/>
      <c r="AH517" s="111"/>
      <c r="AI517" s="111"/>
      <c r="AJ517" s="111"/>
    </row>
    <row r="518" spans="14:36" x14ac:dyDescent="0.55000000000000004">
      <c r="N518"/>
      <c r="V518" s="111"/>
      <c r="X518" s="111"/>
      <c r="Y518" s="111"/>
      <c r="Z518" s="111"/>
      <c r="AA518" s="111"/>
      <c r="AB518" s="111"/>
      <c r="AC518" s="111"/>
      <c r="AD518" s="111"/>
      <c r="AE518" s="111"/>
      <c r="AF518" s="111"/>
      <c r="AG518" s="111"/>
      <c r="AH518" s="111"/>
      <c r="AI518" s="111"/>
      <c r="AJ518" s="111"/>
    </row>
    <row r="519" spans="14:36" x14ac:dyDescent="0.55000000000000004">
      <c r="N519"/>
      <c r="V519" s="111"/>
      <c r="X519" s="111"/>
      <c r="Y519" s="111"/>
      <c r="Z519" s="111"/>
      <c r="AA519" s="111"/>
      <c r="AB519" s="111"/>
      <c r="AC519" s="111"/>
      <c r="AD519" s="111"/>
      <c r="AE519" s="111"/>
      <c r="AF519" s="111"/>
      <c r="AG519" s="111"/>
      <c r="AH519" s="111"/>
      <c r="AI519" s="111"/>
      <c r="AJ519" s="111"/>
    </row>
    <row r="520" spans="14:36" x14ac:dyDescent="0.55000000000000004">
      <c r="N520"/>
      <c r="P520" s="111"/>
      <c r="V520" s="111"/>
      <c r="X520" s="111"/>
      <c r="Y520" s="111"/>
      <c r="Z520" s="111"/>
      <c r="AA520" s="111"/>
      <c r="AB520" s="111"/>
      <c r="AC520" s="111"/>
      <c r="AD520" s="111"/>
      <c r="AE520" s="111"/>
      <c r="AF520" s="111"/>
      <c r="AG520" s="111"/>
      <c r="AH520" s="111"/>
      <c r="AI520" s="111"/>
      <c r="AJ520" s="111"/>
    </row>
    <row r="521" spans="14:36" x14ac:dyDescent="0.55000000000000004">
      <c r="N521"/>
      <c r="P521" s="111"/>
      <c r="V521" s="111"/>
      <c r="X521" s="111"/>
      <c r="Y521" s="111"/>
      <c r="Z521" s="111"/>
      <c r="AA521" s="111"/>
      <c r="AB521" s="111"/>
      <c r="AC521" s="111"/>
      <c r="AD521" s="111"/>
      <c r="AE521" s="111"/>
      <c r="AF521" s="111"/>
      <c r="AG521" s="111"/>
      <c r="AH521" s="111"/>
      <c r="AI521" s="111"/>
      <c r="AJ521" s="111"/>
    </row>
    <row r="522" spans="14:36" x14ac:dyDescent="0.55000000000000004">
      <c r="N522"/>
      <c r="P522" s="111"/>
      <c r="V522" s="111"/>
      <c r="X522" s="111"/>
      <c r="Y522" s="111"/>
      <c r="Z522" s="111"/>
      <c r="AA522" s="111"/>
      <c r="AB522" s="111"/>
      <c r="AC522" s="111"/>
      <c r="AD522" s="111"/>
      <c r="AE522" s="111"/>
      <c r="AF522" s="111"/>
      <c r="AG522" s="111"/>
      <c r="AH522" s="111"/>
      <c r="AI522" s="111"/>
      <c r="AJ522" s="111"/>
    </row>
    <row r="523" spans="14:36" x14ac:dyDescent="0.55000000000000004">
      <c r="N523"/>
      <c r="O523" s="111"/>
      <c r="P523" s="111"/>
      <c r="V523" s="111"/>
      <c r="X523" s="111"/>
      <c r="Y523" s="111"/>
      <c r="Z523" s="111"/>
      <c r="AA523" s="111"/>
      <c r="AB523" s="111"/>
      <c r="AC523" s="111"/>
      <c r="AD523" s="111"/>
      <c r="AE523" s="111"/>
      <c r="AF523" s="111"/>
      <c r="AG523" s="111"/>
      <c r="AH523" s="111"/>
      <c r="AI523" s="111"/>
      <c r="AJ523" s="111"/>
    </row>
    <row r="524" spans="14:36" x14ac:dyDescent="0.55000000000000004">
      <c r="N524"/>
      <c r="V524" s="111"/>
      <c r="X524" s="111"/>
      <c r="Y524" s="111"/>
      <c r="Z524" s="111"/>
      <c r="AA524" s="111"/>
      <c r="AB524" s="111"/>
      <c r="AC524" s="111"/>
      <c r="AD524" s="111"/>
      <c r="AE524" s="111"/>
      <c r="AF524" s="111"/>
      <c r="AG524" s="111"/>
      <c r="AH524" s="111"/>
      <c r="AI524" s="111"/>
      <c r="AJ524" s="111"/>
    </row>
    <row r="525" spans="14:36" x14ac:dyDescent="0.55000000000000004">
      <c r="N525"/>
      <c r="V525" s="111"/>
      <c r="X525" s="111"/>
      <c r="Y525" s="111"/>
      <c r="Z525" s="111"/>
      <c r="AA525" s="111"/>
      <c r="AB525" s="111"/>
      <c r="AC525" s="111"/>
      <c r="AD525" s="111"/>
      <c r="AE525" s="111"/>
      <c r="AF525" s="111"/>
      <c r="AG525" s="111"/>
      <c r="AH525" s="111"/>
      <c r="AI525" s="111"/>
      <c r="AJ525" s="111"/>
    </row>
    <row r="526" spans="14:36" x14ac:dyDescent="0.55000000000000004">
      <c r="N526"/>
      <c r="V526" s="111"/>
      <c r="X526" s="111"/>
      <c r="Y526" s="111"/>
      <c r="Z526" s="111"/>
      <c r="AA526" s="111"/>
      <c r="AB526" s="111"/>
      <c r="AC526" s="111"/>
      <c r="AD526" s="111"/>
      <c r="AE526" s="111"/>
      <c r="AF526" s="111"/>
      <c r="AG526" s="111"/>
      <c r="AH526" s="111"/>
      <c r="AI526" s="111"/>
      <c r="AJ526" s="111"/>
    </row>
    <row r="527" spans="14:36" x14ac:dyDescent="0.55000000000000004">
      <c r="N527"/>
      <c r="V527" s="111"/>
      <c r="X527" s="111"/>
      <c r="Y527" s="111"/>
      <c r="Z527" s="111"/>
      <c r="AA527" s="111"/>
      <c r="AB527" s="111"/>
      <c r="AC527" s="111"/>
      <c r="AD527" s="111"/>
      <c r="AE527" s="111"/>
      <c r="AF527" s="111"/>
      <c r="AG527" s="111"/>
      <c r="AH527" s="111"/>
      <c r="AI527" s="111"/>
      <c r="AJ527" s="111"/>
    </row>
    <row r="528" spans="14:36" x14ac:dyDescent="0.55000000000000004">
      <c r="N528"/>
      <c r="V528" s="111"/>
      <c r="X528" s="111"/>
      <c r="Y528" s="111"/>
      <c r="Z528" s="111"/>
      <c r="AA528" s="111"/>
      <c r="AB528" s="111"/>
      <c r="AC528" s="111"/>
      <c r="AD528" s="111"/>
      <c r="AE528" s="111"/>
      <c r="AF528" s="111"/>
      <c r="AG528" s="111"/>
      <c r="AH528" s="111"/>
      <c r="AI528" s="111"/>
      <c r="AJ528" s="111"/>
    </row>
    <row r="529" spans="14:36" x14ac:dyDescent="0.55000000000000004">
      <c r="N529"/>
      <c r="V529" s="111"/>
      <c r="X529" s="111"/>
      <c r="Y529" s="111"/>
      <c r="Z529" s="111"/>
      <c r="AA529" s="111"/>
      <c r="AB529" s="111"/>
      <c r="AC529" s="111"/>
      <c r="AD529" s="111"/>
      <c r="AE529" s="111"/>
      <c r="AF529" s="111"/>
      <c r="AG529" s="111"/>
      <c r="AH529" s="111"/>
      <c r="AI529" s="111"/>
      <c r="AJ529" s="111"/>
    </row>
    <row r="530" spans="14:36" x14ac:dyDescent="0.55000000000000004">
      <c r="N530"/>
      <c r="P530" s="111"/>
      <c r="V530" s="111"/>
      <c r="X530" s="111"/>
      <c r="Y530" s="111"/>
      <c r="Z530" s="111"/>
      <c r="AA530" s="111"/>
      <c r="AB530" s="111"/>
      <c r="AC530" s="111"/>
      <c r="AD530" s="111"/>
      <c r="AE530" s="111"/>
      <c r="AF530" s="111"/>
      <c r="AG530" s="111"/>
      <c r="AH530" s="111"/>
      <c r="AI530" s="111"/>
      <c r="AJ530" s="111"/>
    </row>
    <row r="531" spans="14:36" x14ac:dyDescent="0.55000000000000004">
      <c r="N531"/>
      <c r="P531" s="111"/>
      <c r="V531" s="111"/>
      <c r="X531" s="111"/>
      <c r="Y531" s="111"/>
      <c r="Z531" s="111"/>
      <c r="AA531" s="111"/>
      <c r="AB531" s="111"/>
      <c r="AC531" s="111"/>
      <c r="AD531" s="111"/>
      <c r="AE531" s="111"/>
      <c r="AF531" s="111"/>
      <c r="AG531" s="111"/>
      <c r="AH531" s="111"/>
      <c r="AI531" s="111"/>
      <c r="AJ531" s="111"/>
    </row>
    <row r="532" spans="14:36" x14ac:dyDescent="0.55000000000000004">
      <c r="N532"/>
      <c r="V532" s="111"/>
      <c r="X532" s="111"/>
      <c r="Y532" s="111"/>
      <c r="Z532" s="111"/>
      <c r="AA532" s="111"/>
      <c r="AB532" s="111"/>
      <c r="AC532" s="111"/>
      <c r="AD532" s="111"/>
      <c r="AE532" s="111"/>
      <c r="AF532" s="111"/>
      <c r="AG532" s="111"/>
      <c r="AH532" s="111"/>
      <c r="AI532" s="111"/>
      <c r="AJ532" s="111"/>
    </row>
    <row r="533" spans="14:36" x14ac:dyDescent="0.55000000000000004">
      <c r="N533"/>
      <c r="V533"/>
      <c r="X533" s="111"/>
      <c r="Y533" s="111"/>
      <c r="Z533" s="111"/>
      <c r="AA533" s="111"/>
      <c r="AB533" s="111"/>
      <c r="AC533" s="111"/>
      <c r="AD533" s="111"/>
      <c r="AE533" s="111"/>
      <c r="AF533" s="111"/>
      <c r="AG533" s="111"/>
      <c r="AH533" s="111"/>
      <c r="AI533" s="111"/>
      <c r="AJ533" s="111"/>
    </row>
    <row r="534" spans="14:36" x14ac:dyDescent="0.55000000000000004">
      <c r="N534"/>
      <c r="V534" s="111"/>
      <c r="X534" s="111"/>
      <c r="Y534" s="111"/>
      <c r="Z534" s="111"/>
      <c r="AA534" s="111"/>
      <c r="AB534" s="111"/>
      <c r="AC534" s="111"/>
      <c r="AD534" s="111"/>
      <c r="AE534" s="111"/>
      <c r="AF534" s="111"/>
      <c r="AG534" s="111"/>
      <c r="AH534" s="111"/>
      <c r="AI534" s="111"/>
      <c r="AJ534" s="111"/>
    </row>
    <row r="535" spans="14:36" x14ac:dyDescent="0.55000000000000004">
      <c r="N535"/>
      <c r="V535" s="111"/>
      <c r="X535" s="111"/>
      <c r="Y535" s="111"/>
      <c r="Z535" s="111"/>
      <c r="AA535" s="111"/>
      <c r="AB535" s="111"/>
      <c r="AC535" s="111"/>
      <c r="AD535" s="111"/>
      <c r="AE535" s="111"/>
      <c r="AF535" s="111"/>
      <c r="AG535" s="111"/>
      <c r="AH535" s="111"/>
      <c r="AI535" s="111"/>
      <c r="AJ535" s="111"/>
    </row>
    <row r="536" spans="14:36" x14ac:dyDescent="0.55000000000000004">
      <c r="N536"/>
      <c r="V536" s="111"/>
      <c r="X536" s="111"/>
      <c r="Y536" s="111"/>
      <c r="Z536" s="111"/>
      <c r="AA536" s="111"/>
      <c r="AB536" s="111"/>
      <c r="AC536" s="111"/>
      <c r="AD536" s="111"/>
      <c r="AE536" s="111"/>
      <c r="AF536" s="111"/>
      <c r="AG536" s="111"/>
      <c r="AH536" s="111"/>
      <c r="AI536" s="111"/>
      <c r="AJ536" s="111"/>
    </row>
    <row r="537" spans="14:36" x14ac:dyDescent="0.55000000000000004">
      <c r="N537"/>
      <c r="V537" s="111"/>
      <c r="X537" s="111"/>
      <c r="Y537" s="111"/>
      <c r="Z537" s="111"/>
      <c r="AA537" s="111"/>
      <c r="AB537" s="111"/>
      <c r="AC537" s="111"/>
      <c r="AD537" s="111"/>
      <c r="AE537" s="111"/>
      <c r="AF537" s="111"/>
      <c r="AG537" s="111"/>
      <c r="AH537" s="111"/>
      <c r="AI537" s="111"/>
      <c r="AJ537" s="111"/>
    </row>
    <row r="538" spans="14:36" x14ac:dyDescent="0.55000000000000004">
      <c r="N538"/>
      <c r="V538"/>
      <c r="X538" s="111"/>
      <c r="Y538" s="111"/>
      <c r="Z538" s="111"/>
      <c r="AA538" s="111"/>
      <c r="AB538" s="111"/>
      <c r="AC538" s="111"/>
      <c r="AD538" s="111"/>
      <c r="AE538" s="111"/>
      <c r="AF538" s="111"/>
      <c r="AG538" s="111"/>
      <c r="AH538" s="111"/>
      <c r="AI538" s="111"/>
      <c r="AJ538" s="111"/>
    </row>
    <row r="539" spans="14:36" x14ac:dyDescent="0.55000000000000004">
      <c r="N539"/>
      <c r="V539"/>
      <c r="X539" s="111"/>
      <c r="Y539" s="111"/>
      <c r="Z539" s="111"/>
      <c r="AA539" s="111"/>
      <c r="AB539" s="111"/>
      <c r="AC539" s="111"/>
      <c r="AD539" s="111"/>
      <c r="AE539" s="111"/>
      <c r="AF539" s="111"/>
      <c r="AG539" s="111"/>
      <c r="AH539" s="111"/>
      <c r="AI539" s="111"/>
      <c r="AJ539" s="111"/>
    </row>
    <row r="540" spans="14:36" x14ac:dyDescent="0.55000000000000004">
      <c r="N540"/>
      <c r="V540" s="111"/>
      <c r="X540" s="111"/>
      <c r="Y540" s="111"/>
      <c r="Z540" s="111"/>
      <c r="AA540" s="111"/>
      <c r="AB540" s="111"/>
      <c r="AC540" s="111"/>
      <c r="AD540" s="111"/>
      <c r="AE540" s="111"/>
      <c r="AF540" s="111"/>
      <c r="AG540" s="111"/>
      <c r="AH540" s="111"/>
      <c r="AI540" s="111"/>
      <c r="AJ540" s="111"/>
    </row>
    <row r="541" spans="14:36" x14ac:dyDescent="0.55000000000000004">
      <c r="N541"/>
      <c r="P541" s="111"/>
      <c r="V541" s="111"/>
      <c r="X541" s="111"/>
      <c r="Y541" s="111"/>
      <c r="Z541" s="111"/>
      <c r="AA541" s="111"/>
      <c r="AB541" s="111"/>
      <c r="AC541" s="111"/>
      <c r="AD541" s="111"/>
      <c r="AE541" s="111"/>
      <c r="AF541" s="111"/>
      <c r="AG541" s="111"/>
      <c r="AH541" s="111"/>
      <c r="AI541" s="111"/>
      <c r="AJ541" s="111"/>
    </row>
    <row r="542" spans="14:36" x14ac:dyDescent="0.55000000000000004">
      <c r="N542"/>
      <c r="V542" s="111"/>
      <c r="X542" s="111"/>
      <c r="Y542" s="111"/>
      <c r="Z542" s="111"/>
      <c r="AA542" s="111"/>
      <c r="AB542" s="111"/>
      <c r="AC542" s="111"/>
      <c r="AD542" s="111"/>
      <c r="AE542" s="111"/>
      <c r="AF542" s="111"/>
      <c r="AG542" s="111"/>
      <c r="AH542" s="111"/>
      <c r="AI542" s="111"/>
      <c r="AJ542" s="111"/>
    </row>
    <row r="543" spans="14:36" x14ac:dyDescent="0.55000000000000004">
      <c r="N543"/>
      <c r="V543" s="111"/>
      <c r="X543" s="111"/>
      <c r="Y543" s="111"/>
      <c r="Z543" s="111"/>
      <c r="AA543" s="111"/>
      <c r="AB543" s="111"/>
      <c r="AC543" s="111"/>
      <c r="AD543" s="111"/>
      <c r="AE543" s="111"/>
      <c r="AF543" s="111"/>
      <c r="AG543" s="111"/>
      <c r="AH543" s="111"/>
      <c r="AI543" s="111"/>
      <c r="AJ543" s="111"/>
    </row>
    <row r="544" spans="14:36" x14ac:dyDescent="0.55000000000000004">
      <c r="N544"/>
      <c r="V544"/>
      <c r="X544" s="111"/>
      <c r="Y544" s="111"/>
      <c r="Z544" s="111"/>
      <c r="AA544" s="111"/>
      <c r="AB544" s="111"/>
      <c r="AC544" s="111"/>
      <c r="AD544" s="111"/>
      <c r="AE544" s="111"/>
      <c r="AF544" s="111"/>
      <c r="AG544" s="111"/>
      <c r="AH544" s="111"/>
      <c r="AI544" s="111"/>
      <c r="AJ544" s="111"/>
    </row>
    <row r="545" spans="14:36" x14ac:dyDescent="0.55000000000000004">
      <c r="N545"/>
      <c r="V545" s="111"/>
      <c r="X545" s="111"/>
      <c r="Y545" s="111"/>
      <c r="Z545" s="111"/>
      <c r="AA545" s="111"/>
      <c r="AB545" s="111"/>
      <c r="AC545" s="111"/>
      <c r="AD545" s="111"/>
      <c r="AE545" s="111"/>
      <c r="AF545" s="111"/>
      <c r="AG545" s="111"/>
      <c r="AH545" s="111"/>
      <c r="AI545" s="111"/>
      <c r="AJ545" s="111"/>
    </row>
    <row r="546" spans="14:36" x14ac:dyDescent="0.55000000000000004">
      <c r="N546"/>
      <c r="V546" s="111"/>
      <c r="X546" s="111"/>
      <c r="Y546" s="111"/>
      <c r="Z546" s="111"/>
      <c r="AA546" s="111"/>
      <c r="AB546" s="111"/>
      <c r="AC546" s="111"/>
      <c r="AD546" s="111"/>
      <c r="AE546" s="111"/>
      <c r="AF546" s="111"/>
      <c r="AG546" s="111"/>
      <c r="AH546" s="111"/>
      <c r="AI546" s="111"/>
      <c r="AJ546" s="111"/>
    </row>
    <row r="547" spans="14:36" x14ac:dyDescent="0.55000000000000004">
      <c r="N547"/>
      <c r="V547" s="111"/>
      <c r="X547" s="111"/>
      <c r="Y547" s="111"/>
      <c r="Z547" s="111"/>
      <c r="AA547" s="111"/>
      <c r="AB547" s="111"/>
      <c r="AC547" s="111"/>
      <c r="AD547" s="111"/>
      <c r="AE547" s="111"/>
      <c r="AF547" s="111"/>
      <c r="AG547" s="111"/>
      <c r="AH547" s="111"/>
      <c r="AI547" s="111"/>
      <c r="AJ547" s="111"/>
    </row>
    <row r="548" spans="14:36" x14ac:dyDescent="0.55000000000000004">
      <c r="N548"/>
      <c r="V548" s="111"/>
      <c r="X548" s="111"/>
      <c r="Y548" s="111"/>
      <c r="Z548" s="111"/>
      <c r="AA548" s="111"/>
      <c r="AB548" s="111"/>
      <c r="AC548" s="111"/>
      <c r="AD548" s="111"/>
      <c r="AE548" s="111"/>
      <c r="AF548" s="111"/>
      <c r="AG548" s="111"/>
      <c r="AH548" s="111"/>
      <c r="AI548" s="111"/>
      <c r="AJ548" s="111"/>
    </row>
    <row r="549" spans="14:36" x14ac:dyDescent="0.55000000000000004">
      <c r="N549"/>
      <c r="V549"/>
      <c r="X549" s="111"/>
      <c r="Y549" s="111"/>
      <c r="Z549" s="111"/>
      <c r="AA549" s="111"/>
      <c r="AB549" s="111"/>
      <c r="AC549" s="111"/>
      <c r="AD549" s="111"/>
      <c r="AE549" s="111"/>
      <c r="AF549" s="111"/>
      <c r="AG549" s="111"/>
      <c r="AH549" s="111"/>
      <c r="AI549" s="111"/>
      <c r="AJ549" s="111"/>
    </row>
    <row r="550" spans="14:36" x14ac:dyDescent="0.55000000000000004">
      <c r="N550"/>
      <c r="V550"/>
      <c r="X550" s="111"/>
      <c r="Y550" s="111"/>
      <c r="Z550" s="111"/>
      <c r="AA550" s="111"/>
      <c r="AB550" s="111"/>
      <c r="AC550" s="111"/>
      <c r="AD550" s="111"/>
      <c r="AE550" s="111"/>
      <c r="AF550" s="111"/>
      <c r="AG550" s="111"/>
      <c r="AH550" s="111"/>
      <c r="AI550" s="111"/>
      <c r="AJ550" s="111"/>
    </row>
    <row r="551" spans="14:36" x14ac:dyDescent="0.55000000000000004">
      <c r="N551"/>
      <c r="V551" s="111"/>
      <c r="X551" s="111"/>
      <c r="Y551" s="111"/>
      <c r="Z551" s="111"/>
      <c r="AA551" s="111"/>
      <c r="AB551" s="111"/>
      <c r="AC551" s="111"/>
      <c r="AD551" s="111"/>
      <c r="AE551" s="111"/>
      <c r="AF551" s="111"/>
      <c r="AG551" s="111"/>
      <c r="AH551" s="111"/>
      <c r="AI551" s="111"/>
      <c r="AJ551" s="111"/>
    </row>
    <row r="552" spans="14:36" x14ac:dyDescent="0.55000000000000004">
      <c r="N552"/>
      <c r="V552" s="111"/>
      <c r="X552" s="111"/>
      <c r="Y552" s="111"/>
      <c r="Z552" s="111"/>
      <c r="AA552" s="111"/>
      <c r="AB552" s="111"/>
      <c r="AC552" s="111"/>
      <c r="AD552" s="111"/>
      <c r="AE552" s="111"/>
      <c r="AF552" s="111"/>
      <c r="AG552" s="111"/>
      <c r="AH552" s="111"/>
      <c r="AI552" s="111"/>
      <c r="AJ552" s="111"/>
    </row>
    <row r="553" spans="14:36" x14ac:dyDescent="0.55000000000000004">
      <c r="N553"/>
      <c r="V553" s="111"/>
      <c r="X553" s="111"/>
      <c r="Y553" s="111"/>
      <c r="Z553" s="111"/>
      <c r="AA553" s="111"/>
      <c r="AB553" s="111"/>
      <c r="AC553" s="111"/>
      <c r="AD553" s="111"/>
      <c r="AE553" s="111"/>
      <c r="AF553" s="111"/>
      <c r="AG553" s="111"/>
      <c r="AH553" s="111"/>
      <c r="AI553" s="111"/>
      <c r="AJ553" s="111"/>
    </row>
    <row r="554" spans="14:36" x14ac:dyDescent="0.55000000000000004">
      <c r="N554"/>
      <c r="V554" s="111"/>
      <c r="X554" s="111"/>
      <c r="Y554" s="111"/>
      <c r="Z554" s="111"/>
      <c r="AA554" s="111"/>
      <c r="AB554" s="111"/>
      <c r="AC554" s="111"/>
      <c r="AD554" s="111"/>
      <c r="AE554" s="111"/>
      <c r="AF554" s="111"/>
      <c r="AG554" s="111"/>
      <c r="AH554" s="111"/>
      <c r="AI554" s="111"/>
      <c r="AJ554" s="111"/>
    </row>
    <row r="555" spans="14:36" x14ac:dyDescent="0.55000000000000004">
      <c r="N555"/>
      <c r="V555"/>
      <c r="X555" s="111"/>
      <c r="Y555" s="111"/>
      <c r="Z555" s="111"/>
      <c r="AA555" s="111"/>
      <c r="AB555" s="111"/>
      <c r="AC555" s="111"/>
      <c r="AD555" s="111"/>
      <c r="AE555" s="111"/>
      <c r="AF555" s="111"/>
      <c r="AG555" s="111"/>
      <c r="AH555" s="111"/>
      <c r="AI555" s="111"/>
      <c r="AJ555" s="111"/>
    </row>
    <row r="556" spans="14:36" x14ac:dyDescent="0.55000000000000004">
      <c r="N556"/>
      <c r="V556"/>
      <c r="X556" s="111"/>
      <c r="Y556" s="111"/>
      <c r="Z556" s="111"/>
      <c r="AA556" s="111"/>
      <c r="AB556" s="111"/>
      <c r="AC556" s="111"/>
      <c r="AD556" s="111"/>
      <c r="AE556" s="111"/>
      <c r="AF556" s="111"/>
      <c r="AG556" s="111"/>
      <c r="AH556" s="111"/>
      <c r="AI556" s="111"/>
      <c r="AJ556" s="111"/>
    </row>
    <row r="557" spans="14:36" x14ac:dyDescent="0.55000000000000004">
      <c r="N557"/>
      <c r="V557"/>
      <c r="X557" s="111"/>
      <c r="Y557" s="111"/>
      <c r="Z557" s="111"/>
      <c r="AA557" s="111"/>
      <c r="AB557" s="111"/>
      <c r="AC557" s="111"/>
      <c r="AD557" s="111"/>
      <c r="AE557" s="111"/>
      <c r="AF557" s="111"/>
      <c r="AG557" s="111"/>
      <c r="AH557" s="111"/>
      <c r="AI557" s="111"/>
      <c r="AJ557" s="111"/>
    </row>
    <row r="558" spans="14:36" x14ac:dyDescent="0.55000000000000004">
      <c r="N558"/>
      <c r="V558" s="111"/>
      <c r="X558" s="111"/>
      <c r="Y558" s="111"/>
      <c r="Z558" s="111"/>
      <c r="AA558" s="111"/>
      <c r="AB558" s="111"/>
      <c r="AC558" s="111"/>
      <c r="AD558" s="111"/>
      <c r="AE558" s="111"/>
      <c r="AF558" s="111"/>
      <c r="AG558" s="111"/>
      <c r="AH558" s="111"/>
      <c r="AI558" s="111"/>
      <c r="AJ558" s="111"/>
    </row>
    <row r="559" spans="14:36" x14ac:dyDescent="0.55000000000000004">
      <c r="N559"/>
      <c r="V559"/>
      <c r="X559" s="111"/>
      <c r="Y559" s="111"/>
      <c r="Z559" s="111"/>
      <c r="AA559" s="111"/>
      <c r="AB559" s="111"/>
      <c r="AC559" s="111"/>
      <c r="AD559" s="111"/>
      <c r="AE559" s="111"/>
      <c r="AF559" s="111"/>
      <c r="AG559" s="111"/>
      <c r="AH559" s="111"/>
      <c r="AI559" s="111"/>
      <c r="AJ559" s="111"/>
    </row>
    <row r="560" spans="14:36" x14ac:dyDescent="0.55000000000000004">
      <c r="N560"/>
      <c r="V560"/>
      <c r="X560" s="111"/>
      <c r="Y560" s="111"/>
      <c r="Z560" s="111"/>
      <c r="AA560" s="111"/>
      <c r="AB560" s="111"/>
      <c r="AC560" s="111"/>
      <c r="AD560" s="111"/>
      <c r="AE560" s="111"/>
      <c r="AF560" s="111"/>
      <c r="AG560" s="111"/>
      <c r="AH560" s="111"/>
      <c r="AI560" s="111"/>
      <c r="AJ560" s="111"/>
    </row>
    <row r="561" spans="14:36" x14ac:dyDescent="0.55000000000000004">
      <c r="N561"/>
      <c r="V561"/>
      <c r="X561" s="111"/>
      <c r="Y561" s="111"/>
      <c r="Z561" s="111"/>
      <c r="AA561" s="111"/>
      <c r="AB561" s="111"/>
      <c r="AC561" s="111"/>
      <c r="AD561" s="111"/>
      <c r="AE561" s="111"/>
      <c r="AF561" s="111"/>
      <c r="AG561" s="111"/>
      <c r="AH561" s="111"/>
      <c r="AI561" s="111"/>
      <c r="AJ561" s="111"/>
    </row>
    <row r="562" spans="14:36" x14ac:dyDescent="0.55000000000000004">
      <c r="N562"/>
      <c r="V562"/>
      <c r="X562" s="111"/>
      <c r="Y562" s="111"/>
      <c r="Z562" s="111"/>
      <c r="AA562" s="111"/>
      <c r="AB562" s="111"/>
      <c r="AC562" s="111"/>
      <c r="AD562" s="111"/>
      <c r="AE562" s="111"/>
      <c r="AF562" s="111"/>
      <c r="AG562" s="111"/>
      <c r="AH562" s="111"/>
      <c r="AI562" s="111"/>
      <c r="AJ562" s="111"/>
    </row>
    <row r="563" spans="14:36" x14ac:dyDescent="0.55000000000000004">
      <c r="N563"/>
      <c r="V563"/>
      <c r="X563" s="111"/>
      <c r="Y563" s="111"/>
      <c r="Z563" s="111"/>
      <c r="AA563" s="111"/>
      <c r="AB563" s="111"/>
      <c r="AC563" s="111"/>
      <c r="AD563" s="111"/>
      <c r="AE563" s="111"/>
      <c r="AF563" s="111"/>
      <c r="AG563" s="111"/>
      <c r="AH563" s="111"/>
      <c r="AI563" s="111"/>
      <c r="AJ563" s="111"/>
    </row>
    <row r="564" spans="14:36" x14ac:dyDescent="0.55000000000000004">
      <c r="N564"/>
      <c r="V564"/>
      <c r="X564" s="111"/>
      <c r="Y564" s="111"/>
      <c r="Z564" s="111"/>
      <c r="AA564" s="111"/>
      <c r="AB564" s="111"/>
      <c r="AC564" s="111"/>
      <c r="AD564" s="111"/>
      <c r="AE564" s="111"/>
      <c r="AF564" s="111"/>
      <c r="AG564" s="111"/>
      <c r="AH564" s="111"/>
      <c r="AI564" s="111"/>
      <c r="AJ564" s="111"/>
    </row>
    <row r="565" spans="14:36" x14ac:dyDescent="0.55000000000000004">
      <c r="N565"/>
      <c r="V565" s="111"/>
      <c r="X565" s="111"/>
      <c r="Y565" s="111"/>
      <c r="Z565" s="111"/>
      <c r="AA565" s="111"/>
      <c r="AB565" s="111"/>
      <c r="AC565" s="111"/>
      <c r="AD565" s="111"/>
      <c r="AE565" s="111"/>
      <c r="AF565" s="111"/>
      <c r="AG565" s="111"/>
      <c r="AH565" s="111"/>
      <c r="AI565" s="111"/>
      <c r="AJ565" s="111"/>
    </row>
    <row r="566" spans="14:36" x14ac:dyDescent="0.55000000000000004">
      <c r="N566"/>
      <c r="V566"/>
      <c r="X566" s="111"/>
      <c r="Y566" s="111"/>
      <c r="Z566" s="111"/>
      <c r="AA566" s="111"/>
      <c r="AB566" s="111"/>
      <c r="AC566" s="111"/>
      <c r="AD566" s="111"/>
      <c r="AE566" s="111"/>
      <c r="AF566" s="111"/>
      <c r="AG566" s="111"/>
      <c r="AH566" s="111"/>
      <c r="AI566" s="111"/>
      <c r="AJ566" s="111"/>
    </row>
    <row r="567" spans="14:36" x14ac:dyDescent="0.55000000000000004">
      <c r="N567"/>
      <c r="V567"/>
      <c r="X567" s="111"/>
      <c r="Y567" s="111"/>
      <c r="Z567" s="111"/>
      <c r="AA567" s="111"/>
      <c r="AB567" s="111"/>
      <c r="AC567" s="111"/>
      <c r="AD567" s="111"/>
      <c r="AE567" s="111"/>
      <c r="AF567" s="111"/>
      <c r="AG567" s="111"/>
      <c r="AH567" s="111"/>
      <c r="AI567" s="111"/>
      <c r="AJ567" s="111"/>
    </row>
    <row r="568" spans="14:36" x14ac:dyDescent="0.55000000000000004">
      <c r="N568"/>
      <c r="V568"/>
      <c r="X568" s="111"/>
      <c r="Y568" s="111"/>
      <c r="Z568" s="111"/>
      <c r="AA568" s="111"/>
      <c r="AB568" s="111"/>
      <c r="AC568" s="111"/>
      <c r="AD568" s="111"/>
      <c r="AE568" s="111"/>
      <c r="AF568" s="111"/>
      <c r="AG568" s="111"/>
      <c r="AH568" s="111"/>
      <c r="AI568" s="111"/>
      <c r="AJ568" s="111"/>
    </row>
    <row r="569" spans="14:36" x14ac:dyDescent="0.55000000000000004">
      <c r="N569"/>
      <c r="V569"/>
      <c r="X569" s="111"/>
      <c r="Y569" s="111"/>
      <c r="Z569" s="111"/>
      <c r="AA569" s="111"/>
      <c r="AB569" s="111"/>
      <c r="AC569" s="111"/>
      <c r="AD569" s="111"/>
      <c r="AE569" s="111"/>
      <c r="AF569" s="111"/>
      <c r="AG569" s="111"/>
      <c r="AH569" s="111"/>
      <c r="AI569" s="111"/>
      <c r="AJ569" s="111"/>
    </row>
    <row r="570" spans="14:36" x14ac:dyDescent="0.55000000000000004">
      <c r="N570"/>
      <c r="V570" s="111"/>
      <c r="X570" s="111"/>
      <c r="Y570" s="111"/>
      <c r="Z570" s="111"/>
      <c r="AA570" s="111"/>
      <c r="AB570" s="111"/>
      <c r="AC570" s="111"/>
      <c r="AD570" s="111"/>
      <c r="AE570" s="111"/>
      <c r="AF570" s="111"/>
      <c r="AG570" s="111"/>
      <c r="AH570" s="111"/>
      <c r="AI570" s="111"/>
      <c r="AJ570" s="111"/>
    </row>
    <row r="571" spans="14:36" x14ac:dyDescent="0.55000000000000004">
      <c r="N571"/>
      <c r="V571" s="111"/>
      <c r="X571" s="111"/>
      <c r="Y571" s="111"/>
      <c r="Z571" s="111"/>
      <c r="AA571" s="111"/>
      <c r="AB571" s="111"/>
      <c r="AC571" s="111"/>
      <c r="AD571" s="111"/>
      <c r="AE571" s="111"/>
      <c r="AF571" s="111"/>
      <c r="AG571" s="111"/>
      <c r="AH571" s="111"/>
      <c r="AI571" s="111"/>
      <c r="AJ571" s="111"/>
    </row>
    <row r="572" spans="14:36" x14ac:dyDescent="0.55000000000000004">
      <c r="N572"/>
      <c r="V572"/>
      <c r="X572" s="111"/>
      <c r="Y572" s="111"/>
      <c r="Z572" s="111"/>
      <c r="AA572" s="111"/>
      <c r="AB572" s="111"/>
      <c r="AC572" s="111"/>
      <c r="AD572" s="111"/>
      <c r="AE572" s="111"/>
      <c r="AF572" s="111"/>
      <c r="AG572" s="111"/>
      <c r="AH572" s="111"/>
      <c r="AI572" s="111"/>
      <c r="AJ572" s="111"/>
    </row>
    <row r="573" spans="14:36" x14ac:dyDescent="0.55000000000000004">
      <c r="N573"/>
      <c r="V573"/>
      <c r="X573" s="111"/>
      <c r="Y573" s="111"/>
      <c r="Z573" s="111"/>
      <c r="AA573" s="111"/>
      <c r="AB573" s="111"/>
      <c r="AC573" s="111"/>
      <c r="AD573" s="111"/>
      <c r="AE573" s="111"/>
      <c r="AF573" s="111"/>
      <c r="AG573" s="111"/>
      <c r="AH573" s="111"/>
      <c r="AI573" s="111"/>
      <c r="AJ573" s="111"/>
    </row>
    <row r="574" spans="14:36" x14ac:dyDescent="0.55000000000000004">
      <c r="N574"/>
      <c r="V574"/>
      <c r="X574" s="111"/>
      <c r="Y574" s="111"/>
      <c r="Z574" s="111"/>
      <c r="AA574" s="111"/>
      <c r="AB574" s="111"/>
      <c r="AC574" s="111"/>
      <c r="AD574" s="111"/>
      <c r="AE574" s="111"/>
      <c r="AF574" s="111"/>
      <c r="AG574" s="111"/>
      <c r="AH574" s="111"/>
      <c r="AI574" s="111"/>
      <c r="AJ574" s="111"/>
    </row>
    <row r="575" spans="14:36" x14ac:dyDescent="0.55000000000000004">
      <c r="N575"/>
      <c r="V575"/>
      <c r="X575" s="111"/>
      <c r="Y575" s="111"/>
      <c r="Z575" s="111"/>
      <c r="AA575" s="111"/>
      <c r="AB575" s="111"/>
      <c r="AC575" s="111"/>
      <c r="AD575" s="111"/>
      <c r="AE575" s="111"/>
      <c r="AF575" s="111"/>
      <c r="AG575" s="111"/>
      <c r="AH575" s="111"/>
      <c r="AI575" s="111"/>
      <c r="AJ575" s="111"/>
    </row>
    <row r="576" spans="14:36" x14ac:dyDescent="0.55000000000000004">
      <c r="N576"/>
      <c r="V576" s="111"/>
      <c r="X576" s="111"/>
      <c r="Y576" s="111"/>
      <c r="Z576" s="111"/>
      <c r="AA576" s="111"/>
      <c r="AB576" s="111"/>
      <c r="AC576" s="111"/>
      <c r="AD576" s="111"/>
      <c r="AE576" s="111"/>
      <c r="AF576" s="111"/>
      <c r="AG576" s="111"/>
      <c r="AH576" s="111"/>
      <c r="AI576" s="111"/>
      <c r="AJ576" s="111"/>
    </row>
    <row r="577" spans="14:36" x14ac:dyDescent="0.55000000000000004">
      <c r="N577"/>
      <c r="V577"/>
      <c r="X577" s="111"/>
      <c r="Y577" s="111"/>
      <c r="Z577" s="111"/>
      <c r="AA577" s="111"/>
      <c r="AB577" s="111"/>
      <c r="AC577" s="111"/>
      <c r="AD577" s="111"/>
      <c r="AE577" s="111"/>
      <c r="AF577" s="111"/>
      <c r="AG577" s="111"/>
      <c r="AH577" s="111"/>
      <c r="AI577" s="111"/>
      <c r="AJ577" s="111"/>
    </row>
    <row r="578" spans="14:36" x14ac:dyDescent="0.55000000000000004">
      <c r="N578"/>
      <c r="V578"/>
      <c r="X578" s="111"/>
      <c r="Y578" s="111"/>
      <c r="Z578" s="111"/>
      <c r="AA578" s="111"/>
      <c r="AB578" s="111"/>
      <c r="AC578" s="111"/>
      <c r="AD578" s="111"/>
      <c r="AE578" s="111"/>
      <c r="AF578" s="111"/>
      <c r="AG578" s="111"/>
      <c r="AH578" s="111"/>
      <c r="AI578" s="111"/>
      <c r="AJ578" s="111"/>
    </row>
    <row r="579" spans="14:36" x14ac:dyDescent="0.55000000000000004">
      <c r="N579"/>
      <c r="V579" s="111"/>
      <c r="X579" s="111"/>
      <c r="Y579" s="111"/>
      <c r="Z579" s="111"/>
      <c r="AA579" s="111"/>
      <c r="AB579" s="111"/>
      <c r="AC579" s="111"/>
      <c r="AD579" s="111"/>
      <c r="AE579" s="111"/>
      <c r="AF579" s="111"/>
      <c r="AG579" s="111"/>
      <c r="AH579" s="111"/>
      <c r="AI579" s="111"/>
      <c r="AJ579" s="111"/>
    </row>
    <row r="580" spans="14:36" x14ac:dyDescent="0.55000000000000004">
      <c r="N580"/>
      <c r="V580"/>
      <c r="X580" s="111"/>
      <c r="Y580" s="111"/>
      <c r="Z580" s="111"/>
      <c r="AA580" s="111"/>
      <c r="AB580" s="111"/>
      <c r="AC580" s="111"/>
      <c r="AD580" s="111"/>
      <c r="AE580" s="111"/>
      <c r="AF580" s="111"/>
      <c r="AG580" s="111"/>
      <c r="AH580" s="111"/>
      <c r="AI580" s="111"/>
      <c r="AJ580" s="111"/>
    </row>
    <row r="581" spans="14:36" x14ac:dyDescent="0.55000000000000004">
      <c r="N581"/>
      <c r="V581"/>
      <c r="X581" s="111"/>
      <c r="Y581" s="111"/>
      <c r="Z581" s="111"/>
      <c r="AA581" s="111"/>
      <c r="AB581" s="111"/>
      <c r="AC581" s="111"/>
      <c r="AD581" s="111"/>
      <c r="AE581" s="111"/>
      <c r="AF581" s="111"/>
      <c r="AG581" s="111"/>
      <c r="AH581" s="111"/>
      <c r="AI581" s="111"/>
      <c r="AJ581" s="111"/>
    </row>
    <row r="582" spans="14:36" x14ac:dyDescent="0.55000000000000004">
      <c r="N582"/>
      <c r="V582"/>
      <c r="X582" s="111"/>
      <c r="Y582" s="111"/>
      <c r="Z582" s="111"/>
      <c r="AA582" s="111"/>
      <c r="AB582" s="111"/>
      <c r="AC582" s="111"/>
      <c r="AD582" s="111"/>
      <c r="AE582" s="111"/>
      <c r="AF582" s="111"/>
      <c r="AG582" s="111"/>
      <c r="AH582" s="111"/>
      <c r="AI582" s="111"/>
      <c r="AJ582" s="111"/>
    </row>
    <row r="583" spans="14:36" x14ac:dyDescent="0.55000000000000004">
      <c r="N583"/>
      <c r="V583" s="111"/>
      <c r="X583" s="111"/>
      <c r="Y583" s="111"/>
      <c r="Z583" s="111"/>
      <c r="AA583" s="111"/>
      <c r="AB583" s="111"/>
      <c r="AC583" s="111"/>
      <c r="AD583" s="111"/>
      <c r="AE583" s="111"/>
      <c r="AF583" s="111"/>
      <c r="AG583" s="111"/>
      <c r="AH583" s="111"/>
      <c r="AI583" s="111"/>
      <c r="AJ583" s="111"/>
    </row>
    <row r="584" spans="14:36" x14ac:dyDescent="0.55000000000000004">
      <c r="N584"/>
      <c r="V584"/>
      <c r="X584" s="111"/>
      <c r="Y584" s="111"/>
      <c r="Z584" s="111"/>
      <c r="AA584" s="111"/>
      <c r="AB584" s="111"/>
      <c r="AC584" s="111"/>
      <c r="AD584" s="111"/>
      <c r="AE584" s="111"/>
      <c r="AF584" s="111"/>
      <c r="AG584" s="111"/>
      <c r="AH584" s="111"/>
      <c r="AI584" s="111"/>
      <c r="AJ584" s="111"/>
    </row>
    <row r="585" spans="14:36" x14ac:dyDescent="0.55000000000000004">
      <c r="N585"/>
      <c r="V585"/>
      <c r="X585" s="111"/>
      <c r="Y585" s="111"/>
      <c r="Z585" s="111"/>
      <c r="AA585" s="111"/>
      <c r="AB585" s="111"/>
      <c r="AC585" s="111"/>
      <c r="AD585" s="111"/>
      <c r="AE585" s="111"/>
      <c r="AF585" s="111"/>
      <c r="AG585" s="111"/>
      <c r="AH585" s="111"/>
      <c r="AI585" s="111"/>
      <c r="AJ585" s="111"/>
    </row>
    <row r="586" spans="14:36" x14ac:dyDescent="0.55000000000000004">
      <c r="N586"/>
      <c r="V586"/>
      <c r="X586" s="111"/>
      <c r="Y586" s="111"/>
      <c r="Z586" s="111"/>
      <c r="AA586" s="111"/>
      <c r="AB586" s="111"/>
      <c r="AC586" s="111"/>
      <c r="AD586" s="111"/>
      <c r="AE586" s="111"/>
      <c r="AF586" s="111"/>
      <c r="AG586" s="111"/>
      <c r="AH586" s="111"/>
      <c r="AI586" s="111"/>
      <c r="AJ586" s="111"/>
    </row>
    <row r="587" spans="14:36" x14ac:dyDescent="0.55000000000000004">
      <c r="N587"/>
      <c r="V587"/>
      <c r="X587" s="111"/>
      <c r="Y587" s="111"/>
      <c r="Z587" s="111"/>
      <c r="AA587" s="111"/>
      <c r="AB587" s="111"/>
      <c r="AC587" s="111"/>
      <c r="AD587" s="111"/>
      <c r="AE587" s="111"/>
      <c r="AF587" s="111"/>
      <c r="AG587" s="111"/>
      <c r="AH587" s="111"/>
      <c r="AI587" s="111"/>
      <c r="AJ587" s="111"/>
    </row>
    <row r="588" spans="14:36" x14ac:dyDescent="0.55000000000000004">
      <c r="N588"/>
      <c r="V588" s="111"/>
      <c r="X588" s="111"/>
      <c r="Y588" s="111"/>
      <c r="Z588" s="111"/>
      <c r="AA588" s="111"/>
      <c r="AB588" s="111"/>
      <c r="AC588" s="111"/>
      <c r="AD588" s="111"/>
      <c r="AE588" s="111"/>
      <c r="AF588" s="111"/>
      <c r="AG588" s="111"/>
      <c r="AH588" s="111"/>
      <c r="AI588" s="111"/>
      <c r="AJ588" s="111"/>
    </row>
    <row r="589" spans="14:36" x14ac:dyDescent="0.55000000000000004">
      <c r="N589"/>
      <c r="V589" s="111"/>
      <c r="X589" s="111"/>
      <c r="Y589" s="111"/>
      <c r="Z589" s="111"/>
      <c r="AA589" s="111"/>
      <c r="AB589" s="111"/>
      <c r="AC589" s="111"/>
      <c r="AD589" s="111"/>
      <c r="AE589" s="111"/>
      <c r="AF589" s="111"/>
      <c r="AG589" s="111"/>
      <c r="AH589" s="111"/>
      <c r="AI589" s="111"/>
      <c r="AJ589" s="111"/>
    </row>
    <row r="590" spans="14:36" x14ac:dyDescent="0.55000000000000004">
      <c r="N590"/>
      <c r="V590" s="111"/>
      <c r="X590" s="111"/>
      <c r="Y590" s="111"/>
      <c r="Z590" s="111"/>
      <c r="AA590" s="111"/>
      <c r="AB590" s="111"/>
      <c r="AC590" s="111"/>
      <c r="AD590" s="111"/>
      <c r="AE590" s="111"/>
      <c r="AF590" s="111"/>
      <c r="AG590" s="111"/>
      <c r="AH590" s="111"/>
      <c r="AI590" s="111"/>
      <c r="AJ590" s="111"/>
    </row>
    <row r="591" spans="14:36" x14ac:dyDescent="0.55000000000000004">
      <c r="N591"/>
      <c r="V591" s="111"/>
      <c r="X591" s="111"/>
      <c r="Y591" s="111"/>
      <c r="Z591" s="111"/>
      <c r="AA591" s="111"/>
      <c r="AB591" s="111"/>
      <c r="AC591" s="111"/>
      <c r="AD591" s="111"/>
      <c r="AE591" s="111"/>
      <c r="AF591" s="111"/>
      <c r="AG591" s="111"/>
      <c r="AH591" s="111"/>
      <c r="AI591" s="111"/>
      <c r="AJ591" s="111"/>
    </row>
    <row r="592" spans="14:36" x14ac:dyDescent="0.55000000000000004">
      <c r="N592"/>
      <c r="V592" s="111"/>
      <c r="X592" s="111"/>
      <c r="Y592" s="111"/>
      <c r="Z592" s="111"/>
      <c r="AA592" s="111"/>
      <c r="AB592" s="111"/>
      <c r="AC592" s="111"/>
      <c r="AD592" s="111"/>
      <c r="AE592" s="111"/>
      <c r="AF592" s="111"/>
      <c r="AG592" s="111"/>
      <c r="AH592" s="111"/>
      <c r="AI592" s="111"/>
      <c r="AJ592" s="111"/>
    </row>
    <row r="593" spans="14:36" x14ac:dyDescent="0.55000000000000004">
      <c r="N593"/>
      <c r="V593" s="111"/>
      <c r="X593" s="111"/>
      <c r="Y593" s="111"/>
      <c r="Z593" s="111"/>
      <c r="AA593" s="111"/>
      <c r="AB593" s="111"/>
      <c r="AC593" s="111"/>
      <c r="AD593" s="111"/>
      <c r="AE593" s="111"/>
      <c r="AF593" s="111"/>
      <c r="AG593" s="111"/>
      <c r="AH593" s="111"/>
      <c r="AI593" s="111"/>
      <c r="AJ593" s="111"/>
    </row>
    <row r="594" spans="14:36" x14ac:dyDescent="0.55000000000000004">
      <c r="N594"/>
      <c r="P594" s="111"/>
      <c r="V594" s="111"/>
      <c r="X594" s="111"/>
      <c r="Y594" s="111"/>
      <c r="Z594" s="111"/>
      <c r="AA594" s="111"/>
      <c r="AB594" s="111"/>
      <c r="AC594" s="111"/>
      <c r="AD594" s="111"/>
      <c r="AE594" s="111"/>
      <c r="AF594" s="111"/>
      <c r="AG594" s="111"/>
      <c r="AH594" s="111"/>
      <c r="AI594" s="111"/>
      <c r="AJ594" s="111"/>
    </row>
    <row r="595" spans="14:36" x14ac:dyDescent="0.55000000000000004">
      <c r="N595"/>
      <c r="V595" s="111"/>
      <c r="X595" s="111"/>
      <c r="Y595" s="111"/>
      <c r="Z595" s="111"/>
      <c r="AA595" s="111"/>
      <c r="AB595" s="111"/>
      <c r="AC595" s="111"/>
      <c r="AD595" s="111"/>
      <c r="AE595" s="111"/>
      <c r="AF595" s="111"/>
      <c r="AG595" s="111"/>
      <c r="AH595" s="111"/>
      <c r="AI595" s="111"/>
      <c r="AJ595" s="111"/>
    </row>
    <row r="596" spans="14:36" x14ac:dyDescent="0.55000000000000004">
      <c r="N596"/>
      <c r="V596"/>
      <c r="X596" s="111"/>
      <c r="Y596" s="111"/>
      <c r="Z596" s="111"/>
      <c r="AA596" s="111"/>
      <c r="AB596" s="111"/>
      <c r="AC596" s="111"/>
      <c r="AD596" s="111"/>
      <c r="AE596" s="111"/>
      <c r="AF596" s="111"/>
      <c r="AG596" s="111"/>
      <c r="AH596" s="111"/>
      <c r="AI596" s="111"/>
      <c r="AJ596" s="111"/>
    </row>
    <row r="597" spans="14:36" x14ac:dyDescent="0.55000000000000004">
      <c r="N597"/>
      <c r="V597" s="111"/>
      <c r="X597" s="111"/>
      <c r="Y597" s="111"/>
      <c r="Z597" s="111"/>
      <c r="AA597" s="111"/>
      <c r="AB597" s="111"/>
      <c r="AC597" s="111"/>
      <c r="AD597" s="111"/>
      <c r="AE597" s="111"/>
      <c r="AF597" s="111"/>
      <c r="AG597" s="111"/>
      <c r="AH597" s="111"/>
      <c r="AI597" s="111"/>
      <c r="AJ597" s="111"/>
    </row>
    <row r="598" spans="14:36" x14ac:dyDescent="0.55000000000000004">
      <c r="N598"/>
      <c r="V598" s="111"/>
      <c r="X598" s="111"/>
      <c r="Y598" s="111"/>
      <c r="Z598" s="111"/>
      <c r="AA598" s="111"/>
      <c r="AB598" s="111"/>
      <c r="AC598" s="111"/>
      <c r="AD598" s="111"/>
      <c r="AE598" s="111"/>
      <c r="AF598" s="111"/>
      <c r="AG598" s="111"/>
      <c r="AH598" s="111"/>
      <c r="AI598" s="111"/>
      <c r="AJ598" s="111"/>
    </row>
    <row r="599" spans="14:36" x14ac:dyDescent="0.55000000000000004">
      <c r="N599"/>
      <c r="V599" s="111"/>
      <c r="X599" s="111"/>
      <c r="Y599" s="111"/>
      <c r="Z599" s="111"/>
      <c r="AA599" s="111"/>
      <c r="AB599" s="111"/>
      <c r="AC599" s="111"/>
      <c r="AD599" s="111"/>
      <c r="AE599" s="111"/>
      <c r="AF599" s="111"/>
      <c r="AG599" s="111"/>
      <c r="AH599" s="111"/>
      <c r="AI599" s="111"/>
      <c r="AJ599" s="111"/>
    </row>
    <row r="600" spans="14:36" x14ac:dyDescent="0.55000000000000004">
      <c r="N600"/>
      <c r="V600" s="111"/>
      <c r="X600" s="111"/>
      <c r="Y600" s="111"/>
      <c r="Z600" s="111"/>
      <c r="AA600" s="111"/>
      <c r="AB600" s="111"/>
      <c r="AC600" s="111"/>
      <c r="AD600" s="111"/>
      <c r="AE600" s="111"/>
      <c r="AF600" s="111"/>
      <c r="AG600" s="111"/>
      <c r="AH600" s="111"/>
      <c r="AI600" s="111"/>
      <c r="AJ600" s="111"/>
    </row>
    <row r="601" spans="14:36" x14ac:dyDescent="0.55000000000000004">
      <c r="N601"/>
      <c r="V601" s="111"/>
      <c r="X601" s="111"/>
      <c r="Y601" s="111"/>
      <c r="Z601" s="111"/>
      <c r="AA601" s="111"/>
      <c r="AB601" s="111"/>
      <c r="AC601" s="111"/>
      <c r="AD601" s="111"/>
      <c r="AE601" s="111"/>
      <c r="AF601" s="111"/>
      <c r="AG601" s="111"/>
      <c r="AH601" s="111"/>
      <c r="AI601" s="111"/>
      <c r="AJ601" s="111"/>
    </row>
    <row r="602" spans="14:36" x14ac:dyDescent="0.55000000000000004">
      <c r="N602"/>
      <c r="V602" s="111"/>
      <c r="X602" s="111"/>
      <c r="Y602" s="111"/>
      <c r="Z602" s="111"/>
      <c r="AA602" s="111"/>
      <c r="AB602" s="111"/>
      <c r="AC602" s="111"/>
      <c r="AD602" s="111"/>
      <c r="AE602" s="111"/>
      <c r="AF602" s="111"/>
      <c r="AG602" s="111"/>
      <c r="AH602" s="111"/>
      <c r="AI602" s="111"/>
      <c r="AJ602" s="111"/>
    </row>
    <row r="603" spans="14:36" x14ac:dyDescent="0.55000000000000004">
      <c r="N603"/>
      <c r="V603" s="111"/>
      <c r="X603" s="111"/>
      <c r="Y603" s="111"/>
      <c r="Z603" s="111"/>
      <c r="AA603" s="111"/>
      <c r="AB603" s="111"/>
      <c r="AC603" s="111"/>
      <c r="AD603" s="111"/>
      <c r="AE603" s="111"/>
      <c r="AF603" s="111"/>
      <c r="AG603" s="111"/>
      <c r="AH603" s="111"/>
      <c r="AI603" s="111"/>
      <c r="AJ603" s="111"/>
    </row>
    <row r="604" spans="14:36" x14ac:dyDescent="0.55000000000000004">
      <c r="N604"/>
      <c r="V604" s="111"/>
      <c r="X604" s="111"/>
      <c r="Y604" s="111"/>
      <c r="Z604" s="111"/>
      <c r="AA604" s="111"/>
      <c r="AB604" s="111"/>
      <c r="AC604" s="111"/>
      <c r="AD604" s="111"/>
      <c r="AE604" s="111"/>
      <c r="AF604" s="111"/>
      <c r="AG604" s="111"/>
      <c r="AH604" s="111"/>
      <c r="AI604" s="111"/>
      <c r="AJ604" s="111"/>
    </row>
    <row r="605" spans="14:36" x14ac:dyDescent="0.55000000000000004">
      <c r="N605"/>
      <c r="V605" s="111"/>
      <c r="X605" s="111"/>
      <c r="Y605" s="111"/>
      <c r="Z605" s="111"/>
      <c r="AA605" s="111"/>
      <c r="AB605" s="111"/>
      <c r="AC605" s="111"/>
      <c r="AD605" s="111"/>
      <c r="AE605" s="111"/>
      <c r="AF605" s="111"/>
      <c r="AG605" s="111"/>
      <c r="AH605" s="111"/>
      <c r="AI605" s="111"/>
      <c r="AJ605" s="111"/>
    </row>
    <row r="606" spans="14:36" x14ac:dyDescent="0.55000000000000004">
      <c r="N606"/>
      <c r="P606" s="111"/>
      <c r="V606" s="111"/>
      <c r="X606" s="111"/>
      <c r="Y606" s="111"/>
      <c r="Z606" s="111"/>
      <c r="AA606" s="111"/>
      <c r="AB606" s="111"/>
      <c r="AC606" s="111"/>
      <c r="AD606" s="111"/>
      <c r="AE606" s="111"/>
      <c r="AF606" s="111"/>
      <c r="AG606" s="111"/>
      <c r="AH606" s="111"/>
      <c r="AI606" s="111"/>
      <c r="AJ606" s="111"/>
    </row>
    <row r="607" spans="14:36" x14ac:dyDescent="0.55000000000000004">
      <c r="N607"/>
      <c r="V607" s="111"/>
      <c r="X607" s="111"/>
      <c r="Y607" s="111"/>
      <c r="Z607" s="111"/>
      <c r="AA607" s="111"/>
      <c r="AB607" s="111"/>
      <c r="AC607" s="111"/>
      <c r="AD607" s="111"/>
      <c r="AE607" s="111"/>
      <c r="AF607" s="111"/>
      <c r="AG607" s="111"/>
      <c r="AH607" s="111"/>
      <c r="AI607" s="111"/>
      <c r="AJ607" s="111"/>
    </row>
    <row r="608" spans="14:36" x14ac:dyDescent="0.55000000000000004">
      <c r="N608"/>
      <c r="O608" s="111"/>
      <c r="P608" s="111"/>
      <c r="V608" s="111"/>
      <c r="X608" s="111"/>
      <c r="Y608" s="111"/>
      <c r="Z608" s="111"/>
      <c r="AA608" s="111"/>
      <c r="AB608" s="111"/>
      <c r="AC608" s="111"/>
      <c r="AD608" s="111"/>
      <c r="AE608" s="111"/>
      <c r="AF608" s="111"/>
      <c r="AG608" s="111"/>
      <c r="AH608" s="111"/>
      <c r="AI608" s="111"/>
      <c r="AJ608" s="111"/>
    </row>
    <row r="609" spans="14:36" x14ac:dyDescent="0.55000000000000004">
      <c r="N609"/>
      <c r="V609" s="111"/>
      <c r="X609" s="111"/>
      <c r="Y609" s="111"/>
      <c r="Z609" s="111"/>
      <c r="AA609" s="111"/>
      <c r="AB609" s="111"/>
      <c r="AC609" s="111"/>
      <c r="AD609" s="111"/>
      <c r="AE609" s="111"/>
      <c r="AF609" s="111"/>
      <c r="AG609" s="111"/>
      <c r="AH609" s="111"/>
      <c r="AI609" s="111"/>
      <c r="AJ609" s="111"/>
    </row>
    <row r="610" spans="14:36" x14ac:dyDescent="0.55000000000000004">
      <c r="N610"/>
      <c r="V610" s="111"/>
      <c r="X610" s="111"/>
      <c r="Y610" s="111"/>
      <c r="Z610" s="111"/>
      <c r="AA610" s="111"/>
      <c r="AB610" s="111"/>
      <c r="AC610" s="111"/>
      <c r="AD610" s="111"/>
      <c r="AE610" s="111"/>
      <c r="AF610" s="111"/>
      <c r="AG610" s="111"/>
      <c r="AH610" s="111"/>
      <c r="AI610" s="111"/>
      <c r="AJ610" s="111"/>
    </row>
    <row r="611" spans="14:36" x14ac:dyDescent="0.55000000000000004">
      <c r="N611"/>
      <c r="V611" s="111"/>
      <c r="X611" s="111"/>
      <c r="Y611" s="111"/>
      <c r="Z611" s="111"/>
      <c r="AA611" s="111"/>
      <c r="AB611" s="111"/>
      <c r="AC611" s="111"/>
      <c r="AD611" s="111"/>
      <c r="AE611" s="111"/>
      <c r="AF611" s="111"/>
      <c r="AG611" s="111"/>
      <c r="AH611" s="111"/>
      <c r="AI611" s="111"/>
      <c r="AJ611" s="111"/>
    </row>
    <row r="612" spans="14:36" x14ac:dyDescent="0.55000000000000004">
      <c r="N612"/>
      <c r="V612"/>
      <c r="X612" s="111"/>
      <c r="Y612" s="111"/>
      <c r="Z612" s="111"/>
      <c r="AA612" s="111"/>
      <c r="AB612" s="111"/>
      <c r="AC612" s="111"/>
      <c r="AD612" s="111"/>
      <c r="AE612" s="111"/>
      <c r="AF612" s="111"/>
      <c r="AG612" s="111"/>
      <c r="AH612" s="111"/>
      <c r="AI612" s="111"/>
      <c r="AJ612" s="111"/>
    </row>
    <row r="613" spans="14:36" x14ac:dyDescent="0.55000000000000004">
      <c r="N613"/>
      <c r="V613"/>
      <c r="X613" s="111"/>
      <c r="Y613" s="111"/>
      <c r="Z613" s="111"/>
      <c r="AA613" s="111"/>
      <c r="AB613" s="111"/>
      <c r="AC613" s="111"/>
      <c r="AD613" s="111"/>
      <c r="AE613" s="111"/>
      <c r="AF613" s="111"/>
      <c r="AG613" s="111"/>
      <c r="AH613" s="111"/>
      <c r="AI613" s="111"/>
      <c r="AJ613" s="111"/>
    </row>
    <row r="614" spans="14:36" x14ac:dyDescent="0.55000000000000004">
      <c r="N614"/>
      <c r="V614" s="111"/>
      <c r="X614" s="111"/>
      <c r="Y614" s="111"/>
      <c r="Z614" s="111"/>
      <c r="AA614" s="111"/>
      <c r="AB614" s="111"/>
      <c r="AC614" s="111"/>
      <c r="AD614" s="111"/>
      <c r="AE614" s="111"/>
      <c r="AF614" s="111"/>
      <c r="AG614" s="111"/>
      <c r="AH614" s="111"/>
      <c r="AI614" s="111"/>
      <c r="AJ614" s="111"/>
    </row>
    <row r="615" spans="14:36" x14ac:dyDescent="0.55000000000000004">
      <c r="N615"/>
      <c r="V615" s="111"/>
      <c r="X615" s="111"/>
      <c r="Y615" s="111"/>
      <c r="Z615" s="111"/>
      <c r="AA615" s="111"/>
      <c r="AB615" s="111"/>
      <c r="AC615" s="111"/>
      <c r="AD615" s="111"/>
      <c r="AE615" s="111"/>
      <c r="AF615" s="111"/>
      <c r="AG615" s="111"/>
      <c r="AH615" s="111"/>
      <c r="AI615" s="111"/>
      <c r="AJ615" s="111"/>
    </row>
    <row r="616" spans="14:36" x14ac:dyDescent="0.55000000000000004">
      <c r="N616"/>
      <c r="V616" s="111"/>
      <c r="X616" s="111"/>
      <c r="Y616" s="111"/>
      <c r="Z616" s="111"/>
      <c r="AA616" s="111"/>
      <c r="AB616" s="111"/>
      <c r="AC616" s="111"/>
      <c r="AD616" s="111"/>
      <c r="AE616" s="111"/>
      <c r="AF616" s="111"/>
      <c r="AG616" s="111"/>
      <c r="AH616" s="111"/>
      <c r="AI616" s="111"/>
      <c r="AJ616" s="111"/>
    </row>
    <row r="617" spans="14:36" x14ac:dyDescent="0.55000000000000004">
      <c r="N617"/>
      <c r="V617" s="111"/>
      <c r="X617" s="111"/>
      <c r="Y617" s="111"/>
      <c r="Z617" s="111"/>
      <c r="AA617" s="111"/>
      <c r="AB617" s="111"/>
      <c r="AC617" s="111"/>
      <c r="AD617" s="111"/>
      <c r="AE617" s="111"/>
      <c r="AF617" s="111"/>
      <c r="AG617" s="111"/>
      <c r="AH617" s="111"/>
      <c r="AI617" s="111"/>
      <c r="AJ617" s="111"/>
    </row>
    <row r="618" spans="14:36" x14ac:dyDescent="0.55000000000000004">
      <c r="N618"/>
      <c r="V618" s="111"/>
      <c r="X618" s="111"/>
      <c r="Y618" s="111"/>
      <c r="Z618" s="111"/>
      <c r="AA618" s="111"/>
      <c r="AB618" s="111"/>
      <c r="AC618" s="111"/>
      <c r="AD618" s="111"/>
      <c r="AE618" s="111"/>
      <c r="AF618" s="111"/>
      <c r="AG618" s="111"/>
      <c r="AH618" s="111"/>
      <c r="AI618" s="111"/>
      <c r="AJ618" s="111"/>
    </row>
    <row r="619" spans="14:36" x14ac:dyDescent="0.55000000000000004">
      <c r="N619"/>
      <c r="V619" s="111"/>
      <c r="X619" s="111"/>
      <c r="Y619" s="111"/>
      <c r="Z619" s="111"/>
      <c r="AA619" s="111"/>
      <c r="AB619" s="111"/>
      <c r="AC619" s="111"/>
      <c r="AD619" s="111"/>
      <c r="AE619" s="111"/>
      <c r="AF619" s="111"/>
      <c r="AG619" s="111"/>
      <c r="AH619" s="111"/>
      <c r="AI619" s="111"/>
      <c r="AJ619" s="111"/>
    </row>
    <row r="620" spans="14:36" x14ac:dyDescent="0.55000000000000004">
      <c r="N620"/>
      <c r="V620" s="111"/>
      <c r="X620" s="111"/>
      <c r="Y620" s="111"/>
      <c r="Z620" s="111"/>
      <c r="AA620" s="111"/>
      <c r="AB620" s="111"/>
      <c r="AC620" s="111"/>
      <c r="AD620" s="111"/>
      <c r="AE620" s="111"/>
      <c r="AF620" s="111"/>
      <c r="AG620" s="111"/>
      <c r="AH620" s="111"/>
      <c r="AI620" s="111"/>
      <c r="AJ620" s="111"/>
    </row>
    <row r="621" spans="14:36" x14ac:dyDescent="0.55000000000000004">
      <c r="N621" s="120"/>
      <c r="O621" s="111"/>
      <c r="P621" s="111"/>
      <c r="Q621" s="111"/>
      <c r="R621" s="111"/>
      <c r="S621" s="111"/>
      <c r="T621" s="111"/>
      <c r="U621" s="111"/>
      <c r="V621" s="120"/>
      <c r="W621" s="111"/>
      <c r="X621" s="111"/>
      <c r="Y621" s="111"/>
      <c r="Z621" s="111"/>
      <c r="AA621" s="111"/>
      <c r="AB621" s="111"/>
      <c r="AC621" s="111"/>
      <c r="AD621" s="111"/>
      <c r="AE621" s="111"/>
      <c r="AF621" s="111"/>
      <c r="AG621" s="111"/>
      <c r="AH621" s="111"/>
      <c r="AI621" s="111"/>
      <c r="AJ621" s="111"/>
    </row>
    <row r="622" spans="14:36" x14ac:dyDescent="0.55000000000000004">
      <c r="N622" s="120"/>
      <c r="O622" s="111"/>
      <c r="P622" s="111"/>
      <c r="Q622" s="111"/>
      <c r="R622" s="111"/>
      <c r="S622" s="111"/>
      <c r="T622" s="111"/>
      <c r="U622" s="111"/>
      <c r="V622" s="120"/>
      <c r="W622" s="111"/>
      <c r="X622" s="111"/>
      <c r="Y622" s="111"/>
      <c r="Z622" s="111"/>
      <c r="AA622" s="111"/>
      <c r="AB622" s="111"/>
      <c r="AC622" s="111"/>
      <c r="AD622" s="111"/>
      <c r="AE622" s="111"/>
      <c r="AF622" s="111"/>
      <c r="AG622" s="111"/>
      <c r="AH622" s="111"/>
      <c r="AI622" s="111"/>
      <c r="AJ622" s="111"/>
    </row>
    <row r="623" spans="14:36" x14ac:dyDescent="0.55000000000000004">
      <c r="N623" s="120"/>
      <c r="O623" s="111"/>
      <c r="P623" s="111"/>
      <c r="Q623" s="111"/>
      <c r="R623" s="111"/>
      <c r="S623" s="111"/>
      <c r="T623" s="111"/>
      <c r="U623" s="111"/>
      <c r="V623" s="120"/>
      <c r="W623" s="111"/>
      <c r="X623" s="111"/>
      <c r="Y623" s="111"/>
      <c r="Z623" s="111"/>
      <c r="AA623" s="111"/>
      <c r="AB623" s="111"/>
      <c r="AC623" s="111"/>
      <c r="AD623" s="111"/>
      <c r="AE623" s="111"/>
      <c r="AF623" s="111"/>
      <c r="AG623" s="111"/>
      <c r="AH623" s="111"/>
      <c r="AI623" s="111"/>
      <c r="AJ623" s="111"/>
    </row>
    <row r="624" spans="14:36" x14ac:dyDescent="0.55000000000000004">
      <c r="N624" s="120"/>
      <c r="O624" s="111"/>
      <c r="P624" s="111"/>
      <c r="Q624" s="111"/>
      <c r="R624" s="111"/>
      <c r="S624" s="111"/>
      <c r="T624" s="111"/>
      <c r="U624" s="111"/>
      <c r="V624" s="120"/>
      <c r="W624" s="111"/>
      <c r="X624" s="111"/>
      <c r="Y624" s="111"/>
      <c r="Z624" s="111"/>
      <c r="AA624" s="111"/>
      <c r="AB624" s="111"/>
      <c r="AC624" s="111"/>
      <c r="AD624" s="111"/>
      <c r="AE624" s="111"/>
      <c r="AF624" s="111"/>
      <c r="AG624" s="111"/>
      <c r="AH624" s="111"/>
      <c r="AI624" s="111"/>
      <c r="AJ624" s="111"/>
    </row>
    <row r="625" spans="14:36" x14ac:dyDescent="0.55000000000000004">
      <c r="N625" s="120"/>
      <c r="O625" s="111"/>
      <c r="P625" s="111"/>
      <c r="Q625" s="111"/>
      <c r="R625" s="111"/>
      <c r="S625" s="111"/>
      <c r="T625" s="111"/>
      <c r="U625" s="111"/>
      <c r="V625" s="120"/>
      <c r="W625" s="111"/>
      <c r="X625" s="111"/>
      <c r="Y625" s="111"/>
      <c r="Z625" s="111"/>
      <c r="AA625" s="111"/>
      <c r="AB625" s="111"/>
      <c r="AC625" s="111"/>
      <c r="AD625" s="111"/>
      <c r="AE625" s="111"/>
      <c r="AF625" s="111"/>
      <c r="AG625" s="111"/>
      <c r="AH625" s="111"/>
      <c r="AI625" s="111"/>
      <c r="AJ625" s="111"/>
    </row>
    <row r="626" spans="14:36" x14ac:dyDescent="0.55000000000000004">
      <c r="N626" s="120"/>
      <c r="O626" s="111"/>
      <c r="P626" s="111"/>
      <c r="Q626" s="111"/>
      <c r="R626" s="111"/>
      <c r="S626" s="111"/>
      <c r="T626" s="111"/>
      <c r="U626" s="111"/>
      <c r="V626" s="120"/>
      <c r="W626" s="111"/>
      <c r="X626" s="111"/>
      <c r="Y626" s="111"/>
      <c r="Z626" s="111"/>
      <c r="AA626" s="111"/>
      <c r="AB626" s="111"/>
      <c r="AC626" s="111"/>
      <c r="AD626" s="111"/>
      <c r="AE626" s="111"/>
      <c r="AF626" s="111"/>
      <c r="AG626" s="111"/>
      <c r="AH626" s="111"/>
      <c r="AI626" s="111"/>
      <c r="AJ626" s="111"/>
    </row>
    <row r="627" spans="14:36" x14ac:dyDescent="0.55000000000000004">
      <c r="N627" s="120"/>
      <c r="O627" s="111"/>
      <c r="P627" s="111"/>
      <c r="Q627" s="111"/>
      <c r="R627" s="111"/>
      <c r="S627" s="111"/>
      <c r="T627" s="111"/>
      <c r="U627" s="111"/>
      <c r="V627" s="120"/>
      <c r="W627" s="111"/>
      <c r="X627" s="111"/>
      <c r="Y627" s="111"/>
      <c r="Z627" s="111"/>
      <c r="AA627" s="111"/>
      <c r="AB627" s="111"/>
      <c r="AC627" s="111"/>
      <c r="AD627" s="111"/>
      <c r="AE627" s="111"/>
      <c r="AF627" s="111"/>
      <c r="AG627" s="111"/>
      <c r="AH627" s="111"/>
      <c r="AI627" s="111"/>
      <c r="AJ627" s="111"/>
    </row>
    <row r="628" spans="14:36" x14ac:dyDescent="0.55000000000000004">
      <c r="N628" s="120"/>
      <c r="O628" s="111"/>
      <c r="P628" s="111"/>
      <c r="Q628" s="111"/>
      <c r="R628" s="111"/>
      <c r="S628" s="111"/>
      <c r="T628" s="111"/>
      <c r="U628" s="111"/>
      <c r="V628" s="120"/>
      <c r="W628" s="111"/>
      <c r="X628" s="111"/>
      <c r="Y628" s="111"/>
      <c r="Z628" s="111"/>
      <c r="AA628" s="111"/>
      <c r="AB628" s="111"/>
      <c r="AC628" s="111"/>
      <c r="AD628" s="111"/>
      <c r="AE628" s="111"/>
      <c r="AF628" s="111"/>
      <c r="AG628" s="111"/>
      <c r="AH628" s="111"/>
      <c r="AI628" s="111"/>
      <c r="AJ628" s="111"/>
    </row>
    <row r="629" spans="14:36" x14ac:dyDescent="0.55000000000000004">
      <c r="N629" s="120"/>
      <c r="O629" s="111"/>
      <c r="P629" s="111"/>
      <c r="Q629" s="111"/>
      <c r="R629" s="111"/>
      <c r="S629" s="111"/>
      <c r="T629" s="111"/>
      <c r="U629" s="111"/>
      <c r="V629" s="120"/>
      <c r="W629" s="111"/>
      <c r="X629" s="111"/>
      <c r="Y629" s="111"/>
      <c r="Z629" s="111"/>
      <c r="AA629" s="111"/>
      <c r="AB629" s="111"/>
      <c r="AC629" s="111"/>
      <c r="AD629" s="111"/>
      <c r="AE629" s="111"/>
      <c r="AF629" s="111"/>
      <c r="AG629" s="111"/>
      <c r="AH629" s="111"/>
      <c r="AI629" s="111"/>
      <c r="AJ629" s="111"/>
    </row>
    <row r="630" spans="14:36" x14ac:dyDescent="0.55000000000000004">
      <c r="N630" s="120"/>
      <c r="O630" s="111"/>
      <c r="P630" s="111"/>
      <c r="Q630" s="111"/>
      <c r="R630" s="111"/>
      <c r="S630" s="111"/>
      <c r="T630" s="111"/>
      <c r="U630" s="111"/>
      <c r="V630" s="120"/>
      <c r="W630" s="111"/>
      <c r="X630" s="111"/>
      <c r="Y630" s="111"/>
      <c r="Z630" s="111"/>
      <c r="AA630" s="111"/>
      <c r="AB630" s="111"/>
      <c r="AC630" s="111"/>
      <c r="AD630" s="111"/>
      <c r="AE630" s="111"/>
      <c r="AF630" s="111"/>
      <c r="AG630" s="111"/>
      <c r="AH630" s="111"/>
      <c r="AI630" s="111"/>
      <c r="AJ630" s="111"/>
    </row>
    <row r="631" spans="14:36" x14ac:dyDescent="0.55000000000000004">
      <c r="N631" s="120"/>
      <c r="O631" s="111"/>
      <c r="P631" s="111"/>
      <c r="Q631" s="111"/>
      <c r="R631" s="111"/>
      <c r="S631" s="111"/>
      <c r="T631" s="111"/>
      <c r="U631" s="111"/>
      <c r="V631" s="120"/>
      <c r="W631" s="111"/>
      <c r="X631" s="111"/>
      <c r="Y631" s="111"/>
      <c r="Z631" s="111"/>
      <c r="AA631" s="111"/>
      <c r="AB631" s="111"/>
      <c r="AC631" s="111"/>
      <c r="AD631" s="111"/>
      <c r="AE631" s="111"/>
      <c r="AF631" s="111"/>
      <c r="AG631" s="111"/>
      <c r="AH631" s="111"/>
      <c r="AI631" s="111"/>
      <c r="AJ631" s="111"/>
    </row>
    <row r="632" spans="14:36" x14ac:dyDescent="0.55000000000000004">
      <c r="N632" s="120"/>
      <c r="O632" s="111"/>
      <c r="P632" s="111"/>
      <c r="Q632" s="111"/>
      <c r="R632" s="111"/>
      <c r="S632" s="111"/>
      <c r="T632" s="111"/>
      <c r="U632" s="111"/>
      <c r="V632" s="120"/>
      <c r="W632" s="111"/>
      <c r="X632" s="111"/>
      <c r="Y632" s="111"/>
      <c r="Z632" s="111"/>
      <c r="AA632" s="111"/>
      <c r="AB632" s="111"/>
      <c r="AC632" s="111"/>
      <c r="AD632" s="111"/>
      <c r="AE632" s="111"/>
      <c r="AF632" s="111"/>
      <c r="AG632" s="111"/>
      <c r="AH632" s="111"/>
      <c r="AI632" s="111"/>
      <c r="AJ632" s="111"/>
    </row>
    <row r="633" spans="14:36" x14ac:dyDescent="0.55000000000000004">
      <c r="N633" s="120"/>
      <c r="O633" s="111"/>
      <c r="P633" s="111"/>
      <c r="Q633" s="111"/>
      <c r="R633" s="111"/>
      <c r="S633" s="111"/>
      <c r="T633" s="111"/>
      <c r="U633" s="111"/>
      <c r="V633" s="120"/>
      <c r="W633" s="111"/>
      <c r="X633" s="111"/>
      <c r="Y633" s="111"/>
      <c r="Z633" s="111"/>
      <c r="AA633" s="111"/>
      <c r="AB633" s="111"/>
      <c r="AC633" s="111"/>
      <c r="AD633" s="111"/>
      <c r="AE633" s="111"/>
      <c r="AF633" s="111"/>
      <c r="AG633" s="111"/>
      <c r="AH633" s="111"/>
      <c r="AI633" s="111"/>
      <c r="AJ633" s="111"/>
    </row>
    <row r="634" spans="14:36" x14ac:dyDescent="0.55000000000000004">
      <c r="N634" s="120"/>
      <c r="O634" s="111"/>
      <c r="P634" s="111"/>
      <c r="Q634" s="111"/>
      <c r="R634" s="111"/>
      <c r="S634" s="111"/>
      <c r="T634" s="111"/>
      <c r="U634" s="111"/>
      <c r="V634" s="120"/>
      <c r="W634" s="111"/>
      <c r="X634" s="111"/>
      <c r="Y634" s="111"/>
      <c r="Z634" s="111"/>
      <c r="AA634" s="111"/>
      <c r="AB634" s="111"/>
      <c r="AC634" s="111"/>
      <c r="AD634" s="111"/>
      <c r="AE634" s="111"/>
      <c r="AF634" s="111"/>
      <c r="AG634" s="111"/>
      <c r="AH634" s="111"/>
      <c r="AI634" s="111"/>
      <c r="AJ634" s="111"/>
    </row>
    <row r="635" spans="14:36" x14ac:dyDescent="0.55000000000000004">
      <c r="N635" s="120"/>
      <c r="O635" s="111"/>
      <c r="P635" s="111"/>
      <c r="Q635" s="111"/>
      <c r="R635" s="111"/>
      <c r="S635" s="111"/>
      <c r="T635" s="111"/>
      <c r="U635" s="111"/>
      <c r="V635" s="120"/>
      <c r="W635" s="111"/>
      <c r="X635" s="111"/>
      <c r="Y635" s="111"/>
      <c r="Z635" s="111"/>
      <c r="AA635" s="111"/>
      <c r="AB635" s="111"/>
      <c r="AC635" s="111"/>
      <c r="AD635" s="111"/>
      <c r="AE635" s="111"/>
      <c r="AF635" s="111"/>
      <c r="AG635" s="111"/>
      <c r="AH635" s="111"/>
      <c r="AI635" s="111"/>
      <c r="AJ635" s="111"/>
    </row>
    <row r="636" spans="14:36" x14ac:dyDescent="0.55000000000000004">
      <c r="N636" s="120"/>
      <c r="O636" s="111"/>
      <c r="P636" s="111"/>
      <c r="Q636" s="111"/>
      <c r="R636" s="111"/>
      <c r="S636" s="111"/>
      <c r="T636" s="111"/>
      <c r="U636" s="111"/>
      <c r="V636" s="120"/>
      <c r="W636" s="111"/>
      <c r="X636" s="111"/>
      <c r="Y636" s="111"/>
      <c r="Z636" s="111"/>
      <c r="AA636" s="111"/>
      <c r="AB636" s="111"/>
      <c r="AC636" s="111"/>
      <c r="AD636" s="111"/>
      <c r="AE636" s="111"/>
      <c r="AF636" s="111"/>
      <c r="AG636" s="111"/>
      <c r="AH636" s="111"/>
      <c r="AI636" s="111"/>
      <c r="AJ636" s="111"/>
    </row>
    <row r="637" spans="14:36" x14ac:dyDescent="0.55000000000000004">
      <c r="N637" s="120"/>
      <c r="O637" s="111"/>
      <c r="P637" s="111"/>
      <c r="Q637" s="111"/>
      <c r="R637" s="111"/>
      <c r="S637" s="111"/>
      <c r="T637" s="111"/>
      <c r="U637" s="111"/>
      <c r="V637" s="120"/>
      <c r="W637" s="111"/>
      <c r="X637" s="111"/>
      <c r="Y637" s="111"/>
      <c r="Z637" s="111"/>
      <c r="AA637" s="111"/>
      <c r="AB637" s="111"/>
      <c r="AC637" s="111"/>
      <c r="AD637" s="111"/>
      <c r="AE637" s="111"/>
      <c r="AF637" s="111"/>
      <c r="AG637" s="111"/>
      <c r="AH637" s="111"/>
      <c r="AI637" s="111"/>
      <c r="AJ637" s="111"/>
    </row>
    <row r="638" spans="14:36" x14ac:dyDescent="0.55000000000000004">
      <c r="N638" s="120"/>
      <c r="O638" s="111"/>
      <c r="P638" s="111"/>
      <c r="Q638" s="111"/>
      <c r="R638" s="111"/>
      <c r="S638" s="111"/>
      <c r="T638" s="111"/>
      <c r="U638" s="111"/>
      <c r="V638" s="120"/>
      <c r="W638" s="111"/>
      <c r="X638" s="111"/>
      <c r="Y638" s="111"/>
      <c r="Z638" s="111"/>
      <c r="AA638" s="111"/>
      <c r="AB638" s="111"/>
      <c r="AC638" s="111"/>
      <c r="AD638" s="111"/>
      <c r="AE638" s="111"/>
      <c r="AF638" s="111"/>
      <c r="AG638" s="111"/>
      <c r="AH638" s="111"/>
      <c r="AI638" s="111"/>
      <c r="AJ638" s="111"/>
    </row>
    <row r="639" spans="14:36" x14ac:dyDescent="0.55000000000000004">
      <c r="N639" s="120"/>
      <c r="O639" s="111"/>
      <c r="P639" s="111"/>
      <c r="Q639" s="111"/>
      <c r="R639" s="111"/>
      <c r="S639" s="111"/>
      <c r="T639" s="111"/>
      <c r="U639" s="111"/>
      <c r="V639" s="120"/>
      <c r="W639" s="111"/>
      <c r="X639" s="111"/>
      <c r="Y639" s="111"/>
      <c r="Z639" s="111"/>
      <c r="AA639" s="111"/>
      <c r="AB639" s="111"/>
      <c r="AC639" s="111"/>
      <c r="AD639" s="111"/>
      <c r="AE639" s="111"/>
      <c r="AF639" s="111"/>
      <c r="AG639" s="111"/>
      <c r="AH639" s="111"/>
      <c r="AI639" s="111"/>
      <c r="AJ639" s="111"/>
    </row>
    <row r="640" spans="14:36" x14ac:dyDescent="0.55000000000000004">
      <c r="N640" s="120"/>
      <c r="O640" s="111"/>
      <c r="P640" s="111"/>
      <c r="Q640" s="111"/>
      <c r="R640" s="111"/>
      <c r="S640" s="111"/>
      <c r="T640" s="111"/>
      <c r="U640" s="111"/>
      <c r="V640" s="120"/>
      <c r="W640" s="111"/>
      <c r="X640" s="111"/>
      <c r="Y640" s="111"/>
      <c r="Z640" s="111"/>
      <c r="AA640" s="111"/>
      <c r="AB640" s="111"/>
      <c r="AC640" s="111"/>
      <c r="AD640" s="111"/>
      <c r="AE640" s="111"/>
      <c r="AF640" s="111"/>
      <c r="AG640" s="111"/>
      <c r="AH640" s="111"/>
      <c r="AI640" s="111"/>
      <c r="AJ640" s="111"/>
    </row>
    <row r="641" spans="14:36" x14ac:dyDescent="0.55000000000000004">
      <c r="N641" s="120"/>
      <c r="O641" s="111"/>
      <c r="P641" s="111"/>
      <c r="Q641" s="111"/>
      <c r="R641" s="111"/>
      <c r="S641" s="111"/>
      <c r="T641" s="111"/>
      <c r="U641" s="111"/>
      <c r="V641" s="120"/>
      <c r="W641" s="111"/>
      <c r="X641" s="111"/>
      <c r="Y641" s="111"/>
      <c r="Z641" s="111"/>
      <c r="AA641" s="111"/>
      <c r="AB641" s="111"/>
      <c r="AC641" s="111"/>
      <c r="AD641" s="111"/>
      <c r="AE641" s="111"/>
      <c r="AF641" s="111"/>
      <c r="AG641" s="111"/>
      <c r="AH641" s="111"/>
      <c r="AI641" s="111"/>
      <c r="AJ641" s="111"/>
    </row>
    <row r="642" spans="14:36" x14ac:dyDescent="0.55000000000000004">
      <c r="N642" s="120"/>
      <c r="O642" s="111"/>
      <c r="P642" s="111"/>
      <c r="Q642" s="111"/>
      <c r="R642" s="111"/>
      <c r="S642" s="111"/>
      <c r="T642" s="111"/>
      <c r="U642" s="111"/>
      <c r="V642" s="120"/>
      <c r="W642" s="111"/>
      <c r="X642" s="111"/>
      <c r="Y642" s="111"/>
      <c r="Z642" s="111"/>
      <c r="AA642" s="111"/>
      <c r="AB642" s="111"/>
      <c r="AC642" s="111"/>
      <c r="AD642" s="111"/>
      <c r="AE642" s="111"/>
      <c r="AF642" s="111"/>
      <c r="AG642" s="111"/>
      <c r="AH642" s="111"/>
      <c r="AI642" s="111"/>
      <c r="AJ642" s="111"/>
    </row>
    <row r="643" spans="14:36" x14ac:dyDescent="0.55000000000000004">
      <c r="N643" s="120"/>
      <c r="O643" s="111"/>
      <c r="P643" s="111"/>
      <c r="Q643" s="111"/>
      <c r="R643" s="111"/>
      <c r="S643" s="111"/>
      <c r="T643" s="111"/>
      <c r="U643" s="111"/>
      <c r="V643" s="120"/>
      <c r="W643" s="111"/>
      <c r="X643" s="111"/>
      <c r="Y643" s="111"/>
      <c r="Z643" s="111"/>
      <c r="AA643" s="111"/>
      <c r="AB643" s="111"/>
      <c r="AC643" s="111"/>
      <c r="AD643" s="111"/>
      <c r="AE643" s="111"/>
      <c r="AF643" s="111"/>
      <c r="AG643" s="111"/>
      <c r="AH643" s="111"/>
      <c r="AI643" s="111"/>
      <c r="AJ643" s="111"/>
    </row>
    <row r="644" spans="14:36" x14ac:dyDescent="0.55000000000000004">
      <c r="N644" s="120"/>
      <c r="O644" s="111"/>
      <c r="P644" s="111"/>
      <c r="Q644" s="111"/>
      <c r="R644" s="111"/>
      <c r="S644" s="111"/>
      <c r="T644" s="111"/>
      <c r="U644" s="111"/>
      <c r="V644" s="120"/>
      <c r="W644" s="111"/>
      <c r="X644" s="111"/>
      <c r="Y644" s="111"/>
      <c r="Z644" s="111"/>
      <c r="AA644" s="111"/>
      <c r="AB644" s="111"/>
      <c r="AC644" s="111"/>
      <c r="AD644" s="111"/>
      <c r="AE644" s="111"/>
      <c r="AF644" s="111"/>
      <c r="AG644" s="111"/>
      <c r="AH644" s="111"/>
      <c r="AI644" s="111"/>
      <c r="AJ644" s="111"/>
    </row>
    <row r="645" spans="14:36" x14ac:dyDescent="0.55000000000000004">
      <c r="N645" s="120"/>
      <c r="O645" s="111"/>
      <c r="P645" s="111"/>
      <c r="Q645" s="111"/>
      <c r="R645" s="111"/>
      <c r="S645" s="111"/>
      <c r="T645" s="111"/>
      <c r="U645" s="111"/>
      <c r="V645" s="120"/>
      <c r="W645" s="111"/>
      <c r="X645" s="111"/>
      <c r="Y645" s="111"/>
      <c r="Z645" s="111"/>
      <c r="AA645" s="111"/>
      <c r="AB645" s="111"/>
      <c r="AC645" s="111"/>
      <c r="AD645" s="111"/>
      <c r="AE645" s="111"/>
      <c r="AF645" s="111"/>
      <c r="AG645" s="111"/>
      <c r="AH645" s="111"/>
      <c r="AI645" s="111"/>
      <c r="AJ645" s="111"/>
    </row>
    <row r="646" spans="14:36" x14ac:dyDescent="0.55000000000000004">
      <c r="N646" s="120"/>
      <c r="O646" s="111"/>
      <c r="P646" s="111"/>
      <c r="Q646" s="111"/>
      <c r="R646" s="111"/>
      <c r="S646" s="111"/>
      <c r="T646" s="111"/>
      <c r="U646" s="111"/>
      <c r="V646" s="120"/>
      <c r="W646" s="111"/>
      <c r="X646" s="111"/>
      <c r="Y646" s="111"/>
      <c r="Z646" s="111"/>
      <c r="AA646" s="111"/>
      <c r="AB646" s="111"/>
      <c r="AC646" s="111"/>
      <c r="AD646" s="111"/>
      <c r="AE646" s="111"/>
      <c r="AF646" s="111"/>
      <c r="AG646" s="111"/>
      <c r="AH646" s="111"/>
      <c r="AI646" s="111"/>
      <c r="AJ646" s="111"/>
    </row>
    <row r="647" spans="14:36" x14ac:dyDescent="0.55000000000000004">
      <c r="N647" s="120"/>
      <c r="O647" s="111"/>
      <c r="P647" s="111"/>
      <c r="Q647" s="111"/>
      <c r="R647" s="111"/>
      <c r="S647" s="111"/>
      <c r="T647" s="111"/>
      <c r="U647" s="111"/>
      <c r="V647" s="120"/>
      <c r="W647" s="111"/>
      <c r="X647" s="111"/>
      <c r="Y647" s="111"/>
      <c r="Z647" s="111"/>
      <c r="AA647" s="111"/>
      <c r="AB647" s="111"/>
      <c r="AC647" s="111"/>
      <c r="AD647" s="111"/>
      <c r="AE647" s="111"/>
      <c r="AF647" s="111"/>
      <c r="AG647" s="111"/>
      <c r="AH647" s="111"/>
      <c r="AI647" s="111"/>
      <c r="AJ647" s="111"/>
    </row>
    <row r="648" spans="14:36" x14ac:dyDescent="0.55000000000000004">
      <c r="N648" s="120"/>
      <c r="O648" s="111"/>
      <c r="P648" s="111"/>
      <c r="Q648" s="111"/>
      <c r="R648" s="111"/>
      <c r="S648" s="111"/>
      <c r="T648" s="111"/>
      <c r="U648" s="111"/>
      <c r="V648" s="120"/>
      <c r="W648" s="111"/>
      <c r="X648" s="111"/>
      <c r="Y648" s="111"/>
      <c r="Z648" s="111"/>
      <c r="AA648" s="111"/>
      <c r="AB648" s="111"/>
      <c r="AC648" s="111"/>
      <c r="AD648" s="111"/>
      <c r="AE648" s="111"/>
      <c r="AF648" s="111"/>
      <c r="AG648" s="111"/>
      <c r="AH648" s="111"/>
      <c r="AI648" s="111"/>
      <c r="AJ648" s="111"/>
    </row>
    <row r="649" spans="14:36" x14ac:dyDescent="0.55000000000000004">
      <c r="N649" s="120"/>
      <c r="O649" s="111"/>
      <c r="P649" s="111"/>
      <c r="Q649" s="111"/>
      <c r="R649" s="111"/>
      <c r="S649" s="111"/>
      <c r="T649" s="111"/>
      <c r="U649" s="111"/>
      <c r="V649" s="120"/>
      <c r="W649" s="111"/>
      <c r="X649" s="111"/>
      <c r="Y649" s="111"/>
      <c r="Z649" s="111"/>
      <c r="AA649" s="111"/>
      <c r="AB649" s="111"/>
      <c r="AC649" s="111"/>
      <c r="AD649" s="111"/>
      <c r="AE649" s="111"/>
      <c r="AF649" s="111"/>
      <c r="AG649" s="111"/>
      <c r="AH649" s="111"/>
      <c r="AI649" s="111"/>
      <c r="AJ649" s="111"/>
    </row>
    <row r="650" spans="14:36" x14ac:dyDescent="0.55000000000000004">
      <c r="N650" s="120"/>
      <c r="O650" s="111"/>
      <c r="P650" s="111"/>
      <c r="Q650" s="111"/>
      <c r="R650" s="111"/>
      <c r="S650" s="111"/>
      <c r="T650" s="111"/>
      <c r="U650" s="111"/>
      <c r="V650" s="120"/>
      <c r="W650" s="111"/>
      <c r="X650" s="111"/>
      <c r="Y650" s="111"/>
      <c r="Z650" s="111"/>
      <c r="AA650" s="111"/>
      <c r="AB650" s="111"/>
      <c r="AC650" s="111"/>
      <c r="AD650" s="111"/>
      <c r="AE650" s="111"/>
      <c r="AF650" s="111"/>
      <c r="AG650" s="111"/>
      <c r="AH650" s="111"/>
      <c r="AI650" s="111"/>
      <c r="AJ650" s="111"/>
    </row>
    <row r="651" spans="14:36" x14ac:dyDescent="0.55000000000000004">
      <c r="N651" s="120"/>
      <c r="O651" s="111"/>
      <c r="P651" s="111"/>
      <c r="Q651" s="111"/>
      <c r="R651" s="111"/>
      <c r="S651" s="111"/>
      <c r="T651" s="111"/>
      <c r="U651" s="111"/>
      <c r="V651" s="120"/>
      <c r="W651" s="111"/>
      <c r="X651" s="111"/>
      <c r="Y651" s="111"/>
      <c r="Z651" s="111"/>
      <c r="AA651" s="111"/>
      <c r="AB651" s="111"/>
      <c r="AC651" s="111"/>
      <c r="AD651" s="111"/>
      <c r="AE651" s="111"/>
      <c r="AF651" s="111"/>
      <c r="AG651" s="111"/>
      <c r="AH651" s="111"/>
      <c r="AI651" s="111"/>
      <c r="AJ651" s="111"/>
    </row>
    <row r="652" spans="14:36" x14ac:dyDescent="0.55000000000000004">
      <c r="N652" s="120"/>
      <c r="O652" s="111"/>
      <c r="P652" s="111"/>
      <c r="Q652" s="111"/>
      <c r="R652" s="111"/>
      <c r="S652" s="111"/>
      <c r="T652" s="111"/>
      <c r="U652" s="111"/>
      <c r="V652" s="120"/>
      <c r="W652" s="111"/>
      <c r="X652" s="111"/>
      <c r="Y652" s="111"/>
      <c r="Z652" s="111"/>
      <c r="AA652" s="111"/>
      <c r="AB652" s="111"/>
      <c r="AC652" s="111"/>
      <c r="AD652" s="111"/>
      <c r="AE652" s="111"/>
      <c r="AF652" s="111"/>
      <c r="AG652" s="111"/>
      <c r="AH652" s="111"/>
      <c r="AI652" s="111"/>
      <c r="AJ652" s="111"/>
    </row>
    <row r="653" spans="14:36" x14ac:dyDescent="0.55000000000000004">
      <c r="N653" s="120"/>
      <c r="O653" s="111"/>
      <c r="P653" s="111"/>
      <c r="Q653" s="111"/>
      <c r="R653" s="111"/>
      <c r="S653" s="111"/>
      <c r="T653" s="111"/>
      <c r="U653" s="111"/>
      <c r="V653" s="120"/>
      <c r="W653" s="111"/>
      <c r="X653" s="111"/>
      <c r="Y653" s="111"/>
      <c r="Z653" s="111"/>
      <c r="AA653" s="111"/>
      <c r="AB653" s="111"/>
      <c r="AC653" s="111"/>
      <c r="AD653" s="111"/>
      <c r="AE653" s="111"/>
      <c r="AF653" s="111"/>
      <c r="AG653" s="111"/>
      <c r="AH653" s="111"/>
      <c r="AI653" s="111"/>
      <c r="AJ653" s="111"/>
    </row>
    <row r="654" spans="14:36" x14ac:dyDescent="0.55000000000000004">
      <c r="N654" s="120"/>
      <c r="O654" s="111"/>
      <c r="P654" s="111"/>
      <c r="Q654" s="111"/>
      <c r="R654" s="111"/>
      <c r="S654" s="111"/>
      <c r="T654" s="111"/>
      <c r="U654" s="111"/>
      <c r="V654" s="120"/>
      <c r="W654" s="111"/>
      <c r="X654" s="111"/>
      <c r="Y654" s="111"/>
      <c r="Z654" s="111"/>
      <c r="AA654" s="111"/>
      <c r="AB654" s="111"/>
      <c r="AC654" s="111"/>
      <c r="AD654" s="111"/>
      <c r="AE654" s="111"/>
      <c r="AF654" s="111"/>
      <c r="AG654" s="111"/>
      <c r="AH654" s="111"/>
      <c r="AI654" s="111"/>
      <c r="AJ654" s="111"/>
    </row>
    <row r="655" spans="14:36" x14ac:dyDescent="0.55000000000000004">
      <c r="N655" s="120"/>
      <c r="O655" s="111"/>
      <c r="P655" s="111"/>
      <c r="Q655" s="111"/>
      <c r="R655" s="111"/>
      <c r="S655" s="111"/>
      <c r="T655" s="111"/>
      <c r="U655" s="111"/>
      <c r="V655" s="120"/>
      <c r="W655" s="111"/>
      <c r="X655" s="111"/>
      <c r="Y655" s="111"/>
      <c r="Z655" s="111"/>
      <c r="AA655" s="111"/>
      <c r="AB655" s="111"/>
      <c r="AC655" s="111"/>
      <c r="AD655" s="111"/>
      <c r="AE655" s="111"/>
      <c r="AF655" s="111"/>
      <c r="AG655" s="111"/>
      <c r="AH655" s="111"/>
      <c r="AI655" s="111"/>
      <c r="AJ655" s="111"/>
    </row>
    <row r="656" spans="14:36" x14ac:dyDescent="0.55000000000000004">
      <c r="N656" s="120"/>
      <c r="O656" s="111"/>
      <c r="P656" s="111"/>
      <c r="Q656" s="111"/>
      <c r="R656" s="111"/>
      <c r="S656" s="111"/>
      <c r="T656" s="111"/>
      <c r="U656" s="111"/>
      <c r="V656" s="120"/>
      <c r="W656" s="111"/>
      <c r="X656" s="111"/>
      <c r="Y656" s="111"/>
      <c r="Z656" s="111"/>
      <c r="AA656" s="111"/>
      <c r="AB656" s="111"/>
      <c r="AC656" s="111"/>
      <c r="AD656" s="111"/>
      <c r="AE656" s="111"/>
      <c r="AF656" s="111"/>
      <c r="AG656" s="111"/>
      <c r="AH656" s="111"/>
      <c r="AI656" s="111"/>
      <c r="AJ656" s="111"/>
    </row>
    <row r="657" spans="14:36" x14ac:dyDescent="0.55000000000000004">
      <c r="N657" s="120"/>
      <c r="O657" s="111"/>
      <c r="P657" s="111"/>
      <c r="Q657" s="111"/>
      <c r="R657" s="111"/>
      <c r="S657" s="111"/>
      <c r="T657" s="111"/>
      <c r="U657" s="111"/>
      <c r="V657" s="120"/>
      <c r="W657" s="111"/>
      <c r="X657" s="111"/>
      <c r="Y657" s="111"/>
      <c r="Z657" s="111"/>
      <c r="AA657" s="111"/>
      <c r="AB657" s="111"/>
      <c r="AC657" s="111"/>
      <c r="AD657" s="111"/>
      <c r="AE657" s="111"/>
      <c r="AF657" s="111"/>
      <c r="AG657" s="111"/>
      <c r="AH657" s="111"/>
      <c r="AI657" s="111"/>
      <c r="AJ657" s="111"/>
    </row>
    <row r="658" spans="14:36" x14ac:dyDescent="0.55000000000000004">
      <c r="N658" s="120"/>
      <c r="O658" s="111"/>
      <c r="P658" s="111"/>
      <c r="Q658" s="111"/>
      <c r="R658" s="111"/>
      <c r="S658" s="111"/>
      <c r="T658" s="111"/>
      <c r="U658" s="111"/>
      <c r="V658" s="120"/>
      <c r="W658" s="111"/>
      <c r="X658" s="111"/>
      <c r="Y658" s="111"/>
      <c r="Z658" s="111"/>
      <c r="AA658" s="111"/>
      <c r="AB658" s="111"/>
      <c r="AC658" s="111"/>
      <c r="AD658" s="111"/>
      <c r="AE658" s="111"/>
      <c r="AF658" s="111"/>
      <c r="AG658" s="111"/>
      <c r="AH658" s="111"/>
      <c r="AI658" s="111"/>
      <c r="AJ658" s="111"/>
    </row>
    <row r="659" spans="14:36" x14ac:dyDescent="0.55000000000000004">
      <c r="N659" s="120"/>
      <c r="O659" s="111"/>
      <c r="P659" s="111"/>
      <c r="Q659" s="111"/>
      <c r="R659" s="111"/>
      <c r="S659" s="111"/>
      <c r="T659" s="111"/>
      <c r="U659" s="111"/>
      <c r="V659" s="120"/>
      <c r="W659" s="111"/>
      <c r="X659" s="111"/>
      <c r="Y659" s="111"/>
      <c r="Z659" s="111"/>
      <c r="AA659" s="111"/>
      <c r="AB659" s="111"/>
      <c r="AC659" s="111"/>
      <c r="AD659" s="111"/>
      <c r="AE659" s="111"/>
      <c r="AF659" s="111"/>
      <c r="AG659" s="111"/>
      <c r="AH659" s="111"/>
      <c r="AI659" s="111"/>
      <c r="AJ659" s="111"/>
    </row>
    <row r="660" spans="14:36" x14ac:dyDescent="0.55000000000000004">
      <c r="N660" s="120"/>
      <c r="O660" s="111"/>
      <c r="P660" s="111"/>
      <c r="Q660" s="111"/>
      <c r="R660" s="111"/>
      <c r="S660" s="111"/>
      <c r="T660" s="111"/>
      <c r="U660" s="111"/>
      <c r="V660" s="120"/>
      <c r="W660" s="111"/>
      <c r="X660" s="111"/>
      <c r="Y660" s="111"/>
      <c r="Z660" s="111"/>
      <c r="AA660" s="111"/>
      <c r="AB660" s="111"/>
      <c r="AC660" s="111"/>
      <c r="AD660" s="111"/>
      <c r="AE660" s="111"/>
      <c r="AF660" s="111"/>
      <c r="AG660" s="111"/>
      <c r="AH660" s="111"/>
      <c r="AI660" s="111"/>
      <c r="AJ660" s="111"/>
    </row>
    <row r="661" spans="14:36" x14ac:dyDescent="0.55000000000000004">
      <c r="N661" s="120"/>
      <c r="O661" s="111"/>
      <c r="P661" s="111"/>
      <c r="Q661" s="111"/>
      <c r="R661" s="111"/>
      <c r="S661" s="111"/>
      <c r="T661" s="111"/>
      <c r="U661" s="111"/>
      <c r="V661" s="120"/>
      <c r="W661" s="111"/>
      <c r="X661" s="111"/>
      <c r="Y661" s="111"/>
      <c r="Z661" s="111"/>
      <c r="AA661" s="111"/>
      <c r="AB661" s="111"/>
      <c r="AC661" s="111"/>
      <c r="AD661" s="111"/>
      <c r="AE661" s="111"/>
      <c r="AF661" s="111"/>
      <c r="AG661" s="111"/>
      <c r="AH661" s="111"/>
      <c r="AI661" s="111"/>
      <c r="AJ661" s="111"/>
    </row>
    <row r="662" spans="14:36" x14ac:dyDescent="0.55000000000000004">
      <c r="N662" s="120"/>
      <c r="O662" s="111"/>
      <c r="P662" s="111"/>
      <c r="Q662" s="111"/>
      <c r="R662" s="111"/>
      <c r="S662" s="111"/>
      <c r="T662" s="111"/>
      <c r="U662" s="111"/>
      <c r="V662" s="120"/>
      <c r="W662" s="111"/>
      <c r="X662" s="111"/>
      <c r="Y662" s="111"/>
      <c r="Z662" s="111"/>
      <c r="AA662" s="111"/>
      <c r="AB662" s="111"/>
      <c r="AC662" s="111"/>
      <c r="AD662" s="111"/>
      <c r="AE662" s="111"/>
      <c r="AF662" s="111"/>
      <c r="AG662" s="111"/>
      <c r="AH662" s="111"/>
      <c r="AI662" s="111"/>
      <c r="AJ662" s="111"/>
    </row>
    <row r="663" spans="14:36" x14ac:dyDescent="0.55000000000000004">
      <c r="N663" s="120"/>
      <c r="O663" s="111"/>
      <c r="P663" s="111"/>
      <c r="Q663" s="111"/>
      <c r="R663" s="111"/>
      <c r="S663" s="111"/>
      <c r="T663" s="111"/>
      <c r="U663" s="111"/>
      <c r="V663" s="120"/>
      <c r="W663" s="111"/>
      <c r="X663" s="111"/>
      <c r="Y663" s="111"/>
      <c r="Z663" s="111"/>
      <c r="AA663" s="111"/>
      <c r="AB663" s="111"/>
      <c r="AC663" s="111"/>
      <c r="AD663" s="111"/>
      <c r="AE663" s="111"/>
      <c r="AF663" s="111"/>
      <c r="AG663" s="111"/>
      <c r="AH663" s="111"/>
      <c r="AI663" s="111"/>
      <c r="AJ663" s="111"/>
    </row>
    <row r="664" spans="14:36" x14ac:dyDescent="0.55000000000000004">
      <c r="N664" s="120"/>
      <c r="O664" s="111"/>
      <c r="P664" s="111"/>
      <c r="Q664" s="111"/>
      <c r="R664" s="111"/>
      <c r="S664" s="111"/>
      <c r="T664" s="111"/>
      <c r="U664" s="111"/>
      <c r="V664" s="120"/>
      <c r="W664" s="111"/>
      <c r="X664" s="111"/>
      <c r="Y664" s="111"/>
      <c r="Z664" s="111"/>
      <c r="AA664" s="111"/>
      <c r="AB664" s="111"/>
      <c r="AC664" s="111"/>
      <c r="AD664" s="111"/>
      <c r="AE664" s="111"/>
      <c r="AF664" s="111"/>
      <c r="AG664" s="111"/>
      <c r="AH664" s="111"/>
      <c r="AI664" s="111"/>
      <c r="AJ664" s="111"/>
    </row>
    <row r="665" spans="14:36" x14ac:dyDescent="0.55000000000000004">
      <c r="N665" s="120"/>
      <c r="O665" s="111"/>
      <c r="P665" s="111"/>
      <c r="Q665" s="111"/>
      <c r="R665" s="111"/>
      <c r="S665" s="111"/>
      <c r="T665" s="111"/>
      <c r="U665" s="111"/>
      <c r="V665" s="120"/>
      <c r="W665" s="111"/>
      <c r="X665" s="111"/>
      <c r="Y665" s="111"/>
      <c r="Z665" s="111"/>
      <c r="AA665" s="111"/>
      <c r="AB665" s="111"/>
      <c r="AC665" s="111"/>
      <c r="AD665" s="111"/>
      <c r="AE665" s="111"/>
      <c r="AF665" s="111"/>
      <c r="AG665" s="111"/>
      <c r="AH665" s="111"/>
      <c r="AI665" s="111"/>
      <c r="AJ665" s="111"/>
    </row>
    <row r="666" spans="14:36" x14ac:dyDescent="0.55000000000000004">
      <c r="N666" s="120"/>
      <c r="O666" s="111"/>
      <c r="P666" s="111"/>
      <c r="Q666" s="111"/>
      <c r="R666" s="111"/>
      <c r="S666" s="111"/>
      <c r="T666" s="111"/>
      <c r="U666" s="111"/>
      <c r="V666" s="120"/>
      <c r="W666" s="111"/>
      <c r="X666" s="111"/>
      <c r="Y666" s="111"/>
      <c r="Z666" s="111"/>
      <c r="AA666" s="111"/>
      <c r="AB666" s="111"/>
      <c r="AC666" s="111"/>
      <c r="AD666" s="111"/>
      <c r="AE666" s="111"/>
      <c r="AF666" s="111"/>
      <c r="AG666" s="111"/>
      <c r="AH666" s="111"/>
      <c r="AI666" s="111"/>
      <c r="AJ666" s="111"/>
    </row>
    <row r="667" spans="14:36" x14ac:dyDescent="0.55000000000000004">
      <c r="N667" s="120"/>
      <c r="O667" s="111"/>
      <c r="P667" s="111"/>
      <c r="Q667" s="111"/>
      <c r="R667" s="111"/>
      <c r="S667" s="111"/>
      <c r="T667" s="111"/>
      <c r="U667" s="111"/>
      <c r="V667" s="120"/>
      <c r="W667" s="111"/>
      <c r="X667" s="111"/>
      <c r="Y667" s="111"/>
      <c r="Z667" s="111"/>
      <c r="AA667" s="111"/>
      <c r="AB667" s="111"/>
      <c r="AC667" s="111"/>
      <c r="AD667" s="111"/>
      <c r="AE667" s="111"/>
      <c r="AF667" s="111"/>
      <c r="AG667" s="111"/>
      <c r="AH667" s="111"/>
      <c r="AI667" s="111"/>
      <c r="AJ667" s="111"/>
    </row>
    <row r="668" spans="14:36" x14ac:dyDescent="0.55000000000000004">
      <c r="N668" s="120"/>
      <c r="O668" s="111"/>
      <c r="P668" s="111"/>
      <c r="Q668" s="111"/>
      <c r="R668" s="111"/>
      <c r="S668" s="111"/>
      <c r="T668" s="111"/>
      <c r="U668" s="111"/>
      <c r="V668" s="120"/>
      <c r="W668" s="111"/>
      <c r="X668" s="111"/>
      <c r="Y668" s="111"/>
      <c r="Z668" s="111"/>
      <c r="AA668" s="111"/>
      <c r="AB668" s="111"/>
      <c r="AC668" s="111"/>
      <c r="AD668" s="111"/>
      <c r="AE668" s="111"/>
      <c r="AF668" s="111"/>
      <c r="AG668" s="111"/>
      <c r="AH668" s="111"/>
      <c r="AI668" s="111"/>
      <c r="AJ668" s="111"/>
    </row>
    <row r="669" spans="14:36" x14ac:dyDescent="0.55000000000000004">
      <c r="N669" s="120"/>
      <c r="O669" s="111"/>
      <c r="P669" s="111"/>
      <c r="Q669" s="111"/>
      <c r="R669" s="111"/>
      <c r="S669" s="111"/>
      <c r="T669" s="111"/>
      <c r="U669" s="111"/>
      <c r="V669" s="120"/>
      <c r="W669" s="111"/>
      <c r="X669" s="111"/>
      <c r="Y669" s="111"/>
      <c r="Z669" s="111"/>
      <c r="AA669" s="111"/>
      <c r="AB669" s="111"/>
      <c r="AC669" s="111"/>
      <c r="AD669" s="111"/>
      <c r="AE669" s="111"/>
      <c r="AF669" s="111"/>
      <c r="AG669" s="111"/>
      <c r="AH669" s="111"/>
      <c r="AI669" s="111"/>
      <c r="AJ669" s="111"/>
    </row>
    <row r="670" spans="14:36" x14ac:dyDescent="0.55000000000000004">
      <c r="N670" s="120"/>
      <c r="O670" s="111"/>
      <c r="P670" s="111"/>
      <c r="Q670" s="111"/>
      <c r="R670" s="111"/>
      <c r="S670" s="111"/>
      <c r="T670" s="111"/>
      <c r="U670" s="111"/>
      <c r="V670" s="120"/>
      <c r="W670" s="111"/>
      <c r="X670" s="111"/>
      <c r="Y670" s="111"/>
      <c r="Z670" s="111"/>
      <c r="AA670" s="111"/>
      <c r="AB670" s="111"/>
      <c r="AC670" s="111"/>
      <c r="AD670" s="111"/>
      <c r="AE670" s="111"/>
      <c r="AF670" s="111"/>
      <c r="AG670" s="111"/>
      <c r="AH670" s="111"/>
      <c r="AI670" s="111"/>
      <c r="AJ670" s="111"/>
    </row>
    <row r="671" spans="14:36" x14ac:dyDescent="0.55000000000000004">
      <c r="N671" s="120"/>
      <c r="O671" s="111"/>
      <c r="P671" s="111"/>
      <c r="Q671" s="111"/>
      <c r="R671" s="111"/>
      <c r="S671" s="111"/>
      <c r="T671" s="111"/>
      <c r="U671" s="111"/>
      <c r="V671" s="120"/>
      <c r="W671" s="111"/>
      <c r="X671" s="111"/>
      <c r="Y671" s="111"/>
      <c r="Z671" s="111"/>
      <c r="AA671" s="111"/>
      <c r="AB671" s="111"/>
      <c r="AC671" s="111"/>
      <c r="AD671" s="111"/>
      <c r="AE671" s="111"/>
      <c r="AF671" s="111"/>
      <c r="AG671" s="111"/>
      <c r="AH671" s="111"/>
      <c r="AI671" s="111"/>
      <c r="AJ671" s="111"/>
    </row>
    <row r="672" spans="14:36" x14ac:dyDescent="0.55000000000000004">
      <c r="N672" s="120"/>
      <c r="O672" s="111"/>
      <c r="P672" s="111"/>
      <c r="Q672" s="111"/>
      <c r="R672" s="111"/>
      <c r="S672" s="111"/>
      <c r="T672" s="111"/>
      <c r="U672" s="111"/>
      <c r="V672" s="120"/>
      <c r="W672" s="111"/>
      <c r="X672" s="111"/>
      <c r="Y672" s="111"/>
      <c r="Z672" s="111"/>
      <c r="AA672" s="111"/>
      <c r="AB672" s="111"/>
      <c r="AC672" s="111"/>
      <c r="AD672" s="111"/>
      <c r="AE672" s="111"/>
      <c r="AF672" s="111"/>
      <c r="AG672" s="111"/>
      <c r="AH672" s="111"/>
      <c r="AI672" s="111"/>
      <c r="AJ672" s="111"/>
    </row>
    <row r="673" spans="14:36" x14ac:dyDescent="0.55000000000000004">
      <c r="N673" s="120"/>
      <c r="O673" s="111"/>
      <c r="P673" s="111"/>
      <c r="Q673" s="111"/>
      <c r="R673" s="111"/>
      <c r="S673" s="111"/>
      <c r="T673" s="111"/>
      <c r="U673" s="111"/>
      <c r="V673" s="120"/>
      <c r="W673" s="111"/>
      <c r="X673" s="111"/>
      <c r="Y673" s="111"/>
      <c r="Z673" s="111"/>
      <c r="AA673" s="111"/>
      <c r="AB673" s="111"/>
      <c r="AC673" s="111"/>
      <c r="AD673" s="111"/>
      <c r="AE673" s="111"/>
      <c r="AF673" s="111"/>
      <c r="AG673" s="111"/>
      <c r="AH673" s="111"/>
      <c r="AI673" s="111"/>
      <c r="AJ673" s="111"/>
    </row>
    <row r="674" spans="14:36" x14ac:dyDescent="0.55000000000000004">
      <c r="N674" s="120"/>
      <c r="O674" s="111"/>
      <c r="P674" s="111"/>
      <c r="Q674" s="111"/>
      <c r="R674" s="111"/>
      <c r="S674" s="111"/>
      <c r="T674" s="111"/>
      <c r="U674" s="111"/>
      <c r="V674" s="120"/>
      <c r="W674" s="111"/>
      <c r="X674" s="111"/>
      <c r="Y674" s="111"/>
      <c r="Z674" s="111"/>
      <c r="AA674" s="111"/>
      <c r="AB674" s="111"/>
      <c r="AC674" s="111"/>
      <c r="AD674" s="111"/>
      <c r="AE674" s="111"/>
      <c r="AF674" s="111"/>
      <c r="AG674" s="111"/>
      <c r="AH674" s="111"/>
      <c r="AI674" s="111"/>
      <c r="AJ674" s="111"/>
    </row>
    <row r="675" spans="14:36" x14ac:dyDescent="0.55000000000000004">
      <c r="N675" s="120"/>
      <c r="O675" s="111"/>
      <c r="P675" s="111"/>
      <c r="Q675" s="111"/>
      <c r="R675" s="111"/>
      <c r="S675" s="111"/>
      <c r="T675" s="111"/>
      <c r="U675" s="111"/>
      <c r="V675" s="120"/>
      <c r="W675" s="111"/>
      <c r="X675" s="111"/>
      <c r="Y675" s="111"/>
      <c r="Z675" s="111"/>
      <c r="AA675" s="111"/>
      <c r="AB675" s="111"/>
      <c r="AC675" s="111"/>
      <c r="AD675" s="111"/>
      <c r="AE675" s="111"/>
      <c r="AF675" s="111"/>
      <c r="AG675" s="111"/>
      <c r="AH675" s="111"/>
      <c r="AI675" s="111"/>
      <c r="AJ675" s="111"/>
    </row>
    <row r="676" spans="14:36" x14ac:dyDescent="0.55000000000000004">
      <c r="N676" s="120"/>
      <c r="O676" s="111"/>
      <c r="P676" s="111"/>
      <c r="Q676" s="111"/>
      <c r="R676" s="111"/>
      <c r="S676" s="111"/>
      <c r="T676" s="111"/>
      <c r="U676" s="111"/>
      <c r="V676" s="120"/>
      <c r="W676" s="111"/>
      <c r="X676" s="111"/>
      <c r="Y676" s="111"/>
      <c r="Z676" s="111"/>
      <c r="AA676" s="111"/>
      <c r="AB676" s="111"/>
      <c r="AC676" s="111"/>
      <c r="AD676" s="111"/>
      <c r="AE676" s="111"/>
      <c r="AF676" s="111"/>
      <c r="AG676" s="111"/>
      <c r="AH676" s="111"/>
      <c r="AI676" s="111"/>
      <c r="AJ676" s="111"/>
    </row>
    <row r="677" spans="14:36" x14ac:dyDescent="0.55000000000000004">
      <c r="N677" s="120"/>
      <c r="O677" s="111"/>
      <c r="P677" s="111"/>
      <c r="Q677" s="111"/>
      <c r="R677" s="111"/>
      <c r="S677" s="111"/>
      <c r="T677" s="111"/>
      <c r="U677" s="111"/>
      <c r="V677" s="120"/>
      <c r="W677" s="111"/>
      <c r="X677" s="111"/>
      <c r="Y677" s="111"/>
      <c r="Z677" s="111"/>
      <c r="AA677" s="111"/>
      <c r="AB677" s="111"/>
      <c r="AC677" s="111"/>
      <c r="AD677" s="111"/>
      <c r="AE677" s="111"/>
      <c r="AF677" s="111"/>
      <c r="AG677" s="111"/>
      <c r="AH677" s="111"/>
      <c r="AI677" s="111"/>
      <c r="AJ677" s="111"/>
    </row>
    <row r="678" spans="14:36" x14ac:dyDescent="0.55000000000000004">
      <c r="N678" s="120"/>
      <c r="O678" s="111"/>
      <c r="P678" s="111"/>
      <c r="Q678" s="111"/>
      <c r="R678" s="111"/>
      <c r="S678" s="111"/>
      <c r="T678" s="111"/>
      <c r="U678" s="111"/>
      <c r="V678" s="120"/>
      <c r="W678" s="111"/>
      <c r="X678" s="111"/>
      <c r="Y678" s="111"/>
      <c r="Z678" s="111"/>
      <c r="AA678" s="111"/>
      <c r="AB678" s="111"/>
      <c r="AC678" s="111"/>
      <c r="AD678" s="111"/>
      <c r="AE678" s="111"/>
      <c r="AF678" s="111"/>
      <c r="AG678" s="111"/>
      <c r="AH678" s="111"/>
      <c r="AI678" s="111"/>
      <c r="AJ678" s="111"/>
    </row>
    <row r="679" spans="14:36" x14ac:dyDescent="0.55000000000000004">
      <c r="N679" s="120"/>
      <c r="O679" s="111"/>
      <c r="P679" s="111"/>
      <c r="Q679" s="111"/>
      <c r="R679" s="111"/>
      <c r="S679" s="111"/>
      <c r="T679" s="111"/>
      <c r="U679" s="111"/>
      <c r="V679" s="120"/>
      <c r="W679" s="111"/>
      <c r="X679" s="111"/>
      <c r="Y679" s="111"/>
      <c r="Z679" s="111"/>
      <c r="AA679" s="111"/>
      <c r="AB679" s="111"/>
      <c r="AC679" s="111"/>
      <c r="AD679" s="111"/>
      <c r="AE679" s="111"/>
      <c r="AF679" s="111"/>
      <c r="AG679" s="111"/>
      <c r="AH679" s="111"/>
      <c r="AI679" s="111"/>
      <c r="AJ679" s="111"/>
    </row>
    <row r="680" spans="14:36" x14ac:dyDescent="0.55000000000000004">
      <c r="N680" s="120"/>
      <c r="O680" s="111"/>
      <c r="P680" s="111"/>
      <c r="Q680" s="111"/>
      <c r="R680" s="111"/>
      <c r="S680" s="111"/>
      <c r="T680" s="111"/>
      <c r="U680" s="111"/>
      <c r="V680" s="120"/>
      <c r="W680" s="111"/>
      <c r="X680" s="111"/>
      <c r="Y680" s="111"/>
      <c r="Z680" s="111"/>
      <c r="AA680" s="111"/>
      <c r="AB680" s="111"/>
      <c r="AC680" s="111"/>
      <c r="AD680" s="111"/>
      <c r="AE680" s="111"/>
      <c r="AF680" s="111"/>
      <c r="AG680" s="111"/>
      <c r="AH680" s="111"/>
      <c r="AI680" s="111"/>
      <c r="AJ680" s="111"/>
    </row>
    <row r="681" spans="14:36" x14ac:dyDescent="0.55000000000000004">
      <c r="N681" s="120"/>
      <c r="O681" s="111"/>
      <c r="P681" s="111"/>
      <c r="Q681" s="111"/>
      <c r="R681" s="111"/>
      <c r="S681" s="111"/>
      <c r="T681" s="111"/>
      <c r="U681" s="111"/>
      <c r="V681" s="120"/>
      <c r="W681" s="111"/>
      <c r="X681" s="111"/>
      <c r="Y681" s="111"/>
      <c r="Z681" s="111"/>
      <c r="AA681" s="111"/>
      <c r="AB681" s="111"/>
      <c r="AC681" s="111"/>
      <c r="AD681" s="111"/>
      <c r="AE681" s="111"/>
      <c r="AF681" s="111"/>
      <c r="AG681" s="111"/>
      <c r="AH681" s="111"/>
      <c r="AI681" s="111"/>
      <c r="AJ681" s="111"/>
    </row>
    <row r="682" spans="14:36" x14ac:dyDescent="0.55000000000000004">
      <c r="N682" s="120"/>
      <c r="O682" s="111"/>
      <c r="P682" s="111"/>
      <c r="Q682" s="111"/>
      <c r="R682" s="111"/>
      <c r="S682" s="111"/>
      <c r="T682" s="111"/>
      <c r="U682" s="111"/>
      <c r="V682" s="120"/>
      <c r="W682" s="111"/>
      <c r="X682" s="111"/>
      <c r="Y682" s="111"/>
      <c r="Z682" s="111"/>
      <c r="AA682" s="111"/>
      <c r="AB682" s="111"/>
      <c r="AC682" s="111"/>
      <c r="AD682" s="111"/>
      <c r="AE682" s="111"/>
      <c r="AF682" s="111"/>
      <c r="AG682" s="111"/>
      <c r="AH682" s="111"/>
      <c r="AI682" s="111"/>
      <c r="AJ682" s="111"/>
    </row>
    <row r="683" spans="14:36" x14ac:dyDescent="0.55000000000000004">
      <c r="N683" s="120"/>
      <c r="O683" s="111"/>
      <c r="P683" s="111"/>
      <c r="Q683" s="111"/>
      <c r="R683" s="111"/>
      <c r="S683" s="111"/>
      <c r="T683" s="111"/>
      <c r="U683" s="111"/>
      <c r="V683" s="120"/>
      <c r="W683" s="111"/>
      <c r="X683" s="111"/>
      <c r="Y683" s="111"/>
      <c r="Z683" s="111"/>
      <c r="AA683" s="111"/>
      <c r="AB683" s="111"/>
      <c r="AC683" s="111"/>
      <c r="AD683" s="111"/>
      <c r="AE683" s="111"/>
      <c r="AF683" s="111"/>
      <c r="AG683" s="111"/>
      <c r="AH683" s="111"/>
      <c r="AI683" s="111"/>
      <c r="AJ683" s="111"/>
    </row>
    <row r="684" spans="14:36" x14ac:dyDescent="0.55000000000000004">
      <c r="N684" s="120"/>
      <c r="O684" s="111"/>
      <c r="P684" s="111"/>
      <c r="Q684" s="111"/>
      <c r="R684" s="111"/>
      <c r="S684" s="111"/>
      <c r="T684" s="111"/>
      <c r="U684" s="111"/>
      <c r="V684" s="120"/>
      <c r="W684" s="111"/>
      <c r="X684" s="111"/>
      <c r="Y684" s="111"/>
      <c r="Z684" s="111"/>
      <c r="AA684" s="111"/>
      <c r="AB684" s="111"/>
      <c r="AC684" s="111"/>
      <c r="AD684" s="111"/>
      <c r="AE684" s="111"/>
      <c r="AF684" s="111"/>
      <c r="AG684" s="111"/>
      <c r="AH684" s="111"/>
      <c r="AI684" s="111"/>
      <c r="AJ684" s="111"/>
    </row>
    <row r="685" spans="14:36" x14ac:dyDescent="0.55000000000000004">
      <c r="N685" s="120"/>
      <c r="O685" s="111"/>
      <c r="P685" s="111"/>
      <c r="Q685" s="111"/>
      <c r="R685" s="111"/>
      <c r="S685" s="111"/>
      <c r="T685" s="111"/>
      <c r="U685" s="111"/>
      <c r="V685" s="120"/>
      <c r="W685" s="111"/>
      <c r="X685" s="111"/>
      <c r="Y685" s="111"/>
      <c r="Z685" s="111"/>
      <c r="AA685" s="111"/>
      <c r="AB685" s="111"/>
      <c r="AC685" s="111"/>
      <c r="AD685" s="111"/>
      <c r="AE685" s="111"/>
      <c r="AF685" s="111"/>
      <c r="AG685" s="111"/>
      <c r="AH685" s="111"/>
      <c r="AI685" s="111"/>
      <c r="AJ685" s="111"/>
    </row>
    <row r="686" spans="14:36" x14ac:dyDescent="0.55000000000000004">
      <c r="N686" s="120"/>
      <c r="O686" s="111"/>
      <c r="P686" s="111"/>
      <c r="Q686" s="111"/>
      <c r="R686" s="111"/>
      <c r="S686" s="111"/>
      <c r="T686" s="111"/>
      <c r="U686" s="111"/>
      <c r="V686" s="120"/>
      <c r="W686" s="111"/>
      <c r="X686" s="111"/>
      <c r="Y686" s="111"/>
      <c r="Z686" s="111"/>
      <c r="AA686" s="111"/>
      <c r="AB686" s="111"/>
      <c r="AC686" s="111"/>
      <c r="AD686" s="111"/>
      <c r="AE686" s="111"/>
      <c r="AF686" s="111"/>
      <c r="AG686" s="111"/>
      <c r="AH686" s="111"/>
      <c r="AI686" s="111"/>
      <c r="AJ686" s="111"/>
    </row>
    <row r="687" spans="14:36" x14ac:dyDescent="0.55000000000000004">
      <c r="N687" s="120"/>
      <c r="O687" s="111"/>
      <c r="P687" s="111"/>
      <c r="Q687" s="111"/>
      <c r="R687" s="111"/>
      <c r="S687" s="111"/>
      <c r="T687" s="111"/>
      <c r="U687" s="111"/>
      <c r="V687" s="120"/>
      <c r="W687" s="111"/>
      <c r="X687" s="111"/>
      <c r="Y687" s="111"/>
      <c r="Z687" s="111"/>
      <c r="AA687" s="111"/>
      <c r="AB687" s="111"/>
      <c r="AC687" s="111"/>
      <c r="AD687" s="111"/>
      <c r="AE687" s="111"/>
      <c r="AF687" s="111"/>
      <c r="AG687" s="111"/>
      <c r="AH687" s="111"/>
      <c r="AI687" s="111"/>
      <c r="AJ687" s="111"/>
    </row>
    <row r="688" spans="14:36" x14ac:dyDescent="0.55000000000000004">
      <c r="N688" s="120"/>
      <c r="O688" s="111"/>
      <c r="P688" s="111"/>
      <c r="Q688" s="111"/>
      <c r="R688" s="111"/>
      <c r="S688" s="111"/>
      <c r="T688" s="111"/>
      <c r="U688" s="111"/>
      <c r="V688" s="120"/>
      <c r="W688" s="111"/>
      <c r="X688" s="111"/>
      <c r="Y688" s="111"/>
      <c r="Z688" s="111"/>
      <c r="AA688" s="111"/>
      <c r="AB688" s="111"/>
      <c r="AC688" s="111"/>
      <c r="AD688" s="111"/>
      <c r="AE688" s="111"/>
      <c r="AF688" s="111"/>
      <c r="AG688" s="111"/>
      <c r="AH688" s="111"/>
      <c r="AI688" s="111"/>
      <c r="AJ688" s="111"/>
    </row>
    <row r="689" spans="14:36" x14ac:dyDescent="0.55000000000000004">
      <c r="N689" s="120"/>
      <c r="O689" s="111"/>
      <c r="P689" s="111"/>
      <c r="Q689" s="111"/>
      <c r="R689" s="111"/>
      <c r="S689" s="111"/>
      <c r="T689" s="111"/>
      <c r="U689" s="111"/>
      <c r="V689" s="120"/>
      <c r="W689" s="111"/>
      <c r="X689" s="111"/>
      <c r="Y689" s="111"/>
      <c r="Z689" s="111"/>
      <c r="AA689" s="111"/>
      <c r="AB689" s="111"/>
      <c r="AC689" s="111"/>
      <c r="AD689" s="111"/>
      <c r="AE689" s="111"/>
      <c r="AF689" s="111"/>
      <c r="AG689" s="111"/>
      <c r="AH689" s="111"/>
      <c r="AI689" s="111"/>
      <c r="AJ689" s="111"/>
    </row>
    <row r="690" spans="14:36" x14ac:dyDescent="0.55000000000000004">
      <c r="N690" s="120"/>
      <c r="O690" s="111"/>
      <c r="P690" s="111"/>
      <c r="Q690" s="111"/>
      <c r="R690" s="111"/>
      <c r="S690" s="111"/>
      <c r="T690" s="111"/>
      <c r="U690" s="111"/>
      <c r="V690" s="120"/>
      <c r="W690" s="111"/>
      <c r="X690" s="111"/>
      <c r="Y690" s="111"/>
      <c r="Z690" s="111"/>
      <c r="AA690" s="111"/>
      <c r="AB690" s="111"/>
      <c r="AC690" s="111"/>
      <c r="AD690" s="111"/>
      <c r="AE690" s="111"/>
      <c r="AF690" s="111"/>
      <c r="AG690" s="111"/>
      <c r="AH690" s="111"/>
      <c r="AI690" s="111"/>
      <c r="AJ690" s="111"/>
    </row>
    <row r="691" spans="14:36" x14ac:dyDescent="0.55000000000000004">
      <c r="N691" s="120"/>
      <c r="O691" s="111"/>
      <c r="P691" s="111"/>
      <c r="Q691" s="111"/>
      <c r="R691" s="111"/>
      <c r="S691" s="111"/>
      <c r="T691" s="111"/>
      <c r="U691" s="111"/>
      <c r="V691" s="120"/>
      <c r="W691" s="111"/>
      <c r="X691" s="111"/>
      <c r="Y691" s="111"/>
      <c r="Z691" s="111"/>
      <c r="AA691" s="111"/>
      <c r="AB691" s="111"/>
      <c r="AC691" s="111"/>
      <c r="AD691" s="111"/>
      <c r="AE691" s="111"/>
      <c r="AF691" s="111"/>
      <c r="AG691" s="111"/>
      <c r="AH691" s="111"/>
      <c r="AI691" s="111"/>
      <c r="AJ691" s="111"/>
    </row>
    <row r="692" spans="14:36" x14ac:dyDescent="0.55000000000000004">
      <c r="N692" s="120"/>
      <c r="O692" s="111"/>
      <c r="P692" s="111"/>
      <c r="Q692" s="111"/>
      <c r="R692" s="111"/>
      <c r="S692" s="111"/>
      <c r="T692" s="111"/>
      <c r="U692" s="111"/>
      <c r="V692" s="120"/>
      <c r="W692" s="111"/>
      <c r="X692" s="111"/>
      <c r="Y692" s="111"/>
      <c r="Z692" s="111"/>
      <c r="AA692" s="111"/>
      <c r="AB692" s="111"/>
      <c r="AC692" s="111"/>
      <c r="AD692" s="111"/>
      <c r="AE692" s="111"/>
      <c r="AF692" s="111"/>
      <c r="AG692" s="111"/>
      <c r="AH692" s="111"/>
      <c r="AI692" s="111"/>
      <c r="AJ692" s="111"/>
    </row>
    <row r="693" spans="14:36" x14ac:dyDescent="0.55000000000000004">
      <c r="N693" s="120"/>
      <c r="O693" s="111"/>
      <c r="P693" s="111"/>
      <c r="Q693" s="111"/>
      <c r="R693" s="111"/>
      <c r="S693" s="111"/>
      <c r="T693" s="111"/>
      <c r="U693" s="111"/>
      <c r="V693" s="120"/>
      <c r="W693" s="111"/>
      <c r="X693" s="111"/>
      <c r="Y693" s="111"/>
      <c r="Z693" s="111"/>
      <c r="AA693" s="111"/>
      <c r="AB693" s="111"/>
      <c r="AC693" s="111"/>
      <c r="AD693" s="111"/>
      <c r="AE693" s="111"/>
      <c r="AF693" s="111"/>
      <c r="AG693" s="111"/>
      <c r="AH693" s="111"/>
      <c r="AI693" s="111"/>
      <c r="AJ693" s="111"/>
    </row>
    <row r="694" spans="14:36" x14ac:dyDescent="0.55000000000000004">
      <c r="N694" s="120"/>
      <c r="O694" s="111"/>
      <c r="P694" s="111"/>
      <c r="Q694" s="111"/>
      <c r="R694" s="111"/>
      <c r="S694" s="111"/>
      <c r="T694" s="111"/>
      <c r="U694" s="111"/>
      <c r="V694" s="120"/>
      <c r="W694" s="111"/>
      <c r="X694" s="111"/>
      <c r="Y694" s="111"/>
      <c r="Z694" s="111"/>
      <c r="AA694" s="111"/>
      <c r="AB694" s="111"/>
      <c r="AC694" s="111"/>
      <c r="AD694" s="111"/>
      <c r="AE694" s="111"/>
      <c r="AF694" s="111"/>
      <c r="AG694" s="111"/>
      <c r="AH694" s="111"/>
      <c r="AI694" s="111"/>
      <c r="AJ694" s="111"/>
    </row>
    <row r="695" spans="14:36" x14ac:dyDescent="0.55000000000000004">
      <c r="N695" s="120"/>
      <c r="O695" s="111"/>
      <c r="P695" s="111"/>
      <c r="Q695" s="111"/>
      <c r="R695" s="111"/>
      <c r="S695" s="111"/>
      <c r="T695" s="111"/>
      <c r="U695" s="111"/>
      <c r="V695" s="120"/>
      <c r="W695" s="111"/>
      <c r="X695" s="111"/>
      <c r="Y695" s="111"/>
      <c r="Z695" s="111"/>
      <c r="AA695" s="111"/>
      <c r="AB695" s="111"/>
      <c r="AC695" s="111"/>
      <c r="AD695" s="111"/>
      <c r="AE695" s="111"/>
      <c r="AF695" s="111"/>
      <c r="AG695" s="111"/>
      <c r="AH695" s="111"/>
      <c r="AI695" s="111"/>
      <c r="AJ695" s="111"/>
    </row>
    <row r="696" spans="14:36" x14ac:dyDescent="0.55000000000000004">
      <c r="N696" s="120"/>
      <c r="O696" s="111"/>
      <c r="P696" s="111"/>
      <c r="Q696" s="111"/>
      <c r="R696" s="111"/>
      <c r="S696" s="111"/>
      <c r="T696" s="111"/>
      <c r="U696" s="111"/>
      <c r="V696" s="120"/>
      <c r="W696" s="111"/>
      <c r="X696" s="111"/>
      <c r="Y696" s="111"/>
      <c r="Z696" s="111"/>
      <c r="AA696" s="111"/>
      <c r="AB696" s="111"/>
      <c r="AC696" s="111"/>
      <c r="AD696" s="111"/>
      <c r="AE696" s="111"/>
      <c r="AF696" s="111"/>
      <c r="AG696" s="111"/>
      <c r="AH696" s="111"/>
      <c r="AI696" s="111"/>
      <c r="AJ696" s="111"/>
    </row>
    <row r="697" spans="14:36" x14ac:dyDescent="0.55000000000000004">
      <c r="N697" s="120"/>
      <c r="O697" s="111"/>
      <c r="P697" s="111"/>
      <c r="Q697" s="111"/>
      <c r="R697" s="111"/>
      <c r="S697" s="111"/>
      <c r="T697" s="111"/>
      <c r="U697" s="111"/>
      <c r="V697" s="120"/>
      <c r="W697" s="111"/>
      <c r="X697" s="111"/>
      <c r="Y697" s="111"/>
      <c r="Z697" s="111"/>
      <c r="AA697" s="111"/>
      <c r="AB697" s="111"/>
      <c r="AC697" s="111"/>
      <c r="AD697" s="111"/>
      <c r="AE697" s="111"/>
      <c r="AF697" s="111"/>
      <c r="AG697" s="111"/>
      <c r="AH697" s="111"/>
      <c r="AI697" s="111"/>
      <c r="AJ697" s="111"/>
    </row>
    <row r="698" spans="14:36" x14ac:dyDescent="0.55000000000000004">
      <c r="N698" s="120"/>
      <c r="O698" s="111"/>
      <c r="P698" s="111"/>
      <c r="Q698" s="111"/>
      <c r="R698" s="111"/>
      <c r="S698" s="111"/>
      <c r="T698" s="111"/>
      <c r="U698" s="111"/>
      <c r="V698" s="120"/>
      <c r="W698" s="111"/>
      <c r="X698" s="111"/>
      <c r="Y698" s="111"/>
      <c r="Z698" s="111"/>
      <c r="AA698" s="111"/>
      <c r="AB698" s="111"/>
      <c r="AC698" s="111"/>
      <c r="AD698" s="111"/>
      <c r="AE698" s="111"/>
      <c r="AF698" s="111"/>
      <c r="AG698" s="111"/>
      <c r="AH698" s="111"/>
      <c r="AI698" s="111"/>
      <c r="AJ698" s="111"/>
    </row>
    <row r="699" spans="14:36" x14ac:dyDescent="0.55000000000000004">
      <c r="N699" s="120"/>
      <c r="O699" s="111"/>
      <c r="P699" s="111"/>
      <c r="Q699" s="111"/>
      <c r="R699" s="111"/>
      <c r="S699" s="111"/>
      <c r="T699" s="111"/>
      <c r="U699" s="111"/>
      <c r="V699" s="120"/>
      <c r="W699" s="111"/>
      <c r="X699" s="111"/>
      <c r="Y699" s="111"/>
      <c r="Z699" s="111"/>
      <c r="AA699" s="111"/>
      <c r="AB699" s="111"/>
      <c r="AC699" s="111"/>
      <c r="AD699" s="111"/>
      <c r="AE699" s="111"/>
      <c r="AF699" s="111"/>
      <c r="AG699" s="111"/>
      <c r="AH699" s="111"/>
      <c r="AI699" s="111"/>
      <c r="AJ699" s="111"/>
    </row>
    <row r="700" spans="14:36" x14ac:dyDescent="0.55000000000000004">
      <c r="N700" s="120"/>
      <c r="O700" s="111"/>
      <c r="P700" s="111"/>
      <c r="Q700" s="111"/>
      <c r="R700" s="111"/>
      <c r="S700" s="111"/>
      <c r="T700" s="111"/>
      <c r="U700" s="111"/>
      <c r="V700" s="120"/>
      <c r="W700" s="111"/>
      <c r="X700" s="111"/>
      <c r="Y700" s="111"/>
      <c r="Z700" s="111"/>
      <c r="AA700" s="111"/>
      <c r="AB700" s="111"/>
      <c r="AC700" s="111"/>
      <c r="AD700" s="111"/>
      <c r="AE700" s="111"/>
      <c r="AF700" s="111"/>
      <c r="AG700" s="111"/>
      <c r="AH700" s="111"/>
      <c r="AI700" s="111"/>
      <c r="AJ700" s="111"/>
    </row>
    <row r="701" spans="14:36" x14ac:dyDescent="0.55000000000000004">
      <c r="N701" s="120"/>
      <c r="O701" s="111"/>
      <c r="P701" s="111"/>
      <c r="Q701" s="111"/>
      <c r="R701" s="111"/>
      <c r="S701" s="111"/>
      <c r="T701" s="111"/>
      <c r="U701" s="111"/>
      <c r="V701" s="120"/>
      <c r="W701" s="111"/>
      <c r="X701" s="111"/>
      <c r="Y701" s="111"/>
      <c r="Z701" s="111"/>
      <c r="AA701" s="111"/>
      <c r="AB701" s="111"/>
      <c r="AC701" s="111"/>
      <c r="AD701" s="111"/>
      <c r="AE701" s="111"/>
      <c r="AF701" s="111"/>
      <c r="AG701" s="111"/>
      <c r="AH701" s="111"/>
      <c r="AI701" s="111"/>
      <c r="AJ701" s="111"/>
    </row>
    <row r="702" spans="14:36" x14ac:dyDescent="0.55000000000000004">
      <c r="N702" s="120"/>
      <c r="O702" s="111"/>
      <c r="P702" s="111"/>
      <c r="Q702" s="111"/>
      <c r="R702" s="111"/>
      <c r="S702" s="111"/>
      <c r="T702" s="111"/>
      <c r="U702" s="111"/>
      <c r="V702" s="120"/>
      <c r="W702" s="111"/>
      <c r="X702" s="111"/>
      <c r="Y702" s="111"/>
      <c r="Z702" s="111"/>
      <c r="AA702" s="111"/>
      <c r="AB702" s="111"/>
      <c r="AC702" s="111"/>
      <c r="AD702" s="111"/>
      <c r="AE702" s="111"/>
      <c r="AF702" s="111"/>
      <c r="AG702" s="111"/>
      <c r="AH702" s="111"/>
      <c r="AI702" s="111"/>
      <c r="AJ702" s="111"/>
    </row>
    <row r="703" spans="14:36" x14ac:dyDescent="0.55000000000000004">
      <c r="N703" s="120"/>
      <c r="O703" s="111"/>
      <c r="P703" s="111"/>
      <c r="Q703" s="111"/>
      <c r="R703" s="111"/>
      <c r="S703" s="111"/>
      <c r="T703" s="111"/>
      <c r="U703" s="111"/>
      <c r="V703" s="120"/>
      <c r="W703" s="111"/>
      <c r="X703" s="111"/>
      <c r="Y703" s="111"/>
      <c r="Z703" s="111"/>
      <c r="AA703" s="111"/>
      <c r="AB703" s="111"/>
      <c r="AC703" s="111"/>
      <c r="AD703" s="111"/>
      <c r="AE703" s="111"/>
      <c r="AF703" s="111"/>
      <c r="AG703" s="111"/>
      <c r="AH703" s="111"/>
      <c r="AI703" s="111"/>
      <c r="AJ703" s="111"/>
    </row>
    <row r="704" spans="14:36" x14ac:dyDescent="0.55000000000000004">
      <c r="N704" s="120"/>
      <c r="O704" s="111"/>
      <c r="P704" s="111"/>
      <c r="Q704" s="111"/>
      <c r="R704" s="111"/>
      <c r="S704" s="111"/>
      <c r="T704" s="111"/>
      <c r="U704" s="111"/>
      <c r="V704" s="120"/>
      <c r="W704" s="111"/>
      <c r="X704" s="111"/>
      <c r="Y704" s="111"/>
      <c r="Z704" s="111"/>
      <c r="AA704" s="111"/>
      <c r="AB704" s="111"/>
      <c r="AC704" s="111"/>
      <c r="AD704" s="111"/>
      <c r="AE704" s="111"/>
      <c r="AF704" s="111"/>
      <c r="AG704" s="111"/>
      <c r="AH704" s="111"/>
      <c r="AI704" s="111"/>
      <c r="AJ704" s="111"/>
    </row>
    <row r="705" spans="14:36" x14ac:dyDescent="0.55000000000000004">
      <c r="N705" s="120"/>
      <c r="O705" s="111"/>
      <c r="P705" s="111"/>
      <c r="Q705" s="111"/>
      <c r="R705" s="111"/>
      <c r="S705" s="111"/>
      <c r="T705" s="111"/>
      <c r="U705" s="111"/>
      <c r="V705" s="120"/>
      <c r="W705" s="111"/>
      <c r="X705" s="111"/>
      <c r="Y705" s="111"/>
      <c r="Z705" s="111"/>
      <c r="AA705" s="111"/>
      <c r="AB705" s="111"/>
      <c r="AC705" s="111"/>
      <c r="AD705" s="111"/>
      <c r="AE705" s="111"/>
      <c r="AF705" s="111"/>
      <c r="AG705" s="111"/>
      <c r="AH705" s="111"/>
      <c r="AI705" s="111"/>
      <c r="AJ705" s="111"/>
    </row>
    <row r="706" spans="14:36" x14ac:dyDescent="0.55000000000000004">
      <c r="N706" s="120"/>
      <c r="O706" s="111"/>
      <c r="P706" s="111"/>
      <c r="Q706" s="111"/>
      <c r="R706" s="111"/>
      <c r="S706" s="111"/>
      <c r="T706" s="111"/>
      <c r="U706" s="111"/>
      <c r="V706" s="120"/>
      <c r="W706" s="111"/>
      <c r="X706" s="111"/>
      <c r="Y706" s="111"/>
      <c r="Z706" s="111"/>
      <c r="AA706" s="111"/>
      <c r="AB706" s="111"/>
      <c r="AC706" s="111"/>
      <c r="AD706" s="111"/>
      <c r="AE706" s="111"/>
      <c r="AF706" s="111"/>
      <c r="AG706" s="111"/>
      <c r="AH706" s="111"/>
      <c r="AI706" s="111"/>
      <c r="AJ706" s="111"/>
    </row>
    <row r="707" spans="14:36" x14ac:dyDescent="0.55000000000000004">
      <c r="N707" s="120"/>
      <c r="O707" s="111"/>
      <c r="P707" s="111"/>
      <c r="Q707" s="111"/>
      <c r="R707" s="111"/>
      <c r="S707" s="111"/>
      <c r="T707" s="111"/>
      <c r="U707" s="111"/>
      <c r="V707" s="120"/>
      <c r="W707" s="111"/>
      <c r="X707" s="111"/>
      <c r="Y707" s="111"/>
      <c r="Z707" s="111"/>
      <c r="AA707" s="111"/>
      <c r="AB707" s="111"/>
      <c r="AC707" s="111"/>
      <c r="AD707" s="111"/>
      <c r="AE707" s="111"/>
      <c r="AF707" s="111"/>
      <c r="AG707" s="111"/>
      <c r="AH707" s="111"/>
      <c r="AI707" s="111"/>
      <c r="AJ707" s="111"/>
    </row>
    <row r="708" spans="14:36" x14ac:dyDescent="0.55000000000000004">
      <c r="N708" s="120"/>
      <c r="O708" s="111"/>
      <c r="P708" s="111"/>
      <c r="Q708" s="111"/>
      <c r="R708" s="111"/>
      <c r="S708" s="111"/>
      <c r="T708" s="111"/>
      <c r="U708" s="111"/>
      <c r="V708" s="120"/>
      <c r="W708" s="111"/>
      <c r="X708" s="111"/>
      <c r="Y708" s="111"/>
      <c r="Z708" s="111"/>
      <c r="AA708" s="111"/>
      <c r="AB708" s="111"/>
      <c r="AC708" s="111"/>
      <c r="AD708" s="111"/>
      <c r="AE708" s="111"/>
      <c r="AF708" s="111"/>
      <c r="AG708" s="111"/>
      <c r="AH708" s="111"/>
      <c r="AI708" s="111"/>
      <c r="AJ708" s="111"/>
    </row>
    <row r="709" spans="14:36" x14ac:dyDescent="0.55000000000000004">
      <c r="N709" s="120"/>
      <c r="O709" s="111"/>
      <c r="P709" s="111"/>
      <c r="Q709" s="111"/>
      <c r="R709" s="111"/>
      <c r="S709" s="111"/>
      <c r="T709" s="111"/>
      <c r="U709" s="111"/>
      <c r="V709" s="120"/>
      <c r="W709" s="111"/>
      <c r="X709" s="111"/>
      <c r="Y709" s="111"/>
      <c r="Z709" s="111"/>
      <c r="AA709" s="111"/>
      <c r="AB709" s="111"/>
      <c r="AC709" s="111"/>
      <c r="AD709" s="111"/>
      <c r="AE709" s="111"/>
      <c r="AF709" s="111"/>
      <c r="AG709" s="111"/>
      <c r="AH709" s="111"/>
      <c r="AI709" s="111"/>
      <c r="AJ709" s="111"/>
    </row>
    <row r="710" spans="14:36" x14ac:dyDescent="0.55000000000000004">
      <c r="N710" s="120"/>
      <c r="O710" s="111"/>
      <c r="P710" s="111"/>
      <c r="Q710" s="111"/>
      <c r="R710" s="111"/>
      <c r="S710" s="111"/>
      <c r="T710" s="111"/>
      <c r="U710" s="111"/>
      <c r="V710" s="120"/>
      <c r="W710" s="111"/>
      <c r="X710" s="111"/>
      <c r="Y710" s="111"/>
      <c r="Z710" s="111"/>
      <c r="AA710" s="111"/>
      <c r="AB710" s="111"/>
      <c r="AC710" s="111"/>
      <c r="AD710" s="111"/>
      <c r="AE710" s="111"/>
      <c r="AF710" s="111"/>
      <c r="AG710" s="111"/>
      <c r="AH710" s="111"/>
      <c r="AI710" s="111"/>
      <c r="AJ710" s="111"/>
    </row>
    <row r="711" spans="14:36" x14ac:dyDescent="0.55000000000000004">
      <c r="N711" s="120"/>
      <c r="O711" s="111"/>
      <c r="P711" s="111"/>
      <c r="Q711" s="111"/>
      <c r="R711" s="111"/>
      <c r="S711" s="111"/>
      <c r="T711" s="111"/>
      <c r="U711" s="111"/>
      <c r="V711" s="120"/>
      <c r="W711" s="111"/>
      <c r="X711" s="111"/>
      <c r="Y711" s="111"/>
      <c r="Z711" s="111"/>
      <c r="AA711" s="111"/>
      <c r="AB711" s="111"/>
      <c r="AC711" s="111"/>
      <c r="AD711" s="111"/>
      <c r="AE711" s="111"/>
      <c r="AF711" s="111"/>
      <c r="AG711" s="111"/>
      <c r="AH711" s="111"/>
      <c r="AI711" s="111"/>
      <c r="AJ711" s="111"/>
    </row>
    <row r="712" spans="14:36" x14ac:dyDescent="0.55000000000000004">
      <c r="N712" s="120"/>
      <c r="O712" s="111"/>
      <c r="P712" s="111"/>
      <c r="Q712" s="111"/>
      <c r="R712" s="111"/>
      <c r="S712" s="111"/>
      <c r="T712" s="111"/>
      <c r="U712" s="111"/>
      <c r="V712" s="120"/>
      <c r="W712" s="111"/>
      <c r="X712" s="111"/>
      <c r="Y712" s="111"/>
      <c r="Z712" s="111"/>
      <c r="AA712" s="111"/>
      <c r="AB712" s="111"/>
      <c r="AC712" s="111"/>
      <c r="AD712" s="111"/>
      <c r="AE712" s="111"/>
      <c r="AF712" s="111"/>
      <c r="AG712" s="111"/>
      <c r="AH712" s="111"/>
      <c r="AI712" s="111"/>
      <c r="AJ712" s="111"/>
    </row>
    <row r="713" spans="14:36" x14ac:dyDescent="0.55000000000000004">
      <c r="N713" s="120"/>
      <c r="O713" s="111"/>
      <c r="P713" s="111"/>
      <c r="Q713" s="111"/>
      <c r="R713" s="111"/>
      <c r="S713" s="111"/>
      <c r="T713" s="111"/>
      <c r="U713" s="111"/>
      <c r="V713" s="120"/>
      <c r="W713" s="111"/>
      <c r="X713" s="111"/>
      <c r="Y713" s="111"/>
      <c r="Z713" s="111"/>
      <c r="AA713" s="111"/>
      <c r="AB713" s="111"/>
      <c r="AC713" s="111"/>
      <c r="AD713" s="111"/>
      <c r="AE713" s="111"/>
      <c r="AF713" s="111"/>
      <c r="AG713" s="111"/>
      <c r="AH713" s="111"/>
      <c r="AI713" s="111"/>
      <c r="AJ713" s="111"/>
    </row>
    <row r="714" spans="14:36" x14ac:dyDescent="0.55000000000000004">
      <c r="N714" s="120"/>
      <c r="O714" s="111"/>
      <c r="P714" s="111"/>
      <c r="Q714" s="111"/>
      <c r="R714" s="111"/>
      <c r="S714" s="111"/>
      <c r="T714" s="111"/>
      <c r="U714" s="111"/>
      <c r="V714" s="120"/>
      <c r="W714" s="111"/>
      <c r="X714" s="111"/>
      <c r="Y714" s="111"/>
      <c r="Z714" s="111"/>
      <c r="AA714" s="111"/>
      <c r="AB714" s="111"/>
      <c r="AC714" s="111"/>
      <c r="AD714" s="111"/>
      <c r="AE714" s="111"/>
      <c r="AF714" s="111"/>
      <c r="AG714" s="111"/>
      <c r="AH714" s="111"/>
      <c r="AI714" s="111"/>
      <c r="AJ714" s="111"/>
    </row>
    <row r="715" spans="14:36" x14ac:dyDescent="0.55000000000000004">
      <c r="N715" s="120"/>
      <c r="O715" s="111"/>
      <c r="P715" s="111"/>
      <c r="Q715" s="111"/>
      <c r="R715" s="111"/>
      <c r="S715" s="111"/>
      <c r="T715" s="111"/>
      <c r="U715" s="111"/>
      <c r="V715" s="120"/>
      <c r="W715" s="111"/>
      <c r="X715" s="111"/>
      <c r="Y715" s="111"/>
      <c r="Z715" s="111"/>
      <c r="AA715" s="111"/>
      <c r="AB715" s="111"/>
      <c r="AC715" s="111"/>
      <c r="AD715" s="111"/>
      <c r="AE715" s="111"/>
      <c r="AF715" s="111"/>
      <c r="AG715" s="111"/>
      <c r="AH715" s="111"/>
      <c r="AI715" s="111"/>
      <c r="AJ715" s="111"/>
    </row>
    <row r="716" spans="14:36" x14ac:dyDescent="0.55000000000000004">
      <c r="N716" s="120"/>
      <c r="O716" s="111"/>
      <c r="P716" s="111"/>
      <c r="Q716" s="111"/>
      <c r="R716" s="111"/>
      <c r="S716" s="111"/>
      <c r="T716" s="111"/>
      <c r="U716" s="111"/>
      <c r="V716" s="120"/>
      <c r="W716" s="111"/>
      <c r="X716" s="111"/>
      <c r="Y716" s="111"/>
      <c r="Z716" s="111"/>
      <c r="AA716" s="111"/>
      <c r="AB716" s="111"/>
      <c r="AC716" s="111"/>
      <c r="AD716" s="111"/>
      <c r="AE716" s="111"/>
      <c r="AF716" s="111"/>
      <c r="AG716" s="111"/>
      <c r="AH716" s="111"/>
      <c r="AI716" s="111"/>
      <c r="AJ716" s="111"/>
    </row>
    <row r="717" spans="14:36" x14ac:dyDescent="0.55000000000000004">
      <c r="N717" s="120"/>
      <c r="O717" s="111"/>
      <c r="P717" s="111"/>
      <c r="Q717" s="111"/>
      <c r="R717" s="111"/>
      <c r="S717" s="111"/>
      <c r="T717" s="111"/>
      <c r="U717" s="111"/>
      <c r="V717" s="120"/>
      <c r="W717" s="111"/>
      <c r="X717" s="111"/>
      <c r="Y717" s="111"/>
      <c r="Z717" s="111"/>
      <c r="AA717" s="111"/>
      <c r="AB717" s="111"/>
      <c r="AC717" s="111"/>
      <c r="AD717" s="111"/>
      <c r="AE717" s="111"/>
      <c r="AF717" s="111"/>
      <c r="AG717" s="111"/>
      <c r="AH717" s="111"/>
      <c r="AI717" s="111"/>
      <c r="AJ717" s="111"/>
    </row>
    <row r="718" spans="14:36" x14ac:dyDescent="0.55000000000000004">
      <c r="N718" s="120"/>
      <c r="O718" s="111"/>
      <c r="P718" s="111"/>
      <c r="Q718" s="111"/>
      <c r="R718" s="111"/>
      <c r="S718" s="111"/>
      <c r="T718" s="111"/>
      <c r="U718" s="111"/>
      <c r="V718" s="120"/>
      <c r="W718" s="111"/>
      <c r="X718" s="111"/>
      <c r="Y718" s="111"/>
      <c r="Z718" s="111"/>
      <c r="AA718" s="111"/>
      <c r="AB718" s="111"/>
      <c r="AC718" s="111"/>
      <c r="AD718" s="111"/>
      <c r="AE718" s="111"/>
      <c r="AF718" s="111"/>
      <c r="AG718" s="111"/>
      <c r="AH718" s="111"/>
      <c r="AI718" s="111"/>
      <c r="AJ718" s="111"/>
    </row>
    <row r="719" spans="14:36" x14ac:dyDescent="0.55000000000000004">
      <c r="N719" s="120"/>
      <c r="O719" s="111"/>
      <c r="P719" s="111"/>
      <c r="Q719" s="111"/>
      <c r="R719" s="111"/>
      <c r="S719" s="111"/>
      <c r="T719" s="111"/>
      <c r="U719" s="111"/>
      <c r="V719" s="120"/>
      <c r="W719" s="111"/>
      <c r="X719" s="111"/>
      <c r="Y719" s="111"/>
      <c r="Z719" s="111"/>
      <c r="AA719" s="111"/>
      <c r="AB719" s="111"/>
      <c r="AC719" s="111"/>
      <c r="AD719" s="111"/>
      <c r="AE719" s="111"/>
      <c r="AF719" s="111"/>
      <c r="AG719" s="111"/>
      <c r="AH719" s="111"/>
      <c r="AI719" s="111"/>
      <c r="AJ719" s="111"/>
    </row>
    <row r="720" spans="14:36" x14ac:dyDescent="0.55000000000000004">
      <c r="N720" s="120"/>
      <c r="O720" s="111"/>
      <c r="P720" s="111"/>
      <c r="Q720" s="111"/>
      <c r="R720" s="111"/>
      <c r="S720" s="111"/>
      <c r="T720" s="111"/>
      <c r="U720" s="111"/>
      <c r="V720" s="120"/>
      <c r="W720" s="111"/>
      <c r="X720" s="111"/>
      <c r="Y720" s="111"/>
      <c r="Z720" s="111"/>
      <c r="AA720" s="111"/>
      <c r="AB720" s="111"/>
      <c r="AC720" s="111"/>
      <c r="AD720" s="111"/>
      <c r="AE720" s="111"/>
      <c r="AF720" s="111"/>
      <c r="AG720" s="111"/>
      <c r="AH720" s="111"/>
      <c r="AI720" s="111"/>
      <c r="AJ720" s="111"/>
    </row>
    <row r="721" spans="14:36" x14ac:dyDescent="0.55000000000000004">
      <c r="N721" s="120"/>
      <c r="O721" s="111"/>
      <c r="P721" s="111"/>
      <c r="Q721" s="111"/>
      <c r="R721" s="111"/>
      <c r="S721" s="111"/>
      <c r="T721" s="111"/>
      <c r="U721" s="111"/>
      <c r="V721" s="120"/>
      <c r="W721" s="111"/>
      <c r="X721" s="111"/>
      <c r="Y721" s="111"/>
      <c r="Z721" s="111"/>
      <c r="AA721" s="111"/>
      <c r="AB721" s="111"/>
      <c r="AC721" s="111"/>
      <c r="AD721" s="111"/>
      <c r="AE721" s="111"/>
      <c r="AF721" s="111"/>
      <c r="AG721" s="111"/>
      <c r="AH721" s="111"/>
      <c r="AI721" s="111"/>
      <c r="AJ721" s="111"/>
    </row>
    <row r="722" spans="14:36" x14ac:dyDescent="0.55000000000000004">
      <c r="N722" s="120"/>
      <c r="O722" s="111"/>
      <c r="P722" s="111"/>
      <c r="Q722" s="111"/>
      <c r="R722" s="111"/>
      <c r="S722" s="111"/>
      <c r="T722" s="111"/>
      <c r="U722" s="111"/>
      <c r="V722" s="120"/>
      <c r="W722" s="111"/>
      <c r="X722" s="111"/>
      <c r="Y722" s="111"/>
      <c r="Z722" s="111"/>
      <c r="AA722" s="111"/>
      <c r="AB722" s="111"/>
      <c r="AC722" s="111"/>
      <c r="AD722" s="111"/>
      <c r="AE722" s="111"/>
      <c r="AF722" s="111"/>
      <c r="AG722" s="111"/>
      <c r="AH722" s="111"/>
      <c r="AI722" s="111"/>
      <c r="AJ722" s="111"/>
    </row>
    <row r="723" spans="14:36" x14ac:dyDescent="0.55000000000000004">
      <c r="N723" s="120"/>
      <c r="O723" s="111"/>
      <c r="P723" s="111"/>
      <c r="Q723" s="111"/>
      <c r="R723" s="111"/>
      <c r="S723" s="111"/>
      <c r="T723" s="111"/>
      <c r="U723" s="111"/>
      <c r="V723" s="120"/>
      <c r="W723" s="111"/>
      <c r="X723" s="111"/>
      <c r="Y723" s="111"/>
      <c r="Z723" s="111"/>
      <c r="AA723" s="111"/>
      <c r="AB723" s="111"/>
      <c r="AC723" s="111"/>
      <c r="AD723" s="111"/>
      <c r="AE723" s="111"/>
      <c r="AF723" s="111"/>
      <c r="AG723" s="111"/>
      <c r="AH723" s="111"/>
      <c r="AI723" s="111"/>
      <c r="AJ723" s="111"/>
    </row>
    <row r="724" spans="14:36" x14ac:dyDescent="0.55000000000000004">
      <c r="N724" s="120"/>
      <c r="O724" s="111"/>
      <c r="P724" s="111"/>
      <c r="Q724" s="111"/>
      <c r="R724" s="111"/>
      <c r="S724" s="111"/>
      <c r="T724" s="111"/>
      <c r="U724" s="111"/>
      <c r="V724" s="120"/>
      <c r="W724" s="111"/>
      <c r="X724" s="111"/>
      <c r="Y724" s="111"/>
      <c r="Z724" s="111"/>
      <c r="AA724" s="111"/>
      <c r="AB724" s="111"/>
      <c r="AC724" s="111"/>
      <c r="AD724" s="111"/>
      <c r="AE724" s="111"/>
      <c r="AF724" s="111"/>
      <c r="AG724" s="111"/>
      <c r="AH724" s="111"/>
      <c r="AI724" s="111"/>
      <c r="AJ724" s="111"/>
    </row>
    <row r="725" spans="14:36" x14ac:dyDescent="0.55000000000000004">
      <c r="N725" s="120"/>
      <c r="O725" s="111"/>
      <c r="P725" s="111"/>
      <c r="Q725" s="111"/>
      <c r="R725" s="111"/>
      <c r="S725" s="111"/>
      <c r="T725" s="111"/>
      <c r="U725" s="111"/>
      <c r="V725" s="120"/>
      <c r="W725" s="111"/>
      <c r="X725" s="111"/>
      <c r="Y725" s="111"/>
      <c r="Z725" s="111"/>
      <c r="AA725" s="111"/>
      <c r="AB725" s="111"/>
      <c r="AC725" s="111"/>
      <c r="AD725" s="111"/>
      <c r="AE725" s="111"/>
      <c r="AF725" s="111"/>
      <c r="AG725" s="111"/>
      <c r="AH725" s="111"/>
      <c r="AI725" s="111"/>
      <c r="AJ725" s="111"/>
    </row>
    <row r="726" spans="14:36" x14ac:dyDescent="0.55000000000000004">
      <c r="N726" s="120"/>
      <c r="O726" s="111"/>
      <c r="P726" s="111"/>
      <c r="Q726" s="111"/>
      <c r="R726" s="111"/>
      <c r="S726" s="111"/>
      <c r="T726" s="111"/>
      <c r="U726" s="111"/>
      <c r="V726" s="120"/>
      <c r="W726" s="111"/>
      <c r="X726" s="111"/>
      <c r="Y726" s="111"/>
      <c r="Z726" s="111"/>
      <c r="AA726" s="111"/>
      <c r="AB726" s="111"/>
      <c r="AC726" s="111"/>
      <c r="AD726" s="111"/>
      <c r="AE726" s="111"/>
      <c r="AF726" s="111"/>
      <c r="AG726" s="111"/>
      <c r="AH726" s="111"/>
      <c r="AI726" s="111"/>
      <c r="AJ726" s="111"/>
    </row>
    <row r="727" spans="14:36" x14ac:dyDescent="0.55000000000000004">
      <c r="N727" s="120"/>
      <c r="O727" s="111"/>
      <c r="P727" s="111"/>
      <c r="Q727" s="111"/>
      <c r="R727" s="111"/>
      <c r="S727" s="111"/>
      <c r="T727" s="111"/>
      <c r="U727" s="111"/>
      <c r="V727" s="120"/>
      <c r="W727" s="111"/>
      <c r="X727" s="111"/>
      <c r="Y727" s="111"/>
      <c r="Z727" s="111"/>
      <c r="AA727" s="111"/>
      <c r="AB727" s="111"/>
      <c r="AC727" s="111"/>
      <c r="AD727" s="111"/>
      <c r="AE727" s="111"/>
      <c r="AF727" s="111"/>
      <c r="AG727" s="111"/>
      <c r="AH727" s="111"/>
      <c r="AI727" s="111"/>
      <c r="AJ727" s="111"/>
    </row>
    <row r="728" spans="14:36" x14ac:dyDescent="0.55000000000000004">
      <c r="N728" s="120"/>
      <c r="O728" s="111"/>
      <c r="P728" s="111"/>
      <c r="Q728" s="111"/>
      <c r="R728" s="111"/>
      <c r="S728" s="111"/>
      <c r="T728" s="111"/>
      <c r="U728" s="111"/>
      <c r="V728" s="120"/>
      <c r="W728" s="111"/>
      <c r="X728" s="111"/>
      <c r="Y728" s="111"/>
      <c r="Z728" s="111"/>
      <c r="AA728" s="111"/>
      <c r="AB728" s="111"/>
      <c r="AC728" s="111"/>
      <c r="AD728" s="111"/>
      <c r="AE728" s="111"/>
      <c r="AF728" s="111"/>
      <c r="AG728" s="111"/>
      <c r="AH728" s="111"/>
      <c r="AI728" s="111"/>
      <c r="AJ728" s="111"/>
    </row>
    <row r="729" spans="14:36" x14ac:dyDescent="0.55000000000000004">
      <c r="N729" s="120"/>
      <c r="O729" s="111"/>
      <c r="P729" s="111"/>
      <c r="Q729" s="111"/>
      <c r="R729" s="111"/>
      <c r="S729" s="111"/>
      <c r="T729" s="111"/>
      <c r="U729" s="111"/>
      <c r="V729" s="120"/>
      <c r="W729" s="111"/>
      <c r="X729" s="111"/>
      <c r="Y729" s="111"/>
      <c r="Z729" s="111"/>
      <c r="AA729" s="111"/>
      <c r="AB729" s="111"/>
      <c r="AC729" s="111"/>
      <c r="AD729" s="111"/>
      <c r="AE729" s="111"/>
      <c r="AF729" s="111"/>
      <c r="AG729" s="111"/>
      <c r="AH729" s="111"/>
      <c r="AI729" s="111"/>
      <c r="AJ729" s="111"/>
    </row>
    <row r="730" spans="14:36" x14ac:dyDescent="0.55000000000000004">
      <c r="N730" s="120"/>
      <c r="O730" s="111"/>
      <c r="P730" s="111"/>
      <c r="Q730" s="111"/>
      <c r="R730" s="111"/>
      <c r="S730" s="111"/>
      <c r="T730" s="111"/>
      <c r="U730" s="111"/>
      <c r="V730" s="120"/>
      <c r="W730" s="111"/>
      <c r="X730" s="111"/>
      <c r="Y730" s="111"/>
      <c r="Z730" s="111"/>
      <c r="AA730" s="111"/>
      <c r="AB730" s="111"/>
      <c r="AC730" s="111"/>
      <c r="AD730" s="111"/>
      <c r="AE730" s="111"/>
      <c r="AF730" s="111"/>
      <c r="AG730" s="111"/>
      <c r="AH730" s="111"/>
      <c r="AI730" s="111"/>
      <c r="AJ730" s="111"/>
    </row>
    <row r="731" spans="14:36" x14ac:dyDescent="0.55000000000000004">
      <c r="N731" s="120"/>
      <c r="O731" s="111"/>
      <c r="P731" s="111"/>
      <c r="Q731" s="111"/>
      <c r="R731" s="111"/>
      <c r="S731" s="111"/>
      <c r="T731" s="111"/>
      <c r="U731" s="111"/>
      <c r="V731" s="120"/>
      <c r="W731" s="111"/>
      <c r="X731" s="111"/>
      <c r="Y731" s="111"/>
      <c r="Z731" s="111"/>
      <c r="AA731" s="111"/>
      <c r="AB731" s="111"/>
      <c r="AC731" s="111"/>
      <c r="AD731" s="111"/>
      <c r="AE731" s="111"/>
      <c r="AF731" s="111"/>
      <c r="AG731" s="111"/>
      <c r="AH731" s="111"/>
      <c r="AI731" s="111"/>
      <c r="AJ731" s="111"/>
    </row>
    <row r="732" spans="14:36" x14ac:dyDescent="0.55000000000000004">
      <c r="N732" s="120"/>
      <c r="O732" s="111"/>
      <c r="P732" s="111"/>
      <c r="Q732" s="111"/>
      <c r="R732" s="111"/>
      <c r="S732" s="111"/>
      <c r="T732" s="111"/>
      <c r="U732" s="111"/>
      <c r="V732" s="120"/>
      <c r="W732" s="111"/>
      <c r="X732" s="111"/>
      <c r="Y732" s="111"/>
      <c r="Z732" s="111"/>
      <c r="AA732" s="111"/>
      <c r="AB732" s="111"/>
      <c r="AC732" s="111"/>
      <c r="AD732" s="111"/>
      <c r="AE732" s="111"/>
      <c r="AF732" s="111"/>
      <c r="AG732" s="111"/>
      <c r="AH732" s="111"/>
      <c r="AI732" s="111"/>
      <c r="AJ732" s="111"/>
    </row>
    <row r="733" spans="14:36" x14ac:dyDescent="0.55000000000000004">
      <c r="N733" s="120"/>
      <c r="O733" s="111"/>
      <c r="P733" s="111"/>
      <c r="Q733" s="111"/>
      <c r="R733" s="111"/>
      <c r="S733" s="111"/>
      <c r="T733" s="111"/>
      <c r="U733" s="111"/>
      <c r="V733" s="120"/>
      <c r="W733" s="111"/>
      <c r="X733" s="111"/>
      <c r="Y733" s="111"/>
      <c r="Z733" s="111"/>
      <c r="AA733" s="111"/>
      <c r="AB733" s="111"/>
      <c r="AC733" s="111"/>
      <c r="AD733" s="111"/>
      <c r="AE733" s="111"/>
      <c r="AF733" s="111"/>
      <c r="AG733" s="111"/>
      <c r="AH733" s="111"/>
      <c r="AI733" s="111"/>
      <c r="AJ733" s="111"/>
    </row>
    <row r="734" spans="14:36" x14ac:dyDescent="0.55000000000000004">
      <c r="N734" s="120"/>
      <c r="O734" s="111"/>
      <c r="P734" s="111"/>
      <c r="Q734" s="111"/>
      <c r="R734" s="111"/>
      <c r="S734" s="111"/>
      <c r="T734" s="111"/>
      <c r="U734" s="111"/>
      <c r="V734" s="120"/>
      <c r="W734" s="111"/>
      <c r="X734" s="111"/>
      <c r="Y734" s="111"/>
      <c r="Z734" s="111"/>
      <c r="AA734" s="111"/>
      <c r="AB734" s="111"/>
      <c r="AC734" s="111"/>
      <c r="AD734" s="111"/>
      <c r="AE734" s="111"/>
      <c r="AF734" s="111"/>
      <c r="AG734" s="111"/>
      <c r="AH734" s="111"/>
      <c r="AI734" s="111"/>
      <c r="AJ734" s="111"/>
    </row>
    <row r="735" spans="14:36" x14ac:dyDescent="0.55000000000000004">
      <c r="N735" s="120"/>
      <c r="O735" s="111"/>
      <c r="P735" s="111"/>
      <c r="Q735" s="111"/>
      <c r="R735" s="111"/>
      <c r="S735" s="111"/>
      <c r="T735" s="111"/>
      <c r="U735" s="111"/>
      <c r="V735" s="120"/>
      <c r="W735" s="111"/>
      <c r="X735" s="111"/>
      <c r="Y735" s="111"/>
      <c r="Z735" s="111"/>
      <c r="AA735" s="111"/>
      <c r="AB735" s="111"/>
      <c r="AC735" s="111"/>
      <c r="AD735" s="111"/>
      <c r="AE735" s="111"/>
      <c r="AF735" s="111"/>
      <c r="AG735" s="111"/>
      <c r="AH735" s="111"/>
      <c r="AI735" s="111"/>
      <c r="AJ735" s="111"/>
    </row>
    <row r="736" spans="14:36" x14ac:dyDescent="0.55000000000000004">
      <c r="N736" s="120"/>
      <c r="O736" s="111"/>
      <c r="P736" s="111"/>
      <c r="Q736" s="111"/>
      <c r="R736" s="111"/>
      <c r="S736" s="111"/>
      <c r="T736" s="111"/>
      <c r="U736" s="111"/>
      <c r="V736" s="120"/>
      <c r="W736" s="111"/>
      <c r="X736" s="111"/>
      <c r="Y736" s="111"/>
      <c r="Z736" s="111"/>
      <c r="AA736" s="111"/>
      <c r="AB736" s="111"/>
      <c r="AC736" s="111"/>
      <c r="AD736" s="111"/>
      <c r="AE736" s="111"/>
      <c r="AF736" s="111"/>
      <c r="AG736" s="111"/>
      <c r="AH736" s="111"/>
      <c r="AI736" s="111"/>
      <c r="AJ736" s="111"/>
    </row>
    <row r="737" spans="14:36" x14ac:dyDescent="0.55000000000000004">
      <c r="N737" s="120"/>
      <c r="O737" s="111"/>
      <c r="P737" s="111"/>
      <c r="Q737" s="111"/>
      <c r="R737" s="111"/>
      <c r="S737" s="111"/>
      <c r="T737" s="111"/>
      <c r="U737" s="111"/>
      <c r="V737" s="120"/>
      <c r="W737" s="111"/>
      <c r="X737" s="111"/>
      <c r="Y737" s="111"/>
      <c r="Z737" s="111"/>
      <c r="AA737" s="111"/>
      <c r="AB737" s="111"/>
      <c r="AC737" s="111"/>
      <c r="AD737" s="111"/>
      <c r="AE737" s="111"/>
      <c r="AF737" s="111"/>
      <c r="AG737" s="111"/>
      <c r="AH737" s="111"/>
      <c r="AI737" s="111"/>
      <c r="AJ737" s="111"/>
    </row>
    <row r="738" spans="14:36" x14ac:dyDescent="0.55000000000000004">
      <c r="N738" s="120"/>
      <c r="O738" s="111"/>
      <c r="P738" s="111"/>
      <c r="Q738" s="111"/>
      <c r="R738" s="111"/>
      <c r="S738" s="111"/>
      <c r="T738" s="111"/>
      <c r="U738" s="111"/>
      <c r="V738" s="120"/>
      <c r="W738" s="111"/>
      <c r="X738" s="111"/>
      <c r="Y738" s="111"/>
      <c r="Z738" s="111"/>
      <c r="AA738" s="111"/>
      <c r="AB738" s="111"/>
      <c r="AC738" s="111"/>
      <c r="AD738" s="111"/>
      <c r="AE738" s="111"/>
      <c r="AF738" s="111"/>
      <c r="AG738" s="111"/>
      <c r="AH738" s="111"/>
      <c r="AI738" s="111"/>
      <c r="AJ738" s="111"/>
    </row>
    <row r="739" spans="14:36" x14ac:dyDescent="0.55000000000000004">
      <c r="N739" s="120"/>
      <c r="O739" s="111"/>
      <c r="P739" s="111"/>
      <c r="Q739" s="111"/>
      <c r="R739" s="111"/>
      <c r="S739" s="111"/>
      <c r="T739" s="111"/>
      <c r="U739" s="111"/>
      <c r="V739" s="120"/>
      <c r="W739" s="111"/>
      <c r="X739" s="111"/>
      <c r="Y739" s="111"/>
      <c r="Z739" s="111"/>
      <c r="AA739" s="111"/>
      <c r="AB739" s="111"/>
      <c r="AC739" s="111"/>
      <c r="AD739" s="111"/>
      <c r="AE739" s="111"/>
      <c r="AF739" s="111"/>
      <c r="AG739" s="111"/>
      <c r="AH739" s="111"/>
      <c r="AI739" s="111"/>
      <c r="AJ739" s="111"/>
    </row>
    <row r="740" spans="14:36" x14ac:dyDescent="0.55000000000000004">
      <c r="N740" s="120"/>
      <c r="O740" s="111"/>
      <c r="P740" s="111"/>
      <c r="Q740" s="111"/>
      <c r="R740" s="111"/>
      <c r="S740" s="111"/>
      <c r="T740" s="111"/>
      <c r="U740" s="111"/>
      <c r="V740" s="120"/>
      <c r="W740" s="111"/>
      <c r="X740" s="111"/>
      <c r="Y740" s="111"/>
      <c r="Z740" s="111"/>
      <c r="AA740" s="111"/>
      <c r="AB740" s="111"/>
      <c r="AC740" s="111"/>
      <c r="AD740" s="111"/>
      <c r="AE740" s="111"/>
      <c r="AF740" s="111"/>
      <c r="AG740" s="111"/>
      <c r="AH740" s="111"/>
      <c r="AI740" s="111"/>
      <c r="AJ740" s="111"/>
    </row>
    <row r="741" spans="14:36" x14ac:dyDescent="0.55000000000000004">
      <c r="N741" s="120"/>
      <c r="O741" s="111"/>
      <c r="P741" s="111"/>
      <c r="Q741" s="111"/>
      <c r="R741" s="111"/>
      <c r="S741" s="111"/>
      <c r="T741" s="111"/>
      <c r="U741" s="111"/>
      <c r="V741" s="120"/>
      <c r="W741" s="111"/>
      <c r="X741" s="111"/>
      <c r="Y741" s="111"/>
      <c r="Z741" s="111"/>
      <c r="AA741" s="111"/>
      <c r="AB741" s="111"/>
      <c r="AC741" s="111"/>
      <c r="AD741" s="111"/>
      <c r="AE741" s="111"/>
      <c r="AF741" s="111"/>
      <c r="AG741" s="111"/>
      <c r="AH741" s="111"/>
      <c r="AI741" s="111"/>
      <c r="AJ741" s="111"/>
    </row>
    <row r="742" spans="14:36" x14ac:dyDescent="0.55000000000000004">
      <c r="N742" s="120"/>
      <c r="O742" s="111"/>
      <c r="P742" s="111"/>
      <c r="Q742" s="111"/>
      <c r="R742" s="111"/>
      <c r="S742" s="111"/>
      <c r="T742" s="111"/>
      <c r="U742" s="111"/>
      <c r="V742" s="120"/>
      <c r="W742" s="111"/>
      <c r="X742" s="111"/>
      <c r="Y742" s="111"/>
      <c r="Z742" s="111"/>
      <c r="AA742" s="111"/>
      <c r="AB742" s="111"/>
      <c r="AC742" s="111"/>
      <c r="AD742" s="111"/>
      <c r="AE742" s="111"/>
      <c r="AF742" s="111"/>
      <c r="AG742" s="111"/>
      <c r="AH742" s="111"/>
      <c r="AI742" s="111"/>
      <c r="AJ742" s="111"/>
    </row>
    <row r="743" spans="14:36" x14ac:dyDescent="0.55000000000000004">
      <c r="N743" s="120"/>
      <c r="O743" s="111"/>
      <c r="P743" s="111"/>
      <c r="Q743" s="111"/>
      <c r="R743" s="111"/>
      <c r="S743" s="111"/>
      <c r="T743" s="111"/>
      <c r="U743" s="111"/>
      <c r="V743" s="120"/>
      <c r="W743" s="111"/>
      <c r="X743" s="111"/>
      <c r="Y743" s="111"/>
      <c r="Z743" s="111"/>
      <c r="AA743" s="111"/>
      <c r="AB743" s="111"/>
      <c r="AC743" s="111"/>
      <c r="AD743" s="111"/>
      <c r="AE743" s="111"/>
      <c r="AF743" s="111"/>
      <c r="AG743" s="111"/>
      <c r="AH743" s="111"/>
      <c r="AI743" s="111"/>
      <c r="AJ743" s="111"/>
    </row>
    <row r="744" spans="14:36" x14ac:dyDescent="0.55000000000000004">
      <c r="N744" s="120"/>
      <c r="O744" s="111"/>
      <c r="P744" s="111"/>
      <c r="Q744" s="111"/>
      <c r="R744" s="111"/>
      <c r="S744" s="111"/>
      <c r="T744" s="111"/>
      <c r="U744" s="111"/>
      <c r="V744" s="120"/>
      <c r="W744" s="111"/>
      <c r="X744" s="111"/>
      <c r="Y744" s="111"/>
      <c r="Z744" s="111"/>
      <c r="AA744" s="111"/>
      <c r="AB744" s="111"/>
      <c r="AC744" s="111"/>
      <c r="AD744" s="111"/>
      <c r="AE744" s="111"/>
      <c r="AF744" s="111"/>
      <c r="AG744" s="111"/>
      <c r="AH744" s="111"/>
      <c r="AI744" s="111"/>
      <c r="AJ744" s="111"/>
    </row>
    <row r="745" spans="14:36" x14ac:dyDescent="0.55000000000000004">
      <c r="N745" s="120"/>
      <c r="O745" s="111"/>
      <c r="P745" s="111"/>
      <c r="Q745" s="111"/>
      <c r="R745" s="111"/>
      <c r="S745" s="111"/>
      <c r="T745" s="111"/>
      <c r="U745" s="111"/>
      <c r="V745" s="120"/>
      <c r="W745" s="111"/>
      <c r="X745" s="111"/>
      <c r="Y745" s="111"/>
      <c r="Z745" s="111"/>
      <c r="AA745" s="111"/>
      <c r="AB745" s="111"/>
      <c r="AC745" s="111"/>
      <c r="AD745" s="111"/>
      <c r="AE745" s="111"/>
      <c r="AF745" s="111"/>
      <c r="AG745" s="111"/>
      <c r="AH745" s="111"/>
      <c r="AI745" s="111"/>
      <c r="AJ745" s="111"/>
    </row>
    <row r="746" spans="14:36" x14ac:dyDescent="0.55000000000000004">
      <c r="N746" s="120"/>
      <c r="O746" s="111"/>
      <c r="P746" s="111"/>
      <c r="Q746" s="111"/>
      <c r="R746" s="111"/>
      <c r="S746" s="111"/>
      <c r="T746" s="111"/>
      <c r="U746" s="111"/>
      <c r="V746" s="120"/>
      <c r="W746" s="111"/>
      <c r="X746" s="111"/>
      <c r="Y746" s="111"/>
      <c r="Z746" s="111"/>
      <c r="AA746" s="111"/>
      <c r="AB746" s="111"/>
      <c r="AC746" s="111"/>
      <c r="AD746" s="111"/>
      <c r="AE746" s="111"/>
      <c r="AF746" s="111"/>
      <c r="AG746" s="111"/>
      <c r="AH746" s="111"/>
      <c r="AI746" s="111"/>
      <c r="AJ746" s="111"/>
    </row>
    <row r="747" spans="14:36" x14ac:dyDescent="0.55000000000000004">
      <c r="N747" s="120"/>
      <c r="O747" s="111"/>
      <c r="P747" s="111"/>
      <c r="Q747" s="111"/>
      <c r="R747" s="111"/>
      <c r="S747" s="111"/>
      <c r="T747" s="111"/>
      <c r="U747" s="111"/>
      <c r="V747" s="120"/>
      <c r="W747" s="111"/>
      <c r="X747" s="111"/>
      <c r="Y747" s="111"/>
      <c r="Z747" s="111"/>
      <c r="AA747" s="111"/>
      <c r="AB747" s="111"/>
      <c r="AC747" s="111"/>
      <c r="AD747" s="111"/>
      <c r="AE747" s="111"/>
      <c r="AF747" s="111"/>
      <c r="AG747" s="111"/>
      <c r="AH747" s="111"/>
      <c r="AI747" s="111"/>
      <c r="AJ747" s="111"/>
    </row>
    <row r="748" spans="14:36" x14ac:dyDescent="0.55000000000000004">
      <c r="N748" s="120"/>
      <c r="O748" s="111"/>
      <c r="P748" s="111"/>
      <c r="Q748" s="111"/>
      <c r="R748" s="111"/>
      <c r="S748" s="111"/>
      <c r="T748" s="111"/>
      <c r="U748" s="111"/>
      <c r="V748" s="120"/>
      <c r="W748" s="111"/>
      <c r="X748" s="111"/>
      <c r="Y748" s="111"/>
      <c r="Z748" s="111"/>
      <c r="AA748" s="111"/>
      <c r="AB748" s="111"/>
      <c r="AC748" s="111"/>
      <c r="AD748" s="111"/>
      <c r="AE748" s="111"/>
      <c r="AF748" s="111"/>
      <c r="AG748" s="111"/>
      <c r="AH748" s="111"/>
      <c r="AI748" s="111"/>
      <c r="AJ748" s="111"/>
    </row>
    <row r="749" spans="14:36" x14ac:dyDescent="0.55000000000000004">
      <c r="N749" s="120"/>
      <c r="O749" s="111"/>
      <c r="P749" s="111"/>
      <c r="Q749" s="111"/>
      <c r="R749" s="111"/>
      <c r="S749" s="111"/>
      <c r="T749" s="111"/>
      <c r="U749" s="111"/>
      <c r="V749" s="120"/>
      <c r="W749" s="111"/>
      <c r="X749" s="111"/>
      <c r="Y749" s="111"/>
      <c r="Z749" s="111"/>
      <c r="AA749" s="111"/>
      <c r="AB749" s="111"/>
      <c r="AC749" s="111"/>
      <c r="AD749" s="111"/>
      <c r="AE749" s="111"/>
      <c r="AF749" s="111"/>
      <c r="AG749" s="111"/>
      <c r="AH749" s="111"/>
      <c r="AI749" s="111"/>
      <c r="AJ749" s="111"/>
    </row>
    <row r="750" spans="14:36" x14ac:dyDescent="0.55000000000000004">
      <c r="N750" s="120"/>
      <c r="O750" s="111"/>
      <c r="P750" s="111"/>
      <c r="Q750" s="111"/>
      <c r="R750" s="111"/>
      <c r="S750" s="111"/>
      <c r="T750" s="111"/>
      <c r="U750" s="111"/>
      <c r="V750" s="120"/>
      <c r="W750" s="111"/>
      <c r="X750" s="111"/>
      <c r="Y750" s="111"/>
      <c r="Z750" s="111"/>
      <c r="AA750" s="111"/>
      <c r="AB750" s="111"/>
      <c r="AC750" s="111"/>
      <c r="AD750" s="111"/>
      <c r="AE750" s="111"/>
      <c r="AF750" s="111"/>
      <c r="AG750" s="111"/>
      <c r="AH750" s="111"/>
      <c r="AI750" s="111"/>
      <c r="AJ750" s="111"/>
    </row>
    <row r="751" spans="14:36" x14ac:dyDescent="0.55000000000000004">
      <c r="N751" s="120"/>
      <c r="O751" s="111"/>
      <c r="P751" s="111"/>
      <c r="Q751" s="111"/>
      <c r="R751" s="111"/>
      <c r="S751" s="111"/>
      <c r="T751" s="111"/>
      <c r="U751" s="111"/>
      <c r="V751" s="120"/>
      <c r="W751" s="111"/>
      <c r="X751" s="111"/>
      <c r="Y751" s="111"/>
      <c r="Z751" s="111"/>
      <c r="AA751" s="111"/>
      <c r="AB751" s="111"/>
      <c r="AC751" s="111"/>
      <c r="AD751" s="111"/>
      <c r="AE751" s="111"/>
      <c r="AF751" s="111"/>
      <c r="AG751" s="111"/>
      <c r="AH751" s="111"/>
      <c r="AI751" s="111"/>
      <c r="AJ751" s="111"/>
    </row>
    <row r="752" spans="14:36" x14ac:dyDescent="0.55000000000000004">
      <c r="N752" s="120"/>
      <c r="O752" s="111"/>
      <c r="P752" s="111"/>
      <c r="Q752" s="111"/>
      <c r="R752" s="111"/>
      <c r="S752" s="111"/>
      <c r="T752" s="111"/>
      <c r="U752" s="111"/>
      <c r="V752" s="120"/>
      <c r="W752" s="111"/>
      <c r="X752" s="111"/>
      <c r="Y752" s="111"/>
      <c r="Z752" s="111"/>
      <c r="AA752" s="111"/>
      <c r="AB752" s="111"/>
      <c r="AC752" s="111"/>
      <c r="AD752" s="111"/>
      <c r="AE752" s="111"/>
      <c r="AF752" s="111"/>
      <c r="AG752" s="111"/>
      <c r="AH752" s="111"/>
      <c r="AI752" s="111"/>
      <c r="AJ752" s="111"/>
    </row>
    <row r="753" spans="14:36" x14ac:dyDescent="0.55000000000000004">
      <c r="N753" s="120"/>
      <c r="O753" s="111"/>
      <c r="P753" s="111"/>
      <c r="Q753" s="111"/>
      <c r="R753" s="111"/>
      <c r="S753" s="111"/>
      <c r="T753" s="111"/>
      <c r="U753" s="111"/>
      <c r="V753" s="120"/>
      <c r="W753" s="111"/>
      <c r="X753" s="111"/>
      <c r="Y753" s="111"/>
      <c r="Z753" s="111"/>
      <c r="AA753" s="111"/>
      <c r="AB753" s="111"/>
      <c r="AC753" s="111"/>
      <c r="AD753" s="111"/>
      <c r="AE753" s="111"/>
      <c r="AF753" s="111"/>
      <c r="AG753" s="111"/>
      <c r="AH753" s="111"/>
      <c r="AI753" s="111"/>
      <c r="AJ753" s="111"/>
    </row>
    <row r="754" spans="14:36" x14ac:dyDescent="0.55000000000000004">
      <c r="N754" s="120"/>
      <c r="O754" s="111"/>
      <c r="P754" s="111"/>
      <c r="Q754" s="111"/>
      <c r="R754" s="111"/>
      <c r="S754" s="111"/>
      <c r="T754" s="111"/>
      <c r="U754" s="111"/>
      <c r="V754" s="120"/>
      <c r="W754" s="111"/>
      <c r="X754" s="111"/>
      <c r="Y754" s="111"/>
      <c r="Z754" s="111"/>
      <c r="AA754" s="111"/>
      <c r="AB754" s="111"/>
      <c r="AC754" s="111"/>
      <c r="AD754" s="111"/>
      <c r="AE754" s="111"/>
      <c r="AF754" s="111"/>
      <c r="AG754" s="111"/>
      <c r="AH754" s="111"/>
      <c r="AI754" s="111"/>
      <c r="AJ754" s="111"/>
    </row>
    <row r="755" spans="14:36" x14ac:dyDescent="0.55000000000000004">
      <c r="N755" s="120"/>
      <c r="O755" s="111"/>
      <c r="P755" s="111"/>
      <c r="Q755" s="111"/>
      <c r="R755" s="111"/>
      <c r="S755" s="111"/>
      <c r="T755" s="111"/>
      <c r="U755" s="111"/>
      <c r="V755" s="120"/>
      <c r="W755" s="111"/>
      <c r="X755" s="111"/>
      <c r="Y755" s="111"/>
      <c r="Z755" s="111"/>
      <c r="AA755" s="111"/>
      <c r="AB755" s="111"/>
      <c r="AC755" s="111"/>
      <c r="AD755" s="111"/>
      <c r="AE755" s="111"/>
      <c r="AF755" s="111"/>
      <c r="AG755" s="111"/>
      <c r="AH755" s="111"/>
      <c r="AI755" s="111"/>
      <c r="AJ755" s="111"/>
    </row>
    <row r="756" spans="14:36" x14ac:dyDescent="0.55000000000000004">
      <c r="N756" s="120"/>
      <c r="O756" s="111"/>
      <c r="P756" s="111"/>
      <c r="Q756" s="111"/>
      <c r="R756" s="111"/>
      <c r="S756" s="111"/>
      <c r="T756" s="111"/>
      <c r="U756" s="111"/>
      <c r="V756" s="120"/>
      <c r="W756" s="111"/>
      <c r="X756" s="111"/>
      <c r="Y756" s="111"/>
      <c r="Z756" s="111"/>
      <c r="AA756" s="111"/>
      <c r="AB756" s="111"/>
      <c r="AC756" s="111"/>
      <c r="AD756" s="111"/>
      <c r="AE756" s="111"/>
      <c r="AF756" s="111"/>
      <c r="AG756" s="111"/>
      <c r="AH756" s="111"/>
      <c r="AI756" s="111"/>
      <c r="AJ756" s="111"/>
    </row>
    <row r="757" spans="14:36" x14ac:dyDescent="0.55000000000000004">
      <c r="N757" s="120"/>
      <c r="O757" s="111"/>
      <c r="P757" s="111"/>
      <c r="Q757" s="111"/>
      <c r="R757" s="111"/>
      <c r="S757" s="111"/>
      <c r="T757" s="111"/>
      <c r="U757" s="111"/>
      <c r="V757" s="120"/>
      <c r="W757" s="111"/>
      <c r="X757" s="111"/>
      <c r="Y757" s="111"/>
      <c r="Z757" s="111"/>
      <c r="AA757" s="111"/>
      <c r="AB757" s="111"/>
      <c r="AC757" s="111"/>
      <c r="AD757" s="111"/>
      <c r="AE757" s="111"/>
      <c r="AF757" s="111"/>
      <c r="AG757" s="111"/>
      <c r="AH757" s="111"/>
      <c r="AI757" s="111"/>
      <c r="AJ757" s="111"/>
    </row>
    <row r="758" spans="14:36" x14ac:dyDescent="0.55000000000000004">
      <c r="N758" s="120"/>
      <c r="O758" s="111"/>
      <c r="P758" s="111"/>
      <c r="Q758" s="111"/>
      <c r="R758" s="111"/>
      <c r="S758" s="111"/>
      <c r="T758" s="111"/>
      <c r="U758" s="111"/>
      <c r="V758" s="120"/>
      <c r="W758" s="111"/>
      <c r="X758" s="111"/>
      <c r="Y758" s="111"/>
      <c r="Z758" s="111"/>
      <c r="AA758" s="111"/>
      <c r="AB758" s="111"/>
      <c r="AC758" s="111"/>
      <c r="AD758" s="111"/>
      <c r="AE758" s="111"/>
      <c r="AF758" s="111"/>
      <c r="AG758" s="111"/>
      <c r="AH758" s="111"/>
      <c r="AI758" s="111"/>
      <c r="AJ758" s="111"/>
    </row>
    <row r="759" spans="14:36" x14ac:dyDescent="0.55000000000000004">
      <c r="N759" s="120"/>
      <c r="O759" s="111"/>
      <c r="P759" s="111"/>
      <c r="Q759" s="111"/>
      <c r="R759" s="111"/>
      <c r="S759" s="111"/>
      <c r="T759" s="111"/>
      <c r="U759" s="111"/>
      <c r="V759" s="120"/>
      <c r="W759" s="111"/>
      <c r="X759" s="111"/>
      <c r="Y759" s="111"/>
      <c r="Z759" s="111"/>
      <c r="AA759" s="111"/>
      <c r="AB759" s="111"/>
      <c r="AC759" s="111"/>
      <c r="AD759" s="111"/>
      <c r="AE759" s="111"/>
      <c r="AF759" s="111"/>
      <c r="AG759" s="111"/>
      <c r="AH759" s="111"/>
      <c r="AI759" s="111"/>
      <c r="AJ759" s="111"/>
    </row>
    <row r="760" spans="14:36" x14ac:dyDescent="0.55000000000000004">
      <c r="N760" s="120"/>
      <c r="O760" s="111"/>
      <c r="P760" s="111"/>
      <c r="Q760" s="111"/>
      <c r="R760" s="111"/>
      <c r="S760" s="111"/>
      <c r="T760" s="111"/>
      <c r="U760" s="111"/>
      <c r="V760" s="120"/>
      <c r="W760" s="111"/>
      <c r="X760" s="111"/>
      <c r="Y760" s="111"/>
      <c r="Z760" s="111"/>
      <c r="AA760" s="111"/>
      <c r="AB760" s="111"/>
      <c r="AC760" s="111"/>
      <c r="AD760" s="111"/>
      <c r="AE760" s="111"/>
      <c r="AF760" s="111"/>
      <c r="AG760" s="111"/>
      <c r="AH760" s="111"/>
      <c r="AI760" s="111"/>
      <c r="AJ760" s="111"/>
    </row>
    <row r="761" spans="14:36" x14ac:dyDescent="0.55000000000000004">
      <c r="N761" s="120"/>
      <c r="O761" s="111"/>
      <c r="P761" s="111"/>
      <c r="Q761" s="111"/>
      <c r="R761" s="111"/>
      <c r="S761" s="111"/>
      <c r="T761" s="111"/>
      <c r="U761" s="111"/>
      <c r="V761" s="120"/>
      <c r="W761" s="111"/>
      <c r="X761" s="111"/>
      <c r="Y761" s="111"/>
      <c r="Z761" s="111"/>
      <c r="AA761" s="111"/>
      <c r="AB761" s="111"/>
      <c r="AC761" s="111"/>
      <c r="AD761" s="111"/>
      <c r="AE761" s="111"/>
      <c r="AF761" s="111"/>
      <c r="AG761" s="111"/>
      <c r="AH761" s="111"/>
      <c r="AI761" s="111"/>
      <c r="AJ761" s="111"/>
    </row>
    <row r="762" spans="14:36" x14ac:dyDescent="0.55000000000000004">
      <c r="N762" s="120"/>
      <c r="O762" s="111"/>
      <c r="P762" s="111"/>
      <c r="Q762" s="111"/>
      <c r="R762" s="111"/>
      <c r="S762" s="111"/>
      <c r="T762" s="111"/>
      <c r="U762" s="111"/>
      <c r="V762" s="120"/>
      <c r="W762" s="111"/>
      <c r="X762" s="111"/>
      <c r="Y762" s="111"/>
      <c r="Z762" s="111"/>
      <c r="AA762" s="111"/>
      <c r="AB762" s="111"/>
      <c r="AC762" s="111"/>
      <c r="AD762" s="111"/>
      <c r="AE762" s="111"/>
      <c r="AF762" s="111"/>
      <c r="AG762" s="111"/>
      <c r="AH762" s="111"/>
      <c r="AI762" s="111"/>
      <c r="AJ762" s="111"/>
    </row>
    <row r="763" spans="14:36" x14ac:dyDescent="0.55000000000000004">
      <c r="N763" s="120"/>
      <c r="O763" s="111"/>
      <c r="P763" s="111"/>
      <c r="Q763" s="111"/>
      <c r="R763" s="111"/>
      <c r="S763" s="111"/>
      <c r="T763" s="111"/>
      <c r="U763" s="111"/>
      <c r="V763" s="120"/>
      <c r="W763" s="111"/>
      <c r="X763" s="111"/>
      <c r="Y763" s="111"/>
      <c r="Z763" s="111"/>
      <c r="AA763" s="111"/>
      <c r="AB763" s="111"/>
      <c r="AC763" s="111"/>
      <c r="AD763" s="111"/>
      <c r="AE763" s="111"/>
      <c r="AF763" s="111"/>
      <c r="AG763" s="111"/>
      <c r="AH763" s="111"/>
      <c r="AI763" s="111"/>
      <c r="AJ763" s="111"/>
    </row>
    <row r="764" spans="14:36" x14ac:dyDescent="0.55000000000000004">
      <c r="N764" s="120"/>
      <c r="O764" s="111"/>
      <c r="P764" s="111"/>
      <c r="Q764" s="111"/>
      <c r="R764" s="111"/>
      <c r="S764" s="111"/>
      <c r="T764" s="111"/>
      <c r="U764" s="111"/>
      <c r="V764" s="120"/>
      <c r="W764" s="111"/>
      <c r="X764" s="111"/>
      <c r="Y764" s="111"/>
      <c r="Z764" s="111"/>
      <c r="AA764" s="111"/>
      <c r="AB764" s="111"/>
      <c r="AC764" s="111"/>
      <c r="AD764" s="111"/>
      <c r="AE764" s="111"/>
      <c r="AF764" s="111"/>
      <c r="AG764" s="111"/>
      <c r="AH764" s="111"/>
      <c r="AI764" s="111"/>
      <c r="AJ764" s="111"/>
    </row>
    <row r="765" spans="14:36" x14ac:dyDescent="0.55000000000000004">
      <c r="N765" s="120"/>
      <c r="O765" s="111"/>
      <c r="P765" s="111"/>
      <c r="Q765" s="111"/>
      <c r="R765" s="111"/>
      <c r="S765" s="111"/>
      <c r="T765" s="111"/>
      <c r="U765" s="111"/>
      <c r="V765" s="120"/>
      <c r="W765" s="111"/>
      <c r="X765" s="111"/>
      <c r="Y765" s="111"/>
      <c r="Z765" s="111"/>
      <c r="AA765" s="111"/>
      <c r="AB765" s="111"/>
      <c r="AC765" s="111"/>
      <c r="AD765" s="111"/>
      <c r="AE765" s="111"/>
      <c r="AF765" s="111"/>
      <c r="AG765" s="111"/>
      <c r="AH765" s="111"/>
      <c r="AI765" s="111"/>
      <c r="AJ765" s="111"/>
    </row>
    <row r="766" spans="14:36" x14ac:dyDescent="0.55000000000000004">
      <c r="N766" s="120"/>
      <c r="O766" s="111"/>
      <c r="P766" s="111"/>
      <c r="Q766" s="111"/>
      <c r="R766" s="111"/>
      <c r="S766" s="111"/>
      <c r="T766" s="111"/>
      <c r="U766" s="111"/>
      <c r="V766" s="120"/>
      <c r="W766" s="111"/>
      <c r="X766" s="111"/>
      <c r="Y766" s="111"/>
      <c r="Z766" s="111"/>
      <c r="AA766" s="111"/>
      <c r="AB766" s="111"/>
      <c r="AC766" s="111"/>
      <c r="AD766" s="111"/>
      <c r="AE766" s="111"/>
      <c r="AF766" s="111"/>
      <c r="AG766" s="111"/>
      <c r="AH766" s="111"/>
      <c r="AI766" s="111"/>
      <c r="AJ766" s="111"/>
    </row>
    <row r="767" spans="14:36" x14ac:dyDescent="0.55000000000000004">
      <c r="N767" s="120"/>
      <c r="O767" s="111"/>
      <c r="P767" s="111"/>
      <c r="Q767" s="111"/>
      <c r="R767" s="111"/>
      <c r="S767" s="111"/>
      <c r="T767" s="111"/>
      <c r="U767" s="111"/>
      <c r="V767" s="120"/>
      <c r="W767" s="111"/>
      <c r="X767" s="111"/>
      <c r="Y767" s="111"/>
      <c r="Z767" s="111"/>
      <c r="AA767" s="111"/>
      <c r="AB767" s="111"/>
      <c r="AC767" s="111"/>
      <c r="AD767" s="111"/>
      <c r="AE767" s="111"/>
      <c r="AF767" s="111"/>
      <c r="AG767" s="111"/>
      <c r="AH767" s="111"/>
      <c r="AI767" s="111"/>
      <c r="AJ767" s="111"/>
    </row>
    <row r="768" spans="14:36" x14ac:dyDescent="0.55000000000000004">
      <c r="N768" s="120"/>
      <c r="O768" s="111"/>
      <c r="P768" s="111"/>
      <c r="Q768" s="111"/>
      <c r="R768" s="111"/>
      <c r="S768" s="111"/>
      <c r="T768" s="111"/>
      <c r="U768" s="111"/>
      <c r="V768" s="120"/>
      <c r="W768" s="111"/>
      <c r="X768" s="111"/>
      <c r="Y768" s="111"/>
      <c r="Z768" s="111"/>
      <c r="AA768" s="111"/>
      <c r="AB768" s="111"/>
      <c r="AC768" s="111"/>
      <c r="AD768" s="111"/>
      <c r="AE768" s="111"/>
      <c r="AF768" s="111"/>
      <c r="AG768" s="111"/>
      <c r="AH768" s="111"/>
      <c r="AI768" s="111"/>
      <c r="AJ768" s="111"/>
    </row>
    <row r="769" spans="14:36" x14ac:dyDescent="0.55000000000000004">
      <c r="N769" s="120"/>
      <c r="O769" s="111"/>
      <c r="P769" s="111"/>
      <c r="Q769" s="111"/>
      <c r="R769" s="111"/>
      <c r="S769" s="111"/>
      <c r="T769" s="111"/>
      <c r="U769" s="111"/>
      <c r="V769" s="120"/>
      <c r="W769" s="111"/>
      <c r="X769" s="111"/>
      <c r="Y769" s="111"/>
      <c r="Z769" s="111"/>
      <c r="AA769" s="111"/>
      <c r="AB769" s="111"/>
      <c r="AC769" s="111"/>
      <c r="AD769" s="111"/>
      <c r="AE769" s="111"/>
      <c r="AF769" s="111"/>
      <c r="AG769" s="111"/>
      <c r="AH769" s="111"/>
      <c r="AI769" s="111"/>
      <c r="AJ769" s="111"/>
    </row>
    <row r="770" spans="14:36" x14ac:dyDescent="0.55000000000000004">
      <c r="N770" s="120"/>
      <c r="O770" s="111"/>
      <c r="P770" s="111"/>
      <c r="Q770" s="111"/>
      <c r="R770" s="111"/>
      <c r="S770" s="111"/>
      <c r="T770" s="111"/>
      <c r="U770" s="111"/>
      <c r="V770" s="120"/>
      <c r="W770" s="111"/>
      <c r="X770" s="111"/>
      <c r="Y770" s="111"/>
      <c r="Z770" s="111"/>
      <c r="AA770" s="111"/>
      <c r="AB770" s="111"/>
      <c r="AC770" s="111"/>
      <c r="AD770" s="111"/>
      <c r="AE770" s="111"/>
      <c r="AF770" s="111"/>
      <c r="AG770" s="111"/>
      <c r="AH770" s="111"/>
      <c r="AI770" s="111"/>
      <c r="AJ770" s="111"/>
    </row>
    <row r="771" spans="14:36" x14ac:dyDescent="0.55000000000000004">
      <c r="N771" s="120"/>
      <c r="O771" s="111"/>
      <c r="P771" s="111"/>
      <c r="Q771" s="111"/>
      <c r="R771" s="111"/>
      <c r="S771" s="111"/>
      <c r="T771" s="111"/>
      <c r="U771" s="111"/>
      <c r="V771" s="120"/>
      <c r="W771" s="111"/>
      <c r="X771" s="111"/>
      <c r="Y771" s="111"/>
      <c r="Z771" s="111"/>
      <c r="AA771" s="111"/>
      <c r="AB771" s="111"/>
      <c r="AC771" s="111"/>
      <c r="AD771" s="111"/>
      <c r="AE771" s="111"/>
      <c r="AF771" s="111"/>
      <c r="AG771" s="111"/>
      <c r="AH771" s="111"/>
      <c r="AI771" s="111"/>
      <c r="AJ771" s="111"/>
    </row>
    <row r="772" spans="14:36" x14ac:dyDescent="0.55000000000000004">
      <c r="N772" s="120"/>
      <c r="O772" s="111"/>
      <c r="P772" s="111"/>
      <c r="Q772" s="111"/>
      <c r="R772" s="111"/>
      <c r="S772" s="111"/>
      <c r="T772" s="111"/>
      <c r="U772" s="111"/>
      <c r="V772" s="120"/>
      <c r="W772" s="111"/>
      <c r="X772" s="111"/>
      <c r="Y772" s="111"/>
      <c r="Z772" s="111"/>
      <c r="AA772" s="111"/>
      <c r="AB772" s="111"/>
      <c r="AC772" s="111"/>
      <c r="AD772" s="111"/>
      <c r="AE772" s="111"/>
      <c r="AF772" s="111"/>
      <c r="AG772" s="111"/>
      <c r="AH772" s="111"/>
      <c r="AI772" s="111"/>
      <c r="AJ772" s="111"/>
    </row>
    <row r="773" spans="14:36" x14ac:dyDescent="0.55000000000000004">
      <c r="N773" s="120"/>
      <c r="O773" s="111"/>
      <c r="P773" s="111"/>
      <c r="Q773" s="111"/>
      <c r="R773" s="111"/>
      <c r="S773" s="111"/>
      <c r="T773" s="111"/>
      <c r="U773" s="111"/>
      <c r="V773" s="120"/>
      <c r="W773" s="111"/>
      <c r="X773" s="111"/>
      <c r="Y773" s="111"/>
      <c r="Z773" s="111"/>
      <c r="AA773" s="111"/>
      <c r="AB773" s="111"/>
      <c r="AC773" s="111"/>
      <c r="AD773" s="111"/>
      <c r="AE773" s="111"/>
      <c r="AF773" s="111"/>
      <c r="AG773" s="111"/>
      <c r="AH773" s="111"/>
      <c r="AI773" s="111"/>
      <c r="AJ773" s="111"/>
    </row>
    <row r="774" spans="14:36" x14ac:dyDescent="0.55000000000000004">
      <c r="N774" s="120"/>
      <c r="O774" s="111"/>
      <c r="P774" s="111"/>
      <c r="Q774" s="111"/>
      <c r="R774" s="111"/>
      <c r="S774" s="111"/>
      <c r="T774" s="111"/>
      <c r="U774" s="111"/>
      <c r="V774" s="120"/>
      <c r="W774" s="111"/>
      <c r="X774" s="111"/>
      <c r="Y774" s="111"/>
      <c r="Z774" s="111"/>
      <c r="AA774" s="111"/>
      <c r="AB774" s="111"/>
      <c r="AC774" s="111"/>
      <c r="AD774" s="111"/>
      <c r="AE774" s="111"/>
      <c r="AF774" s="111"/>
      <c r="AG774" s="111"/>
      <c r="AH774" s="111"/>
      <c r="AI774" s="111"/>
      <c r="AJ774" s="111"/>
    </row>
    <row r="775" spans="14:36" x14ac:dyDescent="0.55000000000000004">
      <c r="N775" s="120"/>
      <c r="O775" s="111"/>
      <c r="P775" s="111"/>
      <c r="Q775" s="111"/>
      <c r="R775" s="111"/>
      <c r="S775" s="111"/>
      <c r="T775" s="111"/>
      <c r="U775" s="111"/>
      <c r="V775" s="120"/>
      <c r="W775" s="111"/>
      <c r="X775" s="111"/>
      <c r="Y775" s="111"/>
      <c r="Z775" s="111"/>
      <c r="AA775" s="111"/>
      <c r="AB775" s="111"/>
      <c r="AC775" s="111"/>
      <c r="AD775" s="111"/>
      <c r="AE775" s="111"/>
      <c r="AF775" s="111"/>
      <c r="AG775" s="111"/>
      <c r="AH775" s="111"/>
      <c r="AI775" s="111"/>
      <c r="AJ775" s="111"/>
    </row>
    <row r="776" spans="14:36" x14ac:dyDescent="0.55000000000000004">
      <c r="N776" s="120"/>
      <c r="O776" s="111"/>
      <c r="P776" s="111"/>
      <c r="Q776" s="111"/>
      <c r="R776" s="111"/>
      <c r="S776" s="111"/>
      <c r="T776" s="111"/>
      <c r="U776" s="111"/>
      <c r="V776" s="120"/>
      <c r="W776" s="111"/>
      <c r="X776" s="111"/>
      <c r="Y776" s="111"/>
      <c r="Z776" s="111"/>
      <c r="AA776" s="111"/>
      <c r="AB776" s="111"/>
      <c r="AC776" s="111"/>
      <c r="AD776" s="111"/>
      <c r="AE776" s="111"/>
      <c r="AF776" s="111"/>
      <c r="AG776" s="111"/>
      <c r="AH776" s="111"/>
      <c r="AI776" s="111"/>
      <c r="AJ776" s="111"/>
    </row>
    <row r="777" spans="14:36" x14ac:dyDescent="0.55000000000000004">
      <c r="N777" s="120"/>
      <c r="O777" s="111"/>
      <c r="P777" s="111"/>
      <c r="Q777" s="111"/>
      <c r="R777" s="111"/>
      <c r="S777" s="111"/>
      <c r="T777" s="111"/>
      <c r="U777" s="111"/>
      <c r="V777" s="120"/>
      <c r="W777" s="111"/>
      <c r="X777" s="111"/>
      <c r="Y777" s="111"/>
      <c r="Z777" s="111"/>
      <c r="AA777" s="111"/>
      <c r="AB777" s="111"/>
      <c r="AC777" s="111"/>
      <c r="AD777" s="111"/>
      <c r="AE777" s="111"/>
      <c r="AF777" s="111"/>
      <c r="AG777" s="111"/>
      <c r="AH777" s="111"/>
      <c r="AI777" s="111"/>
      <c r="AJ777" s="111"/>
    </row>
    <row r="778" spans="14:36" x14ac:dyDescent="0.55000000000000004">
      <c r="N778" s="120"/>
      <c r="O778" s="111"/>
      <c r="P778" s="111"/>
      <c r="Q778" s="111"/>
      <c r="R778" s="111"/>
      <c r="S778" s="111"/>
      <c r="T778" s="111"/>
      <c r="U778" s="111"/>
      <c r="V778" s="120"/>
      <c r="W778" s="111"/>
      <c r="X778" s="111"/>
      <c r="Y778" s="111"/>
      <c r="Z778" s="111"/>
      <c r="AA778" s="111"/>
      <c r="AB778" s="111"/>
      <c r="AC778" s="111"/>
      <c r="AD778" s="111"/>
      <c r="AE778" s="111"/>
      <c r="AF778" s="111"/>
      <c r="AG778" s="111"/>
      <c r="AH778" s="111"/>
      <c r="AI778" s="111"/>
      <c r="AJ778" s="111"/>
    </row>
    <row r="779" spans="14:36" x14ac:dyDescent="0.55000000000000004">
      <c r="N779" s="120"/>
      <c r="O779" s="111"/>
      <c r="P779" s="111"/>
      <c r="Q779" s="111"/>
      <c r="R779" s="111"/>
      <c r="S779" s="111"/>
      <c r="T779" s="111"/>
      <c r="U779" s="111"/>
      <c r="V779" s="120"/>
      <c r="W779" s="111"/>
      <c r="X779" s="111"/>
      <c r="Y779" s="111"/>
      <c r="Z779" s="111"/>
      <c r="AA779" s="111"/>
      <c r="AB779" s="111"/>
      <c r="AC779" s="111"/>
      <c r="AD779" s="111"/>
      <c r="AE779" s="111"/>
      <c r="AF779" s="111"/>
      <c r="AG779" s="111"/>
      <c r="AH779" s="111"/>
      <c r="AI779" s="111"/>
      <c r="AJ779" s="111"/>
    </row>
    <row r="780" spans="14:36" x14ac:dyDescent="0.55000000000000004">
      <c r="N780" s="120"/>
      <c r="O780" s="111"/>
      <c r="P780" s="111"/>
      <c r="Q780" s="111"/>
      <c r="R780" s="111"/>
      <c r="S780" s="111"/>
      <c r="T780" s="111"/>
      <c r="U780" s="111"/>
      <c r="V780" s="120"/>
      <c r="W780" s="111"/>
      <c r="X780" s="111"/>
      <c r="Y780" s="111"/>
      <c r="Z780" s="111"/>
      <c r="AA780" s="111"/>
      <c r="AB780" s="111"/>
      <c r="AC780" s="111"/>
      <c r="AD780" s="111"/>
      <c r="AE780" s="111"/>
      <c r="AF780" s="111"/>
      <c r="AG780" s="111"/>
      <c r="AH780" s="111"/>
      <c r="AI780" s="111"/>
      <c r="AJ780" s="111"/>
    </row>
    <row r="781" spans="14:36" x14ac:dyDescent="0.55000000000000004">
      <c r="N781" s="120"/>
      <c r="O781" s="111"/>
      <c r="P781" s="111"/>
      <c r="Q781" s="111"/>
      <c r="R781" s="111"/>
      <c r="S781" s="111"/>
      <c r="T781" s="111"/>
      <c r="U781" s="111"/>
      <c r="V781" s="120"/>
      <c r="W781" s="111"/>
      <c r="X781" s="111"/>
      <c r="Y781" s="111"/>
      <c r="Z781" s="111"/>
      <c r="AA781" s="111"/>
      <c r="AB781" s="111"/>
      <c r="AC781" s="111"/>
      <c r="AD781" s="111"/>
      <c r="AE781" s="111"/>
      <c r="AF781" s="111"/>
      <c r="AG781" s="111"/>
      <c r="AH781" s="111"/>
      <c r="AI781" s="111"/>
      <c r="AJ781" s="111"/>
    </row>
    <row r="782" spans="14:36" x14ac:dyDescent="0.55000000000000004">
      <c r="N782" s="120"/>
      <c r="O782" s="111"/>
      <c r="P782" s="111"/>
      <c r="Q782" s="111"/>
      <c r="R782" s="111"/>
      <c r="S782" s="111"/>
      <c r="T782" s="111"/>
      <c r="U782" s="111"/>
      <c r="V782" s="120"/>
      <c r="W782" s="111"/>
      <c r="X782" s="111"/>
      <c r="Y782" s="111"/>
      <c r="Z782" s="111"/>
      <c r="AA782" s="111"/>
      <c r="AB782" s="111"/>
      <c r="AC782" s="111"/>
      <c r="AD782" s="111"/>
      <c r="AE782" s="111"/>
      <c r="AF782" s="111"/>
      <c r="AG782" s="111"/>
      <c r="AH782" s="111"/>
      <c r="AI782" s="111"/>
      <c r="AJ782" s="111"/>
    </row>
  </sheetData>
  <mergeCells count="2">
    <mergeCell ref="A1:J1"/>
    <mergeCell ref="M1:V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3230-656D-468A-A2B1-F5CB3940FDA1}">
  <sheetPr codeName="Sheet9">
    <tabColor theme="7" tint="0.79998168889431442"/>
  </sheetPr>
  <dimension ref="A1:DX71"/>
  <sheetViews>
    <sheetView zoomScale="76" zoomScaleNormal="160" workbookViewId="0">
      <selection activeCell="B25" sqref="B25"/>
    </sheetView>
  </sheetViews>
  <sheetFormatPr defaultColWidth="8.83984375" defaultRowHeight="14.4" x14ac:dyDescent="0.55000000000000004"/>
  <cols>
    <col min="1" max="1" width="8.83984375" style="128"/>
    <col min="2" max="2" width="72.578125" customWidth="1"/>
    <col min="104" max="104" width="11.578125" customWidth="1"/>
  </cols>
  <sheetData>
    <row r="1" spans="1:128" x14ac:dyDescent="0.55000000000000004">
      <c r="A1" t="s">
        <v>800</v>
      </c>
    </row>
    <row r="2" spans="1:128" x14ac:dyDescent="0.55000000000000004">
      <c r="A2"/>
      <c r="B2" t="s">
        <v>876</v>
      </c>
    </row>
    <row r="3" spans="1:128" x14ac:dyDescent="0.55000000000000004">
      <c r="A3" t="s">
        <v>801</v>
      </c>
      <c r="B3" t="s">
        <v>877</v>
      </c>
      <c r="C3" t="s">
        <v>802</v>
      </c>
      <c r="D3" t="s">
        <v>803</v>
      </c>
      <c r="E3" t="s">
        <v>878</v>
      </c>
      <c r="F3" t="s">
        <v>804</v>
      </c>
      <c r="G3" t="s">
        <v>805</v>
      </c>
      <c r="H3" t="s">
        <v>806</v>
      </c>
      <c r="I3" t="s">
        <v>807</v>
      </c>
      <c r="J3" t="s">
        <v>808</v>
      </c>
      <c r="K3" t="s">
        <v>809</v>
      </c>
      <c r="L3" t="s">
        <v>810</v>
      </c>
      <c r="M3" t="s">
        <v>811</v>
      </c>
      <c r="N3" t="s">
        <v>878</v>
      </c>
      <c r="O3" t="s">
        <v>804</v>
      </c>
      <c r="P3" t="s">
        <v>805</v>
      </c>
      <c r="Q3" t="s">
        <v>806</v>
      </c>
      <c r="R3" t="s">
        <v>807</v>
      </c>
      <c r="S3" t="s">
        <v>808</v>
      </c>
      <c r="T3" t="s">
        <v>809</v>
      </c>
      <c r="U3" t="s">
        <v>810</v>
      </c>
      <c r="V3" t="s">
        <v>811</v>
      </c>
      <c r="W3" t="s">
        <v>878</v>
      </c>
      <c r="X3" t="s">
        <v>804</v>
      </c>
      <c r="Y3" t="s">
        <v>805</v>
      </c>
      <c r="Z3" t="s">
        <v>806</v>
      </c>
      <c r="AA3" t="s">
        <v>807</v>
      </c>
      <c r="AB3" t="s">
        <v>808</v>
      </c>
      <c r="AC3" t="s">
        <v>809</v>
      </c>
      <c r="AD3" t="s">
        <v>810</v>
      </c>
      <c r="AE3" t="s">
        <v>811</v>
      </c>
      <c r="AF3" t="s">
        <v>878</v>
      </c>
      <c r="AG3" t="s">
        <v>804</v>
      </c>
      <c r="AH3" t="s">
        <v>805</v>
      </c>
      <c r="AI3" t="s">
        <v>806</v>
      </c>
      <c r="AJ3" t="s">
        <v>807</v>
      </c>
      <c r="AK3" t="s">
        <v>808</v>
      </c>
      <c r="AL3" t="s">
        <v>809</v>
      </c>
      <c r="AM3" t="s">
        <v>810</v>
      </c>
      <c r="AN3" t="s">
        <v>811</v>
      </c>
      <c r="AO3" t="s">
        <v>878</v>
      </c>
      <c r="AP3" t="s">
        <v>804</v>
      </c>
      <c r="AQ3" t="s">
        <v>805</v>
      </c>
      <c r="AR3" t="s">
        <v>806</v>
      </c>
      <c r="AS3" t="s">
        <v>807</v>
      </c>
      <c r="AT3" t="s">
        <v>808</v>
      </c>
      <c r="AU3" t="s">
        <v>809</v>
      </c>
      <c r="AV3" t="s">
        <v>810</v>
      </c>
      <c r="AW3" t="s">
        <v>811</v>
      </c>
      <c r="AX3" t="s">
        <v>878</v>
      </c>
      <c r="AY3" t="s">
        <v>804</v>
      </c>
      <c r="AZ3" t="s">
        <v>805</v>
      </c>
      <c r="BA3" t="s">
        <v>806</v>
      </c>
      <c r="BB3" t="s">
        <v>807</v>
      </c>
      <c r="BC3" t="s">
        <v>808</v>
      </c>
      <c r="BD3" t="s">
        <v>809</v>
      </c>
      <c r="BE3" t="s">
        <v>810</v>
      </c>
      <c r="BF3" t="s">
        <v>811</v>
      </c>
      <c r="BG3" t="s">
        <v>878</v>
      </c>
      <c r="BH3" t="s">
        <v>804</v>
      </c>
      <c r="BI3" t="s">
        <v>805</v>
      </c>
      <c r="BJ3" t="s">
        <v>806</v>
      </c>
      <c r="BK3" t="s">
        <v>807</v>
      </c>
      <c r="BL3" t="s">
        <v>808</v>
      </c>
      <c r="BM3" t="s">
        <v>809</v>
      </c>
      <c r="BN3" t="s">
        <v>810</v>
      </c>
      <c r="BO3" t="s">
        <v>811</v>
      </c>
      <c r="BP3" t="s">
        <v>878</v>
      </c>
      <c r="BQ3" t="s">
        <v>804</v>
      </c>
      <c r="BR3" t="s">
        <v>805</v>
      </c>
      <c r="BS3" t="s">
        <v>806</v>
      </c>
      <c r="BT3" t="s">
        <v>807</v>
      </c>
      <c r="BU3" t="s">
        <v>808</v>
      </c>
      <c r="BV3" t="s">
        <v>809</v>
      </c>
      <c r="BW3" t="s">
        <v>810</v>
      </c>
      <c r="BX3" t="s">
        <v>811</v>
      </c>
      <c r="BY3" t="s">
        <v>878</v>
      </c>
      <c r="BZ3" t="s">
        <v>804</v>
      </c>
      <c r="CA3" t="s">
        <v>805</v>
      </c>
      <c r="CB3" t="s">
        <v>806</v>
      </c>
      <c r="CC3" t="s">
        <v>807</v>
      </c>
      <c r="CD3" t="s">
        <v>808</v>
      </c>
      <c r="CE3" t="s">
        <v>809</v>
      </c>
      <c r="CF3" t="s">
        <v>810</v>
      </c>
      <c r="CG3" t="s">
        <v>811</v>
      </c>
      <c r="CH3" t="s">
        <v>878</v>
      </c>
      <c r="CI3" t="s">
        <v>804</v>
      </c>
      <c r="CJ3" t="s">
        <v>805</v>
      </c>
      <c r="CK3" t="s">
        <v>806</v>
      </c>
      <c r="CL3" t="s">
        <v>807</v>
      </c>
      <c r="CM3" t="s">
        <v>808</v>
      </c>
      <c r="CN3" t="s">
        <v>809</v>
      </c>
      <c r="CO3" t="s">
        <v>810</v>
      </c>
      <c r="CP3" t="s">
        <v>811</v>
      </c>
      <c r="CQ3" t="s">
        <v>812</v>
      </c>
      <c r="CR3" t="s">
        <v>879</v>
      </c>
      <c r="CS3" t="s">
        <v>813</v>
      </c>
      <c r="CT3" t="s">
        <v>814</v>
      </c>
      <c r="CU3" t="s">
        <v>815</v>
      </c>
      <c r="CV3" t="s">
        <v>816</v>
      </c>
      <c r="CW3" t="s">
        <v>817</v>
      </c>
      <c r="CX3" t="s">
        <v>818</v>
      </c>
      <c r="CY3" t="s">
        <v>880</v>
      </c>
      <c r="CZ3" t="s">
        <v>881</v>
      </c>
      <c r="DA3" t="s">
        <v>882</v>
      </c>
      <c r="DB3" t="s">
        <v>819</v>
      </c>
      <c r="DC3" t="s">
        <v>883</v>
      </c>
    </row>
    <row r="4" spans="1:128" x14ac:dyDescent="0.55000000000000004">
      <c r="A4">
        <v>1</v>
      </c>
      <c r="B4" t="s">
        <v>3455</v>
      </c>
      <c r="C4">
        <v>1</v>
      </c>
      <c r="D4">
        <v>1</v>
      </c>
      <c r="E4">
        <v>-14</v>
      </c>
      <c r="F4">
        <v>0.75</v>
      </c>
      <c r="G4">
        <v>1</v>
      </c>
      <c r="H4">
        <v>0</v>
      </c>
      <c r="I4">
        <v>0</v>
      </c>
      <c r="J4">
        <v>15</v>
      </c>
      <c r="K4">
        <v>0</v>
      </c>
      <c r="L4">
        <v>1</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t="b">
        <v>1</v>
      </c>
      <c r="CR4">
        <v>10</v>
      </c>
      <c r="CS4">
        <v>1</v>
      </c>
      <c r="CT4" t="b">
        <v>0</v>
      </c>
      <c r="CU4">
        <v>0</v>
      </c>
      <c r="CV4">
        <v>0</v>
      </c>
      <c r="CW4">
        <v>0</v>
      </c>
      <c r="CX4">
        <v>0</v>
      </c>
      <c r="CY4">
        <v>1</v>
      </c>
      <c r="CZ4">
        <v>1</v>
      </c>
      <c r="DA4">
        <v>1</v>
      </c>
      <c r="DB4">
        <v>21</v>
      </c>
      <c r="DC4" t="s">
        <v>3849</v>
      </c>
      <c r="DD4" t="s">
        <v>3456</v>
      </c>
      <c r="DE4" t="s">
        <v>3457</v>
      </c>
      <c r="DF4" t="s">
        <v>3458</v>
      </c>
      <c r="DG4" t="s">
        <v>3459</v>
      </c>
      <c r="DH4" t="s">
        <v>3460</v>
      </c>
      <c r="DI4" t="s">
        <v>3461</v>
      </c>
      <c r="DJ4" t="s">
        <v>3462</v>
      </c>
      <c r="DK4" t="s">
        <v>3463</v>
      </c>
      <c r="DL4" t="s">
        <v>3464</v>
      </c>
      <c r="DM4" t="s">
        <v>3465</v>
      </c>
      <c r="DN4" t="s">
        <v>3466</v>
      </c>
      <c r="DO4" t="s">
        <v>3467</v>
      </c>
      <c r="DP4" t="s">
        <v>3468</v>
      </c>
      <c r="DQ4" t="s">
        <v>3469</v>
      </c>
      <c r="DR4" t="s">
        <v>3470</v>
      </c>
      <c r="DS4" t="s">
        <v>3471</v>
      </c>
      <c r="DT4" t="s">
        <v>3472</v>
      </c>
      <c r="DU4" t="s">
        <v>3473</v>
      </c>
      <c r="DV4" t="s">
        <v>3474</v>
      </c>
      <c r="DW4" t="s">
        <v>3475</v>
      </c>
      <c r="DX4" t="s">
        <v>3476</v>
      </c>
    </row>
    <row r="5" spans="1:128" x14ac:dyDescent="0.55000000000000004">
      <c r="A5">
        <v>2</v>
      </c>
      <c r="B5" t="s">
        <v>3455</v>
      </c>
      <c r="C5">
        <v>1</v>
      </c>
      <c r="D5">
        <v>1</v>
      </c>
      <c r="E5">
        <v>-14</v>
      </c>
      <c r="F5">
        <v>0.75</v>
      </c>
      <c r="G5">
        <v>2</v>
      </c>
      <c r="H5">
        <v>0</v>
      </c>
      <c r="I5">
        <v>0</v>
      </c>
      <c r="J5">
        <v>3</v>
      </c>
      <c r="K5">
        <v>0</v>
      </c>
      <c r="L5">
        <v>1</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t="b">
        <v>1</v>
      </c>
      <c r="CR5">
        <v>10</v>
      </c>
      <c r="CS5">
        <v>1</v>
      </c>
      <c r="CT5" t="b">
        <v>0</v>
      </c>
      <c r="CU5">
        <v>0</v>
      </c>
      <c r="CV5">
        <v>0</v>
      </c>
      <c r="CW5">
        <v>0</v>
      </c>
      <c r="CX5">
        <v>0</v>
      </c>
      <c r="CY5">
        <v>1</v>
      </c>
      <c r="CZ5">
        <v>1</v>
      </c>
      <c r="DA5">
        <v>1</v>
      </c>
      <c r="DB5">
        <v>21</v>
      </c>
      <c r="DC5" t="s">
        <v>3849</v>
      </c>
      <c r="DD5" t="s">
        <v>3456</v>
      </c>
      <c r="DE5" t="s">
        <v>3457</v>
      </c>
      <c r="DF5" t="s">
        <v>3458</v>
      </c>
      <c r="DG5" t="s">
        <v>3459</v>
      </c>
      <c r="DH5" t="s">
        <v>3460</v>
      </c>
      <c r="DI5" t="s">
        <v>3461</v>
      </c>
      <c r="DJ5" t="s">
        <v>3462</v>
      </c>
      <c r="DK5" t="s">
        <v>3463</v>
      </c>
      <c r="DL5" t="s">
        <v>3464</v>
      </c>
      <c r="DM5" t="s">
        <v>3465</v>
      </c>
      <c r="DN5" t="s">
        <v>3466</v>
      </c>
      <c r="DO5" t="s">
        <v>3467</v>
      </c>
      <c r="DP5" t="s">
        <v>3468</v>
      </c>
      <c r="DQ5" t="s">
        <v>3469</v>
      </c>
      <c r="DR5" t="s">
        <v>3470</v>
      </c>
      <c r="DS5" t="s">
        <v>3471</v>
      </c>
      <c r="DT5" t="s">
        <v>3472</v>
      </c>
      <c r="DU5" t="s">
        <v>3473</v>
      </c>
      <c r="DV5" t="s">
        <v>3474</v>
      </c>
      <c r="DW5" t="s">
        <v>3475</v>
      </c>
      <c r="DX5" t="s">
        <v>3476</v>
      </c>
    </row>
    <row r="6" spans="1:128" x14ac:dyDescent="0.55000000000000004">
      <c r="A6">
        <v>3</v>
      </c>
      <c r="B6" t="s">
        <v>3455</v>
      </c>
      <c r="C6">
        <v>1</v>
      </c>
      <c r="D6">
        <v>1</v>
      </c>
      <c r="E6">
        <v>-14</v>
      </c>
      <c r="F6">
        <v>0.75</v>
      </c>
      <c r="G6">
        <v>2</v>
      </c>
      <c r="H6">
        <v>0</v>
      </c>
      <c r="I6">
        <v>0</v>
      </c>
      <c r="J6">
        <v>6</v>
      </c>
      <c r="K6">
        <v>0</v>
      </c>
      <c r="L6">
        <v>1</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t="b">
        <v>1</v>
      </c>
      <c r="CR6">
        <v>10</v>
      </c>
      <c r="CS6">
        <v>1</v>
      </c>
      <c r="CT6" t="b">
        <v>0</v>
      </c>
      <c r="CU6">
        <v>0</v>
      </c>
      <c r="CV6">
        <v>0</v>
      </c>
      <c r="CW6">
        <v>0</v>
      </c>
      <c r="CX6">
        <v>0</v>
      </c>
      <c r="CY6">
        <v>1</v>
      </c>
      <c r="CZ6">
        <v>1</v>
      </c>
      <c r="DA6">
        <v>1</v>
      </c>
      <c r="DB6">
        <v>21</v>
      </c>
      <c r="DC6" t="s">
        <v>3849</v>
      </c>
      <c r="DD6" t="s">
        <v>3456</v>
      </c>
      <c r="DE6" t="s">
        <v>3457</v>
      </c>
      <c r="DF6" t="s">
        <v>3458</v>
      </c>
      <c r="DG6" t="s">
        <v>3459</v>
      </c>
      <c r="DH6" t="s">
        <v>3460</v>
      </c>
      <c r="DI6" t="s">
        <v>3461</v>
      </c>
      <c r="DJ6" t="s">
        <v>3462</v>
      </c>
      <c r="DK6" t="s">
        <v>3463</v>
      </c>
      <c r="DL6" t="s">
        <v>3464</v>
      </c>
      <c r="DM6" t="s">
        <v>3465</v>
      </c>
      <c r="DN6" t="s">
        <v>3466</v>
      </c>
      <c r="DO6" t="s">
        <v>3467</v>
      </c>
      <c r="DP6" t="s">
        <v>3468</v>
      </c>
      <c r="DQ6" t="s">
        <v>3469</v>
      </c>
      <c r="DR6" t="s">
        <v>3470</v>
      </c>
      <c r="DS6" t="s">
        <v>3471</v>
      </c>
      <c r="DT6" t="s">
        <v>3472</v>
      </c>
      <c r="DU6" t="s">
        <v>3473</v>
      </c>
      <c r="DV6" t="s">
        <v>3474</v>
      </c>
      <c r="DW6" t="s">
        <v>3475</v>
      </c>
      <c r="DX6" t="s">
        <v>3476</v>
      </c>
    </row>
    <row r="7" spans="1:128" x14ac:dyDescent="0.55000000000000004">
      <c r="A7">
        <v>4</v>
      </c>
      <c r="B7" t="s">
        <v>3455</v>
      </c>
      <c r="C7">
        <v>1</v>
      </c>
      <c r="D7">
        <v>1</v>
      </c>
      <c r="E7">
        <v>-14</v>
      </c>
      <c r="F7">
        <v>0.75</v>
      </c>
      <c r="G7">
        <v>2</v>
      </c>
      <c r="H7">
        <v>0</v>
      </c>
      <c r="I7">
        <v>0</v>
      </c>
      <c r="J7">
        <v>11</v>
      </c>
      <c r="K7">
        <v>0</v>
      </c>
      <c r="L7">
        <v>1</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t="b">
        <v>1</v>
      </c>
      <c r="CR7">
        <v>10</v>
      </c>
      <c r="CS7">
        <v>1</v>
      </c>
      <c r="CT7" t="b">
        <v>0</v>
      </c>
      <c r="CU7">
        <v>0</v>
      </c>
      <c r="CV7">
        <v>0</v>
      </c>
      <c r="CW7">
        <v>0</v>
      </c>
      <c r="CX7">
        <v>0</v>
      </c>
      <c r="CY7">
        <v>1</v>
      </c>
      <c r="CZ7">
        <v>1</v>
      </c>
      <c r="DA7">
        <v>1</v>
      </c>
      <c r="DB7">
        <v>21</v>
      </c>
      <c r="DC7" t="s">
        <v>3849</v>
      </c>
      <c r="DD7" t="s">
        <v>3456</v>
      </c>
      <c r="DE7" t="s">
        <v>3457</v>
      </c>
      <c r="DF7" t="s">
        <v>3458</v>
      </c>
      <c r="DG7" t="s">
        <v>3459</v>
      </c>
      <c r="DH7" t="s">
        <v>3460</v>
      </c>
      <c r="DI7" t="s">
        <v>3461</v>
      </c>
      <c r="DJ7" t="s">
        <v>3462</v>
      </c>
      <c r="DK7" t="s">
        <v>3463</v>
      </c>
      <c r="DL7" t="s">
        <v>3464</v>
      </c>
      <c r="DM7" t="s">
        <v>3465</v>
      </c>
      <c r="DN7" t="s">
        <v>3466</v>
      </c>
      <c r="DO7" t="s">
        <v>3467</v>
      </c>
      <c r="DP7" t="s">
        <v>3468</v>
      </c>
      <c r="DQ7" t="s">
        <v>3469</v>
      </c>
      <c r="DR7" t="s">
        <v>3470</v>
      </c>
      <c r="DS7" t="s">
        <v>3471</v>
      </c>
      <c r="DT7" t="s">
        <v>3472</v>
      </c>
      <c r="DU7" t="s">
        <v>3473</v>
      </c>
      <c r="DV7" t="s">
        <v>3474</v>
      </c>
      <c r="DW7" t="s">
        <v>3475</v>
      </c>
      <c r="DX7" t="s">
        <v>3476</v>
      </c>
    </row>
    <row r="8" spans="1:128" x14ac:dyDescent="0.55000000000000004">
      <c r="A8">
        <v>5</v>
      </c>
      <c r="B8" t="s">
        <v>3455</v>
      </c>
      <c r="C8">
        <v>1</v>
      </c>
      <c r="D8">
        <v>1</v>
      </c>
      <c r="E8">
        <v>-14</v>
      </c>
      <c r="F8">
        <v>0.75</v>
      </c>
      <c r="G8">
        <v>2</v>
      </c>
      <c r="H8">
        <v>0</v>
      </c>
      <c r="I8">
        <v>0</v>
      </c>
      <c r="J8">
        <v>15</v>
      </c>
      <c r="K8">
        <v>0</v>
      </c>
      <c r="L8">
        <v>1</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t="b">
        <v>1</v>
      </c>
      <c r="CR8">
        <v>10</v>
      </c>
      <c r="CS8">
        <v>1</v>
      </c>
      <c r="CT8" t="b">
        <v>0</v>
      </c>
      <c r="CU8">
        <v>0</v>
      </c>
      <c r="CV8">
        <v>0</v>
      </c>
      <c r="CW8">
        <v>0</v>
      </c>
      <c r="CX8">
        <v>0</v>
      </c>
      <c r="CY8">
        <v>1</v>
      </c>
      <c r="CZ8">
        <v>1</v>
      </c>
      <c r="DA8">
        <v>1</v>
      </c>
      <c r="DB8">
        <v>21</v>
      </c>
      <c r="DC8" t="s">
        <v>3849</v>
      </c>
      <c r="DD8" t="s">
        <v>3456</v>
      </c>
      <c r="DE8" t="s">
        <v>3457</v>
      </c>
      <c r="DF8" t="s">
        <v>3458</v>
      </c>
      <c r="DG8" t="s">
        <v>3459</v>
      </c>
      <c r="DH8" t="s">
        <v>3460</v>
      </c>
      <c r="DI8" t="s">
        <v>3461</v>
      </c>
      <c r="DJ8" t="s">
        <v>3462</v>
      </c>
      <c r="DK8" t="s">
        <v>3463</v>
      </c>
      <c r="DL8" t="s">
        <v>3464</v>
      </c>
      <c r="DM8" t="s">
        <v>3465</v>
      </c>
      <c r="DN8" t="s">
        <v>3466</v>
      </c>
      <c r="DO8" t="s">
        <v>3467</v>
      </c>
      <c r="DP8" t="s">
        <v>3468</v>
      </c>
      <c r="DQ8" t="s">
        <v>3469</v>
      </c>
      <c r="DR8" t="s">
        <v>3470</v>
      </c>
      <c r="DS8" t="s">
        <v>3471</v>
      </c>
      <c r="DT8" t="s">
        <v>3472</v>
      </c>
      <c r="DU8" t="s">
        <v>3473</v>
      </c>
      <c r="DV8" t="s">
        <v>3474</v>
      </c>
      <c r="DW8" t="s">
        <v>3475</v>
      </c>
      <c r="DX8" t="s">
        <v>3476</v>
      </c>
    </row>
    <row r="9" spans="1:128" x14ac:dyDescent="0.55000000000000004">
      <c r="A9">
        <v>6</v>
      </c>
      <c r="B9" t="s">
        <v>3477</v>
      </c>
      <c r="C9">
        <v>1</v>
      </c>
      <c r="D9">
        <v>3</v>
      </c>
      <c r="E9">
        <v>0</v>
      </c>
      <c r="F9">
        <v>1.125</v>
      </c>
      <c r="G9">
        <v>2</v>
      </c>
      <c r="H9">
        <v>0</v>
      </c>
      <c r="I9">
        <v>0</v>
      </c>
      <c r="J9">
        <v>1</v>
      </c>
      <c r="K9">
        <v>0</v>
      </c>
      <c r="L9">
        <v>1</v>
      </c>
      <c r="M9">
        <v>0</v>
      </c>
      <c r="N9">
        <v>7</v>
      </c>
      <c r="O9">
        <v>1</v>
      </c>
      <c r="P9">
        <v>2</v>
      </c>
      <c r="Q9">
        <v>0</v>
      </c>
      <c r="R9">
        <v>0</v>
      </c>
      <c r="S9">
        <v>1</v>
      </c>
      <c r="T9">
        <v>0</v>
      </c>
      <c r="U9">
        <v>1</v>
      </c>
      <c r="V9">
        <v>0</v>
      </c>
      <c r="W9">
        <v>14</v>
      </c>
      <c r="X9">
        <v>0.875</v>
      </c>
      <c r="Y9">
        <v>2</v>
      </c>
      <c r="Z9">
        <v>0</v>
      </c>
      <c r="AA9">
        <v>0</v>
      </c>
      <c r="AB9">
        <v>1</v>
      </c>
      <c r="AC9">
        <v>0</v>
      </c>
      <c r="AD9">
        <v>1</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t="b">
        <v>1</v>
      </c>
      <c r="CR9">
        <v>76</v>
      </c>
      <c r="CS9">
        <v>1</v>
      </c>
      <c r="CT9" t="b">
        <v>0</v>
      </c>
      <c r="CU9">
        <v>0</v>
      </c>
      <c r="CV9">
        <v>0</v>
      </c>
      <c r="CW9">
        <v>0</v>
      </c>
      <c r="CX9">
        <v>0</v>
      </c>
      <c r="CY9">
        <v>1</v>
      </c>
      <c r="CZ9">
        <v>1</v>
      </c>
      <c r="DA9">
        <v>1</v>
      </c>
      <c r="DB9">
        <v>18</v>
      </c>
      <c r="DC9" t="s">
        <v>3849</v>
      </c>
      <c r="DD9" t="s">
        <v>3478</v>
      </c>
      <c r="DE9" t="s">
        <v>3479</v>
      </c>
      <c r="DF9" t="s">
        <v>3480</v>
      </c>
      <c r="DG9" t="s">
        <v>3481</v>
      </c>
      <c r="DH9" t="s">
        <v>3482</v>
      </c>
      <c r="DI9" t="s">
        <v>3483</v>
      </c>
      <c r="DJ9" t="s">
        <v>3484</v>
      </c>
      <c r="DK9" t="s">
        <v>3485</v>
      </c>
      <c r="DL9" t="s">
        <v>3486</v>
      </c>
      <c r="DM9" t="s">
        <v>3487</v>
      </c>
      <c r="DN9" t="s">
        <v>3488</v>
      </c>
      <c r="DO9" t="s">
        <v>3489</v>
      </c>
      <c r="DP9" t="s">
        <v>3490</v>
      </c>
      <c r="DQ9" t="s">
        <v>3491</v>
      </c>
      <c r="DR9" t="s">
        <v>3492</v>
      </c>
      <c r="DS9" t="s">
        <v>3493</v>
      </c>
      <c r="DT9" t="s">
        <v>3494</v>
      </c>
      <c r="DU9" t="s">
        <v>3495</v>
      </c>
    </row>
    <row r="10" spans="1:128" x14ac:dyDescent="0.55000000000000004">
      <c r="A10">
        <v>7</v>
      </c>
      <c r="B10" t="s">
        <v>3477</v>
      </c>
      <c r="C10">
        <v>1</v>
      </c>
      <c r="D10">
        <v>3</v>
      </c>
      <c r="E10">
        <v>0</v>
      </c>
      <c r="F10">
        <v>1.125</v>
      </c>
      <c r="G10">
        <v>2</v>
      </c>
      <c r="H10">
        <v>0</v>
      </c>
      <c r="I10">
        <v>0</v>
      </c>
      <c r="J10">
        <v>5</v>
      </c>
      <c r="K10">
        <v>0</v>
      </c>
      <c r="L10">
        <v>1</v>
      </c>
      <c r="M10">
        <v>0</v>
      </c>
      <c r="N10">
        <v>7</v>
      </c>
      <c r="O10">
        <v>1</v>
      </c>
      <c r="P10">
        <v>2</v>
      </c>
      <c r="Q10">
        <v>0</v>
      </c>
      <c r="R10">
        <v>0</v>
      </c>
      <c r="S10">
        <v>5</v>
      </c>
      <c r="T10">
        <v>0</v>
      </c>
      <c r="U10">
        <v>1</v>
      </c>
      <c r="V10">
        <v>0</v>
      </c>
      <c r="W10">
        <v>14</v>
      </c>
      <c r="X10">
        <v>0.875</v>
      </c>
      <c r="Y10">
        <v>2</v>
      </c>
      <c r="Z10">
        <v>0</v>
      </c>
      <c r="AA10">
        <v>0</v>
      </c>
      <c r="AB10">
        <v>5</v>
      </c>
      <c r="AC10">
        <v>0</v>
      </c>
      <c r="AD10">
        <v>1</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t="b">
        <v>1</v>
      </c>
      <c r="CR10">
        <v>76</v>
      </c>
      <c r="CS10">
        <v>1</v>
      </c>
      <c r="CT10" t="b">
        <v>0</v>
      </c>
      <c r="CU10">
        <v>0</v>
      </c>
      <c r="CV10">
        <v>0</v>
      </c>
      <c r="CW10">
        <v>0</v>
      </c>
      <c r="CX10">
        <v>0</v>
      </c>
      <c r="CY10">
        <v>1</v>
      </c>
      <c r="CZ10">
        <v>1</v>
      </c>
      <c r="DA10">
        <v>1</v>
      </c>
      <c r="DB10">
        <v>18</v>
      </c>
      <c r="DC10" t="s">
        <v>3849</v>
      </c>
      <c r="DD10" t="s">
        <v>3478</v>
      </c>
      <c r="DE10" t="s">
        <v>3479</v>
      </c>
      <c r="DF10" t="s">
        <v>3480</v>
      </c>
      <c r="DG10" t="s">
        <v>3481</v>
      </c>
      <c r="DH10" t="s">
        <v>3482</v>
      </c>
      <c r="DI10" t="s">
        <v>3483</v>
      </c>
      <c r="DJ10" t="s">
        <v>3484</v>
      </c>
      <c r="DK10" t="s">
        <v>3485</v>
      </c>
      <c r="DL10" t="s">
        <v>3486</v>
      </c>
      <c r="DM10" t="s">
        <v>3487</v>
      </c>
      <c r="DN10" t="s">
        <v>3488</v>
      </c>
      <c r="DO10" t="s">
        <v>3489</v>
      </c>
      <c r="DP10" t="s">
        <v>3490</v>
      </c>
      <c r="DQ10" t="s">
        <v>3491</v>
      </c>
      <c r="DR10" t="s">
        <v>3492</v>
      </c>
      <c r="DS10" t="s">
        <v>3493</v>
      </c>
      <c r="DT10" t="s">
        <v>3494</v>
      </c>
      <c r="DU10" t="s">
        <v>3495</v>
      </c>
    </row>
    <row r="11" spans="1:128" x14ac:dyDescent="0.55000000000000004">
      <c r="A11">
        <v>8</v>
      </c>
      <c r="B11" t="s">
        <v>3477</v>
      </c>
      <c r="C11">
        <v>1</v>
      </c>
      <c r="D11">
        <v>3</v>
      </c>
      <c r="E11">
        <v>0</v>
      </c>
      <c r="F11">
        <v>1.125</v>
      </c>
      <c r="G11">
        <v>2</v>
      </c>
      <c r="H11">
        <v>0</v>
      </c>
      <c r="I11">
        <v>0</v>
      </c>
      <c r="J11">
        <v>15</v>
      </c>
      <c r="K11">
        <v>0</v>
      </c>
      <c r="L11">
        <v>1</v>
      </c>
      <c r="M11">
        <v>0</v>
      </c>
      <c r="N11">
        <v>7</v>
      </c>
      <c r="O11">
        <v>1</v>
      </c>
      <c r="P11">
        <v>2</v>
      </c>
      <c r="Q11">
        <v>0</v>
      </c>
      <c r="R11">
        <v>0</v>
      </c>
      <c r="S11">
        <v>15</v>
      </c>
      <c r="T11">
        <v>0</v>
      </c>
      <c r="U11">
        <v>1</v>
      </c>
      <c r="V11">
        <v>0</v>
      </c>
      <c r="W11">
        <v>14</v>
      </c>
      <c r="X11">
        <v>0.875</v>
      </c>
      <c r="Y11">
        <v>2</v>
      </c>
      <c r="Z11">
        <v>0</v>
      </c>
      <c r="AA11">
        <v>0</v>
      </c>
      <c r="AB11">
        <v>15</v>
      </c>
      <c r="AC11">
        <v>0</v>
      </c>
      <c r="AD11">
        <v>1</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t="b">
        <v>1</v>
      </c>
      <c r="CR11">
        <v>76</v>
      </c>
      <c r="CS11">
        <v>1</v>
      </c>
      <c r="CT11" t="b">
        <v>0</v>
      </c>
      <c r="CU11">
        <v>0</v>
      </c>
      <c r="CV11">
        <v>0</v>
      </c>
      <c r="CW11">
        <v>0</v>
      </c>
      <c r="CX11">
        <v>0</v>
      </c>
      <c r="CY11">
        <v>1</v>
      </c>
      <c r="CZ11">
        <v>1</v>
      </c>
      <c r="DA11">
        <v>1</v>
      </c>
      <c r="DB11">
        <v>18</v>
      </c>
      <c r="DC11" t="s">
        <v>3849</v>
      </c>
      <c r="DD11" t="s">
        <v>3478</v>
      </c>
      <c r="DE11" t="s">
        <v>3479</v>
      </c>
      <c r="DF11" t="s">
        <v>3480</v>
      </c>
      <c r="DG11" t="s">
        <v>3481</v>
      </c>
      <c r="DH11" t="s">
        <v>3482</v>
      </c>
      <c r="DI11" t="s">
        <v>3483</v>
      </c>
      <c r="DJ11" t="s">
        <v>3484</v>
      </c>
      <c r="DK11" t="s">
        <v>3485</v>
      </c>
      <c r="DL11" t="s">
        <v>3486</v>
      </c>
      <c r="DM11" t="s">
        <v>3487</v>
      </c>
      <c r="DN11" t="s">
        <v>3488</v>
      </c>
      <c r="DO11" t="s">
        <v>3489</v>
      </c>
      <c r="DP11" t="s">
        <v>3490</v>
      </c>
      <c r="DQ11" t="s">
        <v>3491</v>
      </c>
      <c r="DR11" t="s">
        <v>3492</v>
      </c>
      <c r="DS11" t="s">
        <v>3493</v>
      </c>
      <c r="DT11" t="s">
        <v>3494</v>
      </c>
      <c r="DU11" t="s">
        <v>3495</v>
      </c>
    </row>
    <row r="12" spans="1:128" x14ac:dyDescent="0.55000000000000004">
      <c r="A12">
        <v>9</v>
      </c>
      <c r="B12" t="s">
        <v>3496</v>
      </c>
      <c r="C12">
        <v>1</v>
      </c>
      <c r="D12">
        <v>1</v>
      </c>
      <c r="E12">
        <v>1</v>
      </c>
      <c r="F12">
        <v>1</v>
      </c>
      <c r="G12">
        <v>2</v>
      </c>
      <c r="H12">
        <v>0</v>
      </c>
      <c r="I12">
        <v>0</v>
      </c>
      <c r="J12">
        <v>2</v>
      </c>
      <c r="K12">
        <v>0</v>
      </c>
      <c r="L12">
        <v>1</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t="b">
        <v>1</v>
      </c>
      <c r="CR12">
        <v>89</v>
      </c>
      <c r="CS12">
        <v>1</v>
      </c>
      <c r="CT12" t="b">
        <v>0</v>
      </c>
      <c r="CU12">
        <v>0</v>
      </c>
      <c r="CV12">
        <v>0</v>
      </c>
      <c r="CW12">
        <v>0</v>
      </c>
      <c r="CX12">
        <v>0</v>
      </c>
      <c r="CY12">
        <v>1</v>
      </c>
      <c r="CZ12">
        <v>1</v>
      </c>
      <c r="DA12">
        <v>1</v>
      </c>
      <c r="DB12">
        <v>21</v>
      </c>
      <c r="DC12" t="s">
        <v>3849</v>
      </c>
      <c r="DD12" t="s">
        <v>3497</v>
      </c>
      <c r="DE12" t="s">
        <v>3498</v>
      </c>
      <c r="DF12" t="s">
        <v>3499</v>
      </c>
      <c r="DG12" t="s">
        <v>3500</v>
      </c>
      <c r="DH12" t="s">
        <v>3501</v>
      </c>
      <c r="DI12" t="s">
        <v>3502</v>
      </c>
      <c r="DJ12" t="s">
        <v>3503</v>
      </c>
      <c r="DK12" t="s">
        <v>3504</v>
      </c>
      <c r="DL12" t="s">
        <v>3505</v>
      </c>
      <c r="DM12" t="s">
        <v>3506</v>
      </c>
      <c r="DN12" t="s">
        <v>3507</v>
      </c>
      <c r="DO12" t="s">
        <v>3508</v>
      </c>
      <c r="DP12" t="s">
        <v>3509</v>
      </c>
      <c r="DQ12" t="s">
        <v>3510</v>
      </c>
      <c r="DR12" t="s">
        <v>3511</v>
      </c>
      <c r="DS12" t="s">
        <v>3512</v>
      </c>
      <c r="DT12" t="s">
        <v>3513</v>
      </c>
      <c r="DU12" t="s">
        <v>3514</v>
      </c>
      <c r="DV12" t="s">
        <v>3515</v>
      </c>
      <c r="DW12" t="s">
        <v>3516</v>
      </c>
      <c r="DX12" t="s">
        <v>3517</v>
      </c>
    </row>
    <row r="13" spans="1:128" x14ac:dyDescent="0.55000000000000004">
      <c r="A13">
        <v>10</v>
      </c>
      <c r="B13" t="s">
        <v>3496</v>
      </c>
      <c r="C13">
        <v>1</v>
      </c>
      <c r="D13">
        <v>1</v>
      </c>
      <c r="E13">
        <v>1</v>
      </c>
      <c r="F13">
        <v>1</v>
      </c>
      <c r="G13">
        <v>2</v>
      </c>
      <c r="H13">
        <v>0</v>
      </c>
      <c r="I13">
        <v>0</v>
      </c>
      <c r="J13">
        <v>7</v>
      </c>
      <c r="K13">
        <v>0</v>
      </c>
      <c r="L13">
        <v>1</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t="b">
        <v>1</v>
      </c>
      <c r="CR13">
        <v>89</v>
      </c>
      <c r="CS13">
        <v>1</v>
      </c>
      <c r="CT13" t="b">
        <v>0</v>
      </c>
      <c r="CU13">
        <v>0</v>
      </c>
      <c r="CV13">
        <v>0</v>
      </c>
      <c r="CW13">
        <v>0</v>
      </c>
      <c r="CX13">
        <v>0</v>
      </c>
      <c r="CY13">
        <v>1</v>
      </c>
      <c r="CZ13">
        <v>1</v>
      </c>
      <c r="DA13">
        <v>1</v>
      </c>
      <c r="DB13">
        <v>21</v>
      </c>
      <c r="DC13" t="s">
        <v>3849</v>
      </c>
      <c r="DD13" t="s">
        <v>3497</v>
      </c>
      <c r="DE13" t="s">
        <v>3498</v>
      </c>
      <c r="DF13" t="s">
        <v>3499</v>
      </c>
      <c r="DG13" t="s">
        <v>3500</v>
      </c>
      <c r="DH13" t="s">
        <v>3501</v>
      </c>
      <c r="DI13" t="s">
        <v>3502</v>
      </c>
      <c r="DJ13" t="s">
        <v>3503</v>
      </c>
      <c r="DK13" t="s">
        <v>3504</v>
      </c>
      <c r="DL13" t="s">
        <v>3505</v>
      </c>
      <c r="DM13" t="s">
        <v>3506</v>
      </c>
      <c r="DN13" t="s">
        <v>3507</v>
      </c>
      <c r="DO13" t="s">
        <v>3508</v>
      </c>
      <c r="DP13" t="s">
        <v>3509</v>
      </c>
      <c r="DQ13" t="s">
        <v>3510</v>
      </c>
      <c r="DR13" t="s">
        <v>3511</v>
      </c>
      <c r="DS13" t="s">
        <v>3512</v>
      </c>
      <c r="DT13" t="s">
        <v>3513</v>
      </c>
      <c r="DU13" t="s">
        <v>3514</v>
      </c>
      <c r="DV13" t="s">
        <v>3515</v>
      </c>
      <c r="DW13" t="s">
        <v>3516</v>
      </c>
      <c r="DX13" t="s">
        <v>3517</v>
      </c>
    </row>
    <row r="14" spans="1:128" x14ac:dyDescent="0.55000000000000004">
      <c r="A14">
        <v>11</v>
      </c>
      <c r="B14" t="s">
        <v>3496</v>
      </c>
      <c r="C14">
        <v>1</v>
      </c>
      <c r="D14">
        <v>1</v>
      </c>
      <c r="E14">
        <v>1</v>
      </c>
      <c r="F14">
        <v>1</v>
      </c>
      <c r="G14">
        <v>2</v>
      </c>
      <c r="H14">
        <v>0</v>
      </c>
      <c r="I14">
        <v>0</v>
      </c>
      <c r="J14">
        <v>11</v>
      </c>
      <c r="K14">
        <v>0</v>
      </c>
      <c r="L14">
        <v>1</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t="b">
        <v>1</v>
      </c>
      <c r="CR14">
        <v>89</v>
      </c>
      <c r="CS14">
        <v>1</v>
      </c>
      <c r="CT14" t="b">
        <v>0</v>
      </c>
      <c r="CU14">
        <v>0</v>
      </c>
      <c r="CV14">
        <v>0</v>
      </c>
      <c r="CW14">
        <v>0</v>
      </c>
      <c r="CX14">
        <v>0</v>
      </c>
      <c r="CY14">
        <v>1</v>
      </c>
      <c r="CZ14">
        <v>1</v>
      </c>
      <c r="DA14">
        <v>1</v>
      </c>
      <c r="DB14">
        <v>21</v>
      </c>
      <c r="DC14" t="s">
        <v>3849</v>
      </c>
      <c r="DD14" t="s">
        <v>3497</v>
      </c>
      <c r="DE14" t="s">
        <v>3498</v>
      </c>
      <c r="DF14" t="s">
        <v>3499</v>
      </c>
      <c r="DG14" t="s">
        <v>3500</v>
      </c>
      <c r="DH14" t="s">
        <v>3501</v>
      </c>
      <c r="DI14" t="s">
        <v>3502</v>
      </c>
      <c r="DJ14" t="s">
        <v>3503</v>
      </c>
      <c r="DK14" t="s">
        <v>3504</v>
      </c>
      <c r="DL14" t="s">
        <v>3505</v>
      </c>
      <c r="DM14" t="s">
        <v>3506</v>
      </c>
      <c r="DN14" t="s">
        <v>3507</v>
      </c>
      <c r="DO14" t="s">
        <v>3508</v>
      </c>
      <c r="DP14" t="s">
        <v>3509</v>
      </c>
      <c r="DQ14" t="s">
        <v>3510</v>
      </c>
      <c r="DR14" t="s">
        <v>3511</v>
      </c>
      <c r="DS14" t="s">
        <v>3512</v>
      </c>
      <c r="DT14" t="s">
        <v>3513</v>
      </c>
      <c r="DU14" t="s">
        <v>3514</v>
      </c>
      <c r="DV14" t="s">
        <v>3515</v>
      </c>
      <c r="DW14" t="s">
        <v>3516</v>
      </c>
      <c r="DX14" t="s">
        <v>3517</v>
      </c>
    </row>
    <row r="15" spans="1:128" x14ac:dyDescent="0.55000000000000004">
      <c r="A15">
        <v>12</v>
      </c>
      <c r="B15" t="s">
        <v>3496</v>
      </c>
      <c r="C15">
        <v>1</v>
      </c>
      <c r="D15">
        <v>1</v>
      </c>
      <c r="E15">
        <v>1</v>
      </c>
      <c r="F15">
        <v>1</v>
      </c>
      <c r="G15">
        <v>2</v>
      </c>
      <c r="H15">
        <v>0</v>
      </c>
      <c r="I15">
        <v>0</v>
      </c>
      <c r="J15">
        <v>15</v>
      </c>
      <c r="K15">
        <v>0</v>
      </c>
      <c r="L15">
        <v>1</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t="b">
        <v>1</v>
      </c>
      <c r="CR15">
        <v>89</v>
      </c>
      <c r="CS15">
        <v>1</v>
      </c>
      <c r="CT15" t="b">
        <v>0</v>
      </c>
      <c r="CU15">
        <v>0</v>
      </c>
      <c r="CV15">
        <v>0</v>
      </c>
      <c r="CW15">
        <v>0</v>
      </c>
      <c r="CX15">
        <v>0</v>
      </c>
      <c r="CY15">
        <v>1</v>
      </c>
      <c r="CZ15">
        <v>1</v>
      </c>
      <c r="DA15">
        <v>1</v>
      </c>
      <c r="DB15">
        <v>21</v>
      </c>
      <c r="DC15" t="s">
        <v>3849</v>
      </c>
      <c r="DD15" t="s">
        <v>3497</v>
      </c>
      <c r="DE15" t="s">
        <v>3498</v>
      </c>
      <c r="DF15" t="s">
        <v>3499</v>
      </c>
      <c r="DG15" t="s">
        <v>3500</v>
      </c>
      <c r="DH15" t="s">
        <v>3501</v>
      </c>
      <c r="DI15" t="s">
        <v>3502</v>
      </c>
      <c r="DJ15" t="s">
        <v>3503</v>
      </c>
      <c r="DK15" t="s">
        <v>3504</v>
      </c>
      <c r="DL15" t="s">
        <v>3505</v>
      </c>
      <c r="DM15" t="s">
        <v>3506</v>
      </c>
      <c r="DN15" t="s">
        <v>3507</v>
      </c>
      <c r="DO15" t="s">
        <v>3508</v>
      </c>
      <c r="DP15" t="s">
        <v>3509</v>
      </c>
      <c r="DQ15" t="s">
        <v>3510</v>
      </c>
      <c r="DR15" t="s">
        <v>3511</v>
      </c>
      <c r="DS15" t="s">
        <v>3512</v>
      </c>
      <c r="DT15" t="s">
        <v>3513</v>
      </c>
      <c r="DU15" t="s">
        <v>3514</v>
      </c>
      <c r="DV15" t="s">
        <v>3515</v>
      </c>
      <c r="DW15" t="s">
        <v>3516</v>
      </c>
      <c r="DX15" t="s">
        <v>3517</v>
      </c>
    </row>
    <row r="16" spans="1:128" x14ac:dyDescent="0.55000000000000004">
      <c r="A16">
        <v>13</v>
      </c>
      <c r="B16" t="s">
        <v>3518</v>
      </c>
      <c r="C16">
        <v>1</v>
      </c>
      <c r="D16">
        <v>2</v>
      </c>
      <c r="E16">
        <v>-28</v>
      </c>
      <c r="F16">
        <v>0.5</v>
      </c>
      <c r="G16">
        <v>2</v>
      </c>
      <c r="H16">
        <v>0</v>
      </c>
      <c r="I16">
        <v>0</v>
      </c>
      <c r="J16">
        <v>4</v>
      </c>
      <c r="K16">
        <v>0</v>
      </c>
      <c r="L16">
        <v>1</v>
      </c>
      <c r="M16">
        <v>0</v>
      </c>
      <c r="N16">
        <v>-14</v>
      </c>
      <c r="O16">
        <v>1</v>
      </c>
      <c r="P16">
        <v>2</v>
      </c>
      <c r="Q16">
        <v>0</v>
      </c>
      <c r="R16">
        <v>0</v>
      </c>
      <c r="S16">
        <v>4</v>
      </c>
      <c r="T16">
        <v>0</v>
      </c>
      <c r="U16">
        <v>1</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t="b">
        <v>1</v>
      </c>
      <c r="CR16">
        <v>10</v>
      </c>
      <c r="CS16">
        <v>1</v>
      </c>
      <c r="CT16" t="b">
        <v>0</v>
      </c>
      <c r="CU16">
        <v>0</v>
      </c>
      <c r="CV16">
        <v>0</v>
      </c>
      <c r="CW16">
        <v>0</v>
      </c>
      <c r="CX16">
        <v>0</v>
      </c>
      <c r="CY16">
        <v>1</v>
      </c>
      <c r="CZ16">
        <v>1</v>
      </c>
      <c r="DA16">
        <v>1</v>
      </c>
      <c r="DB16">
        <v>8</v>
      </c>
      <c r="DC16" t="s">
        <v>3849</v>
      </c>
      <c r="DD16" t="s">
        <v>3519</v>
      </c>
      <c r="DE16" t="s">
        <v>3520</v>
      </c>
      <c r="DF16" t="s">
        <v>3521</v>
      </c>
      <c r="DG16" t="s">
        <v>3522</v>
      </c>
      <c r="DH16" t="s">
        <v>3523</v>
      </c>
      <c r="DI16" t="s">
        <v>3524</v>
      </c>
      <c r="DJ16" t="s">
        <v>3525</v>
      </c>
      <c r="DK16" t="s">
        <v>3526</v>
      </c>
    </row>
    <row r="17" spans="1:128" x14ac:dyDescent="0.55000000000000004">
      <c r="A17">
        <v>14</v>
      </c>
      <c r="B17" t="s">
        <v>3518</v>
      </c>
      <c r="C17">
        <v>1</v>
      </c>
      <c r="D17">
        <v>2</v>
      </c>
      <c r="E17">
        <v>-28</v>
      </c>
      <c r="F17">
        <v>0.5</v>
      </c>
      <c r="G17">
        <v>2</v>
      </c>
      <c r="H17">
        <v>0</v>
      </c>
      <c r="I17">
        <v>0</v>
      </c>
      <c r="J17">
        <v>8</v>
      </c>
      <c r="K17">
        <v>0</v>
      </c>
      <c r="L17">
        <v>1</v>
      </c>
      <c r="M17">
        <v>0</v>
      </c>
      <c r="N17">
        <v>-14</v>
      </c>
      <c r="O17">
        <v>1</v>
      </c>
      <c r="P17">
        <v>2</v>
      </c>
      <c r="Q17">
        <v>0</v>
      </c>
      <c r="R17">
        <v>0</v>
      </c>
      <c r="S17">
        <v>8</v>
      </c>
      <c r="T17">
        <v>0</v>
      </c>
      <c r="U17">
        <v>1</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t="b">
        <v>1</v>
      </c>
      <c r="CR17">
        <v>10</v>
      </c>
      <c r="CS17">
        <v>1</v>
      </c>
      <c r="CT17" t="b">
        <v>0</v>
      </c>
      <c r="CU17">
        <v>0</v>
      </c>
      <c r="CV17">
        <v>0</v>
      </c>
      <c r="CW17">
        <v>0</v>
      </c>
      <c r="CX17">
        <v>0</v>
      </c>
      <c r="CY17">
        <v>1</v>
      </c>
      <c r="CZ17">
        <v>1</v>
      </c>
      <c r="DA17">
        <v>1</v>
      </c>
      <c r="DB17">
        <v>8</v>
      </c>
      <c r="DC17" t="s">
        <v>3849</v>
      </c>
      <c r="DD17" t="s">
        <v>3519</v>
      </c>
      <c r="DE17" t="s">
        <v>3520</v>
      </c>
      <c r="DF17" t="s">
        <v>3521</v>
      </c>
      <c r="DG17" t="s">
        <v>3522</v>
      </c>
      <c r="DH17" t="s">
        <v>3523</v>
      </c>
      <c r="DI17" t="s">
        <v>3524</v>
      </c>
      <c r="DJ17" t="s">
        <v>3525</v>
      </c>
      <c r="DK17" t="s">
        <v>3526</v>
      </c>
    </row>
    <row r="18" spans="1:128" x14ac:dyDescent="0.55000000000000004">
      <c r="A18">
        <v>15</v>
      </c>
      <c r="B18" t="s">
        <v>3518</v>
      </c>
      <c r="C18">
        <v>1</v>
      </c>
      <c r="D18">
        <v>2</v>
      </c>
      <c r="E18">
        <v>-28</v>
      </c>
      <c r="F18">
        <v>0.5</v>
      </c>
      <c r="G18">
        <v>2</v>
      </c>
      <c r="H18">
        <v>0</v>
      </c>
      <c r="I18">
        <v>0</v>
      </c>
      <c r="J18">
        <v>15</v>
      </c>
      <c r="K18">
        <v>0</v>
      </c>
      <c r="L18">
        <v>1</v>
      </c>
      <c r="M18">
        <v>0</v>
      </c>
      <c r="N18">
        <v>-14</v>
      </c>
      <c r="O18">
        <v>1</v>
      </c>
      <c r="P18">
        <v>2</v>
      </c>
      <c r="Q18">
        <v>0</v>
      </c>
      <c r="R18">
        <v>0</v>
      </c>
      <c r="S18">
        <v>15</v>
      </c>
      <c r="T18">
        <v>0</v>
      </c>
      <c r="U18">
        <v>1</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t="b">
        <v>1</v>
      </c>
      <c r="CR18">
        <v>10</v>
      </c>
      <c r="CS18">
        <v>1</v>
      </c>
      <c r="CT18" t="b">
        <v>0</v>
      </c>
      <c r="CU18">
        <v>0</v>
      </c>
      <c r="CV18">
        <v>0</v>
      </c>
      <c r="CW18">
        <v>0</v>
      </c>
      <c r="CX18">
        <v>0</v>
      </c>
      <c r="CY18">
        <v>1</v>
      </c>
      <c r="CZ18">
        <v>1</v>
      </c>
      <c r="DA18">
        <v>1</v>
      </c>
      <c r="DB18">
        <v>8</v>
      </c>
      <c r="DC18" t="s">
        <v>3849</v>
      </c>
      <c r="DD18" t="s">
        <v>3519</v>
      </c>
      <c r="DE18" t="s">
        <v>3520</v>
      </c>
      <c r="DF18" t="s">
        <v>3521</v>
      </c>
      <c r="DG18" t="s">
        <v>3522</v>
      </c>
      <c r="DH18" t="s">
        <v>3523</v>
      </c>
      <c r="DI18" t="s">
        <v>3524</v>
      </c>
      <c r="DJ18" t="s">
        <v>3525</v>
      </c>
      <c r="DK18" t="s">
        <v>3526</v>
      </c>
    </row>
    <row r="19" spans="1:128" x14ac:dyDescent="0.55000000000000004">
      <c r="A19">
        <v>16</v>
      </c>
      <c r="B19" t="s">
        <v>874</v>
      </c>
      <c r="C19">
        <v>1</v>
      </c>
      <c r="D19">
        <v>1</v>
      </c>
      <c r="E19">
        <v>1</v>
      </c>
      <c r="F19">
        <v>1</v>
      </c>
      <c r="G19">
        <v>2</v>
      </c>
      <c r="H19">
        <v>0</v>
      </c>
      <c r="I19">
        <v>0</v>
      </c>
      <c r="J19">
        <v>6</v>
      </c>
      <c r="K19">
        <v>0</v>
      </c>
      <c r="L19">
        <v>1</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t="b">
        <v>1</v>
      </c>
      <c r="CR19">
        <v>89</v>
      </c>
      <c r="CS19">
        <v>1</v>
      </c>
      <c r="CT19" t="b">
        <v>0</v>
      </c>
      <c r="CU19">
        <v>0</v>
      </c>
      <c r="CV19">
        <v>0</v>
      </c>
      <c r="CW19">
        <v>0</v>
      </c>
      <c r="CX19">
        <v>0</v>
      </c>
      <c r="CY19">
        <v>1</v>
      </c>
      <c r="CZ19">
        <v>1</v>
      </c>
      <c r="DA19">
        <v>1</v>
      </c>
      <c r="DB19">
        <v>11</v>
      </c>
      <c r="DC19" t="s">
        <v>3849</v>
      </c>
      <c r="DD19" t="s">
        <v>3527</v>
      </c>
      <c r="DE19" t="s">
        <v>3528</v>
      </c>
      <c r="DF19" t="s">
        <v>3529</v>
      </c>
      <c r="DG19" t="s">
        <v>3530</v>
      </c>
      <c r="DH19" t="s">
        <v>3531</v>
      </c>
      <c r="DI19" t="s">
        <v>3532</v>
      </c>
      <c r="DJ19" t="s">
        <v>3533</v>
      </c>
      <c r="DK19" t="s">
        <v>3534</v>
      </c>
      <c r="DL19" t="s">
        <v>3535</v>
      </c>
      <c r="DM19" t="s">
        <v>3536</v>
      </c>
      <c r="DN19" t="s">
        <v>3537</v>
      </c>
    </row>
    <row r="20" spans="1:128" x14ac:dyDescent="0.55000000000000004">
      <c r="A20">
        <v>17</v>
      </c>
      <c r="B20" t="s">
        <v>874</v>
      </c>
      <c r="C20">
        <v>1</v>
      </c>
      <c r="D20">
        <v>1</v>
      </c>
      <c r="E20">
        <v>1</v>
      </c>
      <c r="F20">
        <v>1</v>
      </c>
      <c r="G20">
        <v>2</v>
      </c>
      <c r="H20">
        <v>0</v>
      </c>
      <c r="I20">
        <v>0</v>
      </c>
      <c r="J20">
        <v>15</v>
      </c>
      <c r="K20">
        <v>0</v>
      </c>
      <c r="L20">
        <v>1</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t="b">
        <v>1</v>
      </c>
      <c r="CR20">
        <v>89</v>
      </c>
      <c r="CS20">
        <v>1</v>
      </c>
      <c r="CT20" t="b">
        <v>0</v>
      </c>
      <c r="CU20">
        <v>0</v>
      </c>
      <c r="CV20">
        <v>0</v>
      </c>
      <c r="CW20">
        <v>0</v>
      </c>
      <c r="CX20">
        <v>0</v>
      </c>
      <c r="CY20">
        <v>1</v>
      </c>
      <c r="CZ20">
        <v>1</v>
      </c>
      <c r="DA20">
        <v>1</v>
      </c>
      <c r="DB20">
        <v>11</v>
      </c>
      <c r="DC20" t="s">
        <v>3849</v>
      </c>
      <c r="DD20" t="s">
        <v>3527</v>
      </c>
      <c r="DE20" t="s">
        <v>3528</v>
      </c>
      <c r="DF20" t="s">
        <v>3529</v>
      </c>
      <c r="DG20" t="s">
        <v>3530</v>
      </c>
      <c r="DH20" t="s">
        <v>3531</v>
      </c>
      <c r="DI20" t="s">
        <v>3532</v>
      </c>
      <c r="DJ20" t="s">
        <v>3533</v>
      </c>
      <c r="DK20" t="s">
        <v>3534</v>
      </c>
      <c r="DL20" t="s">
        <v>3535</v>
      </c>
      <c r="DM20" t="s">
        <v>3536</v>
      </c>
      <c r="DN20" t="s">
        <v>3537</v>
      </c>
    </row>
    <row r="21" spans="1:128" x14ac:dyDescent="0.55000000000000004">
      <c r="A21">
        <v>18</v>
      </c>
      <c r="B21" t="s">
        <v>875</v>
      </c>
      <c r="C21">
        <v>1</v>
      </c>
      <c r="D21">
        <v>1</v>
      </c>
      <c r="E21">
        <v>-14</v>
      </c>
      <c r="F21">
        <v>0.5</v>
      </c>
      <c r="G21">
        <v>2</v>
      </c>
      <c r="H21">
        <v>0</v>
      </c>
      <c r="I21">
        <v>0</v>
      </c>
      <c r="J21">
        <v>6</v>
      </c>
      <c r="K21">
        <v>0</v>
      </c>
      <c r="L21">
        <v>1</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t="b">
        <v>1</v>
      </c>
      <c r="CR21">
        <v>10</v>
      </c>
      <c r="CS21">
        <v>1</v>
      </c>
      <c r="CT21" t="b">
        <v>0</v>
      </c>
      <c r="CU21">
        <v>0</v>
      </c>
      <c r="CV21">
        <v>0</v>
      </c>
      <c r="CW21">
        <v>0</v>
      </c>
      <c r="CX21">
        <v>0</v>
      </c>
      <c r="CY21">
        <v>1</v>
      </c>
      <c r="CZ21">
        <v>1</v>
      </c>
      <c r="DA21">
        <v>1</v>
      </c>
      <c r="DB21">
        <v>21</v>
      </c>
      <c r="DC21" t="s">
        <v>3849</v>
      </c>
      <c r="DD21" t="s">
        <v>3538</v>
      </c>
      <c r="DE21" t="s">
        <v>3539</v>
      </c>
      <c r="DF21" t="s">
        <v>3540</v>
      </c>
      <c r="DG21" t="s">
        <v>3541</v>
      </c>
      <c r="DH21" t="s">
        <v>3542</v>
      </c>
      <c r="DI21" t="s">
        <v>3543</v>
      </c>
      <c r="DJ21" t="s">
        <v>3544</v>
      </c>
      <c r="DK21" t="s">
        <v>3545</v>
      </c>
      <c r="DL21" t="s">
        <v>3546</v>
      </c>
      <c r="DM21" t="s">
        <v>3547</v>
      </c>
      <c r="DN21" t="s">
        <v>3548</v>
      </c>
      <c r="DO21" t="s">
        <v>3549</v>
      </c>
      <c r="DP21" t="s">
        <v>3550</v>
      </c>
      <c r="DQ21" t="s">
        <v>3551</v>
      </c>
      <c r="DR21" t="s">
        <v>3552</v>
      </c>
      <c r="DS21" t="s">
        <v>3553</v>
      </c>
      <c r="DT21" t="s">
        <v>3554</v>
      </c>
      <c r="DU21" t="s">
        <v>3555</v>
      </c>
      <c r="DV21" t="s">
        <v>3556</v>
      </c>
      <c r="DW21" t="s">
        <v>3557</v>
      </c>
      <c r="DX21" t="s">
        <v>3558</v>
      </c>
    </row>
    <row r="22" spans="1:128" x14ac:dyDescent="0.55000000000000004">
      <c r="A22">
        <v>19</v>
      </c>
      <c r="B22" t="s">
        <v>875</v>
      </c>
      <c r="C22">
        <v>1</v>
      </c>
      <c r="D22">
        <v>1</v>
      </c>
      <c r="E22">
        <v>-14</v>
      </c>
      <c r="F22">
        <v>0.5</v>
      </c>
      <c r="G22">
        <v>2</v>
      </c>
      <c r="H22">
        <v>0</v>
      </c>
      <c r="I22">
        <v>0</v>
      </c>
      <c r="J22">
        <v>15</v>
      </c>
      <c r="K22">
        <v>0</v>
      </c>
      <c r="L22">
        <v>1</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t="b">
        <v>1</v>
      </c>
      <c r="CR22">
        <v>10</v>
      </c>
      <c r="CS22">
        <v>1</v>
      </c>
      <c r="CT22" t="b">
        <v>0</v>
      </c>
      <c r="CU22">
        <v>0</v>
      </c>
      <c r="CV22">
        <v>0</v>
      </c>
      <c r="CW22">
        <v>0</v>
      </c>
      <c r="CX22">
        <v>0</v>
      </c>
      <c r="CY22">
        <v>1</v>
      </c>
      <c r="CZ22">
        <v>1</v>
      </c>
      <c r="DA22">
        <v>1</v>
      </c>
      <c r="DB22">
        <v>21</v>
      </c>
      <c r="DC22" t="s">
        <v>3849</v>
      </c>
      <c r="DD22" t="s">
        <v>3538</v>
      </c>
      <c r="DE22" t="s">
        <v>3539</v>
      </c>
      <c r="DF22" t="s">
        <v>3540</v>
      </c>
      <c r="DG22" t="s">
        <v>3541</v>
      </c>
      <c r="DH22" t="s">
        <v>3542</v>
      </c>
      <c r="DI22" t="s">
        <v>3543</v>
      </c>
      <c r="DJ22" t="s">
        <v>3544</v>
      </c>
      <c r="DK22" t="s">
        <v>3545</v>
      </c>
      <c r="DL22" t="s">
        <v>3546</v>
      </c>
      <c r="DM22" t="s">
        <v>3547</v>
      </c>
      <c r="DN22" t="s">
        <v>3548</v>
      </c>
      <c r="DO22" t="s">
        <v>3549</v>
      </c>
      <c r="DP22" t="s">
        <v>3550</v>
      </c>
      <c r="DQ22" t="s">
        <v>3551</v>
      </c>
      <c r="DR22" t="s">
        <v>3552</v>
      </c>
      <c r="DS22" t="s">
        <v>3553</v>
      </c>
      <c r="DT22" t="s">
        <v>3554</v>
      </c>
      <c r="DU22" t="s">
        <v>3555</v>
      </c>
      <c r="DV22" t="s">
        <v>3556</v>
      </c>
      <c r="DW22" t="s">
        <v>3557</v>
      </c>
      <c r="DX22" t="s">
        <v>3558</v>
      </c>
    </row>
    <row r="23" spans="1:128" x14ac:dyDescent="0.55000000000000004">
      <c r="A23">
        <v>20</v>
      </c>
      <c r="B23" t="s">
        <v>3559</v>
      </c>
      <c r="C23">
        <v>1</v>
      </c>
      <c r="D23">
        <v>1</v>
      </c>
      <c r="E23">
        <v>-14</v>
      </c>
      <c r="F23">
        <v>0.25</v>
      </c>
      <c r="G23">
        <v>1</v>
      </c>
      <c r="H23">
        <v>0</v>
      </c>
      <c r="I23">
        <v>0</v>
      </c>
      <c r="J23">
        <v>15</v>
      </c>
      <c r="K23">
        <v>0</v>
      </c>
      <c r="L23">
        <v>1</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t="b">
        <v>1</v>
      </c>
      <c r="CR23">
        <v>10</v>
      </c>
      <c r="CS23">
        <v>1</v>
      </c>
      <c r="CT23" t="b">
        <v>0</v>
      </c>
      <c r="CU23">
        <v>0</v>
      </c>
      <c r="CV23">
        <v>0</v>
      </c>
      <c r="CW23">
        <v>0</v>
      </c>
      <c r="CX23">
        <v>0</v>
      </c>
      <c r="CY23">
        <v>1</v>
      </c>
      <c r="CZ23">
        <v>1</v>
      </c>
      <c r="DA23">
        <v>1</v>
      </c>
      <c r="DB23">
        <v>21</v>
      </c>
      <c r="DC23" t="s">
        <v>3849</v>
      </c>
      <c r="DD23" t="s">
        <v>3538</v>
      </c>
      <c r="DE23" t="s">
        <v>3539</v>
      </c>
      <c r="DF23" t="s">
        <v>3540</v>
      </c>
      <c r="DG23" t="s">
        <v>3541</v>
      </c>
      <c r="DH23" t="s">
        <v>3542</v>
      </c>
      <c r="DI23" t="s">
        <v>3543</v>
      </c>
      <c r="DJ23" t="s">
        <v>3544</v>
      </c>
      <c r="DK23" t="s">
        <v>3545</v>
      </c>
      <c r="DL23" t="s">
        <v>3546</v>
      </c>
      <c r="DM23" t="s">
        <v>3547</v>
      </c>
      <c r="DN23" t="s">
        <v>3548</v>
      </c>
      <c r="DO23" t="s">
        <v>3549</v>
      </c>
      <c r="DP23" t="s">
        <v>3550</v>
      </c>
      <c r="DQ23" t="s">
        <v>3551</v>
      </c>
      <c r="DR23" t="s">
        <v>3552</v>
      </c>
      <c r="DS23" t="s">
        <v>3553</v>
      </c>
      <c r="DT23" t="s">
        <v>3554</v>
      </c>
      <c r="DU23" t="s">
        <v>3555</v>
      </c>
      <c r="DV23" t="s">
        <v>3556</v>
      </c>
      <c r="DW23" t="s">
        <v>3557</v>
      </c>
      <c r="DX23" t="s">
        <v>3558</v>
      </c>
    </row>
    <row r="24" spans="1:128" x14ac:dyDescent="0.55000000000000004">
      <c r="A24">
        <v>21</v>
      </c>
      <c r="B24" t="s">
        <v>3560</v>
      </c>
      <c r="C24">
        <v>1</v>
      </c>
      <c r="D24">
        <v>1</v>
      </c>
      <c r="E24">
        <v>-14</v>
      </c>
      <c r="F24">
        <v>1</v>
      </c>
      <c r="G24">
        <v>7</v>
      </c>
      <c r="H24">
        <v>4</v>
      </c>
      <c r="I24">
        <v>0</v>
      </c>
      <c r="J24">
        <v>15</v>
      </c>
      <c r="K24">
        <v>0</v>
      </c>
      <c r="L24">
        <v>1</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t="b">
        <v>1</v>
      </c>
      <c r="CR24">
        <v>10</v>
      </c>
      <c r="CS24">
        <v>1</v>
      </c>
      <c r="CT24" t="b">
        <v>0</v>
      </c>
      <c r="CU24">
        <v>0</v>
      </c>
      <c r="CV24">
        <v>0</v>
      </c>
      <c r="CW24">
        <v>0</v>
      </c>
      <c r="CX24">
        <v>0</v>
      </c>
      <c r="CY24">
        <v>1</v>
      </c>
      <c r="CZ24">
        <v>1</v>
      </c>
      <c r="DA24">
        <v>1</v>
      </c>
      <c r="DB24">
        <v>14</v>
      </c>
      <c r="DC24" t="s">
        <v>3849</v>
      </c>
      <c r="DD24" t="s">
        <v>3561</v>
      </c>
      <c r="DE24" t="s">
        <v>3562</v>
      </c>
      <c r="DF24" t="s">
        <v>3563</v>
      </c>
      <c r="DG24" t="s">
        <v>3564</v>
      </c>
      <c r="DH24" t="s">
        <v>3565</v>
      </c>
      <c r="DI24" t="s">
        <v>3566</v>
      </c>
      <c r="DJ24" t="s">
        <v>3567</v>
      </c>
      <c r="DK24" t="s">
        <v>3568</v>
      </c>
      <c r="DL24" t="s">
        <v>3569</v>
      </c>
      <c r="DM24" t="s">
        <v>3570</v>
      </c>
      <c r="DN24" t="s">
        <v>3571</v>
      </c>
      <c r="DO24" t="s">
        <v>3572</v>
      </c>
      <c r="DP24" t="s">
        <v>3573</v>
      </c>
      <c r="DQ24" t="s">
        <v>3574</v>
      </c>
    </row>
    <row r="25" spans="1:128" x14ac:dyDescent="0.55000000000000004">
      <c r="A25">
        <v>22</v>
      </c>
      <c r="B25" t="s">
        <v>3575</v>
      </c>
      <c r="C25">
        <v>1</v>
      </c>
      <c r="D25">
        <v>2</v>
      </c>
      <c r="E25">
        <v>0</v>
      </c>
      <c r="F25">
        <v>1</v>
      </c>
      <c r="G25">
        <v>2</v>
      </c>
      <c r="H25">
        <v>0</v>
      </c>
      <c r="I25">
        <v>0</v>
      </c>
      <c r="J25">
        <v>3</v>
      </c>
      <c r="K25">
        <v>0</v>
      </c>
      <c r="L25">
        <v>1</v>
      </c>
      <c r="M25">
        <v>0</v>
      </c>
      <c r="N25">
        <v>35</v>
      </c>
      <c r="O25">
        <v>1</v>
      </c>
      <c r="P25">
        <v>2</v>
      </c>
      <c r="Q25">
        <v>0</v>
      </c>
      <c r="R25">
        <v>0</v>
      </c>
      <c r="S25">
        <v>3</v>
      </c>
      <c r="T25">
        <v>0</v>
      </c>
      <c r="U25">
        <v>1</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t="b">
        <v>1</v>
      </c>
      <c r="CR25">
        <v>55</v>
      </c>
      <c r="CS25">
        <v>1</v>
      </c>
      <c r="CT25" t="b">
        <v>0</v>
      </c>
      <c r="CU25">
        <v>0</v>
      </c>
      <c r="CV25">
        <v>0</v>
      </c>
      <c r="CW25">
        <v>0</v>
      </c>
      <c r="CX25">
        <v>0</v>
      </c>
      <c r="CY25">
        <v>1</v>
      </c>
      <c r="CZ25">
        <v>1</v>
      </c>
      <c r="DA25">
        <v>1</v>
      </c>
      <c r="DB25">
        <v>21</v>
      </c>
      <c r="DC25" t="s">
        <v>3849</v>
      </c>
      <c r="DD25" t="s">
        <v>3576</v>
      </c>
      <c r="DE25" t="s">
        <v>3577</v>
      </c>
      <c r="DF25" t="s">
        <v>3578</v>
      </c>
      <c r="DG25" t="s">
        <v>3579</v>
      </c>
      <c r="DH25" t="s">
        <v>3580</v>
      </c>
      <c r="DI25" t="s">
        <v>3581</v>
      </c>
      <c r="DJ25" t="s">
        <v>3582</v>
      </c>
      <c r="DK25" t="s">
        <v>3583</v>
      </c>
      <c r="DL25" t="s">
        <v>3584</v>
      </c>
      <c r="DM25" t="s">
        <v>3585</v>
      </c>
      <c r="DN25" t="s">
        <v>3586</v>
      </c>
      <c r="DO25" t="s">
        <v>3587</v>
      </c>
      <c r="DP25" t="s">
        <v>3588</v>
      </c>
      <c r="DQ25" t="s">
        <v>3589</v>
      </c>
      <c r="DR25" t="s">
        <v>3590</v>
      </c>
      <c r="DS25" t="s">
        <v>3591</v>
      </c>
      <c r="DT25" t="s">
        <v>3592</v>
      </c>
      <c r="DU25" t="s">
        <v>3593</v>
      </c>
      <c r="DV25" t="s">
        <v>3594</v>
      </c>
      <c r="DW25" t="s">
        <v>3595</v>
      </c>
      <c r="DX25" t="s">
        <v>3596</v>
      </c>
    </row>
    <row r="26" spans="1:128" x14ac:dyDescent="0.55000000000000004">
      <c r="A26">
        <v>23</v>
      </c>
      <c r="B26" t="s">
        <v>3575</v>
      </c>
      <c r="C26">
        <v>1</v>
      </c>
      <c r="D26">
        <v>2</v>
      </c>
      <c r="E26">
        <v>0</v>
      </c>
      <c r="F26">
        <v>1</v>
      </c>
      <c r="G26">
        <v>2</v>
      </c>
      <c r="H26">
        <v>0</v>
      </c>
      <c r="I26">
        <v>0</v>
      </c>
      <c r="J26">
        <v>6</v>
      </c>
      <c r="K26">
        <v>0</v>
      </c>
      <c r="L26">
        <v>1</v>
      </c>
      <c r="M26">
        <v>0</v>
      </c>
      <c r="N26">
        <v>35</v>
      </c>
      <c r="O26">
        <v>1</v>
      </c>
      <c r="P26">
        <v>2</v>
      </c>
      <c r="Q26">
        <v>0</v>
      </c>
      <c r="R26">
        <v>0</v>
      </c>
      <c r="S26">
        <v>6</v>
      </c>
      <c r="T26">
        <v>0</v>
      </c>
      <c r="U26">
        <v>1</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t="b">
        <v>1</v>
      </c>
      <c r="CR26">
        <v>55</v>
      </c>
      <c r="CS26">
        <v>1</v>
      </c>
      <c r="CT26" t="b">
        <v>0</v>
      </c>
      <c r="CU26">
        <v>0</v>
      </c>
      <c r="CV26">
        <v>0</v>
      </c>
      <c r="CW26">
        <v>0</v>
      </c>
      <c r="CX26">
        <v>0</v>
      </c>
      <c r="CY26">
        <v>1</v>
      </c>
      <c r="CZ26">
        <v>1</v>
      </c>
      <c r="DA26">
        <v>1</v>
      </c>
      <c r="DB26">
        <v>21</v>
      </c>
      <c r="DC26" t="s">
        <v>3849</v>
      </c>
      <c r="DD26" t="s">
        <v>3576</v>
      </c>
      <c r="DE26" t="s">
        <v>3577</v>
      </c>
      <c r="DF26" t="s">
        <v>3578</v>
      </c>
      <c r="DG26" t="s">
        <v>3579</v>
      </c>
      <c r="DH26" t="s">
        <v>3580</v>
      </c>
      <c r="DI26" t="s">
        <v>3581</v>
      </c>
      <c r="DJ26" t="s">
        <v>3582</v>
      </c>
      <c r="DK26" t="s">
        <v>3583</v>
      </c>
      <c r="DL26" t="s">
        <v>3584</v>
      </c>
      <c r="DM26" t="s">
        <v>3585</v>
      </c>
      <c r="DN26" t="s">
        <v>3586</v>
      </c>
      <c r="DO26" t="s">
        <v>3587</v>
      </c>
      <c r="DP26" t="s">
        <v>3588</v>
      </c>
      <c r="DQ26" t="s">
        <v>3589</v>
      </c>
      <c r="DR26" t="s">
        <v>3590</v>
      </c>
      <c r="DS26" t="s">
        <v>3591</v>
      </c>
      <c r="DT26" t="s">
        <v>3592</v>
      </c>
      <c r="DU26" t="s">
        <v>3593</v>
      </c>
      <c r="DV26" t="s">
        <v>3594</v>
      </c>
      <c r="DW26" t="s">
        <v>3595</v>
      </c>
      <c r="DX26" t="s">
        <v>3596</v>
      </c>
    </row>
    <row r="27" spans="1:128" x14ac:dyDescent="0.55000000000000004">
      <c r="A27">
        <v>24</v>
      </c>
      <c r="B27" t="s">
        <v>3575</v>
      </c>
      <c r="C27">
        <v>1</v>
      </c>
      <c r="D27">
        <v>2</v>
      </c>
      <c r="E27">
        <v>0</v>
      </c>
      <c r="F27">
        <v>1</v>
      </c>
      <c r="G27">
        <v>2</v>
      </c>
      <c r="H27">
        <v>0</v>
      </c>
      <c r="I27">
        <v>0</v>
      </c>
      <c r="J27">
        <v>15</v>
      </c>
      <c r="K27">
        <v>0</v>
      </c>
      <c r="L27">
        <v>1</v>
      </c>
      <c r="M27">
        <v>0</v>
      </c>
      <c r="N27">
        <v>35</v>
      </c>
      <c r="O27">
        <v>1</v>
      </c>
      <c r="P27">
        <v>2</v>
      </c>
      <c r="Q27">
        <v>0</v>
      </c>
      <c r="R27">
        <v>0</v>
      </c>
      <c r="S27">
        <v>15</v>
      </c>
      <c r="T27">
        <v>0</v>
      </c>
      <c r="U27">
        <v>1</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t="b">
        <v>1</v>
      </c>
      <c r="CR27">
        <v>55</v>
      </c>
      <c r="CS27">
        <v>1</v>
      </c>
      <c r="CT27" t="b">
        <v>0</v>
      </c>
      <c r="CU27">
        <v>0</v>
      </c>
      <c r="CV27">
        <v>0</v>
      </c>
      <c r="CW27">
        <v>0</v>
      </c>
      <c r="CX27">
        <v>0</v>
      </c>
      <c r="CY27">
        <v>1</v>
      </c>
      <c r="CZ27">
        <v>1</v>
      </c>
      <c r="DA27">
        <v>1</v>
      </c>
      <c r="DB27">
        <v>21</v>
      </c>
      <c r="DC27" t="s">
        <v>3849</v>
      </c>
      <c r="DD27" t="s">
        <v>3576</v>
      </c>
      <c r="DE27" t="s">
        <v>3577</v>
      </c>
      <c r="DF27" t="s">
        <v>3578</v>
      </c>
      <c r="DG27" t="s">
        <v>3579</v>
      </c>
      <c r="DH27" t="s">
        <v>3580</v>
      </c>
      <c r="DI27" t="s">
        <v>3581</v>
      </c>
      <c r="DJ27" t="s">
        <v>3582</v>
      </c>
      <c r="DK27" t="s">
        <v>3583</v>
      </c>
      <c r="DL27" t="s">
        <v>3584</v>
      </c>
      <c r="DM27" t="s">
        <v>3585</v>
      </c>
      <c r="DN27" t="s">
        <v>3586</v>
      </c>
      <c r="DO27" t="s">
        <v>3587</v>
      </c>
      <c r="DP27" t="s">
        <v>3588</v>
      </c>
      <c r="DQ27" t="s">
        <v>3589</v>
      </c>
      <c r="DR27" t="s">
        <v>3590</v>
      </c>
      <c r="DS27" t="s">
        <v>3591</v>
      </c>
      <c r="DT27" t="s">
        <v>3592</v>
      </c>
      <c r="DU27" t="s">
        <v>3593</v>
      </c>
      <c r="DV27" t="s">
        <v>3594</v>
      </c>
      <c r="DW27" t="s">
        <v>3595</v>
      </c>
      <c r="DX27" t="s">
        <v>3596</v>
      </c>
    </row>
    <row r="28" spans="1:128" x14ac:dyDescent="0.55000000000000004">
      <c r="A28">
        <v>25</v>
      </c>
      <c r="B28" t="s">
        <v>3618</v>
      </c>
      <c r="C28">
        <v>1</v>
      </c>
      <c r="D28">
        <v>2</v>
      </c>
      <c r="E28">
        <v>0</v>
      </c>
      <c r="F28">
        <v>2</v>
      </c>
      <c r="G28">
        <v>2</v>
      </c>
      <c r="H28">
        <v>0</v>
      </c>
      <c r="I28">
        <v>0</v>
      </c>
      <c r="J28">
        <v>2</v>
      </c>
      <c r="K28">
        <v>0</v>
      </c>
      <c r="L28">
        <v>1</v>
      </c>
      <c r="M28">
        <v>0</v>
      </c>
      <c r="N28">
        <v>10</v>
      </c>
      <c r="O28">
        <v>2</v>
      </c>
      <c r="P28">
        <v>2</v>
      </c>
      <c r="Q28">
        <v>0</v>
      </c>
      <c r="R28">
        <v>0</v>
      </c>
      <c r="S28">
        <v>2</v>
      </c>
      <c r="T28">
        <v>0</v>
      </c>
      <c r="U28">
        <v>1</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t="b">
        <v>1</v>
      </c>
      <c r="CR28">
        <v>80</v>
      </c>
      <c r="CS28">
        <v>1</v>
      </c>
      <c r="CT28" t="b">
        <v>0</v>
      </c>
      <c r="CU28">
        <v>0</v>
      </c>
      <c r="CV28">
        <v>0</v>
      </c>
      <c r="CW28">
        <v>0</v>
      </c>
      <c r="CX28">
        <v>0</v>
      </c>
      <c r="CY28">
        <v>1</v>
      </c>
      <c r="CZ28">
        <v>1</v>
      </c>
      <c r="DA28">
        <v>1</v>
      </c>
      <c r="DB28">
        <v>21</v>
      </c>
      <c r="DC28" t="s">
        <v>3849</v>
      </c>
      <c r="DD28" t="s">
        <v>3497</v>
      </c>
      <c r="DE28" t="s">
        <v>3498</v>
      </c>
      <c r="DF28" t="s">
        <v>3499</v>
      </c>
      <c r="DG28" t="s">
        <v>3500</v>
      </c>
      <c r="DH28" t="s">
        <v>3501</v>
      </c>
      <c r="DI28" t="s">
        <v>3502</v>
      </c>
      <c r="DJ28" t="s">
        <v>3503</v>
      </c>
      <c r="DK28" t="s">
        <v>3504</v>
      </c>
      <c r="DL28" t="s">
        <v>3505</v>
      </c>
      <c r="DM28" t="s">
        <v>3506</v>
      </c>
      <c r="DN28" t="s">
        <v>3507</v>
      </c>
      <c r="DO28" t="s">
        <v>3508</v>
      </c>
      <c r="DP28" t="s">
        <v>3509</v>
      </c>
      <c r="DQ28" t="s">
        <v>3510</v>
      </c>
      <c r="DR28" t="s">
        <v>3511</v>
      </c>
      <c r="DS28" t="s">
        <v>3512</v>
      </c>
      <c r="DT28" t="s">
        <v>3513</v>
      </c>
      <c r="DU28" t="s">
        <v>3514</v>
      </c>
      <c r="DV28" t="s">
        <v>3515</v>
      </c>
      <c r="DW28" t="s">
        <v>3516</v>
      </c>
      <c r="DX28" t="s">
        <v>3517</v>
      </c>
    </row>
    <row r="29" spans="1:128" x14ac:dyDescent="0.55000000000000004">
      <c r="A29">
        <v>26</v>
      </c>
      <c r="B29" t="s">
        <v>3618</v>
      </c>
      <c r="C29">
        <v>1</v>
      </c>
      <c r="D29">
        <v>2</v>
      </c>
      <c r="E29">
        <v>0</v>
      </c>
      <c r="F29">
        <v>2</v>
      </c>
      <c r="G29">
        <v>2</v>
      </c>
      <c r="H29">
        <v>0</v>
      </c>
      <c r="I29">
        <v>0</v>
      </c>
      <c r="J29">
        <v>6</v>
      </c>
      <c r="K29">
        <v>0</v>
      </c>
      <c r="L29">
        <v>1</v>
      </c>
      <c r="M29">
        <v>0</v>
      </c>
      <c r="N29">
        <v>10</v>
      </c>
      <c r="O29">
        <v>2</v>
      </c>
      <c r="P29">
        <v>2</v>
      </c>
      <c r="Q29">
        <v>0</v>
      </c>
      <c r="R29">
        <v>0</v>
      </c>
      <c r="S29">
        <v>6</v>
      </c>
      <c r="T29">
        <v>0</v>
      </c>
      <c r="U29">
        <v>1</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t="b">
        <v>1</v>
      </c>
      <c r="CR29">
        <v>80</v>
      </c>
      <c r="CS29">
        <v>1</v>
      </c>
      <c r="CT29" t="b">
        <v>0</v>
      </c>
      <c r="CU29">
        <v>0</v>
      </c>
      <c r="CV29">
        <v>0</v>
      </c>
      <c r="CW29">
        <v>0</v>
      </c>
      <c r="CX29">
        <v>0</v>
      </c>
      <c r="CY29">
        <v>1</v>
      </c>
      <c r="CZ29">
        <v>1</v>
      </c>
      <c r="DA29">
        <v>1</v>
      </c>
      <c r="DB29">
        <v>21</v>
      </c>
      <c r="DC29" t="s">
        <v>3849</v>
      </c>
      <c r="DD29" t="s">
        <v>3497</v>
      </c>
      <c r="DE29" t="s">
        <v>3498</v>
      </c>
      <c r="DF29" t="s">
        <v>3499</v>
      </c>
      <c r="DG29" t="s">
        <v>3500</v>
      </c>
      <c r="DH29" t="s">
        <v>3501</v>
      </c>
      <c r="DI29" t="s">
        <v>3502</v>
      </c>
      <c r="DJ29" t="s">
        <v>3503</v>
      </c>
      <c r="DK29" t="s">
        <v>3504</v>
      </c>
      <c r="DL29" t="s">
        <v>3505</v>
      </c>
      <c r="DM29" t="s">
        <v>3506</v>
      </c>
      <c r="DN29" t="s">
        <v>3507</v>
      </c>
      <c r="DO29" t="s">
        <v>3508</v>
      </c>
      <c r="DP29" t="s">
        <v>3509</v>
      </c>
      <c r="DQ29" t="s">
        <v>3510</v>
      </c>
      <c r="DR29" t="s">
        <v>3511</v>
      </c>
      <c r="DS29" t="s">
        <v>3512</v>
      </c>
      <c r="DT29" t="s">
        <v>3513</v>
      </c>
      <c r="DU29" t="s">
        <v>3514</v>
      </c>
      <c r="DV29" t="s">
        <v>3515</v>
      </c>
      <c r="DW29" t="s">
        <v>3516</v>
      </c>
      <c r="DX29" t="s">
        <v>3517</v>
      </c>
    </row>
    <row r="30" spans="1:128" x14ac:dyDescent="0.55000000000000004">
      <c r="A30">
        <v>27</v>
      </c>
      <c r="B30" t="s">
        <v>3618</v>
      </c>
      <c r="C30">
        <v>1</v>
      </c>
      <c r="D30">
        <v>2</v>
      </c>
      <c r="E30">
        <v>0</v>
      </c>
      <c r="F30">
        <v>2</v>
      </c>
      <c r="G30">
        <v>2</v>
      </c>
      <c r="H30">
        <v>0</v>
      </c>
      <c r="I30">
        <v>0</v>
      </c>
      <c r="J30">
        <v>11</v>
      </c>
      <c r="K30">
        <v>0</v>
      </c>
      <c r="L30">
        <v>1</v>
      </c>
      <c r="M30">
        <v>0</v>
      </c>
      <c r="N30">
        <v>10</v>
      </c>
      <c r="O30">
        <v>2</v>
      </c>
      <c r="P30">
        <v>2</v>
      </c>
      <c r="Q30">
        <v>0</v>
      </c>
      <c r="R30">
        <v>0</v>
      </c>
      <c r="S30">
        <v>11</v>
      </c>
      <c r="T30">
        <v>0</v>
      </c>
      <c r="U30">
        <v>1</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t="b">
        <v>1</v>
      </c>
      <c r="CR30">
        <v>80</v>
      </c>
      <c r="CS30">
        <v>1</v>
      </c>
      <c r="CT30" t="b">
        <v>0</v>
      </c>
      <c r="CU30">
        <v>0</v>
      </c>
      <c r="CV30">
        <v>0</v>
      </c>
      <c r="CW30">
        <v>0</v>
      </c>
      <c r="CX30">
        <v>0</v>
      </c>
      <c r="CY30">
        <v>1</v>
      </c>
      <c r="CZ30">
        <v>1</v>
      </c>
      <c r="DA30">
        <v>1</v>
      </c>
      <c r="DB30">
        <v>21</v>
      </c>
      <c r="DC30" t="s">
        <v>3849</v>
      </c>
      <c r="DD30" t="s">
        <v>3497</v>
      </c>
      <c r="DE30" t="s">
        <v>3498</v>
      </c>
      <c r="DF30" t="s">
        <v>3499</v>
      </c>
      <c r="DG30" t="s">
        <v>3500</v>
      </c>
      <c r="DH30" t="s">
        <v>3501</v>
      </c>
      <c r="DI30" t="s">
        <v>3502</v>
      </c>
      <c r="DJ30" t="s">
        <v>3503</v>
      </c>
      <c r="DK30" t="s">
        <v>3504</v>
      </c>
      <c r="DL30" t="s">
        <v>3505</v>
      </c>
      <c r="DM30" t="s">
        <v>3506</v>
      </c>
      <c r="DN30" t="s">
        <v>3507</v>
      </c>
      <c r="DO30" t="s">
        <v>3508</v>
      </c>
      <c r="DP30" t="s">
        <v>3509</v>
      </c>
      <c r="DQ30" t="s">
        <v>3510</v>
      </c>
      <c r="DR30" t="s">
        <v>3511</v>
      </c>
      <c r="DS30" t="s">
        <v>3512</v>
      </c>
      <c r="DT30" t="s">
        <v>3513</v>
      </c>
      <c r="DU30" t="s">
        <v>3514</v>
      </c>
      <c r="DV30" t="s">
        <v>3515</v>
      </c>
      <c r="DW30" t="s">
        <v>3516</v>
      </c>
      <c r="DX30" t="s">
        <v>3517</v>
      </c>
    </row>
    <row r="31" spans="1:128" x14ac:dyDescent="0.55000000000000004">
      <c r="A31">
        <v>28</v>
      </c>
      <c r="B31" t="s">
        <v>3618</v>
      </c>
      <c r="C31">
        <v>1</v>
      </c>
      <c r="D31">
        <v>2</v>
      </c>
      <c r="E31">
        <v>0</v>
      </c>
      <c r="F31">
        <v>2</v>
      </c>
      <c r="G31">
        <v>2</v>
      </c>
      <c r="H31">
        <v>0</v>
      </c>
      <c r="I31">
        <v>0</v>
      </c>
      <c r="J31">
        <v>15</v>
      </c>
      <c r="K31">
        <v>0</v>
      </c>
      <c r="L31">
        <v>1</v>
      </c>
      <c r="M31">
        <v>0</v>
      </c>
      <c r="N31">
        <v>10</v>
      </c>
      <c r="O31">
        <v>2</v>
      </c>
      <c r="P31">
        <v>2</v>
      </c>
      <c r="Q31">
        <v>0</v>
      </c>
      <c r="R31">
        <v>0</v>
      </c>
      <c r="S31">
        <v>15</v>
      </c>
      <c r="T31">
        <v>0</v>
      </c>
      <c r="U31">
        <v>1</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t="b">
        <v>1</v>
      </c>
      <c r="CR31">
        <v>80</v>
      </c>
      <c r="CS31">
        <v>1</v>
      </c>
      <c r="CT31" t="b">
        <v>0</v>
      </c>
      <c r="CU31">
        <v>0</v>
      </c>
      <c r="CV31">
        <v>0</v>
      </c>
      <c r="CW31">
        <v>0</v>
      </c>
      <c r="CX31">
        <v>0</v>
      </c>
      <c r="CY31">
        <v>1</v>
      </c>
      <c r="CZ31">
        <v>1</v>
      </c>
      <c r="DA31">
        <v>1</v>
      </c>
      <c r="DB31">
        <v>21</v>
      </c>
      <c r="DC31" t="s">
        <v>3849</v>
      </c>
      <c r="DD31" t="s">
        <v>3497</v>
      </c>
      <c r="DE31" t="s">
        <v>3498</v>
      </c>
      <c r="DF31" t="s">
        <v>3499</v>
      </c>
      <c r="DG31" t="s">
        <v>3500</v>
      </c>
      <c r="DH31" t="s">
        <v>3501</v>
      </c>
      <c r="DI31" t="s">
        <v>3502</v>
      </c>
      <c r="DJ31" t="s">
        <v>3503</v>
      </c>
      <c r="DK31" t="s">
        <v>3504</v>
      </c>
      <c r="DL31" t="s">
        <v>3505</v>
      </c>
      <c r="DM31" t="s">
        <v>3506</v>
      </c>
      <c r="DN31" t="s">
        <v>3507</v>
      </c>
      <c r="DO31" t="s">
        <v>3508</v>
      </c>
      <c r="DP31" t="s">
        <v>3509</v>
      </c>
      <c r="DQ31" t="s">
        <v>3510</v>
      </c>
      <c r="DR31" t="s">
        <v>3511</v>
      </c>
      <c r="DS31" t="s">
        <v>3512</v>
      </c>
      <c r="DT31" t="s">
        <v>3513</v>
      </c>
      <c r="DU31" t="s">
        <v>3514</v>
      </c>
      <c r="DV31" t="s">
        <v>3515</v>
      </c>
      <c r="DW31" t="s">
        <v>3516</v>
      </c>
      <c r="DX31" t="s">
        <v>3517</v>
      </c>
    </row>
    <row r="32" spans="1:128" x14ac:dyDescent="0.55000000000000004">
      <c r="A32">
        <v>29</v>
      </c>
      <c r="B32" t="s">
        <v>3845</v>
      </c>
      <c r="C32">
        <v>1</v>
      </c>
      <c r="D32">
        <v>1</v>
      </c>
      <c r="E32">
        <v>60</v>
      </c>
      <c r="F32">
        <v>1</v>
      </c>
      <c r="G32">
        <v>2</v>
      </c>
      <c r="H32">
        <v>0</v>
      </c>
      <c r="I32">
        <v>0</v>
      </c>
      <c r="J32">
        <v>2</v>
      </c>
      <c r="K32">
        <v>0</v>
      </c>
      <c r="L32">
        <v>1</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t="b">
        <v>1</v>
      </c>
      <c r="CR32">
        <v>30</v>
      </c>
      <c r="CS32">
        <v>1</v>
      </c>
      <c r="CT32" t="b">
        <v>0</v>
      </c>
      <c r="CU32">
        <v>0</v>
      </c>
      <c r="CV32">
        <v>0</v>
      </c>
      <c r="CW32">
        <v>0</v>
      </c>
      <c r="CX32">
        <v>0</v>
      </c>
      <c r="CY32">
        <v>1</v>
      </c>
      <c r="CZ32">
        <v>1</v>
      </c>
      <c r="DA32">
        <v>1</v>
      </c>
      <c r="DB32">
        <v>21</v>
      </c>
      <c r="DC32" t="s">
        <v>3849</v>
      </c>
      <c r="DD32" t="s">
        <v>3850</v>
      </c>
      <c r="DE32" t="s">
        <v>3851</v>
      </c>
      <c r="DF32" t="s">
        <v>3852</v>
      </c>
      <c r="DG32" t="s">
        <v>3853</v>
      </c>
      <c r="DH32" t="s">
        <v>3854</v>
      </c>
      <c r="DI32" t="s">
        <v>3855</v>
      </c>
      <c r="DJ32" t="s">
        <v>3856</v>
      </c>
      <c r="DK32" t="s">
        <v>3857</v>
      </c>
      <c r="DL32" t="s">
        <v>3858</v>
      </c>
      <c r="DM32" t="s">
        <v>3859</v>
      </c>
      <c r="DN32" t="s">
        <v>3860</v>
      </c>
      <c r="DO32" t="s">
        <v>3861</v>
      </c>
      <c r="DP32" t="s">
        <v>3862</v>
      </c>
      <c r="DQ32" t="s">
        <v>3863</v>
      </c>
      <c r="DR32" t="s">
        <v>3864</v>
      </c>
      <c r="DS32" t="s">
        <v>3865</v>
      </c>
      <c r="DT32" t="s">
        <v>3866</v>
      </c>
      <c r="DU32" t="s">
        <v>3867</v>
      </c>
      <c r="DV32" t="s">
        <v>3868</v>
      </c>
      <c r="DW32" t="s">
        <v>3869</v>
      </c>
      <c r="DX32" t="s">
        <v>3870</v>
      </c>
    </row>
    <row r="33" spans="1:128" x14ac:dyDescent="0.55000000000000004">
      <c r="A33">
        <v>30</v>
      </c>
      <c r="B33" t="s">
        <v>3845</v>
      </c>
      <c r="C33">
        <v>1</v>
      </c>
      <c r="D33">
        <v>1</v>
      </c>
      <c r="E33">
        <v>60</v>
      </c>
      <c r="F33">
        <v>1</v>
      </c>
      <c r="G33">
        <v>2</v>
      </c>
      <c r="H33">
        <v>0</v>
      </c>
      <c r="I33">
        <v>0</v>
      </c>
      <c r="J33">
        <v>6</v>
      </c>
      <c r="K33">
        <v>0</v>
      </c>
      <c r="L33">
        <v>1</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t="b">
        <v>1</v>
      </c>
      <c r="CR33">
        <v>30</v>
      </c>
      <c r="CS33">
        <v>1</v>
      </c>
      <c r="CT33" t="b">
        <v>0</v>
      </c>
      <c r="CU33">
        <v>0</v>
      </c>
      <c r="CV33">
        <v>0</v>
      </c>
      <c r="CW33">
        <v>0</v>
      </c>
      <c r="CX33">
        <v>0</v>
      </c>
      <c r="CY33">
        <v>1</v>
      </c>
      <c r="CZ33">
        <v>1</v>
      </c>
      <c r="DA33">
        <v>1</v>
      </c>
      <c r="DB33">
        <v>21</v>
      </c>
      <c r="DC33" t="s">
        <v>3849</v>
      </c>
      <c r="DD33" t="s">
        <v>3850</v>
      </c>
      <c r="DE33" t="s">
        <v>3851</v>
      </c>
      <c r="DF33" t="s">
        <v>3852</v>
      </c>
      <c r="DG33" t="s">
        <v>3853</v>
      </c>
      <c r="DH33" t="s">
        <v>3854</v>
      </c>
      <c r="DI33" t="s">
        <v>3855</v>
      </c>
      <c r="DJ33" t="s">
        <v>3856</v>
      </c>
      <c r="DK33" t="s">
        <v>3857</v>
      </c>
      <c r="DL33" t="s">
        <v>3858</v>
      </c>
      <c r="DM33" t="s">
        <v>3859</v>
      </c>
      <c r="DN33" t="s">
        <v>3860</v>
      </c>
      <c r="DO33" t="s">
        <v>3861</v>
      </c>
      <c r="DP33" t="s">
        <v>3862</v>
      </c>
      <c r="DQ33" t="s">
        <v>3863</v>
      </c>
      <c r="DR33" t="s">
        <v>3864</v>
      </c>
      <c r="DS33" t="s">
        <v>3865</v>
      </c>
      <c r="DT33" t="s">
        <v>3866</v>
      </c>
      <c r="DU33" t="s">
        <v>3867</v>
      </c>
      <c r="DV33" t="s">
        <v>3868</v>
      </c>
      <c r="DW33" t="s">
        <v>3869</v>
      </c>
      <c r="DX33" t="s">
        <v>3870</v>
      </c>
    </row>
    <row r="34" spans="1:128" x14ac:dyDescent="0.55000000000000004">
      <c r="A34">
        <v>31</v>
      </c>
      <c r="B34" t="s">
        <v>3845</v>
      </c>
      <c r="C34">
        <v>1</v>
      </c>
      <c r="D34">
        <v>1</v>
      </c>
      <c r="E34">
        <v>60</v>
      </c>
      <c r="F34">
        <v>1</v>
      </c>
      <c r="G34">
        <v>2</v>
      </c>
      <c r="H34">
        <v>0</v>
      </c>
      <c r="I34">
        <v>0</v>
      </c>
      <c r="J34">
        <v>15</v>
      </c>
      <c r="K34">
        <v>0</v>
      </c>
      <c r="L34">
        <v>1</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t="b">
        <v>1</v>
      </c>
      <c r="CR34">
        <v>30</v>
      </c>
      <c r="CS34">
        <v>1</v>
      </c>
      <c r="CT34" t="b">
        <v>0</v>
      </c>
      <c r="CU34">
        <v>0</v>
      </c>
      <c r="CV34">
        <v>0</v>
      </c>
      <c r="CW34">
        <v>0</v>
      </c>
      <c r="CX34">
        <v>0</v>
      </c>
      <c r="CY34">
        <v>1</v>
      </c>
      <c r="CZ34">
        <v>1</v>
      </c>
      <c r="DA34">
        <v>1</v>
      </c>
      <c r="DB34">
        <v>21</v>
      </c>
      <c r="DC34" t="s">
        <v>3849</v>
      </c>
      <c r="DD34" t="s">
        <v>3850</v>
      </c>
      <c r="DE34" t="s">
        <v>3851</v>
      </c>
      <c r="DF34" t="s">
        <v>3852</v>
      </c>
      <c r="DG34" t="s">
        <v>3853</v>
      </c>
      <c r="DH34" t="s">
        <v>3854</v>
      </c>
      <c r="DI34" t="s">
        <v>3855</v>
      </c>
      <c r="DJ34" t="s">
        <v>3856</v>
      </c>
      <c r="DK34" t="s">
        <v>3857</v>
      </c>
      <c r="DL34" t="s">
        <v>3858</v>
      </c>
      <c r="DM34" t="s">
        <v>3859</v>
      </c>
      <c r="DN34" t="s">
        <v>3860</v>
      </c>
      <c r="DO34" t="s">
        <v>3861</v>
      </c>
      <c r="DP34" t="s">
        <v>3862</v>
      </c>
      <c r="DQ34" t="s">
        <v>3863</v>
      </c>
      <c r="DR34" t="s">
        <v>3864</v>
      </c>
      <c r="DS34" t="s">
        <v>3865</v>
      </c>
      <c r="DT34" t="s">
        <v>3866</v>
      </c>
      <c r="DU34" t="s">
        <v>3867</v>
      </c>
      <c r="DV34" t="s">
        <v>3868</v>
      </c>
      <c r="DW34" t="s">
        <v>3869</v>
      </c>
      <c r="DX34" t="s">
        <v>3870</v>
      </c>
    </row>
    <row r="35" spans="1:128" x14ac:dyDescent="0.55000000000000004">
      <c r="A35"/>
    </row>
    <row r="36" spans="1:128" x14ac:dyDescent="0.55000000000000004">
      <c r="A36"/>
    </row>
    <row r="37" spans="1:128" x14ac:dyDescent="0.55000000000000004">
      <c r="A37"/>
    </row>
    <row r="38" spans="1:128" x14ac:dyDescent="0.55000000000000004">
      <c r="A38"/>
      <c r="E38" s="210"/>
    </row>
    <row r="39" spans="1:128" x14ac:dyDescent="0.55000000000000004">
      <c r="A39"/>
      <c r="E39" s="210"/>
    </row>
    <row r="40" spans="1:128" x14ac:dyDescent="0.55000000000000004">
      <c r="A40"/>
    </row>
    <row r="41" spans="1:128" x14ac:dyDescent="0.55000000000000004">
      <c r="A41"/>
    </row>
    <row r="42" spans="1:128" x14ac:dyDescent="0.55000000000000004">
      <c r="A42"/>
    </row>
    <row r="43" spans="1:128" x14ac:dyDescent="0.55000000000000004">
      <c r="A43"/>
    </row>
    <row r="44" spans="1:128" x14ac:dyDescent="0.55000000000000004">
      <c r="A44"/>
    </row>
    <row r="45" spans="1:128" x14ac:dyDescent="0.55000000000000004">
      <c r="A45"/>
    </row>
    <row r="46" spans="1:128" x14ac:dyDescent="0.55000000000000004">
      <c r="A46"/>
    </row>
    <row r="47" spans="1:128" x14ac:dyDescent="0.55000000000000004">
      <c r="A47"/>
    </row>
    <row r="48" spans="1:128" x14ac:dyDescent="0.55000000000000004">
      <c r="A48"/>
    </row>
    <row r="49" spans="1:1" x14ac:dyDescent="0.55000000000000004">
      <c r="A49"/>
    </row>
    <row r="50" spans="1:1" x14ac:dyDescent="0.55000000000000004">
      <c r="A50"/>
    </row>
    <row r="51" spans="1:1" x14ac:dyDescent="0.55000000000000004">
      <c r="A51"/>
    </row>
    <row r="52" spans="1:1" x14ac:dyDescent="0.55000000000000004">
      <c r="A52"/>
    </row>
    <row r="53" spans="1:1" x14ac:dyDescent="0.55000000000000004">
      <c r="A53"/>
    </row>
    <row r="54" spans="1:1" x14ac:dyDescent="0.55000000000000004">
      <c r="A54"/>
    </row>
    <row r="55" spans="1:1" x14ac:dyDescent="0.55000000000000004">
      <c r="A55"/>
    </row>
    <row r="56" spans="1:1" x14ac:dyDescent="0.55000000000000004">
      <c r="A56"/>
    </row>
    <row r="57" spans="1:1" x14ac:dyDescent="0.55000000000000004">
      <c r="A57"/>
    </row>
    <row r="58" spans="1:1" x14ac:dyDescent="0.55000000000000004">
      <c r="A58"/>
    </row>
    <row r="59" spans="1:1" x14ac:dyDescent="0.55000000000000004">
      <c r="A59"/>
    </row>
    <row r="60" spans="1:1" x14ac:dyDescent="0.55000000000000004">
      <c r="A60"/>
    </row>
    <row r="61" spans="1:1" x14ac:dyDescent="0.55000000000000004">
      <c r="A61"/>
    </row>
    <row r="62" spans="1:1" x14ac:dyDescent="0.55000000000000004">
      <c r="A62"/>
    </row>
    <row r="63" spans="1:1" x14ac:dyDescent="0.55000000000000004">
      <c r="A63"/>
    </row>
    <row r="64" spans="1:1" x14ac:dyDescent="0.55000000000000004">
      <c r="A64"/>
    </row>
    <row r="65" spans="1:14" x14ac:dyDescent="0.55000000000000004">
      <c r="A65"/>
    </row>
    <row r="66" spans="1:14" x14ac:dyDescent="0.55000000000000004">
      <c r="A66"/>
    </row>
    <row r="67" spans="1:14" x14ac:dyDescent="0.55000000000000004">
      <c r="A67"/>
    </row>
    <row r="68" spans="1:14" x14ac:dyDescent="0.55000000000000004">
      <c r="A68"/>
    </row>
    <row r="69" spans="1:14" x14ac:dyDescent="0.55000000000000004">
      <c r="A69"/>
    </row>
    <row r="70" spans="1:14" x14ac:dyDescent="0.55000000000000004">
      <c r="A70"/>
      <c r="E70" s="210"/>
      <c r="N70" s="210"/>
    </row>
    <row r="71" spans="1:14" x14ac:dyDescent="0.55000000000000004">
      <c r="A71"/>
      <c r="E71" s="210"/>
      <c r="N71" s="210"/>
    </row>
  </sheetData>
  <autoFilter ref="A3:MB56" xr:uid="{BACF7494-4F2A-4842-A6DE-50A2D9858A0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C934-A6A9-4673-94A2-6E2FE1A0FF9F}">
  <sheetPr>
    <tabColor theme="4" tint="0.79998168889431442"/>
  </sheetPr>
  <dimension ref="A1:K33"/>
  <sheetViews>
    <sheetView topLeftCell="E1" workbookViewId="0">
      <selection activeCell="J5" sqref="J5"/>
    </sheetView>
  </sheetViews>
  <sheetFormatPr defaultColWidth="15.15625" defaultRowHeight="14.4" x14ac:dyDescent="0.55000000000000004"/>
  <cols>
    <col min="10" max="10" width="15.15625" style="3"/>
  </cols>
  <sheetData>
    <row r="1" spans="1:11" x14ac:dyDescent="0.55000000000000004">
      <c r="A1" s="114" t="s">
        <v>3248</v>
      </c>
      <c r="B1" s="114"/>
      <c r="C1" s="114"/>
      <c r="D1" s="114"/>
    </row>
    <row r="2" spans="1:11" x14ac:dyDescent="0.55000000000000004">
      <c r="A2" t="s">
        <v>865</v>
      </c>
      <c r="B2" t="s">
        <v>866</v>
      </c>
      <c r="C2" t="s">
        <v>822</v>
      </c>
      <c r="D2" t="s">
        <v>867</v>
      </c>
      <c r="E2" t="s">
        <v>868</v>
      </c>
      <c r="F2" t="s">
        <v>869</v>
      </c>
      <c r="G2" t="s">
        <v>870</v>
      </c>
      <c r="H2" t="s">
        <v>871</v>
      </c>
      <c r="I2" t="s">
        <v>303</v>
      </c>
      <c r="J2" t="s">
        <v>872</v>
      </c>
      <c r="K2" t="s">
        <v>325</v>
      </c>
    </row>
    <row r="3" spans="1:11" x14ac:dyDescent="0.55000000000000004">
      <c r="A3">
        <v>1</v>
      </c>
      <c r="B3" t="s">
        <v>264</v>
      </c>
      <c r="C3">
        <v>1</v>
      </c>
      <c r="D3" t="s">
        <v>3455</v>
      </c>
      <c r="E3" t="s">
        <v>3597</v>
      </c>
      <c r="F3" t="s">
        <v>245</v>
      </c>
      <c r="G3">
        <v>0.75</v>
      </c>
      <c r="H3">
        <v>0.75</v>
      </c>
      <c r="I3" t="s">
        <v>322</v>
      </c>
      <c r="J3" t="s">
        <v>873</v>
      </c>
      <c r="K3" t="s">
        <v>264</v>
      </c>
    </row>
    <row r="4" spans="1:11" x14ac:dyDescent="0.55000000000000004">
      <c r="A4">
        <v>1</v>
      </c>
      <c r="B4" t="s">
        <v>264</v>
      </c>
      <c r="C4">
        <v>2</v>
      </c>
      <c r="D4" t="s">
        <v>3455</v>
      </c>
      <c r="E4" t="s">
        <v>3598</v>
      </c>
      <c r="F4" t="s">
        <v>245</v>
      </c>
      <c r="G4">
        <v>0.75</v>
      </c>
      <c r="H4">
        <v>0.75</v>
      </c>
      <c r="I4" t="s">
        <v>248</v>
      </c>
      <c r="J4" t="s">
        <v>242</v>
      </c>
      <c r="K4" t="s">
        <v>264</v>
      </c>
    </row>
    <row r="5" spans="1:11" x14ac:dyDescent="0.55000000000000004">
      <c r="A5">
        <v>1</v>
      </c>
      <c r="B5" t="s">
        <v>264</v>
      </c>
      <c r="C5">
        <v>3</v>
      </c>
      <c r="D5" t="s">
        <v>3455</v>
      </c>
      <c r="E5" t="s">
        <v>3599</v>
      </c>
      <c r="F5" t="s">
        <v>245</v>
      </c>
      <c r="G5">
        <v>0.75</v>
      </c>
      <c r="H5">
        <v>0.75</v>
      </c>
      <c r="I5" t="s">
        <v>248</v>
      </c>
      <c r="J5" t="s">
        <v>243</v>
      </c>
      <c r="K5" t="s">
        <v>264</v>
      </c>
    </row>
    <row r="6" spans="1:11" x14ac:dyDescent="0.55000000000000004">
      <c r="A6">
        <v>1</v>
      </c>
      <c r="B6" t="s">
        <v>264</v>
      </c>
      <c r="C6">
        <v>4</v>
      </c>
      <c r="D6" t="s">
        <v>3455</v>
      </c>
      <c r="E6" t="s">
        <v>3600</v>
      </c>
      <c r="F6" t="s">
        <v>245</v>
      </c>
      <c r="G6">
        <v>0.75</v>
      </c>
      <c r="H6">
        <v>0.75</v>
      </c>
      <c r="I6" t="s">
        <v>248</v>
      </c>
      <c r="J6" t="s">
        <v>244</v>
      </c>
      <c r="K6" t="s">
        <v>264</v>
      </c>
    </row>
    <row r="7" spans="1:11" x14ac:dyDescent="0.55000000000000004">
      <c r="A7">
        <v>1</v>
      </c>
      <c r="B7" t="s">
        <v>264</v>
      </c>
      <c r="C7">
        <v>5</v>
      </c>
      <c r="D7" t="s">
        <v>3455</v>
      </c>
      <c r="E7" t="s">
        <v>3601</v>
      </c>
      <c r="F7" t="s">
        <v>245</v>
      </c>
      <c r="G7">
        <v>0.75</v>
      </c>
      <c r="H7">
        <v>0.75</v>
      </c>
      <c r="I7" t="s">
        <v>248</v>
      </c>
      <c r="J7" t="s">
        <v>873</v>
      </c>
      <c r="K7" t="s">
        <v>264</v>
      </c>
    </row>
    <row r="8" spans="1:11" x14ac:dyDescent="0.55000000000000004">
      <c r="A8">
        <v>2</v>
      </c>
      <c r="B8" t="s">
        <v>1286</v>
      </c>
      <c r="C8">
        <v>6</v>
      </c>
      <c r="D8" t="s">
        <v>3477</v>
      </c>
      <c r="E8" t="s">
        <v>3602</v>
      </c>
      <c r="F8" t="s">
        <v>249</v>
      </c>
      <c r="G8">
        <v>1.125</v>
      </c>
      <c r="H8">
        <v>3</v>
      </c>
      <c r="I8" t="s">
        <v>248</v>
      </c>
      <c r="J8" t="s">
        <v>307</v>
      </c>
      <c r="K8" t="s">
        <v>453</v>
      </c>
    </row>
    <row r="9" spans="1:11" x14ac:dyDescent="0.55000000000000004">
      <c r="A9">
        <v>2</v>
      </c>
      <c r="B9" t="s">
        <v>1286</v>
      </c>
      <c r="C9">
        <v>7</v>
      </c>
      <c r="D9" t="s">
        <v>3477</v>
      </c>
      <c r="E9" t="s">
        <v>3603</v>
      </c>
      <c r="F9" t="s">
        <v>249</v>
      </c>
      <c r="G9">
        <v>1.125</v>
      </c>
      <c r="H9">
        <v>3</v>
      </c>
      <c r="I9" t="s">
        <v>248</v>
      </c>
      <c r="J9" t="s">
        <v>323</v>
      </c>
      <c r="K9" t="s">
        <v>453</v>
      </c>
    </row>
    <row r="10" spans="1:11" x14ac:dyDescent="0.55000000000000004">
      <c r="A10">
        <v>2</v>
      </c>
      <c r="B10" t="s">
        <v>1286</v>
      </c>
      <c r="C10">
        <v>8</v>
      </c>
      <c r="D10" t="s">
        <v>3477</v>
      </c>
      <c r="E10" t="s">
        <v>3604</v>
      </c>
      <c r="F10" t="s">
        <v>249</v>
      </c>
      <c r="G10">
        <v>1.125</v>
      </c>
      <c r="H10">
        <v>3</v>
      </c>
      <c r="I10" t="s">
        <v>248</v>
      </c>
      <c r="J10" t="s">
        <v>873</v>
      </c>
      <c r="K10" t="s">
        <v>453</v>
      </c>
    </row>
    <row r="11" spans="1:11" x14ac:dyDescent="0.55000000000000004">
      <c r="A11">
        <v>3</v>
      </c>
      <c r="B11" t="s">
        <v>263</v>
      </c>
      <c r="C11">
        <v>9</v>
      </c>
      <c r="D11" t="s">
        <v>3496</v>
      </c>
      <c r="E11" t="s">
        <v>3605</v>
      </c>
      <c r="F11" t="s">
        <v>245</v>
      </c>
      <c r="G11">
        <v>1</v>
      </c>
      <c r="H11">
        <v>1</v>
      </c>
      <c r="I11" t="s">
        <v>248</v>
      </c>
      <c r="J11" t="s">
        <v>309</v>
      </c>
      <c r="K11" t="s">
        <v>2429</v>
      </c>
    </row>
    <row r="12" spans="1:11" x14ac:dyDescent="0.55000000000000004">
      <c r="A12">
        <v>3</v>
      </c>
      <c r="B12" t="s">
        <v>263</v>
      </c>
      <c r="C12">
        <v>10</v>
      </c>
      <c r="D12" t="s">
        <v>3496</v>
      </c>
      <c r="E12" t="s">
        <v>3606</v>
      </c>
      <c r="F12" t="s">
        <v>245</v>
      </c>
      <c r="G12">
        <v>1</v>
      </c>
      <c r="H12">
        <v>1</v>
      </c>
      <c r="I12" t="s">
        <v>248</v>
      </c>
      <c r="J12" t="s">
        <v>330</v>
      </c>
      <c r="K12" t="s">
        <v>2429</v>
      </c>
    </row>
    <row r="13" spans="1:11" x14ac:dyDescent="0.55000000000000004">
      <c r="A13">
        <v>3</v>
      </c>
      <c r="B13" t="s">
        <v>263</v>
      </c>
      <c r="C13">
        <v>11</v>
      </c>
      <c r="D13" t="s">
        <v>3496</v>
      </c>
      <c r="E13" t="s">
        <v>3607</v>
      </c>
      <c r="F13" t="s">
        <v>245</v>
      </c>
      <c r="G13">
        <v>1</v>
      </c>
      <c r="H13">
        <v>1</v>
      </c>
      <c r="I13" t="s">
        <v>248</v>
      </c>
      <c r="J13" t="s">
        <v>244</v>
      </c>
      <c r="K13" t="s">
        <v>2429</v>
      </c>
    </row>
    <row r="14" spans="1:11" x14ac:dyDescent="0.55000000000000004">
      <c r="A14">
        <v>3</v>
      </c>
      <c r="B14" t="s">
        <v>263</v>
      </c>
      <c r="C14">
        <v>12</v>
      </c>
      <c r="D14" t="s">
        <v>3496</v>
      </c>
      <c r="E14" t="s">
        <v>3608</v>
      </c>
      <c r="F14" t="s">
        <v>245</v>
      </c>
      <c r="G14">
        <v>1</v>
      </c>
      <c r="H14">
        <v>1</v>
      </c>
      <c r="I14" t="s">
        <v>248</v>
      </c>
      <c r="J14" t="s">
        <v>873</v>
      </c>
      <c r="K14" t="s">
        <v>2429</v>
      </c>
    </row>
    <row r="15" spans="1:11" x14ac:dyDescent="0.55000000000000004">
      <c r="A15">
        <v>4</v>
      </c>
      <c r="B15" t="s">
        <v>3837</v>
      </c>
      <c r="C15">
        <v>13</v>
      </c>
      <c r="D15" t="s">
        <v>3838</v>
      </c>
      <c r="E15" t="s">
        <v>3839</v>
      </c>
      <c r="F15" t="s">
        <v>245</v>
      </c>
      <c r="G15">
        <v>1</v>
      </c>
      <c r="H15">
        <v>1.5</v>
      </c>
      <c r="I15" t="s">
        <v>248</v>
      </c>
      <c r="J15" t="s">
        <v>317</v>
      </c>
      <c r="K15" t="s">
        <v>509</v>
      </c>
    </row>
    <row r="16" spans="1:11" x14ac:dyDescent="0.55000000000000004">
      <c r="A16">
        <v>4</v>
      </c>
      <c r="B16" t="s">
        <v>3837</v>
      </c>
      <c r="C16">
        <v>14</v>
      </c>
      <c r="D16" t="s">
        <v>3838</v>
      </c>
      <c r="E16" t="s">
        <v>3840</v>
      </c>
      <c r="F16" t="s">
        <v>245</v>
      </c>
      <c r="G16">
        <v>1</v>
      </c>
      <c r="H16">
        <v>1.5</v>
      </c>
      <c r="I16" t="s">
        <v>248</v>
      </c>
      <c r="J16" t="s">
        <v>335</v>
      </c>
      <c r="K16" t="s">
        <v>509</v>
      </c>
    </row>
    <row r="17" spans="1:11" x14ac:dyDescent="0.55000000000000004">
      <c r="A17">
        <v>4</v>
      </c>
      <c r="B17" t="s">
        <v>3837</v>
      </c>
      <c r="C17">
        <v>15</v>
      </c>
      <c r="D17" t="s">
        <v>3838</v>
      </c>
      <c r="E17" t="s">
        <v>3841</v>
      </c>
      <c r="F17" t="s">
        <v>245</v>
      </c>
      <c r="G17">
        <v>1</v>
      </c>
      <c r="H17">
        <v>1.5</v>
      </c>
      <c r="I17" t="s">
        <v>248</v>
      </c>
      <c r="J17" t="s">
        <v>873</v>
      </c>
      <c r="K17" t="s">
        <v>509</v>
      </c>
    </row>
    <row r="18" spans="1:11" x14ac:dyDescent="0.55000000000000004">
      <c r="A18">
        <v>5</v>
      </c>
      <c r="B18" t="s">
        <v>254</v>
      </c>
      <c r="C18">
        <v>16</v>
      </c>
      <c r="D18" t="s">
        <v>874</v>
      </c>
      <c r="E18" t="s">
        <v>3609</v>
      </c>
      <c r="F18" t="s">
        <v>249</v>
      </c>
      <c r="G18">
        <v>1</v>
      </c>
      <c r="H18">
        <v>1</v>
      </c>
      <c r="I18" t="s">
        <v>248</v>
      </c>
      <c r="J18" t="s">
        <v>243</v>
      </c>
      <c r="K18" t="s">
        <v>2428</v>
      </c>
    </row>
    <row r="19" spans="1:11" x14ac:dyDescent="0.55000000000000004">
      <c r="A19">
        <v>5</v>
      </c>
      <c r="B19" t="s">
        <v>254</v>
      </c>
      <c r="C19">
        <v>17</v>
      </c>
      <c r="D19" t="s">
        <v>874</v>
      </c>
      <c r="E19" t="s">
        <v>3610</v>
      </c>
      <c r="F19" t="s">
        <v>249</v>
      </c>
      <c r="G19">
        <v>1</v>
      </c>
      <c r="H19">
        <v>1</v>
      </c>
      <c r="I19" t="s">
        <v>248</v>
      </c>
      <c r="J19" t="s">
        <v>873</v>
      </c>
      <c r="K19" t="s">
        <v>2428</v>
      </c>
    </row>
    <row r="20" spans="1:11" x14ac:dyDescent="0.55000000000000004">
      <c r="A20">
        <v>6</v>
      </c>
      <c r="B20" t="s">
        <v>256</v>
      </c>
      <c r="C20">
        <v>18</v>
      </c>
      <c r="D20" t="s">
        <v>875</v>
      </c>
      <c r="E20" t="s">
        <v>3611</v>
      </c>
      <c r="F20" t="s">
        <v>245</v>
      </c>
      <c r="G20">
        <v>0.5</v>
      </c>
      <c r="H20">
        <v>0.5</v>
      </c>
      <c r="I20" t="s">
        <v>248</v>
      </c>
      <c r="J20" t="s">
        <v>243</v>
      </c>
      <c r="K20" t="s">
        <v>2428</v>
      </c>
    </row>
    <row r="21" spans="1:11" x14ac:dyDescent="0.55000000000000004">
      <c r="A21">
        <v>6</v>
      </c>
      <c r="B21" t="s">
        <v>256</v>
      </c>
      <c r="C21">
        <v>19</v>
      </c>
      <c r="D21" t="s">
        <v>875</v>
      </c>
      <c r="E21" t="s">
        <v>3612</v>
      </c>
      <c r="F21" t="s">
        <v>245</v>
      </c>
      <c r="G21">
        <v>0.5</v>
      </c>
      <c r="H21">
        <v>0.5</v>
      </c>
      <c r="I21" t="s">
        <v>248</v>
      </c>
      <c r="J21" t="s">
        <v>873</v>
      </c>
      <c r="K21" t="s">
        <v>2428</v>
      </c>
    </row>
    <row r="22" spans="1:11" x14ac:dyDescent="0.55000000000000004">
      <c r="A22">
        <v>7</v>
      </c>
      <c r="B22" t="s">
        <v>258</v>
      </c>
      <c r="C22">
        <v>20</v>
      </c>
      <c r="D22" t="s">
        <v>3559</v>
      </c>
      <c r="E22" t="s">
        <v>3613</v>
      </c>
      <c r="F22" t="s">
        <v>245</v>
      </c>
      <c r="G22">
        <v>0.25</v>
      </c>
      <c r="H22">
        <v>0.25</v>
      </c>
      <c r="I22" t="s">
        <v>322</v>
      </c>
      <c r="J22" t="s">
        <v>873</v>
      </c>
      <c r="K22" t="s">
        <v>2428</v>
      </c>
    </row>
    <row r="23" spans="1:11" x14ac:dyDescent="0.55000000000000004">
      <c r="A23">
        <v>8</v>
      </c>
      <c r="B23" t="s">
        <v>3842</v>
      </c>
      <c r="C23">
        <v>21</v>
      </c>
      <c r="D23" t="s">
        <v>3843</v>
      </c>
      <c r="E23" t="s">
        <v>3844</v>
      </c>
      <c r="F23" t="s">
        <v>245</v>
      </c>
      <c r="G23">
        <v>1</v>
      </c>
      <c r="H23">
        <v>1</v>
      </c>
      <c r="I23" t="s">
        <v>255</v>
      </c>
      <c r="J23" t="s">
        <v>873</v>
      </c>
      <c r="K23" t="s">
        <v>2431</v>
      </c>
    </row>
    <row r="24" spans="1:11" x14ac:dyDescent="0.55000000000000004">
      <c r="A24">
        <v>9</v>
      </c>
      <c r="B24" t="s">
        <v>657</v>
      </c>
      <c r="C24">
        <v>22</v>
      </c>
      <c r="D24" t="s">
        <v>3575</v>
      </c>
      <c r="E24" t="s">
        <v>3614</v>
      </c>
      <c r="F24" t="s">
        <v>249</v>
      </c>
      <c r="G24">
        <v>1</v>
      </c>
      <c r="H24">
        <v>2</v>
      </c>
      <c r="I24" t="s">
        <v>248</v>
      </c>
      <c r="J24" t="s">
        <v>242</v>
      </c>
      <c r="K24" t="s">
        <v>645</v>
      </c>
    </row>
    <row r="25" spans="1:11" x14ac:dyDescent="0.55000000000000004">
      <c r="A25">
        <v>9</v>
      </c>
      <c r="B25" t="s">
        <v>657</v>
      </c>
      <c r="C25">
        <v>23</v>
      </c>
      <c r="D25" t="s">
        <v>3575</v>
      </c>
      <c r="E25" t="s">
        <v>3615</v>
      </c>
      <c r="F25" t="s">
        <v>249</v>
      </c>
      <c r="G25">
        <v>1</v>
      </c>
      <c r="H25">
        <v>2</v>
      </c>
      <c r="I25" t="s">
        <v>248</v>
      </c>
      <c r="J25" t="s">
        <v>243</v>
      </c>
      <c r="K25" t="s">
        <v>645</v>
      </c>
    </row>
    <row r="26" spans="1:11" x14ac:dyDescent="0.55000000000000004">
      <c r="A26">
        <v>9</v>
      </c>
      <c r="B26" t="s">
        <v>657</v>
      </c>
      <c r="C26">
        <v>24</v>
      </c>
      <c r="D26" t="s">
        <v>3575</v>
      </c>
      <c r="E26" t="s">
        <v>3616</v>
      </c>
      <c r="F26" t="s">
        <v>249</v>
      </c>
      <c r="G26">
        <v>1</v>
      </c>
      <c r="H26">
        <v>2</v>
      </c>
      <c r="I26" t="s">
        <v>248</v>
      </c>
      <c r="J26" t="s">
        <v>873</v>
      </c>
      <c r="K26" t="s">
        <v>645</v>
      </c>
    </row>
    <row r="27" spans="1:11" x14ac:dyDescent="0.55000000000000004">
      <c r="A27">
        <v>10</v>
      </c>
      <c r="B27" t="s">
        <v>525</v>
      </c>
      <c r="C27">
        <v>25</v>
      </c>
      <c r="D27" t="s">
        <v>3618</v>
      </c>
      <c r="E27" t="s">
        <v>3619</v>
      </c>
      <c r="F27" t="s">
        <v>249</v>
      </c>
      <c r="G27">
        <v>2</v>
      </c>
      <c r="H27">
        <v>4</v>
      </c>
      <c r="I27" t="s">
        <v>248</v>
      </c>
      <c r="J27" t="s">
        <v>309</v>
      </c>
      <c r="K27" t="s">
        <v>2429</v>
      </c>
    </row>
    <row r="28" spans="1:11" x14ac:dyDescent="0.55000000000000004">
      <c r="A28">
        <v>10</v>
      </c>
      <c r="B28" t="s">
        <v>525</v>
      </c>
      <c r="C28">
        <v>26</v>
      </c>
      <c r="D28" t="s">
        <v>3618</v>
      </c>
      <c r="E28" t="s">
        <v>3620</v>
      </c>
      <c r="F28" t="s">
        <v>249</v>
      </c>
      <c r="G28">
        <v>2</v>
      </c>
      <c r="H28">
        <v>4</v>
      </c>
      <c r="I28" t="s">
        <v>248</v>
      </c>
      <c r="J28" t="s">
        <v>243</v>
      </c>
      <c r="K28" t="s">
        <v>2429</v>
      </c>
    </row>
    <row r="29" spans="1:11" x14ac:dyDescent="0.55000000000000004">
      <c r="A29">
        <v>10</v>
      </c>
      <c r="B29" t="s">
        <v>525</v>
      </c>
      <c r="C29">
        <v>27</v>
      </c>
      <c r="D29" t="s">
        <v>3618</v>
      </c>
      <c r="E29" t="s">
        <v>3621</v>
      </c>
      <c r="F29" t="s">
        <v>249</v>
      </c>
      <c r="G29">
        <v>2</v>
      </c>
      <c r="H29">
        <v>4</v>
      </c>
      <c r="I29" t="s">
        <v>248</v>
      </c>
      <c r="J29" t="s">
        <v>244</v>
      </c>
      <c r="K29" t="s">
        <v>2429</v>
      </c>
    </row>
    <row r="30" spans="1:11" x14ac:dyDescent="0.55000000000000004">
      <c r="A30">
        <v>10</v>
      </c>
      <c r="B30" t="s">
        <v>525</v>
      </c>
      <c r="C30">
        <v>28</v>
      </c>
      <c r="D30" t="s">
        <v>3618</v>
      </c>
      <c r="E30" t="s">
        <v>3622</v>
      </c>
      <c r="F30" t="s">
        <v>249</v>
      </c>
      <c r="G30">
        <v>2</v>
      </c>
      <c r="H30">
        <v>4</v>
      </c>
      <c r="I30" t="s">
        <v>248</v>
      </c>
      <c r="J30" t="s">
        <v>873</v>
      </c>
      <c r="K30" t="s">
        <v>2429</v>
      </c>
    </row>
    <row r="31" spans="1:11" x14ac:dyDescent="0.55000000000000004">
      <c r="A31">
        <v>11</v>
      </c>
      <c r="B31" t="s">
        <v>651</v>
      </c>
      <c r="C31">
        <v>29</v>
      </c>
      <c r="D31" t="s">
        <v>3845</v>
      </c>
      <c r="E31" t="s">
        <v>3846</v>
      </c>
      <c r="F31" t="s">
        <v>249</v>
      </c>
      <c r="G31">
        <v>1</v>
      </c>
      <c r="H31">
        <v>1</v>
      </c>
      <c r="I31" t="s">
        <v>248</v>
      </c>
      <c r="J31" t="s">
        <v>309</v>
      </c>
      <c r="K31" t="s">
        <v>2430</v>
      </c>
    </row>
    <row r="32" spans="1:11" x14ac:dyDescent="0.55000000000000004">
      <c r="A32">
        <v>11</v>
      </c>
      <c r="B32" t="s">
        <v>651</v>
      </c>
      <c r="C32">
        <v>30</v>
      </c>
      <c r="D32" t="s">
        <v>3845</v>
      </c>
      <c r="E32" t="s">
        <v>3847</v>
      </c>
      <c r="F32" t="s">
        <v>249</v>
      </c>
      <c r="G32">
        <v>1</v>
      </c>
      <c r="H32">
        <v>1</v>
      </c>
      <c r="I32" t="s">
        <v>248</v>
      </c>
      <c r="J32" t="s">
        <v>243</v>
      </c>
      <c r="K32" t="s">
        <v>2430</v>
      </c>
    </row>
    <row r="33" spans="1:11" x14ac:dyDescent="0.55000000000000004">
      <c r="A33">
        <v>11</v>
      </c>
      <c r="B33" t="s">
        <v>651</v>
      </c>
      <c r="C33">
        <v>31</v>
      </c>
      <c r="D33" t="s">
        <v>3845</v>
      </c>
      <c r="E33" t="s">
        <v>3848</v>
      </c>
      <c r="F33" t="s">
        <v>249</v>
      </c>
      <c r="G33">
        <v>1</v>
      </c>
      <c r="H33">
        <v>1</v>
      </c>
      <c r="I33" t="s">
        <v>248</v>
      </c>
      <c r="J33" t="s">
        <v>873</v>
      </c>
      <c r="K33" t="s">
        <v>2430</v>
      </c>
    </row>
  </sheetData>
  <autoFilter ref="A2:K33" xr:uid="{3970C934-A6A9-4673-94A2-6E2FE1A0FF9F}"/>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2712C-A905-4143-83BE-8F42C7B2A38D}">
  <sheetPr codeName="Sheet13"/>
  <dimension ref="A1:AK707"/>
  <sheetViews>
    <sheetView topLeftCell="X1" workbookViewId="0">
      <selection activeCell="AH4" sqref="AH4"/>
    </sheetView>
  </sheetViews>
  <sheetFormatPr defaultRowHeight="14.4" x14ac:dyDescent="0.55000000000000004"/>
  <cols>
    <col min="1" max="1" width="70.83984375" style="121" bestFit="1" customWidth="1"/>
    <col min="2" max="2" width="8.83984375" style="121"/>
    <col min="4" max="4" width="22.15625" customWidth="1"/>
    <col min="5" max="5" width="10.41796875" bestFit="1" customWidth="1"/>
    <col min="8" max="8" width="16.578125" style="121" customWidth="1"/>
    <col min="9" max="9" width="8.83984375" style="121"/>
    <col min="11" max="11" width="21.41796875" style="121" bestFit="1" customWidth="1"/>
    <col min="12" max="12" width="16.26171875" style="121" customWidth="1"/>
    <col min="13" max="13" width="16.15625" style="121" customWidth="1"/>
    <col min="14" max="15" width="12.15625" style="121" customWidth="1"/>
    <col min="16" max="16" width="15.41796875" style="121" customWidth="1"/>
    <col min="20" max="20" width="70.83984375" style="121" bestFit="1" customWidth="1"/>
    <col min="21" max="21" width="8.83984375" style="121"/>
    <col min="23" max="23" width="22.15625" customWidth="1"/>
    <col min="24" max="24" width="10.41796875" bestFit="1" customWidth="1"/>
    <col min="27" max="27" width="16.578125" style="121" customWidth="1"/>
    <col min="28" max="28" width="8.83984375" style="121"/>
    <col min="30" max="30" width="21.41796875" style="121" bestFit="1" customWidth="1"/>
    <col min="31" max="31" width="16.26171875" style="121" customWidth="1"/>
    <col min="32" max="32" width="16.15625" style="121" customWidth="1"/>
    <col min="33" max="34" width="12.15625" style="121" customWidth="1"/>
    <col min="35" max="35" width="15.41796875" style="121" customWidth="1"/>
  </cols>
  <sheetData>
    <row r="1" spans="1:37" x14ac:dyDescent="0.55000000000000004">
      <c r="A1" s="121" t="s">
        <v>3195</v>
      </c>
      <c r="T1" s="235" t="s">
        <v>3196</v>
      </c>
    </row>
    <row r="2" spans="1:37" ht="14.7" thickBot="1" x14ac:dyDescent="0.6">
      <c r="A2" s="1" t="s">
        <v>820</v>
      </c>
      <c r="B2"/>
      <c r="H2"/>
      <c r="I2"/>
      <c r="K2"/>
      <c r="L2"/>
      <c r="M2"/>
      <c r="N2"/>
      <c r="O2"/>
      <c r="P2"/>
      <c r="T2" s="1" t="s">
        <v>820</v>
      </c>
      <c r="U2"/>
      <c r="AA2"/>
      <c r="AB2"/>
      <c r="AD2"/>
      <c r="AE2"/>
      <c r="AF2"/>
      <c r="AG2"/>
      <c r="AH2"/>
      <c r="AI2"/>
    </row>
    <row r="3" spans="1:37" ht="101.1" thickBot="1" x14ac:dyDescent="0.6">
      <c r="A3" s="127" t="s">
        <v>821</v>
      </c>
      <c r="B3" s="122" t="s">
        <v>822</v>
      </c>
      <c r="C3" s="123" t="s">
        <v>823</v>
      </c>
      <c r="D3" s="123" t="s">
        <v>823</v>
      </c>
      <c r="E3" s="123" t="s">
        <v>823</v>
      </c>
      <c r="F3" s="123" t="s">
        <v>823</v>
      </c>
      <c r="G3" s="123" t="s">
        <v>823</v>
      </c>
      <c r="H3" s="124" t="s">
        <v>326</v>
      </c>
      <c r="I3" s="125" t="s">
        <v>824</v>
      </c>
      <c r="J3" s="123" t="s">
        <v>825</v>
      </c>
      <c r="K3" s="126" t="s">
        <v>868</v>
      </c>
      <c r="L3" s="126" t="s">
        <v>826</v>
      </c>
      <c r="M3" s="126" t="s">
        <v>827</v>
      </c>
      <c r="N3" s="126" t="s">
        <v>829</v>
      </c>
      <c r="O3" s="126" t="s">
        <v>828</v>
      </c>
      <c r="P3" s="126" t="s">
        <v>830</v>
      </c>
      <c r="Q3" s="126" t="s">
        <v>831</v>
      </c>
      <c r="R3" t="s">
        <v>3214</v>
      </c>
      <c r="T3" s="127" t="s">
        <v>821</v>
      </c>
      <c r="U3" s="122" t="s">
        <v>822</v>
      </c>
      <c r="V3" s="123" t="s">
        <v>823</v>
      </c>
      <c r="W3" s="123" t="s">
        <v>823</v>
      </c>
      <c r="X3" s="123" t="s">
        <v>823</v>
      </c>
      <c r="Y3" s="123" t="s">
        <v>823</v>
      </c>
      <c r="Z3" s="123" t="s">
        <v>823</v>
      </c>
      <c r="AA3" s="124" t="s">
        <v>326</v>
      </c>
      <c r="AB3" s="125" t="s">
        <v>824</v>
      </c>
      <c r="AC3" s="123" t="s">
        <v>825</v>
      </c>
      <c r="AD3" s="126" t="s">
        <v>868</v>
      </c>
      <c r="AE3" s="126" t="s">
        <v>826</v>
      </c>
      <c r="AF3" s="126" t="s">
        <v>827</v>
      </c>
      <c r="AG3" s="126" t="s">
        <v>829</v>
      </c>
      <c r="AH3" s="126" t="s">
        <v>828</v>
      </c>
      <c r="AI3" s="126" t="s">
        <v>830</v>
      </c>
      <c r="AJ3" s="126" t="s">
        <v>831</v>
      </c>
      <c r="AK3" s="253" t="s">
        <v>865</v>
      </c>
    </row>
    <row r="4" spans="1:37" x14ac:dyDescent="0.55000000000000004">
      <c r="A4" s="121" t="str">
        <f>IF('summary_EPA Pond'!$A4="","Check Summary EPA POND worksheet Column A",'summary_EPA Pond'!$A4)</f>
        <v xml:space="preserve">1_284802-23590-1_Corn-r01-A_USEPA Pond_0010_median                                    </v>
      </c>
      <c r="B4" s="121" t="str" cm="1">
        <f t="array" ref="B4:G4">IFERROR(_xlfn.TEXTSPLIT(A4,"_"),"")</f>
        <v>1</v>
      </c>
      <c r="C4" t="str">
        <v>284802-23590-1</v>
      </c>
      <c r="D4" t="str">
        <v>Corn-r01-A</v>
      </c>
      <c r="E4" t="str">
        <v>USEPA Pond</v>
      </c>
      <c r="F4" t="str">
        <v>0010</v>
      </c>
      <c r="G4" t="str">
        <v xml:space="preserve">median                                    </v>
      </c>
      <c r="H4" s="121" t="str" cm="1">
        <f t="array" ref="H4:J4">IF(D4="","",(_xlfn.TEXTSPLIT(D4,"-")))</f>
        <v>Corn</v>
      </c>
      <c r="I4" s="121" t="str">
        <v>r01</v>
      </c>
      <c r="J4" t="str">
        <v>A</v>
      </c>
      <c r="K4" s="129" t="str">
        <f>VLOOKUP(VALUE($B4),test_out_xwalk!$C:$L,3,FALSE)</f>
        <v>Corn-1-1</v>
      </c>
      <c r="L4" s="129">
        <f>VLOOKUP(VALUE($B4),test_out_xwalk!$C:$L,5,FALSE)</f>
        <v>0.75</v>
      </c>
      <c r="M4" s="129">
        <f>VLOOKUP(VALUE($B4),test_out_xwalk!$C:$L,6,FALSE)</f>
        <v>0.75</v>
      </c>
      <c r="N4" s="129" t="str">
        <f>VLOOKUP(VALUE($B4),test_out_xwalk!$C:$L,8,FALSE)</f>
        <v>None</v>
      </c>
      <c r="O4" s="129" t="str">
        <f>VLOOKUP(VALUE($B4),test_out_xwalk!$C:$L,7,FALSE)</f>
        <v>Granular</v>
      </c>
      <c r="P4" s="129" t="str">
        <f>VLOOKUP(VALUE($B4),test_out_xwalk!$C:$L,4,FALSE)</f>
        <v>Pre-emergence</v>
      </c>
      <c r="Q4" s="129" t="str">
        <f>VLOOKUP(VALUE($B4),test_out_xwalk!$C:$L,9,FALSE)</f>
        <v>Corn</v>
      </c>
      <c r="R4">
        <f>_xlfn.XLOOKUP(VALUE(B4),test_out_xwalk!$C:$C,test_out_xwalk!$A:$A)</f>
        <v>1</v>
      </c>
      <c r="T4" s="121" t="str">
        <f>IF('summary_EPA Pond'!$O4="","Check Summary EPA POND worksheet Column O",'summary_EPA Pond'!$O4)</f>
        <v xml:space="preserve">1_284802-23590-1_Corn-r01-A_USEPA Pond_0010_median                                    </v>
      </c>
      <c r="U4" s="121" t="str" cm="1">
        <f t="array" ref="U4:Z4">IFERROR(_xlfn.TEXTSPLIT(T4,"_"),"")</f>
        <v>1</v>
      </c>
      <c r="V4" t="str">
        <v>284802-23590-1</v>
      </c>
      <c r="W4" t="str">
        <v>Corn-r01-A</v>
      </c>
      <c r="X4" t="str">
        <v>USEPA Pond</v>
      </c>
      <c r="Y4" t="str">
        <v>0010</v>
      </c>
      <c r="Z4" t="str">
        <v xml:space="preserve">median                                    </v>
      </c>
      <c r="AA4" s="121" t="str" cm="1">
        <f t="array" ref="AA4:AC4">IF(W4="","",(_xlfn.TEXTSPLIT(W4,"-")))</f>
        <v>Corn</v>
      </c>
      <c r="AB4" s="121" t="str">
        <v>r01</v>
      </c>
      <c r="AC4" t="str">
        <v>A</v>
      </c>
      <c r="AD4" s="129" t="str">
        <f>VLOOKUP(VALUE($U4),test_out_xwalk!$C:$L,3,FALSE)</f>
        <v>Corn-1-1</v>
      </c>
      <c r="AE4" s="129">
        <f>VLOOKUP(VALUE($U4),test_out_xwalk!$C:$L,5,FALSE)</f>
        <v>0.75</v>
      </c>
      <c r="AF4" s="129">
        <f>VLOOKUP(VALUE($U4),test_out_xwalk!$C:$L,6,FALSE)</f>
        <v>0.75</v>
      </c>
      <c r="AG4" s="129" t="str">
        <f>VLOOKUP(VALUE($U4),test_out_xwalk!$C:$L,8,FALSE)</f>
        <v>None</v>
      </c>
      <c r="AH4" s="129" t="str">
        <f>VLOOKUP(VALUE($U4),test_out_xwalk!$C:$L,7,FALSE)</f>
        <v>Granular</v>
      </c>
      <c r="AI4" s="129" t="str">
        <f>VLOOKUP(VALUE($U4),test_out_xwalk!$C:$L,4,FALSE)</f>
        <v>Pre-emergence</v>
      </c>
      <c r="AJ4" s="129" t="str">
        <f>VLOOKUP(VALUE($U4),test_out_xwalk!$C:$L,9,FALSE)</f>
        <v>Corn</v>
      </c>
      <c r="AK4">
        <f>_xlfn.XLOOKUP(VALUE(U4),test_out_xwalk!C:C,test_out_xwalk!A:A)</f>
        <v>1</v>
      </c>
    </row>
    <row r="5" spans="1:37" x14ac:dyDescent="0.55000000000000004">
      <c r="A5" s="121" t="str">
        <f>IF('summary_EPA Pond'!$A5="","Check Summary EPA POND worksheet Column A",'summary_EPA Pond'!$A5)</f>
        <v xml:space="preserve">1_282174-22397-1_Corn-r02-A_USEPA Pond_0010_median                                    </v>
      </c>
      <c r="B5" s="121" t="str" cm="1">
        <f t="array" ref="B5:G5">IFERROR(_xlfn.TEXTSPLIT(A5,"_"),"")</f>
        <v>1</v>
      </c>
      <c r="C5" t="str">
        <v>282174-22397-1</v>
      </c>
      <c r="D5" t="str">
        <v>Corn-r02-A</v>
      </c>
      <c r="E5" t="str">
        <v>USEPA Pond</v>
      </c>
      <c r="F5" t="str">
        <v>0010</v>
      </c>
      <c r="G5" t="str">
        <v xml:space="preserve">median                                    </v>
      </c>
      <c r="H5" s="121" t="str" cm="1">
        <f t="array" ref="H5:J5">IF(D5="","",(_xlfn.TEXTSPLIT(D5,"-")))</f>
        <v>Corn</v>
      </c>
      <c r="I5" s="121" t="str">
        <v>r02</v>
      </c>
      <c r="J5" t="str">
        <v>A</v>
      </c>
      <c r="K5" s="129" t="str">
        <f>VLOOKUP(VALUE($B5),test_out_xwalk!$C:$L,3,FALSE)</f>
        <v>Corn-1-1</v>
      </c>
      <c r="L5" s="129">
        <f>VLOOKUP(VALUE($B5),test_out_xwalk!$C:$L,5,FALSE)</f>
        <v>0.75</v>
      </c>
      <c r="M5" s="129">
        <f>VLOOKUP(VALUE($B5),test_out_xwalk!$C:$L,6,FALSE)</f>
        <v>0.75</v>
      </c>
      <c r="N5" s="129" t="str">
        <f>VLOOKUP(VALUE($B5),test_out_xwalk!$C:$L,8,FALSE)</f>
        <v>None</v>
      </c>
      <c r="O5" s="129" t="str">
        <f>VLOOKUP(VALUE($B5),test_out_xwalk!$C:$L,7,FALSE)</f>
        <v>Granular</v>
      </c>
      <c r="P5" s="129" t="str">
        <f>VLOOKUP(VALUE($B5),test_out_xwalk!$C:$L,4,FALSE)</f>
        <v>Pre-emergence</v>
      </c>
      <c r="Q5" s="129" t="str">
        <f>VLOOKUP(VALUE($B5),test_out_xwalk!$C:$L,9,FALSE)</f>
        <v>Corn</v>
      </c>
      <c r="R5">
        <f>_xlfn.XLOOKUP(VALUE(B5),test_out_xwalk!$C:$C,test_out_xwalk!$A:$A)</f>
        <v>1</v>
      </c>
      <c r="T5" s="121" t="str">
        <f>IF('summary_EPA Pond'!$O5="","Check Summary EPA POND worksheet Column O",'summary_EPA Pond'!$O5)</f>
        <v xml:space="preserve">1_282174-22397-1_Corn-r02-A_USEPA Pond_0010_median                                    </v>
      </c>
      <c r="U5" s="121" t="str" cm="1">
        <f t="array" ref="U5:Z5">IFERROR(_xlfn.TEXTSPLIT(T5,"_"),"")</f>
        <v>1</v>
      </c>
      <c r="V5" t="str">
        <v>282174-22397-1</v>
      </c>
      <c r="W5" t="str">
        <v>Corn-r02-A</v>
      </c>
      <c r="X5" t="str">
        <v>USEPA Pond</v>
      </c>
      <c r="Y5" t="str">
        <v>0010</v>
      </c>
      <c r="Z5" t="str">
        <v xml:space="preserve">median                                    </v>
      </c>
      <c r="AA5" s="121" t="str" cm="1">
        <f t="array" ref="AA5:AC5">IF(W5="","",(_xlfn.TEXTSPLIT(W5,"-")))</f>
        <v>Corn</v>
      </c>
      <c r="AB5" s="121" t="str">
        <v>r02</v>
      </c>
      <c r="AC5" t="str">
        <v>A</v>
      </c>
      <c r="AD5" s="129" t="str">
        <f>VLOOKUP(VALUE($U5),test_out_xwalk!$C:$L,3,FALSE)</f>
        <v>Corn-1-1</v>
      </c>
      <c r="AE5" s="129">
        <f>VLOOKUP(VALUE($U5),test_out_xwalk!$C:$L,5,FALSE)</f>
        <v>0.75</v>
      </c>
      <c r="AF5" s="129">
        <f>VLOOKUP(VALUE($U5),test_out_xwalk!$C:$L,6,FALSE)</f>
        <v>0.75</v>
      </c>
      <c r="AG5" s="129" t="str">
        <f>VLOOKUP(VALUE($U5),test_out_xwalk!$C:$L,8,FALSE)</f>
        <v>None</v>
      </c>
      <c r="AH5" s="129" t="str">
        <f>VLOOKUP(VALUE($U5),test_out_xwalk!$C:$L,7,FALSE)</f>
        <v>Granular</v>
      </c>
      <c r="AI5" s="129" t="str">
        <f>VLOOKUP(VALUE($U5),test_out_xwalk!$C:$L,4,FALSE)</f>
        <v>Pre-emergence</v>
      </c>
      <c r="AJ5" s="129" t="str">
        <f>VLOOKUP(VALUE($U5),test_out_xwalk!$C:$L,9,FALSE)</f>
        <v>Corn</v>
      </c>
      <c r="AK5">
        <f>_xlfn.XLOOKUP(VALUE(U5),test_out_xwalk!C:C,test_out_xwalk!A:A)</f>
        <v>1</v>
      </c>
    </row>
    <row r="6" spans="1:37" x14ac:dyDescent="0.55000000000000004">
      <c r="A6" s="121" t="str">
        <f>IF('summary_EPA Pond'!$A6="","Check Summary EPA POND worksheet Column A",'summary_EPA Pond'!$A6)</f>
        <v xml:space="preserve">1_2493903-15051-1_Corn-r03N-A_USEPA Pond_0010_median                                  </v>
      </c>
      <c r="B6" s="121" t="str" cm="1">
        <f t="array" ref="B6:G6">IFERROR(_xlfn.TEXTSPLIT(A6,"_"),"")</f>
        <v>1</v>
      </c>
      <c r="C6" t="str">
        <v>2493903-15051-1</v>
      </c>
      <c r="D6" t="str">
        <v>Corn-r03N-A</v>
      </c>
      <c r="E6" t="str">
        <v>USEPA Pond</v>
      </c>
      <c r="F6" t="str">
        <v>0010</v>
      </c>
      <c r="G6" t="str">
        <v xml:space="preserve">median                                  </v>
      </c>
      <c r="H6" s="121" t="str" cm="1">
        <f t="array" ref="H6:J6">IF(D6="","",(_xlfn.TEXTSPLIT(D6,"-")))</f>
        <v>Corn</v>
      </c>
      <c r="I6" s="121" t="str">
        <v>r03N</v>
      </c>
      <c r="J6" t="str">
        <v>A</v>
      </c>
      <c r="K6" s="129" t="str">
        <f>VLOOKUP(VALUE($B6),test_out_xwalk!$C:$L,3,FALSE)</f>
        <v>Corn-1-1</v>
      </c>
      <c r="L6" s="129">
        <f>VLOOKUP(VALUE($B6),test_out_xwalk!$C:$L,5,FALSE)</f>
        <v>0.75</v>
      </c>
      <c r="M6" s="129">
        <f>VLOOKUP(VALUE($B6),test_out_xwalk!$C:$L,6,FALSE)</f>
        <v>0.75</v>
      </c>
      <c r="N6" s="129" t="str">
        <f>VLOOKUP(VALUE($B6),test_out_xwalk!$C:$L,8,FALSE)</f>
        <v>None</v>
      </c>
      <c r="O6" s="129" t="str">
        <f>VLOOKUP(VALUE($B6),test_out_xwalk!$C:$L,7,FALSE)</f>
        <v>Granular</v>
      </c>
      <c r="P6" s="129" t="str">
        <f>VLOOKUP(VALUE($B6),test_out_xwalk!$C:$L,4,FALSE)</f>
        <v>Pre-emergence</v>
      </c>
      <c r="Q6" s="129" t="str">
        <f>VLOOKUP(VALUE($B6),test_out_xwalk!$C:$L,9,FALSE)</f>
        <v>Corn</v>
      </c>
      <c r="R6">
        <f>_xlfn.XLOOKUP(VALUE(B6),test_out_xwalk!$C:$C,test_out_xwalk!$A:$A)</f>
        <v>1</v>
      </c>
      <c r="T6" s="121" t="str">
        <f>IF('summary_EPA Pond'!$O6="","Check Summary EPA POND worksheet Column O",'summary_EPA Pond'!$O6)</f>
        <v xml:space="preserve">1_2493903-15051-1_Corn-r03N-A_USEPA Pond_0010_median                                  </v>
      </c>
      <c r="U6" s="121" t="str" cm="1">
        <f t="array" ref="U6:Z6">IFERROR(_xlfn.TEXTSPLIT(T6,"_"),"")</f>
        <v>1</v>
      </c>
      <c r="V6" t="str">
        <v>2493903-15051-1</v>
      </c>
      <c r="W6" t="str">
        <v>Corn-r03N-A</v>
      </c>
      <c r="X6" t="str">
        <v>USEPA Pond</v>
      </c>
      <c r="Y6" t="str">
        <v>0010</v>
      </c>
      <c r="Z6" t="str">
        <v xml:space="preserve">median                                  </v>
      </c>
      <c r="AA6" s="121" t="str" cm="1">
        <f t="array" ref="AA6:AC6">IF(W6="","",(_xlfn.TEXTSPLIT(W6,"-")))</f>
        <v>Corn</v>
      </c>
      <c r="AB6" s="121" t="str">
        <v>r03N</v>
      </c>
      <c r="AC6" t="str">
        <v>A</v>
      </c>
      <c r="AD6" s="129" t="str">
        <f>VLOOKUP(VALUE($U6),test_out_xwalk!$C:$L,3,FALSE)</f>
        <v>Corn-1-1</v>
      </c>
      <c r="AE6" s="129">
        <f>VLOOKUP(VALUE($U6),test_out_xwalk!$C:$L,5,FALSE)</f>
        <v>0.75</v>
      </c>
      <c r="AF6" s="129">
        <f>VLOOKUP(VALUE($U6),test_out_xwalk!$C:$L,6,FALSE)</f>
        <v>0.75</v>
      </c>
      <c r="AG6" s="129" t="str">
        <f>VLOOKUP(VALUE($U6),test_out_xwalk!$C:$L,8,FALSE)</f>
        <v>None</v>
      </c>
      <c r="AH6" s="129" t="str">
        <f>VLOOKUP(VALUE($U6),test_out_xwalk!$C:$L,7,FALSE)</f>
        <v>Granular</v>
      </c>
      <c r="AI6" s="129" t="str">
        <f>VLOOKUP(VALUE($U6),test_out_xwalk!$C:$L,4,FALSE)</f>
        <v>Pre-emergence</v>
      </c>
      <c r="AJ6" s="129" t="str">
        <f>VLOOKUP(VALUE($U6),test_out_xwalk!$C:$L,9,FALSE)</f>
        <v>Corn</v>
      </c>
      <c r="AK6">
        <f>_xlfn.XLOOKUP(VALUE(U6),test_out_xwalk!C:C,test_out_xwalk!A:A)</f>
        <v>1</v>
      </c>
    </row>
    <row r="7" spans="1:37" x14ac:dyDescent="0.55000000000000004">
      <c r="A7" s="121" t="str">
        <f>IF('summary_EPA Pond'!$A7="","Check Summary EPA POND worksheet Column A",'summary_EPA Pond'!$A7)</f>
        <v xml:space="preserve">1_125348-10792-1_Corn-r03S-A_USEPA Pond_0010_median                                   </v>
      </c>
      <c r="B7" s="121" t="str" cm="1">
        <f t="array" ref="B7:G7">IFERROR(_xlfn.TEXTSPLIT(A7,"_"),"")</f>
        <v>1</v>
      </c>
      <c r="C7" t="str">
        <v>125348-10792-1</v>
      </c>
      <c r="D7" t="str">
        <v>Corn-r03S-A</v>
      </c>
      <c r="E7" t="str">
        <v>USEPA Pond</v>
      </c>
      <c r="F7" t="str">
        <v>0010</v>
      </c>
      <c r="G7" t="str">
        <v xml:space="preserve">median                                   </v>
      </c>
      <c r="H7" s="121" t="str" cm="1">
        <f t="array" ref="H7:J7">IF(D7="","",(_xlfn.TEXTSPLIT(D7,"-")))</f>
        <v>Corn</v>
      </c>
      <c r="I7" s="121" t="str">
        <v>r03S</v>
      </c>
      <c r="J7" t="str">
        <v>A</v>
      </c>
      <c r="K7" s="129" t="str">
        <f>VLOOKUP(VALUE($B7),test_out_xwalk!$C:$L,3,FALSE)</f>
        <v>Corn-1-1</v>
      </c>
      <c r="L7" s="129">
        <f>VLOOKUP(VALUE($B7),test_out_xwalk!$C:$L,5,FALSE)</f>
        <v>0.75</v>
      </c>
      <c r="M7" s="129">
        <f>VLOOKUP(VALUE($B7),test_out_xwalk!$C:$L,6,FALSE)</f>
        <v>0.75</v>
      </c>
      <c r="N7" s="129" t="str">
        <f>VLOOKUP(VALUE($B7),test_out_xwalk!$C:$L,8,FALSE)</f>
        <v>None</v>
      </c>
      <c r="O7" s="129" t="str">
        <f>VLOOKUP(VALUE($B7),test_out_xwalk!$C:$L,7,FALSE)</f>
        <v>Granular</v>
      </c>
      <c r="P7" s="129" t="str">
        <f>VLOOKUP(VALUE($B7),test_out_xwalk!$C:$L,4,FALSE)</f>
        <v>Pre-emergence</v>
      </c>
      <c r="Q7" s="129" t="str">
        <f>VLOOKUP(VALUE($B7),test_out_xwalk!$C:$L,9,FALSE)</f>
        <v>Corn</v>
      </c>
      <c r="R7">
        <f>_xlfn.XLOOKUP(VALUE(B7),test_out_xwalk!$C:$C,test_out_xwalk!$A:$A)</f>
        <v>1</v>
      </c>
      <c r="T7" s="121" t="str">
        <f>IF('summary_EPA Pond'!$O7="","Check Summary EPA POND worksheet Column O",'summary_EPA Pond'!$O7)</f>
        <v xml:space="preserve">1_125348-10792-1_Corn-r03S-A_USEPA Pond_0010_median                                   </v>
      </c>
      <c r="U7" s="121" t="str" cm="1">
        <f t="array" ref="U7:Z7">IFERROR(_xlfn.TEXTSPLIT(T7,"_"),"")</f>
        <v>1</v>
      </c>
      <c r="V7" t="str">
        <v>125348-10792-1</v>
      </c>
      <c r="W7" t="str">
        <v>Corn-r03S-A</v>
      </c>
      <c r="X7" t="str">
        <v>USEPA Pond</v>
      </c>
      <c r="Y7" t="str">
        <v>0010</v>
      </c>
      <c r="Z7" t="str">
        <v xml:space="preserve">median                                   </v>
      </c>
      <c r="AA7" s="121" t="str" cm="1">
        <f t="array" ref="AA7:AC7">IF(W7="","",(_xlfn.TEXTSPLIT(W7,"-")))</f>
        <v>Corn</v>
      </c>
      <c r="AB7" s="121" t="str">
        <v>r03S</v>
      </c>
      <c r="AC7" t="str">
        <v>A</v>
      </c>
      <c r="AD7" s="129" t="str">
        <f>VLOOKUP(VALUE($U7),test_out_xwalk!$C:$L,3,FALSE)</f>
        <v>Corn-1-1</v>
      </c>
      <c r="AE7" s="129">
        <f>VLOOKUP(VALUE($U7),test_out_xwalk!$C:$L,5,FALSE)</f>
        <v>0.75</v>
      </c>
      <c r="AF7" s="129">
        <f>VLOOKUP(VALUE($U7),test_out_xwalk!$C:$L,6,FALSE)</f>
        <v>0.75</v>
      </c>
      <c r="AG7" s="129" t="str">
        <f>VLOOKUP(VALUE($U7),test_out_xwalk!$C:$L,8,FALSE)</f>
        <v>None</v>
      </c>
      <c r="AH7" s="129" t="str">
        <f>VLOOKUP(VALUE($U7),test_out_xwalk!$C:$L,7,FALSE)</f>
        <v>Granular</v>
      </c>
      <c r="AI7" s="129" t="str">
        <f>VLOOKUP(VALUE($U7),test_out_xwalk!$C:$L,4,FALSE)</f>
        <v>Pre-emergence</v>
      </c>
      <c r="AJ7" s="129" t="str">
        <f>VLOOKUP(VALUE($U7),test_out_xwalk!$C:$L,9,FALSE)</f>
        <v>Corn</v>
      </c>
      <c r="AK7">
        <f>_xlfn.XLOOKUP(VALUE(U7),test_out_xwalk!C:C,test_out_xwalk!A:A)</f>
        <v>1</v>
      </c>
    </row>
    <row r="8" spans="1:37" x14ac:dyDescent="0.55000000000000004">
      <c r="A8" s="121" t="str">
        <f>IF('summary_EPA Pond'!$A8="","Check Summary EPA POND worksheet Column A",'summary_EPA Pond'!$A8)</f>
        <v xml:space="preserve">1_333066-12658-1_Corn-r03W-A_USEPA Pond_0010_median                                   </v>
      </c>
      <c r="B8" s="121" t="str" cm="1">
        <f t="array" ref="B8:G8">IFERROR(_xlfn.TEXTSPLIT(A8,"_"),"")</f>
        <v>1</v>
      </c>
      <c r="C8" t="str">
        <v>333066-12658-1</v>
      </c>
      <c r="D8" t="str">
        <v>Corn-r03W-A</v>
      </c>
      <c r="E8" t="str">
        <v>USEPA Pond</v>
      </c>
      <c r="F8" t="str">
        <v>0010</v>
      </c>
      <c r="G8" t="str">
        <v xml:space="preserve">median                                   </v>
      </c>
      <c r="H8" s="121" t="str" cm="1">
        <f t="array" ref="H8:J8">IF(D8="","",(_xlfn.TEXTSPLIT(D8,"-")))</f>
        <v>Corn</v>
      </c>
      <c r="I8" s="121" t="str">
        <v>r03W</v>
      </c>
      <c r="J8" t="str">
        <v>A</v>
      </c>
      <c r="K8" s="129" t="str">
        <f>VLOOKUP(VALUE($B8),test_out_xwalk!$C:$L,3,FALSE)</f>
        <v>Corn-1-1</v>
      </c>
      <c r="L8" s="129">
        <f>VLOOKUP(VALUE($B8),test_out_xwalk!$C:$L,5,FALSE)</f>
        <v>0.75</v>
      </c>
      <c r="M8" s="129">
        <f>VLOOKUP(VALUE($B8),test_out_xwalk!$C:$L,6,FALSE)</f>
        <v>0.75</v>
      </c>
      <c r="N8" s="129" t="str">
        <f>VLOOKUP(VALUE($B8),test_out_xwalk!$C:$L,8,FALSE)</f>
        <v>None</v>
      </c>
      <c r="O8" s="129" t="str">
        <f>VLOOKUP(VALUE($B8),test_out_xwalk!$C:$L,7,FALSE)</f>
        <v>Granular</v>
      </c>
      <c r="P8" s="129" t="str">
        <f>VLOOKUP(VALUE($B8),test_out_xwalk!$C:$L,4,FALSE)</f>
        <v>Pre-emergence</v>
      </c>
      <c r="Q8" s="129" t="str">
        <f>VLOOKUP(VALUE($B8),test_out_xwalk!$C:$L,9,FALSE)</f>
        <v>Corn</v>
      </c>
      <c r="R8">
        <f>_xlfn.XLOOKUP(VALUE(B8),test_out_xwalk!$C:$C,test_out_xwalk!$A:$A)</f>
        <v>1</v>
      </c>
      <c r="T8" s="121" t="str">
        <f>IF('summary_EPA Pond'!$O8="","Check Summary EPA POND worksheet Column O",'summary_EPA Pond'!$O8)</f>
        <v xml:space="preserve">1_333066-12658-1_Corn-r03W-A_USEPA Pond_0010_median                                   </v>
      </c>
      <c r="U8" s="121" t="str" cm="1">
        <f t="array" ref="U8:Z8">IFERROR(_xlfn.TEXTSPLIT(T8,"_"),"")</f>
        <v>1</v>
      </c>
      <c r="V8" t="str">
        <v>333066-12658-1</v>
      </c>
      <c r="W8" t="str">
        <v>Corn-r03W-A</v>
      </c>
      <c r="X8" t="str">
        <v>USEPA Pond</v>
      </c>
      <c r="Y8" t="str">
        <v>0010</v>
      </c>
      <c r="Z8" t="str">
        <v xml:space="preserve">median                                   </v>
      </c>
      <c r="AA8" s="121" t="str" cm="1">
        <f t="array" ref="AA8:AC8">IF(W8="","",(_xlfn.TEXTSPLIT(W8,"-")))</f>
        <v>Corn</v>
      </c>
      <c r="AB8" s="121" t="str">
        <v>r03W</v>
      </c>
      <c r="AC8" t="str">
        <v>A</v>
      </c>
      <c r="AD8" s="129" t="str">
        <f>VLOOKUP(VALUE($U8),test_out_xwalk!$C:$L,3,FALSE)</f>
        <v>Corn-1-1</v>
      </c>
      <c r="AE8" s="129">
        <f>VLOOKUP(VALUE($U8),test_out_xwalk!$C:$L,5,FALSE)</f>
        <v>0.75</v>
      </c>
      <c r="AF8" s="129">
        <f>VLOOKUP(VALUE($U8),test_out_xwalk!$C:$L,6,FALSE)</f>
        <v>0.75</v>
      </c>
      <c r="AG8" s="129" t="str">
        <f>VLOOKUP(VALUE($U8),test_out_xwalk!$C:$L,8,FALSE)</f>
        <v>None</v>
      </c>
      <c r="AH8" s="129" t="str">
        <f>VLOOKUP(VALUE($U8),test_out_xwalk!$C:$L,7,FALSE)</f>
        <v>Granular</v>
      </c>
      <c r="AI8" s="129" t="str">
        <f>VLOOKUP(VALUE($U8),test_out_xwalk!$C:$L,4,FALSE)</f>
        <v>Pre-emergence</v>
      </c>
      <c r="AJ8" s="129" t="str">
        <f>VLOOKUP(VALUE($U8),test_out_xwalk!$C:$L,9,FALSE)</f>
        <v>Corn</v>
      </c>
      <c r="AK8">
        <f>_xlfn.XLOOKUP(VALUE(U8),test_out_xwalk!C:C,test_out_xwalk!A:A)</f>
        <v>1</v>
      </c>
    </row>
    <row r="9" spans="1:37" x14ac:dyDescent="0.55000000000000004">
      <c r="A9" s="121" t="str">
        <f>IF('summary_EPA Pond'!$A9="","Check Summary EPA POND worksheet Column A",'summary_EPA Pond'!$A9)</f>
        <v xml:space="preserve">1_169674-19520-1_Corn-r04-A_USEPA Pond_0010_median                                    </v>
      </c>
      <c r="B9" s="121" t="str" cm="1">
        <f t="array" ref="B9:G9">IFERROR(_xlfn.TEXTSPLIT(A9,"_"),"")</f>
        <v>1</v>
      </c>
      <c r="C9" t="str">
        <v>169674-19520-1</v>
      </c>
      <c r="D9" t="str">
        <v>Corn-r04-A</v>
      </c>
      <c r="E9" t="str">
        <v>USEPA Pond</v>
      </c>
      <c r="F9" t="str">
        <v>0010</v>
      </c>
      <c r="G9" t="str">
        <v xml:space="preserve">median                                    </v>
      </c>
      <c r="H9" s="121" t="str" cm="1">
        <f t="array" ref="H9:J9">IF(D9="","",(_xlfn.TEXTSPLIT(D9,"-")))</f>
        <v>Corn</v>
      </c>
      <c r="I9" s="121" t="str">
        <v>r04</v>
      </c>
      <c r="J9" t="str">
        <v>A</v>
      </c>
      <c r="K9" s="129" t="str">
        <f>VLOOKUP(VALUE($B9),test_out_xwalk!$C:$L,3,FALSE)</f>
        <v>Corn-1-1</v>
      </c>
      <c r="L9" s="129">
        <f>VLOOKUP(VALUE($B9),test_out_xwalk!$C:$L,5,FALSE)</f>
        <v>0.75</v>
      </c>
      <c r="M9" s="129">
        <f>VLOOKUP(VALUE($B9),test_out_xwalk!$C:$L,6,FALSE)</f>
        <v>0.75</v>
      </c>
      <c r="N9" s="129" t="str">
        <f>VLOOKUP(VALUE($B9),test_out_xwalk!$C:$L,8,FALSE)</f>
        <v>None</v>
      </c>
      <c r="O9" s="129" t="str">
        <f>VLOOKUP(VALUE($B9),test_out_xwalk!$C:$L,7,FALSE)</f>
        <v>Granular</v>
      </c>
      <c r="P9" s="129" t="str">
        <f>VLOOKUP(VALUE($B9),test_out_xwalk!$C:$L,4,FALSE)</f>
        <v>Pre-emergence</v>
      </c>
      <c r="Q9" s="129" t="str">
        <f>VLOOKUP(VALUE($B9),test_out_xwalk!$C:$L,9,FALSE)</f>
        <v>Corn</v>
      </c>
      <c r="R9">
        <f>_xlfn.XLOOKUP(VALUE(B9),test_out_xwalk!$C:$C,test_out_xwalk!$A:$A)</f>
        <v>1</v>
      </c>
      <c r="T9" s="121" t="str">
        <f>IF('summary_EPA Pond'!$O9="","Check Summary EPA POND worksheet Column O",'summary_EPA Pond'!$O9)</f>
        <v xml:space="preserve">1_169674-19520-1_Corn-r04-A_USEPA Pond_0010_median                                    </v>
      </c>
      <c r="U9" s="121" t="str" cm="1">
        <f t="array" ref="U9:Z9">IFERROR(_xlfn.TEXTSPLIT(T9,"_"),"")</f>
        <v>1</v>
      </c>
      <c r="V9" t="str">
        <v>169674-19520-1</v>
      </c>
      <c r="W9" t="str">
        <v>Corn-r04-A</v>
      </c>
      <c r="X9" t="str">
        <v>USEPA Pond</v>
      </c>
      <c r="Y9" t="str">
        <v>0010</v>
      </c>
      <c r="Z9" t="str">
        <v xml:space="preserve">median                                    </v>
      </c>
      <c r="AA9" s="121" t="str" cm="1">
        <f t="array" ref="AA9:AC9">IF(W9="","",(_xlfn.TEXTSPLIT(W9,"-")))</f>
        <v>Corn</v>
      </c>
      <c r="AB9" s="121" t="str">
        <v>r04</v>
      </c>
      <c r="AC9" t="str">
        <v>A</v>
      </c>
      <c r="AD9" s="129" t="str">
        <f>VLOOKUP(VALUE($U9),test_out_xwalk!$C:$L,3,FALSE)</f>
        <v>Corn-1-1</v>
      </c>
      <c r="AE9" s="129">
        <f>VLOOKUP(VALUE($U9),test_out_xwalk!$C:$L,5,FALSE)</f>
        <v>0.75</v>
      </c>
      <c r="AF9" s="129">
        <f>VLOOKUP(VALUE($U9),test_out_xwalk!$C:$L,6,FALSE)</f>
        <v>0.75</v>
      </c>
      <c r="AG9" s="129" t="str">
        <f>VLOOKUP(VALUE($U9),test_out_xwalk!$C:$L,8,FALSE)</f>
        <v>None</v>
      </c>
      <c r="AH9" s="129" t="str">
        <f>VLOOKUP(VALUE($U9),test_out_xwalk!$C:$L,7,FALSE)</f>
        <v>Granular</v>
      </c>
      <c r="AI9" s="129" t="str">
        <f>VLOOKUP(VALUE($U9),test_out_xwalk!$C:$L,4,FALSE)</f>
        <v>Pre-emergence</v>
      </c>
      <c r="AJ9" s="129" t="str">
        <f>VLOOKUP(VALUE($U9),test_out_xwalk!$C:$L,9,FALSE)</f>
        <v>Corn</v>
      </c>
      <c r="AK9">
        <f>_xlfn.XLOOKUP(VALUE(U9),test_out_xwalk!C:C,test_out_xwalk!A:A)</f>
        <v>1</v>
      </c>
    </row>
    <row r="10" spans="1:37" x14ac:dyDescent="0.55000000000000004">
      <c r="A10" s="121" t="str">
        <f>IF('summary_EPA Pond'!$A10="","Check Summary EPA POND worksheet Column A",'summary_EPA Pond'!$A10)</f>
        <v xml:space="preserve">1_164805-19043-1_Corn-r05-A_USEPA Pond_0010_median                                    </v>
      </c>
      <c r="B10" s="121" t="str" cm="1">
        <f t="array" ref="B10:G10">IFERROR(_xlfn.TEXTSPLIT(A10,"_"),"")</f>
        <v>1</v>
      </c>
      <c r="C10" t="str">
        <v>164805-19043-1</v>
      </c>
      <c r="D10" t="str">
        <v>Corn-r05-A</v>
      </c>
      <c r="E10" t="str">
        <v>USEPA Pond</v>
      </c>
      <c r="F10" t="str">
        <v>0010</v>
      </c>
      <c r="G10" t="str">
        <v xml:space="preserve">median                                    </v>
      </c>
      <c r="H10" s="121" t="str" cm="1">
        <f t="array" ref="H10:J10">IF(D10="","",(_xlfn.TEXTSPLIT(D10,"-")))</f>
        <v>Corn</v>
      </c>
      <c r="I10" s="121" t="str">
        <v>r05</v>
      </c>
      <c r="J10" t="str">
        <v>A</v>
      </c>
      <c r="K10" s="129" t="str">
        <f>VLOOKUP(VALUE($B10),test_out_xwalk!$C:$L,3,FALSE)</f>
        <v>Corn-1-1</v>
      </c>
      <c r="L10" s="129">
        <f>VLOOKUP(VALUE($B10),test_out_xwalk!$C:$L,5,FALSE)</f>
        <v>0.75</v>
      </c>
      <c r="M10" s="129">
        <f>VLOOKUP(VALUE($B10),test_out_xwalk!$C:$L,6,FALSE)</f>
        <v>0.75</v>
      </c>
      <c r="N10" s="129" t="str">
        <f>VLOOKUP(VALUE($B10),test_out_xwalk!$C:$L,8,FALSE)</f>
        <v>None</v>
      </c>
      <c r="O10" s="129" t="str">
        <f>VLOOKUP(VALUE($B10),test_out_xwalk!$C:$L,7,FALSE)</f>
        <v>Granular</v>
      </c>
      <c r="P10" s="129" t="str">
        <f>VLOOKUP(VALUE($B10),test_out_xwalk!$C:$L,4,FALSE)</f>
        <v>Pre-emergence</v>
      </c>
      <c r="Q10" s="129" t="str">
        <f>VLOOKUP(VALUE($B10),test_out_xwalk!$C:$L,9,FALSE)</f>
        <v>Corn</v>
      </c>
      <c r="R10">
        <f>_xlfn.XLOOKUP(VALUE(B10),test_out_xwalk!$C:$C,test_out_xwalk!$A:$A)</f>
        <v>1</v>
      </c>
      <c r="T10" s="121" t="str">
        <f>IF('summary_EPA Pond'!$O10="","Check Summary EPA POND worksheet Column O",'summary_EPA Pond'!$O10)</f>
        <v xml:space="preserve">1_164805-19043-1_Corn-r05-A_USEPA Pond_0010_median                                    </v>
      </c>
      <c r="U10" s="121" t="str" cm="1">
        <f t="array" ref="U10:Z10">IFERROR(_xlfn.TEXTSPLIT(T10,"_"),"")</f>
        <v>1</v>
      </c>
      <c r="V10" t="str">
        <v>164805-19043-1</v>
      </c>
      <c r="W10" t="str">
        <v>Corn-r05-A</v>
      </c>
      <c r="X10" t="str">
        <v>USEPA Pond</v>
      </c>
      <c r="Y10" t="str">
        <v>0010</v>
      </c>
      <c r="Z10" t="str">
        <v xml:space="preserve">median                                    </v>
      </c>
      <c r="AA10" s="121" t="str" cm="1">
        <f t="array" ref="AA10:AC10">IF(W10="","",(_xlfn.TEXTSPLIT(W10,"-")))</f>
        <v>Corn</v>
      </c>
      <c r="AB10" s="121" t="str">
        <v>r05</v>
      </c>
      <c r="AC10" t="str">
        <v>A</v>
      </c>
      <c r="AD10" s="129" t="str">
        <f>VLOOKUP(VALUE($U10),test_out_xwalk!$C:$L,3,FALSE)</f>
        <v>Corn-1-1</v>
      </c>
      <c r="AE10" s="129">
        <f>VLOOKUP(VALUE($U10),test_out_xwalk!$C:$L,5,FALSE)</f>
        <v>0.75</v>
      </c>
      <c r="AF10" s="129">
        <f>VLOOKUP(VALUE($U10),test_out_xwalk!$C:$L,6,FALSE)</f>
        <v>0.75</v>
      </c>
      <c r="AG10" s="129" t="str">
        <f>VLOOKUP(VALUE($U10),test_out_xwalk!$C:$L,8,FALSE)</f>
        <v>None</v>
      </c>
      <c r="AH10" s="129" t="str">
        <f>VLOOKUP(VALUE($U10),test_out_xwalk!$C:$L,7,FALSE)</f>
        <v>Granular</v>
      </c>
      <c r="AI10" s="129" t="str">
        <f>VLOOKUP(VALUE($U10),test_out_xwalk!$C:$L,4,FALSE)</f>
        <v>Pre-emergence</v>
      </c>
      <c r="AJ10" s="129" t="str">
        <f>VLOOKUP(VALUE($U10),test_out_xwalk!$C:$L,9,FALSE)</f>
        <v>Corn</v>
      </c>
      <c r="AK10">
        <f>_xlfn.XLOOKUP(VALUE(U10),test_out_xwalk!C:C,test_out_xwalk!A:A)</f>
        <v>1</v>
      </c>
    </row>
    <row r="11" spans="1:37" x14ac:dyDescent="0.55000000000000004">
      <c r="A11" s="121" t="str">
        <f>IF('summary_EPA Pond'!$A11="","Check Summary EPA POND worksheet Column A",'summary_EPA Pond'!$A11)</f>
        <v xml:space="preserve">1_522893-13848-1_Corn-r06-A_USEPA Pond_0010_median                                    </v>
      </c>
      <c r="B11" s="121" t="str" cm="1">
        <f t="array" ref="B11:G11">IFERROR(_xlfn.TEXTSPLIT(A11,"_"),"")</f>
        <v>1</v>
      </c>
      <c r="C11" t="str">
        <v>522893-13848-1</v>
      </c>
      <c r="D11" t="str">
        <v>Corn-r06-A</v>
      </c>
      <c r="E11" t="str">
        <v>USEPA Pond</v>
      </c>
      <c r="F11" t="str">
        <v>0010</v>
      </c>
      <c r="G11" t="str">
        <v xml:space="preserve">median                                    </v>
      </c>
      <c r="H11" s="121" t="str" cm="1">
        <f t="array" ref="H11:J11">IF(D11="","",(_xlfn.TEXTSPLIT(D11,"-")))</f>
        <v>Corn</v>
      </c>
      <c r="I11" s="121" t="str">
        <v>r06</v>
      </c>
      <c r="J11" t="str">
        <v>A</v>
      </c>
      <c r="K11" s="129" t="str">
        <f>VLOOKUP(VALUE($B11),test_out_xwalk!$C:$L,3,FALSE)</f>
        <v>Corn-1-1</v>
      </c>
      <c r="L11" s="129">
        <f>VLOOKUP(VALUE($B11),test_out_xwalk!$C:$L,5,FALSE)</f>
        <v>0.75</v>
      </c>
      <c r="M11" s="129">
        <f>VLOOKUP(VALUE($B11),test_out_xwalk!$C:$L,6,FALSE)</f>
        <v>0.75</v>
      </c>
      <c r="N11" s="129" t="str">
        <f>VLOOKUP(VALUE($B11),test_out_xwalk!$C:$L,8,FALSE)</f>
        <v>None</v>
      </c>
      <c r="O11" s="129" t="str">
        <f>VLOOKUP(VALUE($B11),test_out_xwalk!$C:$L,7,FALSE)</f>
        <v>Granular</v>
      </c>
      <c r="P11" s="129" t="str">
        <f>VLOOKUP(VALUE($B11),test_out_xwalk!$C:$L,4,FALSE)</f>
        <v>Pre-emergence</v>
      </c>
      <c r="Q11" s="129" t="str">
        <f>VLOOKUP(VALUE($B11),test_out_xwalk!$C:$L,9,FALSE)</f>
        <v>Corn</v>
      </c>
      <c r="R11">
        <f>_xlfn.XLOOKUP(VALUE(B11),test_out_xwalk!$C:$C,test_out_xwalk!$A:$A)</f>
        <v>1</v>
      </c>
      <c r="T11" s="121" t="str">
        <f>IF('summary_EPA Pond'!$O11="","Check Summary EPA POND worksheet Column O",'summary_EPA Pond'!$O11)</f>
        <v xml:space="preserve">1_522893-13848-1_Corn-r06-A_USEPA Pond_0010_median                                    </v>
      </c>
      <c r="U11" s="121" t="str" cm="1">
        <f t="array" ref="U11:Z11">IFERROR(_xlfn.TEXTSPLIT(T11,"_"),"")</f>
        <v>1</v>
      </c>
      <c r="V11" t="str">
        <v>522893-13848-1</v>
      </c>
      <c r="W11" t="str">
        <v>Corn-r06-A</v>
      </c>
      <c r="X11" t="str">
        <v>USEPA Pond</v>
      </c>
      <c r="Y11" t="str">
        <v>0010</v>
      </c>
      <c r="Z11" t="str">
        <v xml:space="preserve">median                                    </v>
      </c>
      <c r="AA11" s="121" t="str" cm="1">
        <f t="array" ref="AA11:AC11">IF(W11="","",(_xlfn.TEXTSPLIT(W11,"-")))</f>
        <v>Corn</v>
      </c>
      <c r="AB11" s="121" t="str">
        <v>r06</v>
      </c>
      <c r="AC11" t="str">
        <v>A</v>
      </c>
      <c r="AD11" s="129" t="str">
        <f>VLOOKUP(VALUE($U11),test_out_xwalk!$C:$L,3,FALSE)</f>
        <v>Corn-1-1</v>
      </c>
      <c r="AE11" s="129">
        <f>VLOOKUP(VALUE($U11),test_out_xwalk!$C:$L,5,FALSE)</f>
        <v>0.75</v>
      </c>
      <c r="AF11" s="129">
        <f>VLOOKUP(VALUE($U11),test_out_xwalk!$C:$L,6,FALSE)</f>
        <v>0.75</v>
      </c>
      <c r="AG11" s="129" t="str">
        <f>VLOOKUP(VALUE($U11),test_out_xwalk!$C:$L,8,FALSE)</f>
        <v>None</v>
      </c>
      <c r="AH11" s="129" t="str">
        <f>VLOOKUP(VALUE($U11),test_out_xwalk!$C:$L,7,FALSE)</f>
        <v>Granular</v>
      </c>
      <c r="AI11" s="129" t="str">
        <f>VLOOKUP(VALUE($U11),test_out_xwalk!$C:$L,4,FALSE)</f>
        <v>Pre-emergence</v>
      </c>
      <c r="AJ11" s="129" t="str">
        <f>VLOOKUP(VALUE($U11),test_out_xwalk!$C:$L,9,FALSE)</f>
        <v>Corn</v>
      </c>
      <c r="AK11">
        <f>_xlfn.XLOOKUP(VALUE(U11),test_out_xwalk!C:C,test_out_xwalk!A:A)</f>
        <v>1</v>
      </c>
    </row>
    <row r="12" spans="1:37" x14ac:dyDescent="0.55000000000000004">
      <c r="A12" s="121" t="str">
        <f>IF('summary_EPA Pond'!$A12="","Check Summary EPA POND worksheet Column A",'summary_EPA Pond'!$A12)</f>
        <v xml:space="preserve">1_2765542-21371-1_Corn-r07-A_USEPA Pond_0010_median                                   </v>
      </c>
      <c r="B12" s="121" t="str" cm="1">
        <f t="array" ref="B12:G12">IFERROR(_xlfn.TEXTSPLIT(A12,"_"),"")</f>
        <v>1</v>
      </c>
      <c r="C12" t="str">
        <v>2765542-21371-1</v>
      </c>
      <c r="D12" t="str">
        <v>Corn-r07-A</v>
      </c>
      <c r="E12" t="str">
        <v>USEPA Pond</v>
      </c>
      <c r="F12" t="str">
        <v>0010</v>
      </c>
      <c r="G12" t="str">
        <v xml:space="preserve">median                                   </v>
      </c>
      <c r="H12" s="121" t="str" cm="1">
        <f t="array" ref="H12:J12">IF(D12="","",(_xlfn.TEXTSPLIT(D12,"-")))</f>
        <v>Corn</v>
      </c>
      <c r="I12" s="121" t="str">
        <v>r07</v>
      </c>
      <c r="J12" t="str">
        <v>A</v>
      </c>
      <c r="K12" s="129" t="str">
        <f>VLOOKUP(VALUE($B12),test_out_xwalk!$C:$L,3,FALSE)</f>
        <v>Corn-1-1</v>
      </c>
      <c r="L12" s="129">
        <f>VLOOKUP(VALUE($B12),test_out_xwalk!$C:$L,5,FALSE)</f>
        <v>0.75</v>
      </c>
      <c r="M12" s="129">
        <f>VLOOKUP(VALUE($B12),test_out_xwalk!$C:$L,6,FALSE)</f>
        <v>0.75</v>
      </c>
      <c r="N12" s="129" t="str">
        <f>VLOOKUP(VALUE($B12),test_out_xwalk!$C:$L,8,FALSE)</f>
        <v>None</v>
      </c>
      <c r="O12" s="129" t="str">
        <f>VLOOKUP(VALUE($B12),test_out_xwalk!$C:$L,7,FALSE)</f>
        <v>Granular</v>
      </c>
      <c r="P12" s="129" t="str">
        <f>VLOOKUP(VALUE($B12),test_out_xwalk!$C:$L,4,FALSE)</f>
        <v>Pre-emergence</v>
      </c>
      <c r="Q12" s="129" t="str">
        <f>VLOOKUP(VALUE($B12),test_out_xwalk!$C:$L,9,FALSE)</f>
        <v>Corn</v>
      </c>
      <c r="R12">
        <f>_xlfn.XLOOKUP(VALUE(B12),test_out_xwalk!$C:$C,test_out_xwalk!$A:$A)</f>
        <v>1</v>
      </c>
      <c r="T12" s="121" t="str">
        <f>IF('summary_EPA Pond'!$O12="","Check Summary EPA POND worksheet Column O",'summary_EPA Pond'!$O12)</f>
        <v xml:space="preserve">1_2765542-21371-1_Corn-r07-A_USEPA Pond_0010_median                                   </v>
      </c>
      <c r="U12" s="121" t="str" cm="1">
        <f t="array" ref="U12:Z12">IFERROR(_xlfn.TEXTSPLIT(T12,"_"),"")</f>
        <v>1</v>
      </c>
      <c r="V12" t="str">
        <v>2765542-21371-1</v>
      </c>
      <c r="W12" t="str">
        <v>Corn-r07-A</v>
      </c>
      <c r="X12" t="str">
        <v>USEPA Pond</v>
      </c>
      <c r="Y12" t="str">
        <v>0010</v>
      </c>
      <c r="Z12" t="str">
        <v xml:space="preserve">median                                   </v>
      </c>
      <c r="AA12" s="121" t="str" cm="1">
        <f t="array" ref="AA12:AC12">IF(W12="","",(_xlfn.TEXTSPLIT(W12,"-")))</f>
        <v>Corn</v>
      </c>
      <c r="AB12" s="121" t="str">
        <v>r07</v>
      </c>
      <c r="AC12" t="str">
        <v>A</v>
      </c>
      <c r="AD12" s="129" t="str">
        <f>VLOOKUP(VALUE($U12),test_out_xwalk!$C:$L,3,FALSE)</f>
        <v>Corn-1-1</v>
      </c>
      <c r="AE12" s="129">
        <f>VLOOKUP(VALUE($U12),test_out_xwalk!$C:$L,5,FALSE)</f>
        <v>0.75</v>
      </c>
      <c r="AF12" s="129">
        <f>VLOOKUP(VALUE($U12),test_out_xwalk!$C:$L,6,FALSE)</f>
        <v>0.75</v>
      </c>
      <c r="AG12" s="129" t="str">
        <f>VLOOKUP(VALUE($U12),test_out_xwalk!$C:$L,8,FALSE)</f>
        <v>None</v>
      </c>
      <c r="AH12" s="129" t="str">
        <f>VLOOKUP(VALUE($U12),test_out_xwalk!$C:$L,7,FALSE)</f>
        <v>Granular</v>
      </c>
      <c r="AI12" s="129" t="str">
        <f>VLOOKUP(VALUE($U12),test_out_xwalk!$C:$L,4,FALSE)</f>
        <v>Pre-emergence</v>
      </c>
      <c r="AJ12" s="129" t="str">
        <f>VLOOKUP(VALUE($U12),test_out_xwalk!$C:$L,9,FALSE)</f>
        <v>Corn</v>
      </c>
      <c r="AK12">
        <f>_xlfn.XLOOKUP(VALUE(U12),test_out_xwalk!C:C,test_out_xwalk!A:A)</f>
        <v>1</v>
      </c>
    </row>
    <row r="13" spans="1:37" x14ac:dyDescent="0.55000000000000004">
      <c r="A13" s="121" t="str">
        <f>IF('summary_EPA Pond'!$A13="","Check Summary EPA POND worksheet Column A",'summary_EPA Pond'!$A13)</f>
        <v xml:space="preserve">1_568322-13597-1_Corn-r08-A_USEPA Pond_0010_median                                    </v>
      </c>
      <c r="B13" s="121" t="str" cm="1">
        <f t="array" ref="B13:G13">IFERROR(_xlfn.TEXTSPLIT(A13,"_"),"")</f>
        <v>1</v>
      </c>
      <c r="C13" t="str">
        <v>568322-13597-1</v>
      </c>
      <c r="D13" t="str">
        <v>Corn-r08-A</v>
      </c>
      <c r="E13" t="str">
        <v>USEPA Pond</v>
      </c>
      <c r="F13" t="str">
        <v>0010</v>
      </c>
      <c r="G13" t="str">
        <v xml:space="preserve">median                                    </v>
      </c>
      <c r="H13" s="121" t="str" cm="1">
        <f t="array" ref="H13:J13">IF(D13="","",(_xlfn.TEXTSPLIT(D13,"-")))</f>
        <v>Corn</v>
      </c>
      <c r="I13" s="121" t="str">
        <v>r08</v>
      </c>
      <c r="J13" t="str">
        <v>A</v>
      </c>
      <c r="K13" s="129" t="str">
        <f>VLOOKUP(VALUE($B13),test_out_xwalk!$C:$L,3,FALSE)</f>
        <v>Corn-1-1</v>
      </c>
      <c r="L13" s="129">
        <f>VLOOKUP(VALUE($B13),test_out_xwalk!$C:$L,5,FALSE)</f>
        <v>0.75</v>
      </c>
      <c r="M13" s="129">
        <f>VLOOKUP(VALUE($B13),test_out_xwalk!$C:$L,6,FALSE)</f>
        <v>0.75</v>
      </c>
      <c r="N13" s="129" t="str">
        <f>VLOOKUP(VALUE($B13),test_out_xwalk!$C:$L,8,FALSE)</f>
        <v>None</v>
      </c>
      <c r="O13" s="129" t="str">
        <f>VLOOKUP(VALUE($B13),test_out_xwalk!$C:$L,7,FALSE)</f>
        <v>Granular</v>
      </c>
      <c r="P13" s="129" t="str">
        <f>VLOOKUP(VALUE($B13),test_out_xwalk!$C:$L,4,FALSE)</f>
        <v>Pre-emergence</v>
      </c>
      <c r="Q13" s="129" t="str">
        <f>VLOOKUP(VALUE($B13),test_out_xwalk!$C:$L,9,FALSE)</f>
        <v>Corn</v>
      </c>
      <c r="R13">
        <f>_xlfn.XLOOKUP(VALUE(B13),test_out_xwalk!$C:$C,test_out_xwalk!$A:$A)</f>
        <v>1</v>
      </c>
      <c r="T13" s="121" t="str">
        <f>IF('summary_EPA Pond'!$O13="","Check Summary EPA POND worksheet Column O",'summary_EPA Pond'!$O13)</f>
        <v xml:space="preserve">1_568322-13597-1_Corn-r08-A_USEPA Pond_0010_median                                    </v>
      </c>
      <c r="U13" s="121" t="str" cm="1">
        <f t="array" ref="U13:Z13">IFERROR(_xlfn.TEXTSPLIT(T13,"_"),"")</f>
        <v>1</v>
      </c>
      <c r="V13" t="str">
        <v>568322-13597-1</v>
      </c>
      <c r="W13" t="str">
        <v>Corn-r08-A</v>
      </c>
      <c r="X13" t="str">
        <v>USEPA Pond</v>
      </c>
      <c r="Y13" t="str">
        <v>0010</v>
      </c>
      <c r="Z13" t="str">
        <v xml:space="preserve">median                                    </v>
      </c>
      <c r="AA13" s="121" t="str" cm="1">
        <f t="array" ref="AA13:AC13">IF(W13="","",(_xlfn.TEXTSPLIT(W13,"-")))</f>
        <v>Corn</v>
      </c>
      <c r="AB13" s="121" t="str">
        <v>r08</v>
      </c>
      <c r="AC13" t="str">
        <v>A</v>
      </c>
      <c r="AD13" s="129" t="str">
        <f>VLOOKUP(VALUE($U13),test_out_xwalk!$C:$L,3,FALSE)</f>
        <v>Corn-1-1</v>
      </c>
      <c r="AE13" s="129">
        <f>VLOOKUP(VALUE($U13),test_out_xwalk!$C:$L,5,FALSE)</f>
        <v>0.75</v>
      </c>
      <c r="AF13" s="129">
        <f>VLOOKUP(VALUE($U13),test_out_xwalk!$C:$L,6,FALSE)</f>
        <v>0.75</v>
      </c>
      <c r="AG13" s="129" t="str">
        <f>VLOOKUP(VALUE($U13),test_out_xwalk!$C:$L,8,FALSE)</f>
        <v>None</v>
      </c>
      <c r="AH13" s="129" t="str">
        <f>VLOOKUP(VALUE($U13),test_out_xwalk!$C:$L,7,FALSE)</f>
        <v>Granular</v>
      </c>
      <c r="AI13" s="129" t="str">
        <f>VLOOKUP(VALUE($U13),test_out_xwalk!$C:$L,4,FALSE)</f>
        <v>Pre-emergence</v>
      </c>
      <c r="AJ13" s="129" t="str">
        <f>VLOOKUP(VALUE($U13),test_out_xwalk!$C:$L,9,FALSE)</f>
        <v>Corn</v>
      </c>
      <c r="AK13">
        <f>_xlfn.XLOOKUP(VALUE(U13),test_out_xwalk!C:C,test_out_xwalk!A:A)</f>
        <v>1</v>
      </c>
    </row>
    <row r="14" spans="1:37" x14ac:dyDescent="0.55000000000000004">
      <c r="A14" s="121" t="str">
        <f>IF('summary_EPA Pond'!$A14="","Check Summary EPA POND worksheet Column A",'summary_EPA Pond'!$A14)</f>
        <v xml:space="preserve">1_2798874-27020-1_Corn-r09-A_USEPA Pond_0010_median                                   </v>
      </c>
      <c r="B14" s="121" t="str" cm="1">
        <f t="array" ref="B14:G14">IFERROR(_xlfn.TEXTSPLIT(A14,"_"),"")</f>
        <v>1</v>
      </c>
      <c r="C14" t="str">
        <v>2798874-27020-1</v>
      </c>
      <c r="D14" t="str">
        <v>Corn-r09-A</v>
      </c>
      <c r="E14" t="str">
        <v>USEPA Pond</v>
      </c>
      <c r="F14" t="str">
        <v>0010</v>
      </c>
      <c r="G14" t="str">
        <v xml:space="preserve">median                                   </v>
      </c>
      <c r="H14" s="121" t="str" cm="1">
        <f t="array" ref="H14:J14">IF(D14="","",(_xlfn.TEXTSPLIT(D14,"-")))</f>
        <v>Corn</v>
      </c>
      <c r="I14" s="121" t="str">
        <v>r09</v>
      </c>
      <c r="J14" t="str">
        <v>A</v>
      </c>
      <c r="K14" s="129" t="str">
        <f>VLOOKUP(VALUE($B14),test_out_xwalk!$C:$L,3,FALSE)</f>
        <v>Corn-1-1</v>
      </c>
      <c r="L14" s="129">
        <f>VLOOKUP(VALUE($B14),test_out_xwalk!$C:$L,5,FALSE)</f>
        <v>0.75</v>
      </c>
      <c r="M14" s="129">
        <f>VLOOKUP(VALUE($B14),test_out_xwalk!$C:$L,6,FALSE)</f>
        <v>0.75</v>
      </c>
      <c r="N14" s="129" t="str">
        <f>VLOOKUP(VALUE($B14),test_out_xwalk!$C:$L,8,FALSE)</f>
        <v>None</v>
      </c>
      <c r="O14" s="129" t="str">
        <f>VLOOKUP(VALUE($B14),test_out_xwalk!$C:$L,7,FALSE)</f>
        <v>Granular</v>
      </c>
      <c r="P14" s="129" t="str">
        <f>VLOOKUP(VALUE($B14),test_out_xwalk!$C:$L,4,FALSE)</f>
        <v>Pre-emergence</v>
      </c>
      <c r="Q14" s="129" t="str">
        <f>VLOOKUP(VALUE($B14),test_out_xwalk!$C:$L,9,FALSE)</f>
        <v>Corn</v>
      </c>
      <c r="R14">
        <f>_xlfn.XLOOKUP(VALUE(B14),test_out_xwalk!$C:$C,test_out_xwalk!$A:$A)</f>
        <v>1</v>
      </c>
      <c r="T14" s="121" t="str">
        <f>IF('summary_EPA Pond'!$O14="","Check Summary EPA POND worksheet Column O",'summary_EPA Pond'!$O14)</f>
        <v xml:space="preserve">1_2798874-27020-1_Corn-r09-A_USEPA Pond_0010_median                                   </v>
      </c>
      <c r="U14" s="121" t="str" cm="1">
        <f t="array" ref="U14:Z14">IFERROR(_xlfn.TEXTSPLIT(T14,"_"),"")</f>
        <v>1</v>
      </c>
      <c r="V14" t="str">
        <v>2798874-27020-1</v>
      </c>
      <c r="W14" t="str">
        <v>Corn-r09-A</v>
      </c>
      <c r="X14" t="str">
        <v>USEPA Pond</v>
      </c>
      <c r="Y14" t="str">
        <v>0010</v>
      </c>
      <c r="Z14" t="str">
        <v xml:space="preserve">median                                   </v>
      </c>
      <c r="AA14" s="121" t="str" cm="1">
        <f t="array" ref="AA14:AC14">IF(W14="","",(_xlfn.TEXTSPLIT(W14,"-")))</f>
        <v>Corn</v>
      </c>
      <c r="AB14" s="121" t="str">
        <v>r09</v>
      </c>
      <c r="AC14" t="str">
        <v>A</v>
      </c>
      <c r="AD14" s="129" t="str">
        <f>VLOOKUP(VALUE($U14),test_out_xwalk!$C:$L,3,FALSE)</f>
        <v>Corn-1-1</v>
      </c>
      <c r="AE14" s="129">
        <f>VLOOKUP(VALUE($U14),test_out_xwalk!$C:$L,5,FALSE)</f>
        <v>0.75</v>
      </c>
      <c r="AF14" s="129">
        <f>VLOOKUP(VALUE($U14),test_out_xwalk!$C:$L,6,FALSE)</f>
        <v>0.75</v>
      </c>
      <c r="AG14" s="129" t="str">
        <f>VLOOKUP(VALUE($U14),test_out_xwalk!$C:$L,8,FALSE)</f>
        <v>None</v>
      </c>
      <c r="AH14" s="129" t="str">
        <f>VLOOKUP(VALUE($U14),test_out_xwalk!$C:$L,7,FALSE)</f>
        <v>Granular</v>
      </c>
      <c r="AI14" s="129" t="str">
        <f>VLOOKUP(VALUE($U14),test_out_xwalk!$C:$L,4,FALSE)</f>
        <v>Pre-emergence</v>
      </c>
      <c r="AJ14" s="129" t="str">
        <f>VLOOKUP(VALUE($U14),test_out_xwalk!$C:$L,9,FALSE)</f>
        <v>Corn</v>
      </c>
      <c r="AK14">
        <f>_xlfn.XLOOKUP(VALUE(U14),test_out_xwalk!C:C,test_out_xwalk!A:A)</f>
        <v>1</v>
      </c>
    </row>
    <row r="15" spans="1:37" x14ac:dyDescent="0.55000000000000004">
      <c r="A15" s="121" t="str">
        <f>IF('summary_EPA Pond'!$A15="","Check Summary EPA POND worksheet Column A",'summary_EPA Pond'!$A15)</f>
        <v xml:space="preserve">1_1691426-20179-13_Corn-r10L-A_USEPA Pond_0010_median                                 </v>
      </c>
      <c r="B15" s="121" t="str" cm="1">
        <f t="array" ref="B15:G15">IFERROR(_xlfn.TEXTSPLIT(A15,"_"),"")</f>
        <v>1</v>
      </c>
      <c r="C15" t="str">
        <v>1691426-20179-13</v>
      </c>
      <c r="D15" t="str">
        <v>Corn-r10L-A</v>
      </c>
      <c r="E15" t="str">
        <v>USEPA Pond</v>
      </c>
      <c r="F15" t="str">
        <v>0010</v>
      </c>
      <c r="G15" t="str">
        <v xml:space="preserve">median                                 </v>
      </c>
      <c r="H15" s="121" t="str" cm="1">
        <f t="array" ref="H15:J15">IF(D15="","",(_xlfn.TEXTSPLIT(D15,"-")))</f>
        <v>Corn</v>
      </c>
      <c r="I15" s="121" t="str">
        <v>r10L</v>
      </c>
      <c r="J15" t="str">
        <v>A</v>
      </c>
      <c r="K15" s="129" t="str">
        <f>VLOOKUP(VALUE($B15),test_out_xwalk!$C:$L,3,FALSE)</f>
        <v>Corn-1-1</v>
      </c>
      <c r="L15" s="129">
        <f>VLOOKUP(VALUE($B15),test_out_xwalk!$C:$L,5,FALSE)</f>
        <v>0.75</v>
      </c>
      <c r="M15" s="129">
        <f>VLOOKUP(VALUE($B15),test_out_xwalk!$C:$L,6,FALSE)</f>
        <v>0.75</v>
      </c>
      <c r="N15" s="129" t="str">
        <f>VLOOKUP(VALUE($B15),test_out_xwalk!$C:$L,8,FALSE)</f>
        <v>None</v>
      </c>
      <c r="O15" s="129" t="str">
        <f>VLOOKUP(VALUE($B15),test_out_xwalk!$C:$L,7,FALSE)</f>
        <v>Granular</v>
      </c>
      <c r="P15" s="129" t="str">
        <f>VLOOKUP(VALUE($B15),test_out_xwalk!$C:$L,4,FALSE)</f>
        <v>Pre-emergence</v>
      </c>
      <c r="Q15" s="129" t="str">
        <f>VLOOKUP(VALUE($B15),test_out_xwalk!$C:$L,9,FALSE)</f>
        <v>Corn</v>
      </c>
      <c r="R15">
        <f>_xlfn.XLOOKUP(VALUE(B15),test_out_xwalk!$C:$C,test_out_xwalk!$A:$A)</f>
        <v>1</v>
      </c>
      <c r="T15" s="121" t="str">
        <f>IF('summary_EPA Pond'!$O15="","Check Summary EPA POND worksheet Column O",'summary_EPA Pond'!$O15)</f>
        <v xml:space="preserve">1_1691426-20179-13_Corn-r10L-A_USEPA Pond_0010_median                                 </v>
      </c>
      <c r="U15" s="121" t="str" cm="1">
        <f t="array" ref="U15:Z15">IFERROR(_xlfn.TEXTSPLIT(T15,"_"),"")</f>
        <v>1</v>
      </c>
      <c r="V15" t="str">
        <v>1691426-20179-13</v>
      </c>
      <c r="W15" t="str">
        <v>Corn-r10L-A</v>
      </c>
      <c r="X15" t="str">
        <v>USEPA Pond</v>
      </c>
      <c r="Y15" t="str">
        <v>0010</v>
      </c>
      <c r="Z15" t="str">
        <v xml:space="preserve">median                                 </v>
      </c>
      <c r="AA15" s="121" t="str" cm="1">
        <f t="array" ref="AA15:AC15">IF(W15="","",(_xlfn.TEXTSPLIT(W15,"-")))</f>
        <v>Corn</v>
      </c>
      <c r="AB15" s="121" t="str">
        <v>r10L</v>
      </c>
      <c r="AC15" t="str">
        <v>A</v>
      </c>
      <c r="AD15" s="129" t="str">
        <f>VLOOKUP(VALUE($U15),test_out_xwalk!$C:$L,3,FALSE)</f>
        <v>Corn-1-1</v>
      </c>
      <c r="AE15" s="129">
        <f>VLOOKUP(VALUE($U15),test_out_xwalk!$C:$L,5,FALSE)</f>
        <v>0.75</v>
      </c>
      <c r="AF15" s="129">
        <f>VLOOKUP(VALUE($U15),test_out_xwalk!$C:$L,6,FALSE)</f>
        <v>0.75</v>
      </c>
      <c r="AG15" s="129" t="str">
        <f>VLOOKUP(VALUE($U15),test_out_xwalk!$C:$L,8,FALSE)</f>
        <v>None</v>
      </c>
      <c r="AH15" s="129" t="str">
        <f>VLOOKUP(VALUE($U15),test_out_xwalk!$C:$L,7,FALSE)</f>
        <v>Granular</v>
      </c>
      <c r="AI15" s="129" t="str">
        <f>VLOOKUP(VALUE($U15),test_out_xwalk!$C:$L,4,FALSE)</f>
        <v>Pre-emergence</v>
      </c>
      <c r="AJ15" s="129" t="str">
        <f>VLOOKUP(VALUE($U15),test_out_xwalk!$C:$L,9,FALSE)</f>
        <v>Corn</v>
      </c>
      <c r="AK15">
        <f>_xlfn.XLOOKUP(VALUE(U15),test_out_xwalk!C:C,test_out_xwalk!A:A)</f>
        <v>1</v>
      </c>
    </row>
    <row r="16" spans="1:37" x14ac:dyDescent="0.55000000000000004">
      <c r="A16" s="121" t="str">
        <f>IF('summary_EPA Pond'!$A16="","Check Summary EPA POND worksheet Column A",'summary_EPA Pond'!$A16)</f>
        <v xml:space="preserve">1_418822-23009-1_Corn-r10U-A_USEPA Pond_0010_median                                   </v>
      </c>
      <c r="B16" s="121" t="str" cm="1">
        <f t="array" ref="B16:G16">IFERROR(_xlfn.TEXTSPLIT(A16,"_"),"")</f>
        <v>1</v>
      </c>
      <c r="C16" t="str">
        <v>418822-23009-1</v>
      </c>
      <c r="D16" t="str">
        <v>Corn-r10U-A</v>
      </c>
      <c r="E16" t="str">
        <v>USEPA Pond</v>
      </c>
      <c r="F16" t="str">
        <v>0010</v>
      </c>
      <c r="G16" t="str">
        <v xml:space="preserve">median                                   </v>
      </c>
      <c r="H16" s="121" t="str" cm="1">
        <f t="array" ref="H16:J16">IF(D16="","",(_xlfn.TEXTSPLIT(D16,"-")))</f>
        <v>Corn</v>
      </c>
      <c r="I16" s="121" t="str">
        <v>r10U</v>
      </c>
      <c r="J16" t="str">
        <v>A</v>
      </c>
      <c r="K16" s="129" t="str">
        <f>VLOOKUP(VALUE($B16),test_out_xwalk!$C:$L,3,FALSE)</f>
        <v>Corn-1-1</v>
      </c>
      <c r="L16" s="129">
        <f>VLOOKUP(VALUE($B16),test_out_xwalk!$C:$L,5,FALSE)</f>
        <v>0.75</v>
      </c>
      <c r="M16" s="129">
        <f>VLOOKUP(VALUE($B16),test_out_xwalk!$C:$L,6,FALSE)</f>
        <v>0.75</v>
      </c>
      <c r="N16" s="129" t="str">
        <f>VLOOKUP(VALUE($B16),test_out_xwalk!$C:$L,8,FALSE)</f>
        <v>None</v>
      </c>
      <c r="O16" s="129" t="str">
        <f>VLOOKUP(VALUE($B16),test_out_xwalk!$C:$L,7,FALSE)</f>
        <v>Granular</v>
      </c>
      <c r="P16" s="129" t="str">
        <f>VLOOKUP(VALUE($B16),test_out_xwalk!$C:$L,4,FALSE)</f>
        <v>Pre-emergence</v>
      </c>
      <c r="Q16" s="129" t="str">
        <f>VLOOKUP(VALUE($B16),test_out_xwalk!$C:$L,9,FALSE)</f>
        <v>Corn</v>
      </c>
      <c r="R16">
        <f>_xlfn.XLOOKUP(VALUE(B16),test_out_xwalk!$C:$C,test_out_xwalk!$A:$A)</f>
        <v>1</v>
      </c>
      <c r="T16" s="121" t="str">
        <f>IF('summary_EPA Pond'!$O16="","Check Summary EPA POND worksheet Column O",'summary_EPA Pond'!$O16)</f>
        <v xml:space="preserve">1_418822-23009-1_Corn-r10U-A_USEPA Pond_0010_median                                   </v>
      </c>
      <c r="U16" s="121" t="str" cm="1">
        <f t="array" ref="U16:Z16">IFERROR(_xlfn.TEXTSPLIT(T16,"_"),"")</f>
        <v>1</v>
      </c>
      <c r="V16" t="str">
        <v>418822-23009-1</v>
      </c>
      <c r="W16" t="str">
        <v>Corn-r10U-A</v>
      </c>
      <c r="X16" t="str">
        <v>USEPA Pond</v>
      </c>
      <c r="Y16" t="str">
        <v>0010</v>
      </c>
      <c r="Z16" t="str">
        <v xml:space="preserve">median                                   </v>
      </c>
      <c r="AA16" s="121" t="str" cm="1">
        <f t="array" ref="AA16:AC16">IF(W16="","",(_xlfn.TEXTSPLIT(W16,"-")))</f>
        <v>Corn</v>
      </c>
      <c r="AB16" s="121" t="str">
        <v>r10U</v>
      </c>
      <c r="AC16" t="str">
        <v>A</v>
      </c>
      <c r="AD16" s="129" t="str">
        <f>VLOOKUP(VALUE($U16),test_out_xwalk!$C:$L,3,FALSE)</f>
        <v>Corn-1-1</v>
      </c>
      <c r="AE16" s="129">
        <f>VLOOKUP(VALUE($U16),test_out_xwalk!$C:$L,5,FALSE)</f>
        <v>0.75</v>
      </c>
      <c r="AF16" s="129">
        <f>VLOOKUP(VALUE($U16),test_out_xwalk!$C:$L,6,FALSE)</f>
        <v>0.75</v>
      </c>
      <c r="AG16" s="129" t="str">
        <f>VLOOKUP(VALUE($U16),test_out_xwalk!$C:$L,8,FALSE)</f>
        <v>None</v>
      </c>
      <c r="AH16" s="129" t="str">
        <f>VLOOKUP(VALUE($U16),test_out_xwalk!$C:$L,7,FALSE)</f>
        <v>Granular</v>
      </c>
      <c r="AI16" s="129" t="str">
        <f>VLOOKUP(VALUE($U16),test_out_xwalk!$C:$L,4,FALSE)</f>
        <v>Pre-emergence</v>
      </c>
      <c r="AJ16" s="129" t="str">
        <f>VLOOKUP(VALUE($U16),test_out_xwalk!$C:$L,9,FALSE)</f>
        <v>Corn</v>
      </c>
      <c r="AK16">
        <f>_xlfn.XLOOKUP(VALUE(U16),test_out_xwalk!C:C,test_out_xwalk!A:A)</f>
        <v>1</v>
      </c>
    </row>
    <row r="17" spans="1:37" x14ac:dyDescent="0.55000000000000004">
      <c r="A17" s="121" t="str">
        <f>IF('summary_EPA Pond'!$A17="","Check Summary EPA POND worksheet Column A",'summary_EPA Pond'!$A17)</f>
        <v xml:space="preserve">1_1380629-16622-1_Corn-r11-A_USEPA Pond_0010_median                                   </v>
      </c>
      <c r="B17" s="121" t="str" cm="1">
        <f t="array" ref="B17:G17">IFERROR(_xlfn.TEXTSPLIT(A17,"_"),"")</f>
        <v>1</v>
      </c>
      <c r="C17" t="str">
        <v>1380629-16622-1</v>
      </c>
      <c r="D17" t="str">
        <v>Corn-r11-A</v>
      </c>
      <c r="E17" t="str">
        <v>USEPA Pond</v>
      </c>
      <c r="F17" t="str">
        <v>0010</v>
      </c>
      <c r="G17" t="str">
        <v xml:space="preserve">median                                   </v>
      </c>
      <c r="H17" s="121" t="str" cm="1">
        <f t="array" ref="H17:J17">IF(D17="","",(_xlfn.TEXTSPLIT(D17,"-")))</f>
        <v>Corn</v>
      </c>
      <c r="I17" s="121" t="str">
        <v>r11</v>
      </c>
      <c r="J17" t="str">
        <v>A</v>
      </c>
      <c r="K17" s="129" t="str">
        <f>VLOOKUP(VALUE($B17),test_out_xwalk!$C:$L,3,FALSE)</f>
        <v>Corn-1-1</v>
      </c>
      <c r="L17" s="129">
        <f>VLOOKUP(VALUE($B17),test_out_xwalk!$C:$L,5,FALSE)</f>
        <v>0.75</v>
      </c>
      <c r="M17" s="129">
        <f>VLOOKUP(VALUE($B17),test_out_xwalk!$C:$L,6,FALSE)</f>
        <v>0.75</v>
      </c>
      <c r="N17" s="129" t="str">
        <f>VLOOKUP(VALUE($B17),test_out_xwalk!$C:$L,8,FALSE)</f>
        <v>None</v>
      </c>
      <c r="O17" s="129" t="str">
        <f>VLOOKUP(VALUE($B17),test_out_xwalk!$C:$L,7,FALSE)</f>
        <v>Granular</v>
      </c>
      <c r="P17" s="129" t="str">
        <f>VLOOKUP(VALUE($B17),test_out_xwalk!$C:$L,4,FALSE)</f>
        <v>Pre-emergence</v>
      </c>
      <c r="Q17" s="129" t="str">
        <f>VLOOKUP(VALUE($B17),test_out_xwalk!$C:$L,9,FALSE)</f>
        <v>Corn</v>
      </c>
      <c r="R17">
        <f>_xlfn.XLOOKUP(VALUE(B17),test_out_xwalk!$C:$C,test_out_xwalk!$A:$A)</f>
        <v>1</v>
      </c>
      <c r="T17" s="121" t="str">
        <f>IF('summary_EPA Pond'!$O17="","Check Summary EPA POND worksheet Column O",'summary_EPA Pond'!$O17)</f>
        <v xml:space="preserve">1_1380629-16622-1_Corn-r11-A_USEPA Pond_0010_median                                   </v>
      </c>
      <c r="U17" s="121" t="str" cm="1">
        <f t="array" ref="U17:Z17">IFERROR(_xlfn.TEXTSPLIT(T17,"_"),"")</f>
        <v>1</v>
      </c>
      <c r="V17" t="str">
        <v>1380629-16622-1</v>
      </c>
      <c r="W17" t="str">
        <v>Corn-r11-A</v>
      </c>
      <c r="X17" t="str">
        <v>USEPA Pond</v>
      </c>
      <c r="Y17" t="str">
        <v>0010</v>
      </c>
      <c r="Z17" t="str">
        <v xml:space="preserve">median                                   </v>
      </c>
      <c r="AA17" s="121" t="str" cm="1">
        <f t="array" ref="AA17:AC17">IF(W17="","",(_xlfn.TEXTSPLIT(W17,"-")))</f>
        <v>Corn</v>
      </c>
      <c r="AB17" s="121" t="str">
        <v>r11</v>
      </c>
      <c r="AC17" t="str">
        <v>A</v>
      </c>
      <c r="AD17" s="129" t="str">
        <f>VLOOKUP(VALUE($U17),test_out_xwalk!$C:$L,3,FALSE)</f>
        <v>Corn-1-1</v>
      </c>
      <c r="AE17" s="129">
        <f>VLOOKUP(VALUE($U17),test_out_xwalk!$C:$L,5,FALSE)</f>
        <v>0.75</v>
      </c>
      <c r="AF17" s="129">
        <f>VLOOKUP(VALUE($U17),test_out_xwalk!$C:$L,6,FALSE)</f>
        <v>0.75</v>
      </c>
      <c r="AG17" s="129" t="str">
        <f>VLOOKUP(VALUE($U17),test_out_xwalk!$C:$L,8,FALSE)</f>
        <v>None</v>
      </c>
      <c r="AH17" s="129" t="str">
        <f>VLOOKUP(VALUE($U17),test_out_xwalk!$C:$L,7,FALSE)</f>
        <v>Granular</v>
      </c>
      <c r="AI17" s="129" t="str">
        <f>VLOOKUP(VALUE($U17),test_out_xwalk!$C:$L,4,FALSE)</f>
        <v>Pre-emergence</v>
      </c>
      <c r="AJ17" s="129" t="str">
        <f>VLOOKUP(VALUE($U17),test_out_xwalk!$C:$L,9,FALSE)</f>
        <v>Corn</v>
      </c>
      <c r="AK17">
        <f>_xlfn.XLOOKUP(VALUE(U17),test_out_xwalk!C:C,test_out_xwalk!A:A)</f>
        <v>1</v>
      </c>
    </row>
    <row r="18" spans="1:37" x14ac:dyDescent="0.55000000000000004">
      <c r="A18" s="121" t="str">
        <f>IF('summary_EPA Pond'!$A18="","Check Summary EPA POND worksheet Column A",'summary_EPA Pond'!$A18)</f>
        <v xml:space="preserve">1_372423-12152-1_Corn-r12-A_USEPA Pond_0010_median                                    </v>
      </c>
      <c r="B18" s="121" t="str" cm="1">
        <f t="array" ref="B18:G18">IFERROR(_xlfn.TEXTSPLIT(A18,"_"),"")</f>
        <v>1</v>
      </c>
      <c r="C18" t="str">
        <v>372423-12152-1</v>
      </c>
      <c r="D18" t="str">
        <v>Corn-r12-A</v>
      </c>
      <c r="E18" t="str">
        <v>USEPA Pond</v>
      </c>
      <c r="F18" t="str">
        <v>0010</v>
      </c>
      <c r="G18" t="str">
        <v xml:space="preserve">median                                    </v>
      </c>
      <c r="H18" s="121" t="str" cm="1">
        <f t="array" ref="H18:J18">IF(D18="","",(_xlfn.TEXTSPLIT(D18,"-")))</f>
        <v>Corn</v>
      </c>
      <c r="I18" s="121" t="str">
        <v>r12</v>
      </c>
      <c r="J18" t="str">
        <v>A</v>
      </c>
      <c r="K18" s="129" t="str">
        <f>VLOOKUP(VALUE($B18),test_out_xwalk!$C:$L,3,FALSE)</f>
        <v>Corn-1-1</v>
      </c>
      <c r="L18" s="129">
        <f>VLOOKUP(VALUE($B18),test_out_xwalk!$C:$L,5,FALSE)</f>
        <v>0.75</v>
      </c>
      <c r="M18" s="129">
        <f>VLOOKUP(VALUE($B18),test_out_xwalk!$C:$L,6,FALSE)</f>
        <v>0.75</v>
      </c>
      <c r="N18" s="129" t="str">
        <f>VLOOKUP(VALUE($B18),test_out_xwalk!$C:$L,8,FALSE)</f>
        <v>None</v>
      </c>
      <c r="O18" s="129" t="str">
        <f>VLOOKUP(VALUE($B18),test_out_xwalk!$C:$L,7,FALSE)</f>
        <v>Granular</v>
      </c>
      <c r="P18" s="129" t="str">
        <f>VLOOKUP(VALUE($B18),test_out_xwalk!$C:$L,4,FALSE)</f>
        <v>Pre-emergence</v>
      </c>
      <c r="Q18" s="129" t="str">
        <f>VLOOKUP(VALUE($B18),test_out_xwalk!$C:$L,9,FALSE)</f>
        <v>Corn</v>
      </c>
      <c r="R18">
        <f>_xlfn.XLOOKUP(VALUE(B18),test_out_xwalk!$C:$C,test_out_xwalk!$A:$A)</f>
        <v>1</v>
      </c>
      <c r="T18" s="121" t="str">
        <f>IF('summary_EPA Pond'!$O18="","Check Summary EPA POND worksheet Column O",'summary_EPA Pond'!$O18)</f>
        <v xml:space="preserve">1_372423-12152-1_Corn-r12-A_USEPA Pond_0010_median                                    </v>
      </c>
      <c r="U18" s="121" t="str" cm="1">
        <f t="array" ref="U18:Z18">IFERROR(_xlfn.TEXTSPLIT(T18,"_"),"")</f>
        <v>1</v>
      </c>
      <c r="V18" t="str">
        <v>372423-12152-1</v>
      </c>
      <c r="W18" t="str">
        <v>Corn-r12-A</v>
      </c>
      <c r="X18" t="str">
        <v>USEPA Pond</v>
      </c>
      <c r="Y18" t="str">
        <v>0010</v>
      </c>
      <c r="Z18" t="str">
        <v xml:space="preserve">median                                    </v>
      </c>
      <c r="AA18" s="121" t="str" cm="1">
        <f t="array" ref="AA18:AC18">IF(W18="","",(_xlfn.TEXTSPLIT(W18,"-")))</f>
        <v>Corn</v>
      </c>
      <c r="AB18" s="121" t="str">
        <v>r12</v>
      </c>
      <c r="AC18" t="str">
        <v>A</v>
      </c>
      <c r="AD18" s="129" t="str">
        <f>VLOOKUP(VALUE($U18),test_out_xwalk!$C:$L,3,FALSE)</f>
        <v>Corn-1-1</v>
      </c>
      <c r="AE18" s="129">
        <f>VLOOKUP(VALUE($U18),test_out_xwalk!$C:$L,5,FALSE)</f>
        <v>0.75</v>
      </c>
      <c r="AF18" s="129">
        <f>VLOOKUP(VALUE($U18),test_out_xwalk!$C:$L,6,FALSE)</f>
        <v>0.75</v>
      </c>
      <c r="AG18" s="129" t="str">
        <f>VLOOKUP(VALUE($U18),test_out_xwalk!$C:$L,8,FALSE)</f>
        <v>None</v>
      </c>
      <c r="AH18" s="129" t="str">
        <f>VLOOKUP(VALUE($U18),test_out_xwalk!$C:$L,7,FALSE)</f>
        <v>Granular</v>
      </c>
      <c r="AI18" s="129" t="str">
        <f>VLOOKUP(VALUE($U18),test_out_xwalk!$C:$L,4,FALSE)</f>
        <v>Pre-emergence</v>
      </c>
      <c r="AJ18" s="129" t="str">
        <f>VLOOKUP(VALUE($U18),test_out_xwalk!$C:$L,9,FALSE)</f>
        <v>Corn</v>
      </c>
      <c r="AK18">
        <f>_xlfn.XLOOKUP(VALUE(U18),test_out_xwalk!C:C,test_out_xwalk!A:A)</f>
        <v>1</v>
      </c>
    </row>
    <row r="19" spans="1:37" x14ac:dyDescent="0.55000000000000004">
      <c r="A19" s="121" t="str">
        <f>IF('summary_EPA Pond'!$A19="","Check Summary EPA POND worksheet Column A",'summary_EPA Pond'!$A19)</f>
        <v xml:space="preserve">1_55992-12595-237_Corn-r13-A_USEPA Pond_0010_median                                   </v>
      </c>
      <c r="B19" s="121" t="str" cm="1">
        <f t="array" ref="B19:G19">IFERROR(_xlfn.TEXTSPLIT(A19,"_"),"")</f>
        <v>1</v>
      </c>
      <c r="C19" t="str">
        <v>55992-12595-237</v>
      </c>
      <c r="D19" t="str">
        <v>Corn-r13-A</v>
      </c>
      <c r="E19" t="str">
        <v>USEPA Pond</v>
      </c>
      <c r="F19" t="str">
        <v>0010</v>
      </c>
      <c r="G19" t="str">
        <v xml:space="preserve">median                                   </v>
      </c>
      <c r="H19" s="121" t="str" cm="1">
        <f t="array" ref="H19:J19">IF(D19="","",(_xlfn.TEXTSPLIT(D19,"-")))</f>
        <v>Corn</v>
      </c>
      <c r="I19" s="121" t="str">
        <v>r13</v>
      </c>
      <c r="J19" t="str">
        <v>A</v>
      </c>
      <c r="K19" s="129" t="str">
        <f>VLOOKUP(VALUE($B19),test_out_xwalk!$C:$L,3,FALSE)</f>
        <v>Corn-1-1</v>
      </c>
      <c r="L19" s="129">
        <f>VLOOKUP(VALUE($B19),test_out_xwalk!$C:$L,5,FALSE)</f>
        <v>0.75</v>
      </c>
      <c r="M19" s="129">
        <f>VLOOKUP(VALUE($B19),test_out_xwalk!$C:$L,6,FALSE)</f>
        <v>0.75</v>
      </c>
      <c r="N19" s="129" t="str">
        <f>VLOOKUP(VALUE($B19),test_out_xwalk!$C:$L,8,FALSE)</f>
        <v>None</v>
      </c>
      <c r="O19" s="129" t="str">
        <f>VLOOKUP(VALUE($B19),test_out_xwalk!$C:$L,7,FALSE)</f>
        <v>Granular</v>
      </c>
      <c r="P19" s="129" t="str">
        <f>VLOOKUP(VALUE($B19),test_out_xwalk!$C:$L,4,FALSE)</f>
        <v>Pre-emergence</v>
      </c>
      <c r="Q19" s="129" t="str">
        <f>VLOOKUP(VALUE($B19),test_out_xwalk!$C:$L,9,FALSE)</f>
        <v>Corn</v>
      </c>
      <c r="R19">
        <f>_xlfn.XLOOKUP(VALUE(B19),test_out_xwalk!$C:$C,test_out_xwalk!$A:$A)</f>
        <v>1</v>
      </c>
      <c r="T19" s="121" t="str">
        <f>IF('summary_EPA Pond'!$O19="","Check Summary EPA POND worksheet Column O",'summary_EPA Pond'!$O19)</f>
        <v xml:space="preserve">1_55992-12595-237_Corn-r13-A_USEPA Pond_0010_median                                   </v>
      </c>
      <c r="U19" s="121" t="str" cm="1">
        <f t="array" ref="U19:Z19">IFERROR(_xlfn.TEXTSPLIT(T19,"_"),"")</f>
        <v>1</v>
      </c>
      <c r="V19" t="str">
        <v>55992-12595-237</v>
      </c>
      <c r="W19" t="str">
        <v>Corn-r13-A</v>
      </c>
      <c r="X19" t="str">
        <v>USEPA Pond</v>
      </c>
      <c r="Y19" t="str">
        <v>0010</v>
      </c>
      <c r="Z19" t="str">
        <v xml:space="preserve">median                                   </v>
      </c>
      <c r="AA19" s="121" t="str" cm="1">
        <f t="array" ref="AA19:AC19">IF(W19="","",(_xlfn.TEXTSPLIT(W19,"-")))</f>
        <v>Corn</v>
      </c>
      <c r="AB19" s="121" t="str">
        <v>r13</v>
      </c>
      <c r="AC19" t="str">
        <v>A</v>
      </c>
      <c r="AD19" s="129" t="str">
        <f>VLOOKUP(VALUE($U19),test_out_xwalk!$C:$L,3,FALSE)</f>
        <v>Corn-1-1</v>
      </c>
      <c r="AE19" s="129">
        <f>VLOOKUP(VALUE($U19),test_out_xwalk!$C:$L,5,FALSE)</f>
        <v>0.75</v>
      </c>
      <c r="AF19" s="129">
        <f>VLOOKUP(VALUE($U19),test_out_xwalk!$C:$L,6,FALSE)</f>
        <v>0.75</v>
      </c>
      <c r="AG19" s="129" t="str">
        <f>VLOOKUP(VALUE($U19),test_out_xwalk!$C:$L,8,FALSE)</f>
        <v>None</v>
      </c>
      <c r="AH19" s="129" t="str">
        <f>VLOOKUP(VALUE($U19),test_out_xwalk!$C:$L,7,FALSE)</f>
        <v>Granular</v>
      </c>
      <c r="AI19" s="129" t="str">
        <f>VLOOKUP(VALUE($U19),test_out_xwalk!$C:$L,4,FALSE)</f>
        <v>Pre-emergence</v>
      </c>
      <c r="AJ19" s="129" t="str">
        <f>VLOOKUP(VALUE($U19),test_out_xwalk!$C:$L,9,FALSE)</f>
        <v>Corn</v>
      </c>
      <c r="AK19">
        <f>_xlfn.XLOOKUP(VALUE(U19),test_out_xwalk!C:C,test_out_xwalk!A:A)</f>
        <v>1</v>
      </c>
    </row>
    <row r="20" spans="1:37" x14ac:dyDescent="0.55000000000000004">
      <c r="A20" s="121" t="str">
        <f>IF('summary_EPA Pond'!$A20="","Check Summary EPA POND worksheet Column A",'summary_EPA Pond'!$A20)</f>
        <v xml:space="preserve">1_506809-18005-1_Corn-r14-A_USEPA Pond_0010_median                                    </v>
      </c>
      <c r="B20" s="121" t="str" cm="1">
        <f t="array" ref="B20:G20">IFERROR(_xlfn.TEXTSPLIT(A20,"_"),"")</f>
        <v>1</v>
      </c>
      <c r="C20" t="str">
        <v>506809-18005-1</v>
      </c>
      <c r="D20" t="str">
        <v>Corn-r14-A</v>
      </c>
      <c r="E20" t="str">
        <v>USEPA Pond</v>
      </c>
      <c r="F20" t="str">
        <v>0010</v>
      </c>
      <c r="G20" t="str">
        <v xml:space="preserve">median                                    </v>
      </c>
      <c r="H20" s="121" t="str" cm="1">
        <f t="array" ref="H20:J20">IF(D20="","",(_xlfn.TEXTSPLIT(D20,"-")))</f>
        <v>Corn</v>
      </c>
      <c r="I20" s="121" t="str">
        <v>r14</v>
      </c>
      <c r="J20" t="str">
        <v>A</v>
      </c>
      <c r="K20" s="129" t="str">
        <f>VLOOKUP(VALUE($B20),test_out_xwalk!$C:$L,3,FALSE)</f>
        <v>Corn-1-1</v>
      </c>
      <c r="L20" s="129">
        <f>VLOOKUP(VALUE($B20),test_out_xwalk!$C:$L,5,FALSE)</f>
        <v>0.75</v>
      </c>
      <c r="M20" s="129">
        <f>VLOOKUP(VALUE($B20),test_out_xwalk!$C:$L,6,FALSE)</f>
        <v>0.75</v>
      </c>
      <c r="N20" s="129" t="str">
        <f>VLOOKUP(VALUE($B20),test_out_xwalk!$C:$L,8,FALSE)</f>
        <v>None</v>
      </c>
      <c r="O20" s="129" t="str">
        <f>VLOOKUP(VALUE($B20),test_out_xwalk!$C:$L,7,FALSE)</f>
        <v>Granular</v>
      </c>
      <c r="P20" s="129" t="str">
        <f>VLOOKUP(VALUE($B20),test_out_xwalk!$C:$L,4,FALSE)</f>
        <v>Pre-emergence</v>
      </c>
      <c r="Q20" s="129" t="str">
        <f>VLOOKUP(VALUE($B20),test_out_xwalk!$C:$L,9,FALSE)</f>
        <v>Corn</v>
      </c>
      <c r="R20">
        <f>_xlfn.XLOOKUP(VALUE(B20),test_out_xwalk!$C:$C,test_out_xwalk!$A:$A)</f>
        <v>1</v>
      </c>
      <c r="T20" s="121" t="str">
        <f>IF('summary_EPA Pond'!$O20="","Check Summary EPA POND worksheet Column O",'summary_EPA Pond'!$O20)</f>
        <v xml:space="preserve">1_506809-18005-1_Corn-r14-A_USEPA Pond_0010_median                                    </v>
      </c>
      <c r="U20" s="121" t="str" cm="1">
        <f t="array" ref="U20:Z20">IFERROR(_xlfn.TEXTSPLIT(T20,"_"),"")</f>
        <v>1</v>
      </c>
      <c r="V20" t="str">
        <v>506809-18005-1</v>
      </c>
      <c r="W20" t="str">
        <v>Corn-r14-A</v>
      </c>
      <c r="X20" t="str">
        <v>USEPA Pond</v>
      </c>
      <c r="Y20" t="str">
        <v>0010</v>
      </c>
      <c r="Z20" t="str">
        <v xml:space="preserve">median                                    </v>
      </c>
      <c r="AA20" s="121" t="str" cm="1">
        <f t="array" ref="AA20:AC20">IF(W20="","",(_xlfn.TEXTSPLIT(W20,"-")))</f>
        <v>Corn</v>
      </c>
      <c r="AB20" s="121" t="str">
        <v>r14</v>
      </c>
      <c r="AC20" t="str">
        <v>A</v>
      </c>
      <c r="AD20" s="129" t="str">
        <f>VLOOKUP(VALUE($U20),test_out_xwalk!$C:$L,3,FALSE)</f>
        <v>Corn-1-1</v>
      </c>
      <c r="AE20" s="129">
        <f>VLOOKUP(VALUE($U20),test_out_xwalk!$C:$L,5,FALSE)</f>
        <v>0.75</v>
      </c>
      <c r="AF20" s="129">
        <f>VLOOKUP(VALUE($U20),test_out_xwalk!$C:$L,6,FALSE)</f>
        <v>0.75</v>
      </c>
      <c r="AG20" s="129" t="str">
        <f>VLOOKUP(VALUE($U20),test_out_xwalk!$C:$L,8,FALSE)</f>
        <v>None</v>
      </c>
      <c r="AH20" s="129" t="str">
        <f>VLOOKUP(VALUE($U20),test_out_xwalk!$C:$L,7,FALSE)</f>
        <v>Granular</v>
      </c>
      <c r="AI20" s="129" t="str">
        <f>VLOOKUP(VALUE($U20),test_out_xwalk!$C:$L,4,FALSE)</f>
        <v>Pre-emergence</v>
      </c>
      <c r="AJ20" s="129" t="str">
        <f>VLOOKUP(VALUE($U20),test_out_xwalk!$C:$L,9,FALSE)</f>
        <v>Corn</v>
      </c>
      <c r="AK20">
        <f>_xlfn.XLOOKUP(VALUE(U20),test_out_xwalk!C:C,test_out_xwalk!A:A)</f>
        <v>1</v>
      </c>
    </row>
    <row r="21" spans="1:37" x14ac:dyDescent="0.55000000000000004">
      <c r="A21" s="121" t="str">
        <f>IF('summary_EPA Pond'!$A21="","Check Summary EPA POND worksheet Column A",'summary_EPA Pond'!$A21)</f>
        <v xml:space="preserve">1_54973-11158-226_Corn-r15-A_USEPA Pond_0010_median                                   </v>
      </c>
      <c r="B21" s="121" t="str" cm="1">
        <f t="array" ref="B21:G21">IFERROR(_xlfn.TEXTSPLIT(A21,"_"),"")</f>
        <v>1</v>
      </c>
      <c r="C21" t="str">
        <v>54973-11158-226</v>
      </c>
      <c r="D21" t="str">
        <v>Corn-r15-A</v>
      </c>
      <c r="E21" t="str">
        <v>USEPA Pond</v>
      </c>
      <c r="F21" t="str">
        <v>0010</v>
      </c>
      <c r="G21" t="str">
        <v xml:space="preserve">median                                   </v>
      </c>
      <c r="H21" s="121" t="str" cm="1">
        <f t="array" ref="H21:J21">IF(D21="","",(_xlfn.TEXTSPLIT(D21,"-")))</f>
        <v>Corn</v>
      </c>
      <c r="I21" s="121" t="str">
        <v>r15</v>
      </c>
      <c r="J21" t="str">
        <v>A</v>
      </c>
      <c r="K21" s="129" t="str">
        <f>VLOOKUP(VALUE($B21),test_out_xwalk!$C:$L,3,FALSE)</f>
        <v>Corn-1-1</v>
      </c>
      <c r="L21" s="129">
        <f>VLOOKUP(VALUE($B21),test_out_xwalk!$C:$L,5,FALSE)</f>
        <v>0.75</v>
      </c>
      <c r="M21" s="129">
        <f>VLOOKUP(VALUE($B21),test_out_xwalk!$C:$L,6,FALSE)</f>
        <v>0.75</v>
      </c>
      <c r="N21" s="129" t="str">
        <f>VLOOKUP(VALUE($B21),test_out_xwalk!$C:$L,8,FALSE)</f>
        <v>None</v>
      </c>
      <c r="O21" s="129" t="str">
        <f>VLOOKUP(VALUE($B21),test_out_xwalk!$C:$L,7,FALSE)</f>
        <v>Granular</v>
      </c>
      <c r="P21" s="129" t="str">
        <f>VLOOKUP(VALUE($B21),test_out_xwalk!$C:$L,4,FALSE)</f>
        <v>Pre-emergence</v>
      </c>
      <c r="Q21" s="129" t="str">
        <f>VLOOKUP(VALUE($B21),test_out_xwalk!$C:$L,9,FALSE)</f>
        <v>Corn</v>
      </c>
      <c r="R21">
        <f>_xlfn.XLOOKUP(VALUE(B21),test_out_xwalk!$C:$C,test_out_xwalk!$A:$A)</f>
        <v>1</v>
      </c>
      <c r="T21" s="121" t="str">
        <f>IF('summary_EPA Pond'!$O21="","Check Summary EPA POND worksheet Column O",'summary_EPA Pond'!$O21)</f>
        <v xml:space="preserve">1_54973-11158-226_Corn-r15-A_USEPA Pond_0010_median                                   </v>
      </c>
      <c r="U21" s="121" t="str" cm="1">
        <f t="array" ref="U21:Z21">IFERROR(_xlfn.TEXTSPLIT(T21,"_"),"")</f>
        <v>1</v>
      </c>
      <c r="V21" t="str">
        <v>54973-11158-226</v>
      </c>
      <c r="W21" t="str">
        <v>Corn-r15-A</v>
      </c>
      <c r="X21" t="str">
        <v>USEPA Pond</v>
      </c>
      <c r="Y21" t="str">
        <v>0010</v>
      </c>
      <c r="Z21" t="str">
        <v xml:space="preserve">median                                   </v>
      </c>
      <c r="AA21" s="121" t="str" cm="1">
        <f t="array" ref="AA21:AC21">IF(W21="","",(_xlfn.TEXTSPLIT(W21,"-")))</f>
        <v>Corn</v>
      </c>
      <c r="AB21" s="121" t="str">
        <v>r15</v>
      </c>
      <c r="AC21" t="str">
        <v>A</v>
      </c>
      <c r="AD21" s="129" t="str">
        <f>VLOOKUP(VALUE($U21),test_out_xwalk!$C:$L,3,FALSE)</f>
        <v>Corn-1-1</v>
      </c>
      <c r="AE21" s="129">
        <f>VLOOKUP(VALUE($U21),test_out_xwalk!$C:$L,5,FALSE)</f>
        <v>0.75</v>
      </c>
      <c r="AF21" s="129">
        <f>VLOOKUP(VALUE($U21),test_out_xwalk!$C:$L,6,FALSE)</f>
        <v>0.75</v>
      </c>
      <c r="AG21" s="129" t="str">
        <f>VLOOKUP(VALUE($U21),test_out_xwalk!$C:$L,8,FALSE)</f>
        <v>None</v>
      </c>
      <c r="AH21" s="129" t="str">
        <f>VLOOKUP(VALUE($U21),test_out_xwalk!$C:$L,7,FALSE)</f>
        <v>Granular</v>
      </c>
      <c r="AI21" s="129" t="str">
        <f>VLOOKUP(VALUE($U21),test_out_xwalk!$C:$L,4,FALSE)</f>
        <v>Pre-emergence</v>
      </c>
      <c r="AJ21" s="129" t="str">
        <f>VLOOKUP(VALUE($U21),test_out_xwalk!$C:$L,9,FALSE)</f>
        <v>Corn</v>
      </c>
      <c r="AK21">
        <f>_xlfn.XLOOKUP(VALUE(U21),test_out_xwalk!C:C,test_out_xwalk!A:A)</f>
        <v>1</v>
      </c>
    </row>
    <row r="22" spans="1:37" x14ac:dyDescent="0.55000000000000004">
      <c r="A22" s="121" t="str">
        <f>IF('summary_EPA Pond'!$A22="","Check Summary EPA POND worksheet Column A",'summary_EPA Pond'!$A22)</f>
        <v xml:space="preserve">1_481578-20116-1_Corn-r16-A_USEPA Pond_0010_median                                    </v>
      </c>
      <c r="B22" s="121" t="str" cm="1">
        <f t="array" ref="B22:G22">IFERROR(_xlfn.TEXTSPLIT(A22,"_"),"")</f>
        <v>1</v>
      </c>
      <c r="C22" t="str">
        <v>481578-20116-1</v>
      </c>
      <c r="D22" t="str">
        <v>Corn-r16-A</v>
      </c>
      <c r="E22" t="str">
        <v>USEPA Pond</v>
      </c>
      <c r="F22" t="str">
        <v>0010</v>
      </c>
      <c r="G22" t="str">
        <v xml:space="preserve">median                                    </v>
      </c>
      <c r="H22" s="121" t="str" cm="1">
        <f t="array" ref="H22:J22">IF(D22="","",(_xlfn.TEXTSPLIT(D22,"-")))</f>
        <v>Corn</v>
      </c>
      <c r="I22" s="121" t="str">
        <v>r16</v>
      </c>
      <c r="J22" t="str">
        <v>A</v>
      </c>
      <c r="K22" s="129" t="str">
        <f>VLOOKUP(VALUE($B22),test_out_xwalk!$C:$L,3,FALSE)</f>
        <v>Corn-1-1</v>
      </c>
      <c r="L22" s="129">
        <f>VLOOKUP(VALUE($B22),test_out_xwalk!$C:$L,5,FALSE)</f>
        <v>0.75</v>
      </c>
      <c r="M22" s="129">
        <f>VLOOKUP(VALUE($B22),test_out_xwalk!$C:$L,6,FALSE)</f>
        <v>0.75</v>
      </c>
      <c r="N22" s="129" t="str">
        <f>VLOOKUP(VALUE($B22),test_out_xwalk!$C:$L,8,FALSE)</f>
        <v>None</v>
      </c>
      <c r="O22" s="129" t="str">
        <f>VLOOKUP(VALUE($B22),test_out_xwalk!$C:$L,7,FALSE)</f>
        <v>Granular</v>
      </c>
      <c r="P22" s="129" t="str">
        <f>VLOOKUP(VALUE($B22),test_out_xwalk!$C:$L,4,FALSE)</f>
        <v>Pre-emergence</v>
      </c>
      <c r="Q22" s="129" t="str">
        <f>VLOOKUP(VALUE($B22),test_out_xwalk!$C:$L,9,FALSE)</f>
        <v>Corn</v>
      </c>
      <c r="R22">
        <f>_xlfn.XLOOKUP(VALUE(B22),test_out_xwalk!$C:$C,test_out_xwalk!$A:$A)</f>
        <v>1</v>
      </c>
      <c r="T22" s="121" t="str">
        <f>IF('summary_EPA Pond'!$O22="","Check Summary EPA POND worksheet Column O",'summary_EPA Pond'!$O22)</f>
        <v xml:space="preserve">1_481578-20116-1_Corn-r16-A_USEPA Pond_0010_median                                    </v>
      </c>
      <c r="U22" s="121" t="str" cm="1">
        <f t="array" ref="U22:Z22">IFERROR(_xlfn.TEXTSPLIT(T22,"_"),"")</f>
        <v>1</v>
      </c>
      <c r="V22" t="str">
        <v>481578-20116-1</v>
      </c>
      <c r="W22" t="str">
        <v>Corn-r16-A</v>
      </c>
      <c r="X22" t="str">
        <v>USEPA Pond</v>
      </c>
      <c r="Y22" t="str">
        <v>0010</v>
      </c>
      <c r="Z22" t="str">
        <v xml:space="preserve">median                                    </v>
      </c>
      <c r="AA22" s="121" t="str" cm="1">
        <f t="array" ref="AA22:AC22">IF(W22="","",(_xlfn.TEXTSPLIT(W22,"-")))</f>
        <v>Corn</v>
      </c>
      <c r="AB22" s="121" t="str">
        <v>r16</v>
      </c>
      <c r="AC22" t="str">
        <v>A</v>
      </c>
      <c r="AD22" s="129" t="str">
        <f>VLOOKUP(VALUE($U22),test_out_xwalk!$C:$L,3,FALSE)</f>
        <v>Corn-1-1</v>
      </c>
      <c r="AE22" s="129">
        <f>VLOOKUP(VALUE($U22),test_out_xwalk!$C:$L,5,FALSE)</f>
        <v>0.75</v>
      </c>
      <c r="AF22" s="129">
        <f>VLOOKUP(VALUE($U22),test_out_xwalk!$C:$L,6,FALSE)</f>
        <v>0.75</v>
      </c>
      <c r="AG22" s="129" t="str">
        <f>VLOOKUP(VALUE($U22),test_out_xwalk!$C:$L,8,FALSE)</f>
        <v>None</v>
      </c>
      <c r="AH22" s="129" t="str">
        <f>VLOOKUP(VALUE($U22),test_out_xwalk!$C:$L,7,FALSE)</f>
        <v>Granular</v>
      </c>
      <c r="AI22" s="129" t="str">
        <f>VLOOKUP(VALUE($U22),test_out_xwalk!$C:$L,4,FALSE)</f>
        <v>Pre-emergence</v>
      </c>
      <c r="AJ22" s="129" t="str">
        <f>VLOOKUP(VALUE($U22),test_out_xwalk!$C:$L,9,FALSE)</f>
        <v>Corn</v>
      </c>
      <c r="AK22">
        <f>_xlfn.XLOOKUP(VALUE(U22),test_out_xwalk!C:C,test_out_xwalk!A:A)</f>
        <v>1</v>
      </c>
    </row>
    <row r="23" spans="1:37" x14ac:dyDescent="0.55000000000000004">
      <c r="A23" s="121" t="str">
        <f>IF('summary_EPA Pond'!$A23="","Check Summary EPA POND worksheet Column A",'summary_EPA Pond'!$A23)</f>
        <v xml:space="preserve">1_69526-24571-1_Corn-r17-A_USEPA Pond_0010_median                                     </v>
      </c>
      <c r="B23" s="121" t="str" cm="1">
        <f t="array" ref="B23:G23">IFERROR(_xlfn.TEXTSPLIT(A23,"_"),"")</f>
        <v>1</v>
      </c>
      <c r="C23" t="str">
        <v>69526-24571-1</v>
      </c>
      <c r="D23" t="str">
        <v>Corn-r17-A</v>
      </c>
      <c r="E23" t="str">
        <v>USEPA Pond</v>
      </c>
      <c r="F23" t="str">
        <v>0010</v>
      </c>
      <c r="G23" t="str">
        <v xml:space="preserve">median                                     </v>
      </c>
      <c r="H23" s="121" t="str" cm="1">
        <f t="array" ref="H23:J23">IF(D23="","",(_xlfn.TEXTSPLIT(D23,"-")))</f>
        <v>Corn</v>
      </c>
      <c r="I23" s="121" t="str">
        <v>r17</v>
      </c>
      <c r="J23" t="str">
        <v>A</v>
      </c>
      <c r="K23" s="129" t="str">
        <f>VLOOKUP(VALUE($B23),test_out_xwalk!$C:$L,3,FALSE)</f>
        <v>Corn-1-1</v>
      </c>
      <c r="L23" s="129">
        <f>VLOOKUP(VALUE($B23),test_out_xwalk!$C:$L,5,FALSE)</f>
        <v>0.75</v>
      </c>
      <c r="M23" s="129">
        <f>VLOOKUP(VALUE($B23),test_out_xwalk!$C:$L,6,FALSE)</f>
        <v>0.75</v>
      </c>
      <c r="N23" s="129" t="str">
        <f>VLOOKUP(VALUE($B23),test_out_xwalk!$C:$L,8,FALSE)</f>
        <v>None</v>
      </c>
      <c r="O23" s="129" t="str">
        <f>VLOOKUP(VALUE($B23),test_out_xwalk!$C:$L,7,FALSE)</f>
        <v>Granular</v>
      </c>
      <c r="P23" s="129" t="str">
        <f>VLOOKUP(VALUE($B23),test_out_xwalk!$C:$L,4,FALSE)</f>
        <v>Pre-emergence</v>
      </c>
      <c r="Q23" s="129" t="str">
        <f>VLOOKUP(VALUE($B23),test_out_xwalk!$C:$L,9,FALSE)</f>
        <v>Corn</v>
      </c>
      <c r="R23">
        <f>_xlfn.XLOOKUP(VALUE(B23),test_out_xwalk!$C:$C,test_out_xwalk!$A:$A)</f>
        <v>1</v>
      </c>
      <c r="T23" s="121" t="str">
        <f>IF('summary_EPA Pond'!$O23="","Check Summary EPA POND worksheet Column O",'summary_EPA Pond'!$O23)</f>
        <v xml:space="preserve">1_69526-24571-1_Corn-r17-A_USEPA Pond_0010_median                                     </v>
      </c>
      <c r="U23" s="121" t="str" cm="1">
        <f t="array" ref="U23:Z23">IFERROR(_xlfn.TEXTSPLIT(T23,"_"),"")</f>
        <v>1</v>
      </c>
      <c r="V23" t="str">
        <v>69526-24571-1</v>
      </c>
      <c r="W23" t="str">
        <v>Corn-r17-A</v>
      </c>
      <c r="X23" t="str">
        <v>USEPA Pond</v>
      </c>
      <c r="Y23" t="str">
        <v>0010</v>
      </c>
      <c r="Z23" t="str">
        <v xml:space="preserve">median                                     </v>
      </c>
      <c r="AA23" s="121" t="str" cm="1">
        <f t="array" ref="AA23:AC23">IF(W23="","",(_xlfn.TEXTSPLIT(W23,"-")))</f>
        <v>Corn</v>
      </c>
      <c r="AB23" s="121" t="str">
        <v>r17</v>
      </c>
      <c r="AC23" t="str">
        <v>A</v>
      </c>
      <c r="AD23" s="129" t="str">
        <f>VLOOKUP(VALUE($U23),test_out_xwalk!$C:$L,3,FALSE)</f>
        <v>Corn-1-1</v>
      </c>
      <c r="AE23" s="129">
        <f>VLOOKUP(VALUE($U23),test_out_xwalk!$C:$L,5,FALSE)</f>
        <v>0.75</v>
      </c>
      <c r="AF23" s="129">
        <f>VLOOKUP(VALUE($U23),test_out_xwalk!$C:$L,6,FALSE)</f>
        <v>0.75</v>
      </c>
      <c r="AG23" s="129" t="str">
        <f>VLOOKUP(VALUE($U23),test_out_xwalk!$C:$L,8,FALSE)</f>
        <v>None</v>
      </c>
      <c r="AH23" s="129" t="str">
        <f>VLOOKUP(VALUE($U23),test_out_xwalk!$C:$L,7,FALSE)</f>
        <v>Granular</v>
      </c>
      <c r="AI23" s="129" t="str">
        <f>VLOOKUP(VALUE($U23),test_out_xwalk!$C:$L,4,FALSE)</f>
        <v>Pre-emergence</v>
      </c>
      <c r="AJ23" s="129" t="str">
        <f>VLOOKUP(VALUE($U23),test_out_xwalk!$C:$L,9,FALSE)</f>
        <v>Corn</v>
      </c>
      <c r="AK23">
        <f>_xlfn.XLOOKUP(VALUE(U23),test_out_xwalk!C:C,test_out_xwalk!A:A)</f>
        <v>1</v>
      </c>
    </row>
    <row r="24" spans="1:37" x14ac:dyDescent="0.55000000000000004">
      <c r="A24" s="121" t="str">
        <f>IF('summary_EPA Pond'!$A24="","Check Summary EPA POND worksheet Column A",'summary_EPA Pond'!$A24)</f>
        <v xml:space="preserve">1_467176-15131-225_Corn-r18-A_USEPA Pond_0010_median                                  </v>
      </c>
      <c r="B24" s="121" t="str" cm="1">
        <f t="array" ref="B24:G24">IFERROR(_xlfn.TEXTSPLIT(A24,"_"),"")</f>
        <v>1</v>
      </c>
      <c r="C24" t="str">
        <v>467176-15131-225</v>
      </c>
      <c r="D24" t="str">
        <v>Corn-r18-A</v>
      </c>
      <c r="E24" t="str">
        <v>USEPA Pond</v>
      </c>
      <c r="F24" t="str">
        <v>0010</v>
      </c>
      <c r="G24" t="str">
        <v xml:space="preserve">median                                  </v>
      </c>
      <c r="H24" s="121" t="str" cm="1">
        <f t="array" ref="H24:J24">IF(D24="","",(_xlfn.TEXTSPLIT(D24,"-")))</f>
        <v>Corn</v>
      </c>
      <c r="I24" s="121" t="str">
        <v>r18</v>
      </c>
      <c r="J24" t="str">
        <v>A</v>
      </c>
      <c r="K24" s="129" t="str">
        <f>VLOOKUP(VALUE($B24),test_out_xwalk!$C:$L,3,FALSE)</f>
        <v>Corn-1-1</v>
      </c>
      <c r="L24" s="129">
        <f>VLOOKUP(VALUE($B24),test_out_xwalk!$C:$L,5,FALSE)</f>
        <v>0.75</v>
      </c>
      <c r="M24" s="129">
        <f>VLOOKUP(VALUE($B24),test_out_xwalk!$C:$L,6,FALSE)</f>
        <v>0.75</v>
      </c>
      <c r="N24" s="129" t="str">
        <f>VLOOKUP(VALUE($B24),test_out_xwalk!$C:$L,8,FALSE)</f>
        <v>None</v>
      </c>
      <c r="O24" s="129" t="str">
        <f>VLOOKUP(VALUE($B24),test_out_xwalk!$C:$L,7,FALSE)</f>
        <v>Granular</v>
      </c>
      <c r="P24" s="129" t="str">
        <f>VLOOKUP(VALUE($B24),test_out_xwalk!$C:$L,4,FALSE)</f>
        <v>Pre-emergence</v>
      </c>
      <c r="Q24" s="129" t="str">
        <f>VLOOKUP(VALUE($B24),test_out_xwalk!$C:$L,9,FALSE)</f>
        <v>Corn</v>
      </c>
      <c r="R24">
        <f>_xlfn.XLOOKUP(VALUE(B24),test_out_xwalk!$C:$C,test_out_xwalk!$A:$A)</f>
        <v>1</v>
      </c>
      <c r="T24" s="121" t="str">
        <f>IF('summary_EPA Pond'!$O24="","Check Summary EPA POND worksheet Column O",'summary_EPA Pond'!$O24)</f>
        <v xml:space="preserve">1_467176-15131-225_Corn-r18-A_USEPA Pond_0010_median                                  </v>
      </c>
      <c r="U24" s="121" t="str" cm="1">
        <f t="array" ref="U24:Z24">IFERROR(_xlfn.TEXTSPLIT(T24,"_"),"")</f>
        <v>1</v>
      </c>
      <c r="V24" t="str">
        <v>467176-15131-225</v>
      </c>
      <c r="W24" t="str">
        <v>Corn-r18-A</v>
      </c>
      <c r="X24" t="str">
        <v>USEPA Pond</v>
      </c>
      <c r="Y24" t="str">
        <v>0010</v>
      </c>
      <c r="Z24" t="str">
        <v xml:space="preserve">median                                  </v>
      </c>
      <c r="AA24" s="121" t="str" cm="1">
        <f t="array" ref="AA24:AC24">IF(W24="","",(_xlfn.TEXTSPLIT(W24,"-")))</f>
        <v>Corn</v>
      </c>
      <c r="AB24" s="121" t="str">
        <v>r18</v>
      </c>
      <c r="AC24" t="str">
        <v>A</v>
      </c>
      <c r="AD24" s="129" t="str">
        <f>VLOOKUP(VALUE($U24),test_out_xwalk!$C:$L,3,FALSE)</f>
        <v>Corn-1-1</v>
      </c>
      <c r="AE24" s="129">
        <f>VLOOKUP(VALUE($U24),test_out_xwalk!$C:$L,5,FALSE)</f>
        <v>0.75</v>
      </c>
      <c r="AF24" s="129">
        <f>VLOOKUP(VALUE($U24),test_out_xwalk!$C:$L,6,FALSE)</f>
        <v>0.75</v>
      </c>
      <c r="AG24" s="129" t="str">
        <f>VLOOKUP(VALUE($U24),test_out_xwalk!$C:$L,8,FALSE)</f>
        <v>None</v>
      </c>
      <c r="AH24" s="129" t="str">
        <f>VLOOKUP(VALUE($U24),test_out_xwalk!$C:$L,7,FALSE)</f>
        <v>Granular</v>
      </c>
      <c r="AI24" s="129" t="str">
        <f>VLOOKUP(VALUE($U24),test_out_xwalk!$C:$L,4,FALSE)</f>
        <v>Pre-emergence</v>
      </c>
      <c r="AJ24" s="129" t="str">
        <f>VLOOKUP(VALUE($U24),test_out_xwalk!$C:$L,9,FALSE)</f>
        <v>Corn</v>
      </c>
      <c r="AK24">
        <f>_xlfn.XLOOKUP(VALUE(U24),test_out_xwalk!C:C,test_out_xwalk!A:A)</f>
        <v>1</v>
      </c>
    </row>
    <row r="25" spans="1:37" x14ac:dyDescent="0.55000000000000004">
      <c r="A25" s="121" t="str">
        <f>IF('summary_EPA Pond'!$A25="","Check Summary EPA POND worksheet Column A",'summary_EPA Pond'!$A25)</f>
        <v xml:space="preserve">2_284802-23590-1_Corn-r01-A_USEPA Pond_0010_median                                    </v>
      </c>
      <c r="B25" s="121" t="str" cm="1">
        <f t="array" ref="B25:G25">IFERROR(_xlfn.TEXTSPLIT(A25,"_"),"")</f>
        <v>2</v>
      </c>
      <c r="C25" t="str">
        <v>284802-23590-1</v>
      </c>
      <c r="D25" t="str">
        <v>Corn-r01-A</v>
      </c>
      <c r="E25" t="str">
        <v>USEPA Pond</v>
      </c>
      <c r="F25" t="str">
        <v>0010</v>
      </c>
      <c r="G25" t="str">
        <v xml:space="preserve">median                                    </v>
      </c>
      <c r="H25" s="121" t="str" cm="1">
        <f t="array" ref="H25:J25">IF(D25="","",(_xlfn.TEXTSPLIT(D25,"-")))</f>
        <v>Corn</v>
      </c>
      <c r="I25" s="121" t="str">
        <v>r01</v>
      </c>
      <c r="J25" t="str">
        <v>A</v>
      </c>
      <c r="K25" s="129" t="str">
        <f>VLOOKUP(VALUE($B25),test_out_xwalk!$C:$L,3,FALSE)</f>
        <v>Corn-1-2</v>
      </c>
      <c r="L25" s="129">
        <f>VLOOKUP(VALUE($B25),test_out_xwalk!$C:$L,5,FALSE)</f>
        <v>0.75</v>
      </c>
      <c r="M25" s="129">
        <f>VLOOKUP(VALUE($B25),test_out_xwalk!$C:$L,6,FALSE)</f>
        <v>0.75</v>
      </c>
      <c r="N25" s="129" t="str">
        <f>VLOOKUP(VALUE($B25),test_out_xwalk!$C:$L,8,FALSE)</f>
        <v>Aerial_Coarse</v>
      </c>
      <c r="O25" s="129" t="str">
        <f>VLOOKUP(VALUE($B25),test_out_xwalk!$C:$L,7,FALSE)</f>
        <v>Spray</v>
      </c>
      <c r="P25" s="129" t="str">
        <f>VLOOKUP(VALUE($B25),test_out_xwalk!$C:$L,4,FALSE)</f>
        <v>Pre-emergence</v>
      </c>
      <c r="Q25" s="129" t="str">
        <f>VLOOKUP(VALUE($B25),test_out_xwalk!$C:$L,9,FALSE)</f>
        <v>Corn</v>
      </c>
      <c r="R25">
        <f>_xlfn.XLOOKUP(VALUE(B25),test_out_xwalk!$C:$C,test_out_xwalk!$A:$A)</f>
        <v>1</v>
      </c>
      <c r="T25" s="121" t="str">
        <f>IF('summary_EPA Pond'!$O25="","Check Summary EPA POND worksheet Column O",'summary_EPA Pond'!$O25)</f>
        <v xml:space="preserve">5_284802-23590-1_Corn-r01-A_USEPA Pond_0010_median                                    </v>
      </c>
      <c r="U25" s="121" t="str" cm="1">
        <f t="array" ref="U25:Z25">IFERROR(_xlfn.TEXTSPLIT(T25,"_"),"")</f>
        <v>5</v>
      </c>
      <c r="V25" t="str">
        <v>284802-23590-1</v>
      </c>
      <c r="W25" t="str">
        <v>Corn-r01-A</v>
      </c>
      <c r="X25" t="str">
        <v>USEPA Pond</v>
      </c>
      <c r="Y25" t="str">
        <v>0010</v>
      </c>
      <c r="Z25" t="str">
        <v xml:space="preserve">median                                    </v>
      </c>
      <c r="AA25" s="121" t="str" cm="1">
        <f t="array" ref="AA25:AC25">IF(W25="","",(_xlfn.TEXTSPLIT(W25,"-")))</f>
        <v>Corn</v>
      </c>
      <c r="AB25" s="121" t="str">
        <v>r01</v>
      </c>
      <c r="AC25" t="str">
        <v>A</v>
      </c>
      <c r="AD25" s="129" t="str">
        <f>VLOOKUP(VALUE($U25),test_out_xwalk!$C:$L,3,FALSE)</f>
        <v>Corn-1-5</v>
      </c>
      <c r="AE25" s="129">
        <f>VLOOKUP(VALUE($U25),test_out_xwalk!$C:$L,5,FALSE)</f>
        <v>0.75</v>
      </c>
      <c r="AF25" s="129">
        <f>VLOOKUP(VALUE($U25),test_out_xwalk!$C:$L,6,FALSE)</f>
        <v>0.75</v>
      </c>
      <c r="AG25" s="129" t="str">
        <f>VLOOKUP(VALUE($U25),test_out_xwalk!$C:$L,8,FALSE)</f>
        <v>None</v>
      </c>
      <c r="AH25" s="129" t="str">
        <f>VLOOKUP(VALUE($U25),test_out_xwalk!$C:$L,7,FALSE)</f>
        <v>Spray</v>
      </c>
      <c r="AI25" s="129" t="str">
        <f>VLOOKUP(VALUE($U25),test_out_xwalk!$C:$L,4,FALSE)</f>
        <v>Pre-emergence</v>
      </c>
      <c r="AJ25" s="129" t="str">
        <f>VLOOKUP(VALUE($U25),test_out_xwalk!$C:$L,9,FALSE)</f>
        <v>Corn</v>
      </c>
      <c r="AK25">
        <f>_xlfn.XLOOKUP(VALUE(U25),test_out_xwalk!C:C,test_out_xwalk!A:A)</f>
        <v>1</v>
      </c>
    </row>
    <row r="26" spans="1:37" x14ac:dyDescent="0.55000000000000004">
      <c r="A26" s="121" t="str">
        <f>IF('summary_EPA Pond'!$A26="","Check Summary EPA POND worksheet Column A",'summary_EPA Pond'!$A26)</f>
        <v xml:space="preserve">2_282174-22397-1_Corn-r02-A_USEPA Pond_0010_median                                    </v>
      </c>
      <c r="B26" s="121" t="str" cm="1">
        <f t="array" ref="B26:G26">IFERROR(_xlfn.TEXTSPLIT(A26,"_"),"")</f>
        <v>2</v>
      </c>
      <c r="C26" t="str">
        <v>282174-22397-1</v>
      </c>
      <c r="D26" t="str">
        <v>Corn-r02-A</v>
      </c>
      <c r="E26" t="str">
        <v>USEPA Pond</v>
      </c>
      <c r="F26" t="str">
        <v>0010</v>
      </c>
      <c r="G26" t="str">
        <v xml:space="preserve">median                                    </v>
      </c>
      <c r="H26" s="121" t="str" cm="1">
        <f t="array" ref="H26:J26">IF(D26="","",(_xlfn.TEXTSPLIT(D26,"-")))</f>
        <v>Corn</v>
      </c>
      <c r="I26" s="121" t="str">
        <v>r02</v>
      </c>
      <c r="J26" t="str">
        <v>A</v>
      </c>
      <c r="K26" s="129" t="str">
        <f>VLOOKUP(VALUE($B26),test_out_xwalk!$C:$L,3,FALSE)</f>
        <v>Corn-1-2</v>
      </c>
      <c r="L26" s="129">
        <f>VLOOKUP(VALUE($B26),test_out_xwalk!$C:$L,5,FALSE)</f>
        <v>0.75</v>
      </c>
      <c r="M26" s="129">
        <f>VLOOKUP(VALUE($B26),test_out_xwalk!$C:$L,6,FALSE)</f>
        <v>0.75</v>
      </c>
      <c r="N26" s="129" t="str">
        <f>VLOOKUP(VALUE($B26),test_out_xwalk!$C:$L,8,FALSE)</f>
        <v>Aerial_Coarse</v>
      </c>
      <c r="O26" s="129" t="str">
        <f>VLOOKUP(VALUE($B26),test_out_xwalk!$C:$L,7,FALSE)</f>
        <v>Spray</v>
      </c>
      <c r="P26" s="129" t="str">
        <f>VLOOKUP(VALUE($B26),test_out_xwalk!$C:$L,4,FALSE)</f>
        <v>Pre-emergence</v>
      </c>
      <c r="Q26" s="129" t="str">
        <f>VLOOKUP(VALUE($B26),test_out_xwalk!$C:$L,9,FALSE)</f>
        <v>Corn</v>
      </c>
      <c r="R26">
        <f>_xlfn.XLOOKUP(VALUE(B26),test_out_xwalk!$C:$C,test_out_xwalk!$A:$A)</f>
        <v>1</v>
      </c>
      <c r="T26" s="121" t="str">
        <f>IF('summary_EPA Pond'!$O26="","Check Summary EPA POND worksheet Column O",'summary_EPA Pond'!$O26)</f>
        <v xml:space="preserve">5_282174-22397-1_Corn-r02-A_USEPA Pond_0010_median                                    </v>
      </c>
      <c r="U26" s="121" t="str" cm="1">
        <f t="array" ref="U26:Z26">IFERROR(_xlfn.TEXTSPLIT(T26,"_"),"")</f>
        <v>5</v>
      </c>
      <c r="V26" t="str">
        <v>282174-22397-1</v>
      </c>
      <c r="W26" t="str">
        <v>Corn-r02-A</v>
      </c>
      <c r="X26" t="str">
        <v>USEPA Pond</v>
      </c>
      <c r="Y26" t="str">
        <v>0010</v>
      </c>
      <c r="Z26" t="str">
        <v xml:space="preserve">median                                    </v>
      </c>
      <c r="AA26" s="121" t="str" cm="1">
        <f t="array" ref="AA26:AC26">IF(W26="","",(_xlfn.TEXTSPLIT(W26,"-")))</f>
        <v>Corn</v>
      </c>
      <c r="AB26" s="121" t="str">
        <v>r02</v>
      </c>
      <c r="AC26" t="str">
        <v>A</v>
      </c>
      <c r="AD26" s="129" t="str">
        <f>VLOOKUP(VALUE($U26),test_out_xwalk!$C:$L,3,FALSE)</f>
        <v>Corn-1-5</v>
      </c>
      <c r="AE26" s="129">
        <f>VLOOKUP(VALUE($U26),test_out_xwalk!$C:$L,5,FALSE)</f>
        <v>0.75</v>
      </c>
      <c r="AF26" s="129">
        <f>VLOOKUP(VALUE($U26),test_out_xwalk!$C:$L,6,FALSE)</f>
        <v>0.75</v>
      </c>
      <c r="AG26" s="129" t="str">
        <f>VLOOKUP(VALUE($U26),test_out_xwalk!$C:$L,8,FALSE)</f>
        <v>None</v>
      </c>
      <c r="AH26" s="129" t="str">
        <f>VLOOKUP(VALUE($U26),test_out_xwalk!$C:$L,7,FALSE)</f>
        <v>Spray</v>
      </c>
      <c r="AI26" s="129" t="str">
        <f>VLOOKUP(VALUE($U26),test_out_xwalk!$C:$L,4,FALSE)</f>
        <v>Pre-emergence</v>
      </c>
      <c r="AJ26" s="129" t="str">
        <f>VLOOKUP(VALUE($U26),test_out_xwalk!$C:$L,9,FALSE)</f>
        <v>Corn</v>
      </c>
      <c r="AK26">
        <f>_xlfn.XLOOKUP(VALUE(U26),test_out_xwalk!C:C,test_out_xwalk!A:A)</f>
        <v>1</v>
      </c>
    </row>
    <row r="27" spans="1:37" x14ac:dyDescent="0.55000000000000004">
      <c r="A27" s="121" t="str">
        <f>IF('summary_EPA Pond'!$A27="","Check Summary EPA POND worksheet Column A",'summary_EPA Pond'!$A27)</f>
        <v xml:space="preserve">2_2493903-15051-1_Corn-r03N-A_USEPA Pond_0010_median                                  </v>
      </c>
      <c r="B27" s="121" t="str" cm="1">
        <f t="array" ref="B27:G27">IFERROR(_xlfn.TEXTSPLIT(A27,"_"),"")</f>
        <v>2</v>
      </c>
      <c r="C27" t="str">
        <v>2493903-15051-1</v>
      </c>
      <c r="D27" t="str">
        <v>Corn-r03N-A</v>
      </c>
      <c r="E27" t="str">
        <v>USEPA Pond</v>
      </c>
      <c r="F27" t="str">
        <v>0010</v>
      </c>
      <c r="G27" t="str">
        <v xml:space="preserve">median                                  </v>
      </c>
      <c r="H27" s="121" t="str" cm="1">
        <f t="array" ref="H27:J27">IF(D27="","",(_xlfn.TEXTSPLIT(D27,"-")))</f>
        <v>Corn</v>
      </c>
      <c r="I27" s="121" t="str">
        <v>r03N</v>
      </c>
      <c r="J27" t="str">
        <v>A</v>
      </c>
      <c r="K27" s="129" t="str">
        <f>VLOOKUP(VALUE($B27),test_out_xwalk!$C:$L,3,FALSE)</f>
        <v>Corn-1-2</v>
      </c>
      <c r="L27" s="129">
        <f>VLOOKUP(VALUE($B27),test_out_xwalk!$C:$L,5,FALSE)</f>
        <v>0.75</v>
      </c>
      <c r="M27" s="129">
        <f>VLOOKUP(VALUE($B27),test_out_xwalk!$C:$L,6,FALSE)</f>
        <v>0.75</v>
      </c>
      <c r="N27" s="129" t="str">
        <f>VLOOKUP(VALUE($B27),test_out_xwalk!$C:$L,8,FALSE)</f>
        <v>Aerial_Coarse</v>
      </c>
      <c r="O27" s="129" t="str">
        <f>VLOOKUP(VALUE($B27),test_out_xwalk!$C:$L,7,FALSE)</f>
        <v>Spray</v>
      </c>
      <c r="P27" s="129" t="str">
        <f>VLOOKUP(VALUE($B27),test_out_xwalk!$C:$L,4,FALSE)</f>
        <v>Pre-emergence</v>
      </c>
      <c r="Q27" s="129" t="str">
        <f>VLOOKUP(VALUE($B27),test_out_xwalk!$C:$L,9,FALSE)</f>
        <v>Corn</v>
      </c>
      <c r="R27">
        <f>_xlfn.XLOOKUP(VALUE(B27),test_out_xwalk!$C:$C,test_out_xwalk!$A:$A)</f>
        <v>1</v>
      </c>
      <c r="T27" s="121" t="str">
        <f>IF('summary_EPA Pond'!$O27="","Check Summary EPA POND worksheet Column O",'summary_EPA Pond'!$O27)</f>
        <v xml:space="preserve">5_2493903-15051-1_Corn-r03N-A_USEPA Pond_0010_median                                  </v>
      </c>
      <c r="U27" s="121" t="str" cm="1">
        <f t="array" ref="U27:Z27">IFERROR(_xlfn.TEXTSPLIT(T27,"_"),"")</f>
        <v>5</v>
      </c>
      <c r="V27" t="str">
        <v>2493903-15051-1</v>
      </c>
      <c r="W27" t="str">
        <v>Corn-r03N-A</v>
      </c>
      <c r="X27" t="str">
        <v>USEPA Pond</v>
      </c>
      <c r="Y27" t="str">
        <v>0010</v>
      </c>
      <c r="Z27" t="str">
        <v xml:space="preserve">median                                  </v>
      </c>
      <c r="AA27" s="121" t="str" cm="1">
        <f t="array" ref="AA27:AC27">IF(W27="","",(_xlfn.TEXTSPLIT(W27,"-")))</f>
        <v>Corn</v>
      </c>
      <c r="AB27" s="121" t="str">
        <v>r03N</v>
      </c>
      <c r="AC27" t="str">
        <v>A</v>
      </c>
      <c r="AD27" s="129" t="str">
        <f>VLOOKUP(VALUE($U27),test_out_xwalk!$C:$L,3,FALSE)</f>
        <v>Corn-1-5</v>
      </c>
      <c r="AE27" s="129">
        <f>VLOOKUP(VALUE($U27),test_out_xwalk!$C:$L,5,FALSE)</f>
        <v>0.75</v>
      </c>
      <c r="AF27" s="129">
        <f>VLOOKUP(VALUE($U27),test_out_xwalk!$C:$L,6,FALSE)</f>
        <v>0.75</v>
      </c>
      <c r="AG27" s="129" t="str">
        <f>VLOOKUP(VALUE($U27),test_out_xwalk!$C:$L,8,FALSE)</f>
        <v>None</v>
      </c>
      <c r="AH27" s="129" t="str">
        <f>VLOOKUP(VALUE($U27),test_out_xwalk!$C:$L,7,FALSE)</f>
        <v>Spray</v>
      </c>
      <c r="AI27" s="129" t="str">
        <f>VLOOKUP(VALUE($U27),test_out_xwalk!$C:$L,4,FALSE)</f>
        <v>Pre-emergence</v>
      </c>
      <c r="AJ27" s="129" t="str">
        <f>VLOOKUP(VALUE($U27),test_out_xwalk!$C:$L,9,FALSE)</f>
        <v>Corn</v>
      </c>
      <c r="AK27">
        <f>_xlfn.XLOOKUP(VALUE(U27),test_out_xwalk!C:C,test_out_xwalk!A:A)</f>
        <v>1</v>
      </c>
    </row>
    <row r="28" spans="1:37" x14ac:dyDescent="0.55000000000000004">
      <c r="A28" s="121" t="str">
        <f>IF('summary_EPA Pond'!$A28="","Check Summary EPA POND worksheet Column A",'summary_EPA Pond'!$A28)</f>
        <v xml:space="preserve">2_125348-10792-1_Corn-r03S-A_USEPA Pond_0010_median                                   </v>
      </c>
      <c r="B28" s="121" t="str" cm="1">
        <f t="array" ref="B28:G28">IFERROR(_xlfn.TEXTSPLIT(A28,"_"),"")</f>
        <v>2</v>
      </c>
      <c r="C28" t="str">
        <v>125348-10792-1</v>
      </c>
      <c r="D28" t="str">
        <v>Corn-r03S-A</v>
      </c>
      <c r="E28" t="str">
        <v>USEPA Pond</v>
      </c>
      <c r="F28" t="str">
        <v>0010</v>
      </c>
      <c r="G28" t="str">
        <v xml:space="preserve">median                                   </v>
      </c>
      <c r="H28" s="121" t="str" cm="1">
        <f t="array" ref="H28:J28">IF(D28="","",(_xlfn.TEXTSPLIT(D28,"-")))</f>
        <v>Corn</v>
      </c>
      <c r="I28" s="121" t="str">
        <v>r03S</v>
      </c>
      <c r="J28" t="str">
        <v>A</v>
      </c>
      <c r="K28" s="129" t="str">
        <f>VLOOKUP(VALUE($B28),test_out_xwalk!$C:$L,3,FALSE)</f>
        <v>Corn-1-2</v>
      </c>
      <c r="L28" s="129">
        <f>VLOOKUP(VALUE($B28),test_out_xwalk!$C:$L,5,FALSE)</f>
        <v>0.75</v>
      </c>
      <c r="M28" s="129">
        <f>VLOOKUP(VALUE($B28),test_out_xwalk!$C:$L,6,FALSE)</f>
        <v>0.75</v>
      </c>
      <c r="N28" s="129" t="str">
        <f>VLOOKUP(VALUE($B28),test_out_xwalk!$C:$L,8,FALSE)</f>
        <v>Aerial_Coarse</v>
      </c>
      <c r="O28" s="129" t="str">
        <f>VLOOKUP(VALUE($B28),test_out_xwalk!$C:$L,7,FALSE)</f>
        <v>Spray</v>
      </c>
      <c r="P28" s="129" t="str">
        <f>VLOOKUP(VALUE($B28),test_out_xwalk!$C:$L,4,FALSE)</f>
        <v>Pre-emergence</v>
      </c>
      <c r="Q28" s="129" t="str">
        <f>VLOOKUP(VALUE($B28),test_out_xwalk!$C:$L,9,FALSE)</f>
        <v>Corn</v>
      </c>
      <c r="R28">
        <f>_xlfn.XLOOKUP(VALUE(B28),test_out_xwalk!$C:$C,test_out_xwalk!$A:$A)</f>
        <v>1</v>
      </c>
      <c r="T28" s="121" t="str">
        <f>IF('summary_EPA Pond'!$O28="","Check Summary EPA POND worksheet Column O",'summary_EPA Pond'!$O28)</f>
        <v xml:space="preserve">5_125348-10792-1_Corn-r03S-A_USEPA Pond_0010_median                                   </v>
      </c>
      <c r="U28" s="121" t="str" cm="1">
        <f t="array" ref="U28:Z28">IFERROR(_xlfn.TEXTSPLIT(T28,"_"),"")</f>
        <v>5</v>
      </c>
      <c r="V28" t="str">
        <v>125348-10792-1</v>
      </c>
      <c r="W28" t="str">
        <v>Corn-r03S-A</v>
      </c>
      <c r="X28" t="str">
        <v>USEPA Pond</v>
      </c>
      <c r="Y28" t="str">
        <v>0010</v>
      </c>
      <c r="Z28" t="str">
        <v xml:space="preserve">median                                   </v>
      </c>
      <c r="AA28" s="121" t="str" cm="1">
        <f t="array" ref="AA28:AC28">IF(W28="","",(_xlfn.TEXTSPLIT(W28,"-")))</f>
        <v>Corn</v>
      </c>
      <c r="AB28" s="121" t="str">
        <v>r03S</v>
      </c>
      <c r="AC28" t="str">
        <v>A</v>
      </c>
      <c r="AD28" s="129" t="str">
        <f>VLOOKUP(VALUE($U28),test_out_xwalk!$C:$L,3,FALSE)</f>
        <v>Corn-1-5</v>
      </c>
      <c r="AE28" s="129">
        <f>VLOOKUP(VALUE($U28),test_out_xwalk!$C:$L,5,FALSE)</f>
        <v>0.75</v>
      </c>
      <c r="AF28" s="129">
        <f>VLOOKUP(VALUE($U28),test_out_xwalk!$C:$L,6,FALSE)</f>
        <v>0.75</v>
      </c>
      <c r="AG28" s="129" t="str">
        <f>VLOOKUP(VALUE($U28),test_out_xwalk!$C:$L,8,FALSE)</f>
        <v>None</v>
      </c>
      <c r="AH28" s="129" t="str">
        <f>VLOOKUP(VALUE($U28),test_out_xwalk!$C:$L,7,FALSE)</f>
        <v>Spray</v>
      </c>
      <c r="AI28" s="129" t="str">
        <f>VLOOKUP(VALUE($U28),test_out_xwalk!$C:$L,4,FALSE)</f>
        <v>Pre-emergence</v>
      </c>
      <c r="AJ28" s="129" t="str">
        <f>VLOOKUP(VALUE($U28),test_out_xwalk!$C:$L,9,FALSE)</f>
        <v>Corn</v>
      </c>
      <c r="AK28">
        <f>_xlfn.XLOOKUP(VALUE(U28),test_out_xwalk!C:C,test_out_xwalk!A:A)</f>
        <v>1</v>
      </c>
    </row>
    <row r="29" spans="1:37" x14ac:dyDescent="0.55000000000000004">
      <c r="A29" s="121" t="str">
        <f>IF('summary_EPA Pond'!$A29="","Check Summary EPA POND worksheet Column A",'summary_EPA Pond'!$A29)</f>
        <v xml:space="preserve">2_333066-12658-1_Corn-r03W-A_USEPA Pond_0010_median                                   </v>
      </c>
      <c r="B29" s="121" t="str" cm="1">
        <f t="array" ref="B29:G29">IFERROR(_xlfn.TEXTSPLIT(A29,"_"),"")</f>
        <v>2</v>
      </c>
      <c r="C29" t="str">
        <v>333066-12658-1</v>
      </c>
      <c r="D29" t="str">
        <v>Corn-r03W-A</v>
      </c>
      <c r="E29" t="str">
        <v>USEPA Pond</v>
      </c>
      <c r="F29" t="str">
        <v>0010</v>
      </c>
      <c r="G29" t="str">
        <v xml:space="preserve">median                                   </v>
      </c>
      <c r="H29" s="121" t="str" cm="1">
        <f t="array" ref="H29:J29">IF(D29="","",(_xlfn.TEXTSPLIT(D29,"-")))</f>
        <v>Corn</v>
      </c>
      <c r="I29" s="121" t="str">
        <v>r03W</v>
      </c>
      <c r="J29" t="str">
        <v>A</v>
      </c>
      <c r="K29" s="129" t="str">
        <f>VLOOKUP(VALUE($B29),test_out_xwalk!$C:$L,3,FALSE)</f>
        <v>Corn-1-2</v>
      </c>
      <c r="L29" s="129">
        <f>VLOOKUP(VALUE($B29),test_out_xwalk!$C:$L,5,FALSE)</f>
        <v>0.75</v>
      </c>
      <c r="M29" s="129">
        <f>VLOOKUP(VALUE($B29),test_out_xwalk!$C:$L,6,FALSE)</f>
        <v>0.75</v>
      </c>
      <c r="N29" s="129" t="str">
        <f>VLOOKUP(VALUE($B29),test_out_xwalk!$C:$L,8,FALSE)</f>
        <v>Aerial_Coarse</v>
      </c>
      <c r="O29" s="129" t="str">
        <f>VLOOKUP(VALUE($B29),test_out_xwalk!$C:$L,7,FALSE)</f>
        <v>Spray</v>
      </c>
      <c r="P29" s="129" t="str">
        <f>VLOOKUP(VALUE($B29),test_out_xwalk!$C:$L,4,FALSE)</f>
        <v>Pre-emergence</v>
      </c>
      <c r="Q29" s="129" t="str">
        <f>VLOOKUP(VALUE($B29),test_out_xwalk!$C:$L,9,FALSE)</f>
        <v>Corn</v>
      </c>
      <c r="R29">
        <f>_xlfn.XLOOKUP(VALUE(B29),test_out_xwalk!$C:$C,test_out_xwalk!$A:$A)</f>
        <v>1</v>
      </c>
      <c r="T29" s="121" t="str">
        <f>IF('summary_EPA Pond'!$O29="","Check Summary EPA POND worksheet Column O",'summary_EPA Pond'!$O29)</f>
        <v xml:space="preserve">5_333066-12658-1_Corn-r03W-A_USEPA Pond_0010_median                                   </v>
      </c>
      <c r="U29" s="121" t="str" cm="1">
        <f t="array" ref="U29:Z29">IFERROR(_xlfn.TEXTSPLIT(T29,"_"),"")</f>
        <v>5</v>
      </c>
      <c r="V29" t="str">
        <v>333066-12658-1</v>
      </c>
      <c r="W29" t="str">
        <v>Corn-r03W-A</v>
      </c>
      <c r="X29" t="str">
        <v>USEPA Pond</v>
      </c>
      <c r="Y29" t="str">
        <v>0010</v>
      </c>
      <c r="Z29" t="str">
        <v xml:space="preserve">median                                   </v>
      </c>
      <c r="AA29" s="121" t="str" cm="1">
        <f t="array" ref="AA29:AC29">IF(W29="","",(_xlfn.TEXTSPLIT(W29,"-")))</f>
        <v>Corn</v>
      </c>
      <c r="AB29" s="121" t="str">
        <v>r03W</v>
      </c>
      <c r="AC29" t="str">
        <v>A</v>
      </c>
      <c r="AD29" s="129" t="str">
        <f>VLOOKUP(VALUE($U29),test_out_xwalk!$C:$L,3,FALSE)</f>
        <v>Corn-1-5</v>
      </c>
      <c r="AE29" s="129">
        <f>VLOOKUP(VALUE($U29),test_out_xwalk!$C:$L,5,FALSE)</f>
        <v>0.75</v>
      </c>
      <c r="AF29" s="129">
        <f>VLOOKUP(VALUE($U29),test_out_xwalk!$C:$L,6,FALSE)</f>
        <v>0.75</v>
      </c>
      <c r="AG29" s="129" t="str">
        <f>VLOOKUP(VALUE($U29),test_out_xwalk!$C:$L,8,FALSE)</f>
        <v>None</v>
      </c>
      <c r="AH29" s="129" t="str">
        <f>VLOOKUP(VALUE($U29),test_out_xwalk!$C:$L,7,FALSE)</f>
        <v>Spray</v>
      </c>
      <c r="AI29" s="129" t="str">
        <f>VLOOKUP(VALUE($U29),test_out_xwalk!$C:$L,4,FALSE)</f>
        <v>Pre-emergence</v>
      </c>
      <c r="AJ29" s="129" t="str">
        <f>VLOOKUP(VALUE($U29),test_out_xwalk!$C:$L,9,FALSE)</f>
        <v>Corn</v>
      </c>
      <c r="AK29">
        <f>_xlfn.XLOOKUP(VALUE(U29),test_out_xwalk!C:C,test_out_xwalk!A:A)</f>
        <v>1</v>
      </c>
    </row>
    <row r="30" spans="1:37" x14ac:dyDescent="0.55000000000000004">
      <c r="A30" s="121" t="str">
        <f>IF('summary_EPA Pond'!$A30="","Check Summary EPA POND worksheet Column A",'summary_EPA Pond'!$A30)</f>
        <v xml:space="preserve">2_169674-19520-1_Corn-r04-A_USEPA Pond_0010_median                                    </v>
      </c>
      <c r="B30" s="121" t="str" cm="1">
        <f t="array" ref="B30:G30">IFERROR(_xlfn.TEXTSPLIT(A30,"_"),"")</f>
        <v>2</v>
      </c>
      <c r="C30" t="str">
        <v>169674-19520-1</v>
      </c>
      <c r="D30" t="str">
        <v>Corn-r04-A</v>
      </c>
      <c r="E30" t="str">
        <v>USEPA Pond</v>
      </c>
      <c r="F30" t="str">
        <v>0010</v>
      </c>
      <c r="G30" t="str">
        <v xml:space="preserve">median                                    </v>
      </c>
      <c r="H30" s="121" t="str" cm="1">
        <f t="array" ref="H30:J30">IF(D30="","",(_xlfn.TEXTSPLIT(D30,"-")))</f>
        <v>Corn</v>
      </c>
      <c r="I30" s="121" t="str">
        <v>r04</v>
      </c>
      <c r="J30" t="str">
        <v>A</v>
      </c>
      <c r="K30" s="129" t="str">
        <f>VLOOKUP(VALUE($B30),test_out_xwalk!$C:$L,3,FALSE)</f>
        <v>Corn-1-2</v>
      </c>
      <c r="L30" s="129">
        <f>VLOOKUP(VALUE($B30),test_out_xwalk!$C:$L,5,FALSE)</f>
        <v>0.75</v>
      </c>
      <c r="M30" s="129">
        <f>VLOOKUP(VALUE($B30),test_out_xwalk!$C:$L,6,FALSE)</f>
        <v>0.75</v>
      </c>
      <c r="N30" s="129" t="str">
        <f>VLOOKUP(VALUE($B30),test_out_xwalk!$C:$L,8,FALSE)</f>
        <v>Aerial_Coarse</v>
      </c>
      <c r="O30" s="129" t="str">
        <f>VLOOKUP(VALUE($B30),test_out_xwalk!$C:$L,7,FALSE)</f>
        <v>Spray</v>
      </c>
      <c r="P30" s="129" t="str">
        <f>VLOOKUP(VALUE($B30),test_out_xwalk!$C:$L,4,FALSE)</f>
        <v>Pre-emergence</v>
      </c>
      <c r="Q30" s="129" t="str">
        <f>VLOOKUP(VALUE($B30),test_out_xwalk!$C:$L,9,FALSE)</f>
        <v>Corn</v>
      </c>
      <c r="R30">
        <f>_xlfn.XLOOKUP(VALUE(B30),test_out_xwalk!$C:$C,test_out_xwalk!$A:$A)</f>
        <v>1</v>
      </c>
      <c r="T30" s="121" t="str">
        <f>IF('summary_EPA Pond'!$O30="","Check Summary EPA POND worksheet Column O",'summary_EPA Pond'!$O30)</f>
        <v xml:space="preserve">5_169674-19520-1_Corn-r04-A_USEPA Pond_0010_median                                    </v>
      </c>
      <c r="U30" s="121" t="str" cm="1">
        <f t="array" ref="U30:Z30">IFERROR(_xlfn.TEXTSPLIT(T30,"_"),"")</f>
        <v>5</v>
      </c>
      <c r="V30" t="str">
        <v>169674-19520-1</v>
      </c>
      <c r="W30" t="str">
        <v>Corn-r04-A</v>
      </c>
      <c r="X30" t="str">
        <v>USEPA Pond</v>
      </c>
      <c r="Y30" t="str">
        <v>0010</v>
      </c>
      <c r="Z30" t="str">
        <v xml:space="preserve">median                                    </v>
      </c>
      <c r="AA30" s="121" t="str" cm="1">
        <f t="array" ref="AA30:AC30">IF(W30="","",(_xlfn.TEXTSPLIT(W30,"-")))</f>
        <v>Corn</v>
      </c>
      <c r="AB30" s="121" t="str">
        <v>r04</v>
      </c>
      <c r="AC30" t="str">
        <v>A</v>
      </c>
      <c r="AD30" s="129" t="str">
        <f>VLOOKUP(VALUE($U30),test_out_xwalk!$C:$L,3,FALSE)</f>
        <v>Corn-1-5</v>
      </c>
      <c r="AE30" s="129">
        <f>VLOOKUP(VALUE($U30),test_out_xwalk!$C:$L,5,FALSE)</f>
        <v>0.75</v>
      </c>
      <c r="AF30" s="129">
        <f>VLOOKUP(VALUE($U30),test_out_xwalk!$C:$L,6,FALSE)</f>
        <v>0.75</v>
      </c>
      <c r="AG30" s="129" t="str">
        <f>VLOOKUP(VALUE($U30),test_out_xwalk!$C:$L,8,FALSE)</f>
        <v>None</v>
      </c>
      <c r="AH30" s="129" t="str">
        <f>VLOOKUP(VALUE($U30),test_out_xwalk!$C:$L,7,FALSE)</f>
        <v>Spray</v>
      </c>
      <c r="AI30" s="129" t="str">
        <f>VLOOKUP(VALUE($U30),test_out_xwalk!$C:$L,4,FALSE)</f>
        <v>Pre-emergence</v>
      </c>
      <c r="AJ30" s="129" t="str">
        <f>VLOOKUP(VALUE($U30),test_out_xwalk!$C:$L,9,FALSE)</f>
        <v>Corn</v>
      </c>
      <c r="AK30">
        <f>_xlfn.XLOOKUP(VALUE(U30),test_out_xwalk!C:C,test_out_xwalk!A:A)</f>
        <v>1</v>
      </c>
    </row>
    <row r="31" spans="1:37" x14ac:dyDescent="0.55000000000000004">
      <c r="A31" s="121" t="str">
        <f>IF('summary_EPA Pond'!$A31="","Check Summary EPA POND worksheet Column A",'summary_EPA Pond'!$A31)</f>
        <v xml:space="preserve">2_164805-19043-1_Corn-r05-A_USEPA Pond_0010_median                                    </v>
      </c>
      <c r="B31" s="121" t="str" cm="1">
        <f t="array" ref="B31:G31">IFERROR(_xlfn.TEXTSPLIT(A31,"_"),"")</f>
        <v>2</v>
      </c>
      <c r="C31" t="str">
        <v>164805-19043-1</v>
      </c>
      <c r="D31" t="str">
        <v>Corn-r05-A</v>
      </c>
      <c r="E31" t="str">
        <v>USEPA Pond</v>
      </c>
      <c r="F31" t="str">
        <v>0010</v>
      </c>
      <c r="G31" t="str">
        <v xml:space="preserve">median                                    </v>
      </c>
      <c r="H31" s="121" t="str" cm="1">
        <f t="array" ref="H31:J31">IF(D31="","",(_xlfn.TEXTSPLIT(D31,"-")))</f>
        <v>Corn</v>
      </c>
      <c r="I31" s="121" t="str">
        <v>r05</v>
      </c>
      <c r="J31" t="str">
        <v>A</v>
      </c>
      <c r="K31" s="129" t="str">
        <f>VLOOKUP(VALUE($B31),test_out_xwalk!$C:$L,3,FALSE)</f>
        <v>Corn-1-2</v>
      </c>
      <c r="L31" s="129">
        <f>VLOOKUP(VALUE($B31),test_out_xwalk!$C:$L,5,FALSE)</f>
        <v>0.75</v>
      </c>
      <c r="M31" s="129">
        <f>VLOOKUP(VALUE($B31),test_out_xwalk!$C:$L,6,FALSE)</f>
        <v>0.75</v>
      </c>
      <c r="N31" s="129" t="str">
        <f>VLOOKUP(VALUE($B31),test_out_xwalk!$C:$L,8,FALSE)</f>
        <v>Aerial_Coarse</v>
      </c>
      <c r="O31" s="129" t="str">
        <f>VLOOKUP(VALUE($B31),test_out_xwalk!$C:$L,7,FALSE)</f>
        <v>Spray</v>
      </c>
      <c r="P31" s="129" t="str">
        <f>VLOOKUP(VALUE($B31),test_out_xwalk!$C:$L,4,FALSE)</f>
        <v>Pre-emergence</v>
      </c>
      <c r="Q31" s="129" t="str">
        <f>VLOOKUP(VALUE($B31),test_out_xwalk!$C:$L,9,FALSE)</f>
        <v>Corn</v>
      </c>
      <c r="R31">
        <f>_xlfn.XLOOKUP(VALUE(B31),test_out_xwalk!$C:$C,test_out_xwalk!$A:$A)</f>
        <v>1</v>
      </c>
      <c r="T31" s="121" t="str">
        <f>IF('summary_EPA Pond'!$O31="","Check Summary EPA POND worksheet Column O",'summary_EPA Pond'!$O31)</f>
        <v xml:space="preserve">5_164805-19043-1_Corn-r05-A_USEPA Pond_0010_median                                    </v>
      </c>
      <c r="U31" s="121" t="str" cm="1">
        <f t="array" ref="U31:Z31">IFERROR(_xlfn.TEXTSPLIT(T31,"_"),"")</f>
        <v>5</v>
      </c>
      <c r="V31" t="str">
        <v>164805-19043-1</v>
      </c>
      <c r="W31" t="str">
        <v>Corn-r05-A</v>
      </c>
      <c r="X31" t="str">
        <v>USEPA Pond</v>
      </c>
      <c r="Y31" t="str">
        <v>0010</v>
      </c>
      <c r="Z31" t="str">
        <v xml:space="preserve">median                                    </v>
      </c>
      <c r="AA31" s="121" t="str" cm="1">
        <f t="array" ref="AA31:AC31">IF(W31="","",(_xlfn.TEXTSPLIT(W31,"-")))</f>
        <v>Corn</v>
      </c>
      <c r="AB31" s="121" t="str">
        <v>r05</v>
      </c>
      <c r="AC31" t="str">
        <v>A</v>
      </c>
      <c r="AD31" s="129" t="str">
        <f>VLOOKUP(VALUE($U31),test_out_xwalk!$C:$L,3,FALSE)</f>
        <v>Corn-1-5</v>
      </c>
      <c r="AE31" s="129">
        <f>VLOOKUP(VALUE($U31),test_out_xwalk!$C:$L,5,FALSE)</f>
        <v>0.75</v>
      </c>
      <c r="AF31" s="129">
        <f>VLOOKUP(VALUE($U31),test_out_xwalk!$C:$L,6,FALSE)</f>
        <v>0.75</v>
      </c>
      <c r="AG31" s="129" t="str">
        <f>VLOOKUP(VALUE($U31),test_out_xwalk!$C:$L,8,FALSE)</f>
        <v>None</v>
      </c>
      <c r="AH31" s="129" t="str">
        <f>VLOOKUP(VALUE($U31),test_out_xwalk!$C:$L,7,FALSE)</f>
        <v>Spray</v>
      </c>
      <c r="AI31" s="129" t="str">
        <f>VLOOKUP(VALUE($U31),test_out_xwalk!$C:$L,4,FALSE)</f>
        <v>Pre-emergence</v>
      </c>
      <c r="AJ31" s="129" t="str">
        <f>VLOOKUP(VALUE($U31),test_out_xwalk!$C:$L,9,FALSE)</f>
        <v>Corn</v>
      </c>
      <c r="AK31">
        <f>_xlfn.XLOOKUP(VALUE(U31),test_out_xwalk!C:C,test_out_xwalk!A:A)</f>
        <v>1</v>
      </c>
    </row>
    <row r="32" spans="1:37" x14ac:dyDescent="0.55000000000000004">
      <c r="A32" s="121" t="str">
        <f>IF('summary_EPA Pond'!$A32="","Check Summary EPA POND worksheet Column A",'summary_EPA Pond'!$A32)</f>
        <v xml:space="preserve">2_522893-13848-1_Corn-r06-A_USEPA Pond_0010_median                                    </v>
      </c>
      <c r="B32" s="121" t="str" cm="1">
        <f t="array" ref="B32:G32">IFERROR(_xlfn.TEXTSPLIT(A32,"_"),"")</f>
        <v>2</v>
      </c>
      <c r="C32" t="str">
        <v>522893-13848-1</v>
      </c>
      <c r="D32" t="str">
        <v>Corn-r06-A</v>
      </c>
      <c r="E32" t="str">
        <v>USEPA Pond</v>
      </c>
      <c r="F32" t="str">
        <v>0010</v>
      </c>
      <c r="G32" t="str">
        <v xml:space="preserve">median                                    </v>
      </c>
      <c r="H32" s="121" t="str" cm="1">
        <f t="array" ref="H32:J32">IF(D32="","",(_xlfn.TEXTSPLIT(D32,"-")))</f>
        <v>Corn</v>
      </c>
      <c r="I32" s="121" t="str">
        <v>r06</v>
      </c>
      <c r="J32" t="str">
        <v>A</v>
      </c>
      <c r="K32" s="129" t="str">
        <f>VLOOKUP(VALUE($B32),test_out_xwalk!$C:$L,3,FALSE)</f>
        <v>Corn-1-2</v>
      </c>
      <c r="L32" s="129">
        <f>VLOOKUP(VALUE($B32),test_out_xwalk!$C:$L,5,FALSE)</f>
        <v>0.75</v>
      </c>
      <c r="M32" s="129">
        <f>VLOOKUP(VALUE($B32),test_out_xwalk!$C:$L,6,FALSE)</f>
        <v>0.75</v>
      </c>
      <c r="N32" s="129" t="str">
        <f>VLOOKUP(VALUE($B32),test_out_xwalk!$C:$L,8,FALSE)</f>
        <v>Aerial_Coarse</v>
      </c>
      <c r="O32" s="129" t="str">
        <f>VLOOKUP(VALUE($B32),test_out_xwalk!$C:$L,7,FALSE)</f>
        <v>Spray</v>
      </c>
      <c r="P32" s="129" t="str">
        <f>VLOOKUP(VALUE($B32),test_out_xwalk!$C:$L,4,FALSE)</f>
        <v>Pre-emergence</v>
      </c>
      <c r="Q32" s="129" t="str">
        <f>VLOOKUP(VALUE($B32),test_out_xwalk!$C:$L,9,FALSE)</f>
        <v>Corn</v>
      </c>
      <c r="R32">
        <f>_xlfn.XLOOKUP(VALUE(B32),test_out_xwalk!$C:$C,test_out_xwalk!$A:$A)</f>
        <v>1</v>
      </c>
      <c r="T32" s="121" t="str">
        <f>IF('summary_EPA Pond'!$O32="","Check Summary EPA POND worksheet Column O",'summary_EPA Pond'!$O32)</f>
        <v xml:space="preserve">5_522893-13848-1_Corn-r06-A_USEPA Pond_0010_median                                    </v>
      </c>
      <c r="U32" s="121" t="str" cm="1">
        <f t="array" ref="U32:Z32">IFERROR(_xlfn.TEXTSPLIT(T32,"_"),"")</f>
        <v>5</v>
      </c>
      <c r="V32" t="str">
        <v>522893-13848-1</v>
      </c>
      <c r="W32" t="str">
        <v>Corn-r06-A</v>
      </c>
      <c r="X32" t="str">
        <v>USEPA Pond</v>
      </c>
      <c r="Y32" t="str">
        <v>0010</v>
      </c>
      <c r="Z32" t="str">
        <v xml:space="preserve">median                                    </v>
      </c>
      <c r="AA32" s="121" t="str" cm="1">
        <f t="array" ref="AA32:AC32">IF(W32="","",(_xlfn.TEXTSPLIT(W32,"-")))</f>
        <v>Corn</v>
      </c>
      <c r="AB32" s="121" t="str">
        <v>r06</v>
      </c>
      <c r="AC32" t="str">
        <v>A</v>
      </c>
      <c r="AD32" s="129" t="str">
        <f>VLOOKUP(VALUE($U32),test_out_xwalk!$C:$L,3,FALSE)</f>
        <v>Corn-1-5</v>
      </c>
      <c r="AE32" s="129">
        <f>VLOOKUP(VALUE($U32),test_out_xwalk!$C:$L,5,FALSE)</f>
        <v>0.75</v>
      </c>
      <c r="AF32" s="129">
        <f>VLOOKUP(VALUE($U32),test_out_xwalk!$C:$L,6,FALSE)</f>
        <v>0.75</v>
      </c>
      <c r="AG32" s="129" t="str">
        <f>VLOOKUP(VALUE($U32),test_out_xwalk!$C:$L,8,FALSE)</f>
        <v>None</v>
      </c>
      <c r="AH32" s="129" t="str">
        <f>VLOOKUP(VALUE($U32),test_out_xwalk!$C:$L,7,FALSE)</f>
        <v>Spray</v>
      </c>
      <c r="AI32" s="129" t="str">
        <f>VLOOKUP(VALUE($U32),test_out_xwalk!$C:$L,4,FALSE)</f>
        <v>Pre-emergence</v>
      </c>
      <c r="AJ32" s="129" t="str">
        <f>VLOOKUP(VALUE($U32),test_out_xwalk!$C:$L,9,FALSE)</f>
        <v>Corn</v>
      </c>
      <c r="AK32">
        <f>_xlfn.XLOOKUP(VALUE(U32),test_out_xwalk!C:C,test_out_xwalk!A:A)</f>
        <v>1</v>
      </c>
    </row>
    <row r="33" spans="1:37" x14ac:dyDescent="0.55000000000000004">
      <c r="A33" s="121" t="str">
        <f>IF('summary_EPA Pond'!$A33="","Check Summary EPA POND worksheet Column A",'summary_EPA Pond'!$A33)</f>
        <v xml:space="preserve">2_2765542-21371-1_Corn-r07-A_USEPA Pond_0010_median                                   </v>
      </c>
      <c r="B33" s="121" t="str" cm="1">
        <f t="array" ref="B33:G33">IFERROR(_xlfn.TEXTSPLIT(A33,"_"),"")</f>
        <v>2</v>
      </c>
      <c r="C33" t="str">
        <v>2765542-21371-1</v>
      </c>
      <c r="D33" t="str">
        <v>Corn-r07-A</v>
      </c>
      <c r="E33" t="str">
        <v>USEPA Pond</v>
      </c>
      <c r="F33" t="str">
        <v>0010</v>
      </c>
      <c r="G33" t="str">
        <v xml:space="preserve">median                                   </v>
      </c>
      <c r="H33" s="121" t="str" cm="1">
        <f t="array" ref="H33:J33">IF(D33="","",(_xlfn.TEXTSPLIT(D33,"-")))</f>
        <v>Corn</v>
      </c>
      <c r="I33" s="121" t="str">
        <v>r07</v>
      </c>
      <c r="J33" t="str">
        <v>A</v>
      </c>
      <c r="K33" s="129" t="str">
        <f>VLOOKUP(VALUE($B33),test_out_xwalk!$C:$L,3,FALSE)</f>
        <v>Corn-1-2</v>
      </c>
      <c r="L33" s="129">
        <f>VLOOKUP(VALUE($B33),test_out_xwalk!$C:$L,5,FALSE)</f>
        <v>0.75</v>
      </c>
      <c r="M33" s="129">
        <f>VLOOKUP(VALUE($B33),test_out_xwalk!$C:$L,6,FALSE)</f>
        <v>0.75</v>
      </c>
      <c r="N33" s="129" t="str">
        <f>VLOOKUP(VALUE($B33),test_out_xwalk!$C:$L,8,FALSE)</f>
        <v>Aerial_Coarse</v>
      </c>
      <c r="O33" s="129" t="str">
        <f>VLOOKUP(VALUE($B33),test_out_xwalk!$C:$L,7,FALSE)</f>
        <v>Spray</v>
      </c>
      <c r="P33" s="129" t="str">
        <f>VLOOKUP(VALUE($B33),test_out_xwalk!$C:$L,4,FALSE)</f>
        <v>Pre-emergence</v>
      </c>
      <c r="Q33" s="129" t="str">
        <f>VLOOKUP(VALUE($B33),test_out_xwalk!$C:$L,9,FALSE)</f>
        <v>Corn</v>
      </c>
      <c r="R33">
        <f>_xlfn.XLOOKUP(VALUE(B33),test_out_xwalk!$C:$C,test_out_xwalk!$A:$A)</f>
        <v>1</v>
      </c>
      <c r="T33" s="121" t="str">
        <f>IF('summary_EPA Pond'!$O33="","Check Summary EPA POND worksheet Column O",'summary_EPA Pond'!$O33)</f>
        <v xml:space="preserve">5_2765542-21371-1_Corn-r07-A_USEPA Pond_0010_median                                   </v>
      </c>
      <c r="U33" s="121" t="str" cm="1">
        <f t="array" ref="U33:Z33">IFERROR(_xlfn.TEXTSPLIT(T33,"_"),"")</f>
        <v>5</v>
      </c>
      <c r="V33" t="str">
        <v>2765542-21371-1</v>
      </c>
      <c r="W33" t="str">
        <v>Corn-r07-A</v>
      </c>
      <c r="X33" t="str">
        <v>USEPA Pond</v>
      </c>
      <c r="Y33" t="str">
        <v>0010</v>
      </c>
      <c r="Z33" t="str">
        <v xml:space="preserve">median                                   </v>
      </c>
      <c r="AA33" s="121" t="str" cm="1">
        <f t="array" ref="AA33:AC33">IF(W33="","",(_xlfn.TEXTSPLIT(W33,"-")))</f>
        <v>Corn</v>
      </c>
      <c r="AB33" s="121" t="str">
        <v>r07</v>
      </c>
      <c r="AC33" t="str">
        <v>A</v>
      </c>
      <c r="AD33" s="129" t="str">
        <f>VLOOKUP(VALUE($U33),test_out_xwalk!$C:$L,3,FALSE)</f>
        <v>Corn-1-5</v>
      </c>
      <c r="AE33" s="129">
        <f>VLOOKUP(VALUE($U33),test_out_xwalk!$C:$L,5,FALSE)</f>
        <v>0.75</v>
      </c>
      <c r="AF33" s="129">
        <f>VLOOKUP(VALUE($U33),test_out_xwalk!$C:$L,6,FALSE)</f>
        <v>0.75</v>
      </c>
      <c r="AG33" s="129" t="str">
        <f>VLOOKUP(VALUE($U33),test_out_xwalk!$C:$L,8,FALSE)</f>
        <v>None</v>
      </c>
      <c r="AH33" s="129" t="str">
        <f>VLOOKUP(VALUE($U33),test_out_xwalk!$C:$L,7,FALSE)</f>
        <v>Spray</v>
      </c>
      <c r="AI33" s="129" t="str">
        <f>VLOOKUP(VALUE($U33),test_out_xwalk!$C:$L,4,FALSE)</f>
        <v>Pre-emergence</v>
      </c>
      <c r="AJ33" s="129" t="str">
        <f>VLOOKUP(VALUE($U33),test_out_xwalk!$C:$L,9,FALSE)</f>
        <v>Corn</v>
      </c>
      <c r="AK33">
        <f>_xlfn.XLOOKUP(VALUE(U33),test_out_xwalk!C:C,test_out_xwalk!A:A)</f>
        <v>1</v>
      </c>
    </row>
    <row r="34" spans="1:37" x14ac:dyDescent="0.55000000000000004">
      <c r="A34" s="121" t="str">
        <f>IF('summary_EPA Pond'!$A34="","Check Summary EPA POND worksheet Column A",'summary_EPA Pond'!$A34)</f>
        <v xml:space="preserve">2_568322-13597-1_Corn-r08-A_USEPA Pond_0010_median                                    </v>
      </c>
      <c r="B34" s="121" t="str" cm="1">
        <f t="array" ref="B34:G34">IFERROR(_xlfn.TEXTSPLIT(A34,"_"),"")</f>
        <v>2</v>
      </c>
      <c r="C34" t="str">
        <v>568322-13597-1</v>
      </c>
      <c r="D34" t="str">
        <v>Corn-r08-A</v>
      </c>
      <c r="E34" t="str">
        <v>USEPA Pond</v>
      </c>
      <c r="F34" t="str">
        <v>0010</v>
      </c>
      <c r="G34" t="str">
        <v xml:space="preserve">median                                    </v>
      </c>
      <c r="H34" s="121" t="str" cm="1">
        <f t="array" ref="H34:J34">IF(D34="","",(_xlfn.TEXTSPLIT(D34,"-")))</f>
        <v>Corn</v>
      </c>
      <c r="I34" s="121" t="str">
        <v>r08</v>
      </c>
      <c r="J34" t="str">
        <v>A</v>
      </c>
      <c r="K34" s="129" t="str">
        <f>VLOOKUP(VALUE($B34),test_out_xwalk!$C:$L,3,FALSE)</f>
        <v>Corn-1-2</v>
      </c>
      <c r="L34" s="129">
        <f>VLOOKUP(VALUE($B34),test_out_xwalk!$C:$L,5,FALSE)</f>
        <v>0.75</v>
      </c>
      <c r="M34" s="129">
        <f>VLOOKUP(VALUE($B34),test_out_xwalk!$C:$L,6,FALSE)</f>
        <v>0.75</v>
      </c>
      <c r="N34" s="129" t="str">
        <f>VLOOKUP(VALUE($B34),test_out_xwalk!$C:$L,8,FALSE)</f>
        <v>Aerial_Coarse</v>
      </c>
      <c r="O34" s="129" t="str">
        <f>VLOOKUP(VALUE($B34),test_out_xwalk!$C:$L,7,FALSE)</f>
        <v>Spray</v>
      </c>
      <c r="P34" s="129" t="str">
        <f>VLOOKUP(VALUE($B34),test_out_xwalk!$C:$L,4,FALSE)</f>
        <v>Pre-emergence</v>
      </c>
      <c r="Q34" s="129" t="str">
        <f>VLOOKUP(VALUE($B34),test_out_xwalk!$C:$L,9,FALSE)</f>
        <v>Corn</v>
      </c>
      <c r="R34">
        <f>_xlfn.XLOOKUP(VALUE(B34),test_out_xwalk!$C:$C,test_out_xwalk!$A:$A)</f>
        <v>1</v>
      </c>
      <c r="T34" s="121" t="str">
        <f>IF('summary_EPA Pond'!$O34="","Check Summary EPA POND worksheet Column O",'summary_EPA Pond'!$O34)</f>
        <v xml:space="preserve">5_568322-13597-1_Corn-r08-A_USEPA Pond_0010_median                                    </v>
      </c>
      <c r="U34" s="121" t="str" cm="1">
        <f t="array" ref="U34:Z34">IFERROR(_xlfn.TEXTSPLIT(T34,"_"),"")</f>
        <v>5</v>
      </c>
      <c r="V34" t="str">
        <v>568322-13597-1</v>
      </c>
      <c r="W34" t="str">
        <v>Corn-r08-A</v>
      </c>
      <c r="X34" t="str">
        <v>USEPA Pond</v>
      </c>
      <c r="Y34" t="str">
        <v>0010</v>
      </c>
      <c r="Z34" t="str">
        <v xml:space="preserve">median                                    </v>
      </c>
      <c r="AA34" s="121" t="str" cm="1">
        <f t="array" ref="AA34:AC34">IF(W34="","",(_xlfn.TEXTSPLIT(W34,"-")))</f>
        <v>Corn</v>
      </c>
      <c r="AB34" s="121" t="str">
        <v>r08</v>
      </c>
      <c r="AC34" t="str">
        <v>A</v>
      </c>
      <c r="AD34" s="129" t="str">
        <f>VLOOKUP(VALUE($U34),test_out_xwalk!$C:$L,3,FALSE)</f>
        <v>Corn-1-5</v>
      </c>
      <c r="AE34" s="129">
        <f>VLOOKUP(VALUE($U34),test_out_xwalk!$C:$L,5,FALSE)</f>
        <v>0.75</v>
      </c>
      <c r="AF34" s="129">
        <f>VLOOKUP(VALUE($U34),test_out_xwalk!$C:$L,6,FALSE)</f>
        <v>0.75</v>
      </c>
      <c r="AG34" s="129" t="str">
        <f>VLOOKUP(VALUE($U34),test_out_xwalk!$C:$L,8,FALSE)</f>
        <v>None</v>
      </c>
      <c r="AH34" s="129" t="str">
        <f>VLOOKUP(VALUE($U34),test_out_xwalk!$C:$L,7,FALSE)</f>
        <v>Spray</v>
      </c>
      <c r="AI34" s="129" t="str">
        <f>VLOOKUP(VALUE($U34),test_out_xwalk!$C:$L,4,FALSE)</f>
        <v>Pre-emergence</v>
      </c>
      <c r="AJ34" s="129" t="str">
        <f>VLOOKUP(VALUE($U34),test_out_xwalk!$C:$L,9,FALSE)</f>
        <v>Corn</v>
      </c>
      <c r="AK34">
        <f>_xlfn.XLOOKUP(VALUE(U34),test_out_xwalk!C:C,test_out_xwalk!A:A)</f>
        <v>1</v>
      </c>
    </row>
    <row r="35" spans="1:37" x14ac:dyDescent="0.55000000000000004">
      <c r="A35" s="121" t="str">
        <f>IF('summary_EPA Pond'!$A35="","Check Summary EPA POND worksheet Column A",'summary_EPA Pond'!$A35)</f>
        <v xml:space="preserve">2_2798874-27020-1_Corn-r09-A_USEPA Pond_0010_median                                   </v>
      </c>
      <c r="B35" s="121" t="str" cm="1">
        <f t="array" ref="B35:G35">IFERROR(_xlfn.TEXTSPLIT(A35,"_"),"")</f>
        <v>2</v>
      </c>
      <c r="C35" t="str">
        <v>2798874-27020-1</v>
      </c>
      <c r="D35" t="str">
        <v>Corn-r09-A</v>
      </c>
      <c r="E35" t="str">
        <v>USEPA Pond</v>
      </c>
      <c r="F35" t="str">
        <v>0010</v>
      </c>
      <c r="G35" t="str">
        <v xml:space="preserve">median                                   </v>
      </c>
      <c r="H35" s="121" t="str" cm="1">
        <f t="array" ref="H35:J35">IF(D35="","",(_xlfn.TEXTSPLIT(D35,"-")))</f>
        <v>Corn</v>
      </c>
      <c r="I35" s="121" t="str">
        <v>r09</v>
      </c>
      <c r="J35" t="str">
        <v>A</v>
      </c>
      <c r="K35" s="129" t="str">
        <f>VLOOKUP(VALUE($B35),test_out_xwalk!$C:$L,3,FALSE)</f>
        <v>Corn-1-2</v>
      </c>
      <c r="L35" s="129">
        <f>VLOOKUP(VALUE($B35),test_out_xwalk!$C:$L,5,FALSE)</f>
        <v>0.75</v>
      </c>
      <c r="M35" s="129">
        <f>VLOOKUP(VALUE($B35),test_out_xwalk!$C:$L,6,FALSE)</f>
        <v>0.75</v>
      </c>
      <c r="N35" s="129" t="str">
        <f>VLOOKUP(VALUE($B35),test_out_xwalk!$C:$L,8,FALSE)</f>
        <v>Aerial_Coarse</v>
      </c>
      <c r="O35" s="129" t="str">
        <f>VLOOKUP(VALUE($B35),test_out_xwalk!$C:$L,7,FALSE)</f>
        <v>Spray</v>
      </c>
      <c r="P35" s="129" t="str">
        <f>VLOOKUP(VALUE($B35),test_out_xwalk!$C:$L,4,FALSE)</f>
        <v>Pre-emergence</v>
      </c>
      <c r="Q35" s="129" t="str">
        <f>VLOOKUP(VALUE($B35),test_out_xwalk!$C:$L,9,FALSE)</f>
        <v>Corn</v>
      </c>
      <c r="R35">
        <f>_xlfn.XLOOKUP(VALUE(B35),test_out_xwalk!$C:$C,test_out_xwalk!$A:$A)</f>
        <v>1</v>
      </c>
      <c r="T35" s="121" t="str">
        <f>IF('summary_EPA Pond'!$O35="","Check Summary EPA POND worksheet Column O",'summary_EPA Pond'!$O35)</f>
        <v xml:space="preserve">5_2798874-27020-1_Corn-r09-A_USEPA Pond_0010_median                                   </v>
      </c>
      <c r="U35" s="121" t="str" cm="1">
        <f t="array" ref="U35:Z35">IFERROR(_xlfn.TEXTSPLIT(T35,"_"),"")</f>
        <v>5</v>
      </c>
      <c r="V35" t="str">
        <v>2798874-27020-1</v>
      </c>
      <c r="W35" t="str">
        <v>Corn-r09-A</v>
      </c>
      <c r="X35" t="str">
        <v>USEPA Pond</v>
      </c>
      <c r="Y35" t="str">
        <v>0010</v>
      </c>
      <c r="Z35" t="str">
        <v xml:space="preserve">median                                   </v>
      </c>
      <c r="AA35" s="121" t="str" cm="1">
        <f t="array" ref="AA35:AC35">IF(W35="","",(_xlfn.TEXTSPLIT(W35,"-")))</f>
        <v>Corn</v>
      </c>
      <c r="AB35" s="121" t="str">
        <v>r09</v>
      </c>
      <c r="AC35" t="str">
        <v>A</v>
      </c>
      <c r="AD35" s="129" t="str">
        <f>VLOOKUP(VALUE($U35),test_out_xwalk!$C:$L,3,FALSE)</f>
        <v>Corn-1-5</v>
      </c>
      <c r="AE35" s="129">
        <f>VLOOKUP(VALUE($U35),test_out_xwalk!$C:$L,5,FALSE)</f>
        <v>0.75</v>
      </c>
      <c r="AF35" s="129">
        <f>VLOOKUP(VALUE($U35),test_out_xwalk!$C:$L,6,FALSE)</f>
        <v>0.75</v>
      </c>
      <c r="AG35" s="129" t="str">
        <f>VLOOKUP(VALUE($U35),test_out_xwalk!$C:$L,8,FALSE)</f>
        <v>None</v>
      </c>
      <c r="AH35" s="129" t="str">
        <f>VLOOKUP(VALUE($U35),test_out_xwalk!$C:$L,7,FALSE)</f>
        <v>Spray</v>
      </c>
      <c r="AI35" s="129" t="str">
        <f>VLOOKUP(VALUE($U35),test_out_xwalk!$C:$L,4,FALSE)</f>
        <v>Pre-emergence</v>
      </c>
      <c r="AJ35" s="129" t="str">
        <f>VLOOKUP(VALUE($U35),test_out_xwalk!$C:$L,9,FALSE)</f>
        <v>Corn</v>
      </c>
      <c r="AK35">
        <f>_xlfn.XLOOKUP(VALUE(U35),test_out_xwalk!C:C,test_out_xwalk!A:A)</f>
        <v>1</v>
      </c>
    </row>
    <row r="36" spans="1:37" x14ac:dyDescent="0.55000000000000004">
      <c r="A36" s="121" t="str">
        <f>IF('summary_EPA Pond'!$A36="","Check Summary EPA POND worksheet Column A",'summary_EPA Pond'!$A36)</f>
        <v xml:space="preserve">2_1691426-20179-13_Corn-r10L-A_USEPA Pond_0010_median                                 </v>
      </c>
      <c r="B36" s="121" t="str" cm="1">
        <f t="array" ref="B36:G36">IFERROR(_xlfn.TEXTSPLIT(A36,"_"),"")</f>
        <v>2</v>
      </c>
      <c r="C36" t="str">
        <v>1691426-20179-13</v>
      </c>
      <c r="D36" t="str">
        <v>Corn-r10L-A</v>
      </c>
      <c r="E36" t="str">
        <v>USEPA Pond</v>
      </c>
      <c r="F36" t="str">
        <v>0010</v>
      </c>
      <c r="G36" t="str">
        <v xml:space="preserve">median                                 </v>
      </c>
      <c r="H36" s="121" t="str" cm="1">
        <f t="array" ref="H36:J36">IF(D36="","",(_xlfn.TEXTSPLIT(D36,"-")))</f>
        <v>Corn</v>
      </c>
      <c r="I36" s="121" t="str">
        <v>r10L</v>
      </c>
      <c r="J36" t="str">
        <v>A</v>
      </c>
      <c r="K36" s="129" t="str">
        <f>VLOOKUP(VALUE($B36),test_out_xwalk!$C:$L,3,FALSE)</f>
        <v>Corn-1-2</v>
      </c>
      <c r="L36" s="129">
        <f>VLOOKUP(VALUE($B36),test_out_xwalk!$C:$L,5,FALSE)</f>
        <v>0.75</v>
      </c>
      <c r="M36" s="129">
        <f>VLOOKUP(VALUE($B36),test_out_xwalk!$C:$L,6,FALSE)</f>
        <v>0.75</v>
      </c>
      <c r="N36" s="129" t="str">
        <f>VLOOKUP(VALUE($B36),test_out_xwalk!$C:$L,8,FALSE)</f>
        <v>Aerial_Coarse</v>
      </c>
      <c r="O36" s="129" t="str">
        <f>VLOOKUP(VALUE($B36),test_out_xwalk!$C:$L,7,FALSE)</f>
        <v>Spray</v>
      </c>
      <c r="P36" s="129" t="str">
        <f>VLOOKUP(VALUE($B36),test_out_xwalk!$C:$L,4,FALSE)</f>
        <v>Pre-emergence</v>
      </c>
      <c r="Q36" s="129" t="str">
        <f>VLOOKUP(VALUE($B36),test_out_xwalk!$C:$L,9,FALSE)</f>
        <v>Corn</v>
      </c>
      <c r="R36">
        <f>_xlfn.XLOOKUP(VALUE(B36),test_out_xwalk!$C:$C,test_out_xwalk!$A:$A)</f>
        <v>1</v>
      </c>
      <c r="T36" s="121" t="str">
        <f>IF('summary_EPA Pond'!$O36="","Check Summary EPA POND worksheet Column O",'summary_EPA Pond'!$O36)</f>
        <v xml:space="preserve">5_1691426-20179-13_Corn-r10L-A_USEPA Pond_0010_median                                 </v>
      </c>
      <c r="U36" s="121" t="str" cm="1">
        <f t="array" ref="U36:Z36">IFERROR(_xlfn.TEXTSPLIT(T36,"_"),"")</f>
        <v>5</v>
      </c>
      <c r="V36" t="str">
        <v>1691426-20179-13</v>
      </c>
      <c r="W36" t="str">
        <v>Corn-r10L-A</v>
      </c>
      <c r="X36" t="str">
        <v>USEPA Pond</v>
      </c>
      <c r="Y36" t="str">
        <v>0010</v>
      </c>
      <c r="Z36" t="str">
        <v xml:space="preserve">median                                 </v>
      </c>
      <c r="AA36" s="121" t="str" cm="1">
        <f t="array" ref="AA36:AC36">IF(W36="","",(_xlfn.TEXTSPLIT(W36,"-")))</f>
        <v>Corn</v>
      </c>
      <c r="AB36" s="121" t="str">
        <v>r10L</v>
      </c>
      <c r="AC36" t="str">
        <v>A</v>
      </c>
      <c r="AD36" s="129" t="str">
        <f>VLOOKUP(VALUE($U36),test_out_xwalk!$C:$L,3,FALSE)</f>
        <v>Corn-1-5</v>
      </c>
      <c r="AE36" s="129">
        <f>VLOOKUP(VALUE($U36),test_out_xwalk!$C:$L,5,FALSE)</f>
        <v>0.75</v>
      </c>
      <c r="AF36" s="129">
        <f>VLOOKUP(VALUE($U36),test_out_xwalk!$C:$L,6,FALSE)</f>
        <v>0.75</v>
      </c>
      <c r="AG36" s="129" t="str">
        <f>VLOOKUP(VALUE($U36),test_out_xwalk!$C:$L,8,FALSE)</f>
        <v>None</v>
      </c>
      <c r="AH36" s="129" t="str">
        <f>VLOOKUP(VALUE($U36),test_out_xwalk!$C:$L,7,FALSE)</f>
        <v>Spray</v>
      </c>
      <c r="AI36" s="129" t="str">
        <f>VLOOKUP(VALUE($U36),test_out_xwalk!$C:$L,4,FALSE)</f>
        <v>Pre-emergence</v>
      </c>
      <c r="AJ36" s="129" t="str">
        <f>VLOOKUP(VALUE($U36),test_out_xwalk!$C:$L,9,FALSE)</f>
        <v>Corn</v>
      </c>
      <c r="AK36">
        <f>_xlfn.XLOOKUP(VALUE(U36),test_out_xwalk!C:C,test_out_xwalk!A:A)</f>
        <v>1</v>
      </c>
    </row>
    <row r="37" spans="1:37" x14ac:dyDescent="0.55000000000000004">
      <c r="A37" s="121" t="str">
        <f>IF('summary_EPA Pond'!$A37="","Check Summary EPA POND worksheet Column A",'summary_EPA Pond'!$A37)</f>
        <v xml:space="preserve">2_418822-23009-1_Corn-r10U-A_USEPA Pond_0010_median                                   </v>
      </c>
      <c r="B37" s="121" t="str" cm="1">
        <f t="array" ref="B37:G37">IFERROR(_xlfn.TEXTSPLIT(A37,"_"),"")</f>
        <v>2</v>
      </c>
      <c r="C37" t="str">
        <v>418822-23009-1</v>
      </c>
      <c r="D37" t="str">
        <v>Corn-r10U-A</v>
      </c>
      <c r="E37" t="str">
        <v>USEPA Pond</v>
      </c>
      <c r="F37" t="str">
        <v>0010</v>
      </c>
      <c r="G37" t="str">
        <v xml:space="preserve">median                                   </v>
      </c>
      <c r="H37" s="121" t="str" cm="1">
        <f t="array" ref="H37:J37">IF(D37="","",(_xlfn.TEXTSPLIT(D37,"-")))</f>
        <v>Corn</v>
      </c>
      <c r="I37" s="121" t="str">
        <v>r10U</v>
      </c>
      <c r="J37" t="str">
        <v>A</v>
      </c>
      <c r="K37" s="129" t="str">
        <f>VLOOKUP(VALUE($B37),test_out_xwalk!$C:$L,3,FALSE)</f>
        <v>Corn-1-2</v>
      </c>
      <c r="L37" s="129">
        <f>VLOOKUP(VALUE($B37),test_out_xwalk!$C:$L,5,FALSE)</f>
        <v>0.75</v>
      </c>
      <c r="M37" s="129">
        <f>VLOOKUP(VALUE($B37),test_out_xwalk!$C:$L,6,FALSE)</f>
        <v>0.75</v>
      </c>
      <c r="N37" s="129" t="str">
        <f>VLOOKUP(VALUE($B37),test_out_xwalk!$C:$L,8,FALSE)</f>
        <v>Aerial_Coarse</v>
      </c>
      <c r="O37" s="129" t="str">
        <f>VLOOKUP(VALUE($B37),test_out_xwalk!$C:$L,7,FALSE)</f>
        <v>Spray</v>
      </c>
      <c r="P37" s="129" t="str">
        <f>VLOOKUP(VALUE($B37),test_out_xwalk!$C:$L,4,FALSE)</f>
        <v>Pre-emergence</v>
      </c>
      <c r="Q37" s="129" t="str">
        <f>VLOOKUP(VALUE($B37),test_out_xwalk!$C:$L,9,FALSE)</f>
        <v>Corn</v>
      </c>
      <c r="R37">
        <f>_xlfn.XLOOKUP(VALUE(B37),test_out_xwalk!$C:$C,test_out_xwalk!$A:$A)</f>
        <v>1</v>
      </c>
      <c r="T37" s="121" t="str">
        <f>IF('summary_EPA Pond'!$O37="","Check Summary EPA POND worksheet Column O",'summary_EPA Pond'!$O37)</f>
        <v xml:space="preserve">5_418822-23009-1_Corn-r10U-A_USEPA Pond_0010_median                                   </v>
      </c>
      <c r="U37" s="121" t="str" cm="1">
        <f t="array" ref="U37:Z37">IFERROR(_xlfn.TEXTSPLIT(T37,"_"),"")</f>
        <v>5</v>
      </c>
      <c r="V37" t="str">
        <v>418822-23009-1</v>
      </c>
      <c r="W37" t="str">
        <v>Corn-r10U-A</v>
      </c>
      <c r="X37" t="str">
        <v>USEPA Pond</v>
      </c>
      <c r="Y37" t="str">
        <v>0010</v>
      </c>
      <c r="Z37" t="str">
        <v xml:space="preserve">median                                   </v>
      </c>
      <c r="AA37" s="121" t="str" cm="1">
        <f t="array" ref="AA37:AC37">IF(W37="","",(_xlfn.TEXTSPLIT(W37,"-")))</f>
        <v>Corn</v>
      </c>
      <c r="AB37" s="121" t="str">
        <v>r10U</v>
      </c>
      <c r="AC37" t="str">
        <v>A</v>
      </c>
      <c r="AD37" s="129" t="str">
        <f>VLOOKUP(VALUE($U37),test_out_xwalk!$C:$L,3,FALSE)</f>
        <v>Corn-1-5</v>
      </c>
      <c r="AE37" s="129">
        <f>VLOOKUP(VALUE($U37),test_out_xwalk!$C:$L,5,FALSE)</f>
        <v>0.75</v>
      </c>
      <c r="AF37" s="129">
        <f>VLOOKUP(VALUE($U37),test_out_xwalk!$C:$L,6,FALSE)</f>
        <v>0.75</v>
      </c>
      <c r="AG37" s="129" t="str">
        <f>VLOOKUP(VALUE($U37),test_out_xwalk!$C:$L,8,FALSE)</f>
        <v>None</v>
      </c>
      <c r="AH37" s="129" t="str">
        <f>VLOOKUP(VALUE($U37),test_out_xwalk!$C:$L,7,FALSE)</f>
        <v>Spray</v>
      </c>
      <c r="AI37" s="129" t="str">
        <f>VLOOKUP(VALUE($U37),test_out_xwalk!$C:$L,4,FALSE)</f>
        <v>Pre-emergence</v>
      </c>
      <c r="AJ37" s="129" t="str">
        <f>VLOOKUP(VALUE($U37),test_out_xwalk!$C:$L,9,FALSE)</f>
        <v>Corn</v>
      </c>
      <c r="AK37">
        <f>_xlfn.XLOOKUP(VALUE(U37),test_out_xwalk!C:C,test_out_xwalk!A:A)</f>
        <v>1</v>
      </c>
    </row>
    <row r="38" spans="1:37" x14ac:dyDescent="0.55000000000000004">
      <c r="A38" s="121" t="str">
        <f>IF('summary_EPA Pond'!$A38="","Check Summary EPA POND worksheet Column A",'summary_EPA Pond'!$A38)</f>
        <v xml:space="preserve">2_1380629-16622-1_Corn-r11-A_USEPA Pond_0010_median                                   </v>
      </c>
      <c r="B38" s="121" t="str" cm="1">
        <f t="array" ref="B38:G38">IFERROR(_xlfn.TEXTSPLIT(A38,"_"),"")</f>
        <v>2</v>
      </c>
      <c r="C38" t="str">
        <v>1380629-16622-1</v>
      </c>
      <c r="D38" t="str">
        <v>Corn-r11-A</v>
      </c>
      <c r="E38" t="str">
        <v>USEPA Pond</v>
      </c>
      <c r="F38" t="str">
        <v>0010</v>
      </c>
      <c r="G38" t="str">
        <v xml:space="preserve">median                                   </v>
      </c>
      <c r="H38" s="121" t="str" cm="1">
        <f t="array" ref="H38:J38">IF(D38="","",(_xlfn.TEXTSPLIT(D38,"-")))</f>
        <v>Corn</v>
      </c>
      <c r="I38" s="121" t="str">
        <v>r11</v>
      </c>
      <c r="J38" t="str">
        <v>A</v>
      </c>
      <c r="K38" s="129" t="str">
        <f>VLOOKUP(VALUE($B38),test_out_xwalk!$C:$L,3,FALSE)</f>
        <v>Corn-1-2</v>
      </c>
      <c r="L38" s="129">
        <f>VLOOKUP(VALUE($B38),test_out_xwalk!$C:$L,5,FALSE)</f>
        <v>0.75</v>
      </c>
      <c r="M38" s="129">
        <f>VLOOKUP(VALUE($B38),test_out_xwalk!$C:$L,6,FALSE)</f>
        <v>0.75</v>
      </c>
      <c r="N38" s="129" t="str">
        <f>VLOOKUP(VALUE($B38),test_out_xwalk!$C:$L,8,FALSE)</f>
        <v>Aerial_Coarse</v>
      </c>
      <c r="O38" s="129" t="str">
        <f>VLOOKUP(VALUE($B38),test_out_xwalk!$C:$L,7,FALSE)</f>
        <v>Spray</v>
      </c>
      <c r="P38" s="129" t="str">
        <f>VLOOKUP(VALUE($B38),test_out_xwalk!$C:$L,4,FALSE)</f>
        <v>Pre-emergence</v>
      </c>
      <c r="Q38" s="129" t="str">
        <f>VLOOKUP(VALUE($B38),test_out_xwalk!$C:$L,9,FALSE)</f>
        <v>Corn</v>
      </c>
      <c r="R38">
        <f>_xlfn.XLOOKUP(VALUE(B38),test_out_xwalk!$C:$C,test_out_xwalk!$A:$A)</f>
        <v>1</v>
      </c>
      <c r="T38" s="121" t="str">
        <f>IF('summary_EPA Pond'!$O38="","Check Summary EPA POND worksheet Column O",'summary_EPA Pond'!$O38)</f>
        <v xml:space="preserve">5_1380629-16622-1_Corn-r11-A_USEPA Pond_0010_median                                   </v>
      </c>
      <c r="U38" s="121" t="str" cm="1">
        <f t="array" ref="U38:Z38">IFERROR(_xlfn.TEXTSPLIT(T38,"_"),"")</f>
        <v>5</v>
      </c>
      <c r="V38" t="str">
        <v>1380629-16622-1</v>
      </c>
      <c r="W38" t="str">
        <v>Corn-r11-A</v>
      </c>
      <c r="X38" t="str">
        <v>USEPA Pond</v>
      </c>
      <c r="Y38" t="str">
        <v>0010</v>
      </c>
      <c r="Z38" t="str">
        <v xml:space="preserve">median                                   </v>
      </c>
      <c r="AA38" s="121" t="str" cm="1">
        <f t="array" ref="AA38:AC38">IF(W38="","",(_xlfn.TEXTSPLIT(W38,"-")))</f>
        <v>Corn</v>
      </c>
      <c r="AB38" s="121" t="str">
        <v>r11</v>
      </c>
      <c r="AC38" t="str">
        <v>A</v>
      </c>
      <c r="AD38" s="129" t="str">
        <f>VLOOKUP(VALUE($U38),test_out_xwalk!$C:$L,3,FALSE)</f>
        <v>Corn-1-5</v>
      </c>
      <c r="AE38" s="129">
        <f>VLOOKUP(VALUE($U38),test_out_xwalk!$C:$L,5,FALSE)</f>
        <v>0.75</v>
      </c>
      <c r="AF38" s="129">
        <f>VLOOKUP(VALUE($U38),test_out_xwalk!$C:$L,6,FALSE)</f>
        <v>0.75</v>
      </c>
      <c r="AG38" s="129" t="str">
        <f>VLOOKUP(VALUE($U38),test_out_xwalk!$C:$L,8,FALSE)</f>
        <v>None</v>
      </c>
      <c r="AH38" s="129" t="str">
        <f>VLOOKUP(VALUE($U38),test_out_xwalk!$C:$L,7,FALSE)</f>
        <v>Spray</v>
      </c>
      <c r="AI38" s="129" t="str">
        <f>VLOOKUP(VALUE($U38),test_out_xwalk!$C:$L,4,FALSE)</f>
        <v>Pre-emergence</v>
      </c>
      <c r="AJ38" s="129" t="str">
        <f>VLOOKUP(VALUE($U38),test_out_xwalk!$C:$L,9,FALSE)</f>
        <v>Corn</v>
      </c>
      <c r="AK38">
        <f>_xlfn.XLOOKUP(VALUE(U38),test_out_xwalk!C:C,test_out_xwalk!A:A)</f>
        <v>1</v>
      </c>
    </row>
    <row r="39" spans="1:37" x14ac:dyDescent="0.55000000000000004">
      <c r="A39" s="121" t="str">
        <f>IF('summary_EPA Pond'!$A39="","Check Summary EPA POND worksheet Column A",'summary_EPA Pond'!$A39)</f>
        <v xml:space="preserve">2_372423-12152-1_Corn-r12-A_USEPA Pond_0010_median                                    </v>
      </c>
      <c r="B39" s="121" t="str" cm="1">
        <f t="array" ref="B39:G39">IFERROR(_xlfn.TEXTSPLIT(A39,"_"),"")</f>
        <v>2</v>
      </c>
      <c r="C39" t="str">
        <v>372423-12152-1</v>
      </c>
      <c r="D39" t="str">
        <v>Corn-r12-A</v>
      </c>
      <c r="E39" t="str">
        <v>USEPA Pond</v>
      </c>
      <c r="F39" t="str">
        <v>0010</v>
      </c>
      <c r="G39" t="str">
        <v xml:space="preserve">median                                    </v>
      </c>
      <c r="H39" s="121" t="str" cm="1">
        <f t="array" ref="H39:J39">IF(D39="","",(_xlfn.TEXTSPLIT(D39,"-")))</f>
        <v>Corn</v>
      </c>
      <c r="I39" s="121" t="str">
        <v>r12</v>
      </c>
      <c r="J39" t="str">
        <v>A</v>
      </c>
      <c r="K39" s="129" t="str">
        <f>VLOOKUP(VALUE($B39),test_out_xwalk!$C:$L,3,FALSE)</f>
        <v>Corn-1-2</v>
      </c>
      <c r="L39" s="129">
        <f>VLOOKUP(VALUE($B39),test_out_xwalk!$C:$L,5,FALSE)</f>
        <v>0.75</v>
      </c>
      <c r="M39" s="129">
        <f>VLOOKUP(VALUE($B39),test_out_xwalk!$C:$L,6,FALSE)</f>
        <v>0.75</v>
      </c>
      <c r="N39" s="129" t="str">
        <f>VLOOKUP(VALUE($B39),test_out_xwalk!$C:$L,8,FALSE)</f>
        <v>Aerial_Coarse</v>
      </c>
      <c r="O39" s="129" t="str">
        <f>VLOOKUP(VALUE($B39),test_out_xwalk!$C:$L,7,FALSE)</f>
        <v>Spray</v>
      </c>
      <c r="P39" s="129" t="str">
        <f>VLOOKUP(VALUE($B39),test_out_xwalk!$C:$L,4,FALSE)</f>
        <v>Pre-emergence</v>
      </c>
      <c r="Q39" s="129" t="str">
        <f>VLOOKUP(VALUE($B39),test_out_xwalk!$C:$L,9,FALSE)</f>
        <v>Corn</v>
      </c>
      <c r="R39">
        <f>_xlfn.XLOOKUP(VALUE(B39),test_out_xwalk!$C:$C,test_out_xwalk!$A:$A)</f>
        <v>1</v>
      </c>
      <c r="T39" s="121" t="str">
        <f>IF('summary_EPA Pond'!$O39="","Check Summary EPA POND worksheet Column O",'summary_EPA Pond'!$O39)</f>
        <v xml:space="preserve">5_372423-12152-1_Corn-r12-A_USEPA Pond_0010_median                                    </v>
      </c>
      <c r="U39" s="121" t="str" cm="1">
        <f t="array" ref="U39:Z39">IFERROR(_xlfn.TEXTSPLIT(T39,"_"),"")</f>
        <v>5</v>
      </c>
      <c r="V39" t="str">
        <v>372423-12152-1</v>
      </c>
      <c r="W39" t="str">
        <v>Corn-r12-A</v>
      </c>
      <c r="X39" t="str">
        <v>USEPA Pond</v>
      </c>
      <c r="Y39" t="str">
        <v>0010</v>
      </c>
      <c r="Z39" t="str">
        <v xml:space="preserve">median                                    </v>
      </c>
      <c r="AA39" s="121" t="str" cm="1">
        <f t="array" ref="AA39:AC39">IF(W39="","",(_xlfn.TEXTSPLIT(W39,"-")))</f>
        <v>Corn</v>
      </c>
      <c r="AB39" s="121" t="str">
        <v>r12</v>
      </c>
      <c r="AC39" t="str">
        <v>A</v>
      </c>
      <c r="AD39" s="129" t="str">
        <f>VLOOKUP(VALUE($U39),test_out_xwalk!$C:$L,3,FALSE)</f>
        <v>Corn-1-5</v>
      </c>
      <c r="AE39" s="129">
        <f>VLOOKUP(VALUE($U39),test_out_xwalk!$C:$L,5,FALSE)</f>
        <v>0.75</v>
      </c>
      <c r="AF39" s="129">
        <f>VLOOKUP(VALUE($U39),test_out_xwalk!$C:$L,6,FALSE)</f>
        <v>0.75</v>
      </c>
      <c r="AG39" s="129" t="str">
        <f>VLOOKUP(VALUE($U39),test_out_xwalk!$C:$L,8,FALSE)</f>
        <v>None</v>
      </c>
      <c r="AH39" s="129" t="str">
        <f>VLOOKUP(VALUE($U39),test_out_xwalk!$C:$L,7,FALSE)</f>
        <v>Spray</v>
      </c>
      <c r="AI39" s="129" t="str">
        <f>VLOOKUP(VALUE($U39),test_out_xwalk!$C:$L,4,FALSE)</f>
        <v>Pre-emergence</v>
      </c>
      <c r="AJ39" s="129" t="str">
        <f>VLOOKUP(VALUE($U39),test_out_xwalk!$C:$L,9,FALSE)</f>
        <v>Corn</v>
      </c>
      <c r="AK39">
        <f>_xlfn.XLOOKUP(VALUE(U39),test_out_xwalk!C:C,test_out_xwalk!A:A)</f>
        <v>1</v>
      </c>
    </row>
    <row r="40" spans="1:37" x14ac:dyDescent="0.55000000000000004">
      <c r="A40" s="121" t="str">
        <f>IF('summary_EPA Pond'!$A40="","Check Summary EPA POND worksheet Column A",'summary_EPA Pond'!$A40)</f>
        <v xml:space="preserve">2_55992-12595-237_Corn-r13-A_USEPA Pond_0010_median                                   </v>
      </c>
      <c r="B40" s="121" t="str" cm="1">
        <f t="array" ref="B40:G40">IFERROR(_xlfn.TEXTSPLIT(A40,"_"),"")</f>
        <v>2</v>
      </c>
      <c r="C40" t="str">
        <v>55992-12595-237</v>
      </c>
      <c r="D40" t="str">
        <v>Corn-r13-A</v>
      </c>
      <c r="E40" t="str">
        <v>USEPA Pond</v>
      </c>
      <c r="F40" t="str">
        <v>0010</v>
      </c>
      <c r="G40" t="str">
        <v xml:space="preserve">median                                   </v>
      </c>
      <c r="H40" s="121" t="str" cm="1">
        <f t="array" ref="H40:J40">IF(D40="","",(_xlfn.TEXTSPLIT(D40,"-")))</f>
        <v>Corn</v>
      </c>
      <c r="I40" s="121" t="str">
        <v>r13</v>
      </c>
      <c r="J40" t="str">
        <v>A</v>
      </c>
      <c r="K40" s="129" t="str">
        <f>VLOOKUP(VALUE($B40),test_out_xwalk!$C:$L,3,FALSE)</f>
        <v>Corn-1-2</v>
      </c>
      <c r="L40" s="129">
        <f>VLOOKUP(VALUE($B40),test_out_xwalk!$C:$L,5,FALSE)</f>
        <v>0.75</v>
      </c>
      <c r="M40" s="129">
        <f>VLOOKUP(VALUE($B40),test_out_xwalk!$C:$L,6,FALSE)</f>
        <v>0.75</v>
      </c>
      <c r="N40" s="129" t="str">
        <f>VLOOKUP(VALUE($B40),test_out_xwalk!$C:$L,8,FALSE)</f>
        <v>Aerial_Coarse</v>
      </c>
      <c r="O40" s="129" t="str">
        <f>VLOOKUP(VALUE($B40),test_out_xwalk!$C:$L,7,FALSE)</f>
        <v>Spray</v>
      </c>
      <c r="P40" s="129" t="str">
        <f>VLOOKUP(VALUE($B40),test_out_xwalk!$C:$L,4,FALSE)</f>
        <v>Pre-emergence</v>
      </c>
      <c r="Q40" s="129" t="str">
        <f>VLOOKUP(VALUE($B40),test_out_xwalk!$C:$L,9,FALSE)</f>
        <v>Corn</v>
      </c>
      <c r="R40">
        <f>_xlfn.XLOOKUP(VALUE(B40),test_out_xwalk!$C:$C,test_out_xwalk!$A:$A)</f>
        <v>1</v>
      </c>
      <c r="T40" s="121" t="str">
        <f>IF('summary_EPA Pond'!$O40="","Check Summary EPA POND worksheet Column O",'summary_EPA Pond'!$O40)</f>
        <v xml:space="preserve">5_55992-12595-237_Corn-r13-A_USEPA Pond_0010_median                                   </v>
      </c>
      <c r="U40" s="121" t="str" cm="1">
        <f t="array" ref="U40:Z40">IFERROR(_xlfn.TEXTSPLIT(T40,"_"),"")</f>
        <v>5</v>
      </c>
      <c r="V40" t="str">
        <v>55992-12595-237</v>
      </c>
      <c r="W40" t="str">
        <v>Corn-r13-A</v>
      </c>
      <c r="X40" t="str">
        <v>USEPA Pond</v>
      </c>
      <c r="Y40" t="str">
        <v>0010</v>
      </c>
      <c r="Z40" t="str">
        <v xml:space="preserve">median                                   </v>
      </c>
      <c r="AA40" s="121" t="str" cm="1">
        <f t="array" ref="AA40:AC40">IF(W40="","",(_xlfn.TEXTSPLIT(W40,"-")))</f>
        <v>Corn</v>
      </c>
      <c r="AB40" s="121" t="str">
        <v>r13</v>
      </c>
      <c r="AC40" t="str">
        <v>A</v>
      </c>
      <c r="AD40" s="129" t="str">
        <f>VLOOKUP(VALUE($U40),test_out_xwalk!$C:$L,3,FALSE)</f>
        <v>Corn-1-5</v>
      </c>
      <c r="AE40" s="129">
        <f>VLOOKUP(VALUE($U40),test_out_xwalk!$C:$L,5,FALSE)</f>
        <v>0.75</v>
      </c>
      <c r="AF40" s="129">
        <f>VLOOKUP(VALUE($U40),test_out_xwalk!$C:$L,6,FALSE)</f>
        <v>0.75</v>
      </c>
      <c r="AG40" s="129" t="str">
        <f>VLOOKUP(VALUE($U40),test_out_xwalk!$C:$L,8,FALSE)</f>
        <v>None</v>
      </c>
      <c r="AH40" s="129" t="str">
        <f>VLOOKUP(VALUE($U40),test_out_xwalk!$C:$L,7,FALSE)</f>
        <v>Spray</v>
      </c>
      <c r="AI40" s="129" t="str">
        <f>VLOOKUP(VALUE($U40),test_out_xwalk!$C:$L,4,FALSE)</f>
        <v>Pre-emergence</v>
      </c>
      <c r="AJ40" s="129" t="str">
        <f>VLOOKUP(VALUE($U40),test_out_xwalk!$C:$L,9,FALSE)</f>
        <v>Corn</v>
      </c>
      <c r="AK40">
        <f>_xlfn.XLOOKUP(VALUE(U40),test_out_xwalk!C:C,test_out_xwalk!A:A)</f>
        <v>1</v>
      </c>
    </row>
    <row r="41" spans="1:37" x14ac:dyDescent="0.55000000000000004">
      <c r="A41" s="121" t="str">
        <f>IF('summary_EPA Pond'!$A41="","Check Summary EPA POND worksheet Column A",'summary_EPA Pond'!$A41)</f>
        <v xml:space="preserve">2_506809-18005-1_Corn-r14-A_USEPA Pond_0010_median                                    </v>
      </c>
      <c r="B41" s="121" t="str" cm="1">
        <f t="array" ref="B41:G41">IFERROR(_xlfn.TEXTSPLIT(A41,"_"),"")</f>
        <v>2</v>
      </c>
      <c r="C41" t="str">
        <v>506809-18005-1</v>
      </c>
      <c r="D41" t="str">
        <v>Corn-r14-A</v>
      </c>
      <c r="E41" t="str">
        <v>USEPA Pond</v>
      </c>
      <c r="F41" t="str">
        <v>0010</v>
      </c>
      <c r="G41" t="str">
        <v xml:space="preserve">median                                    </v>
      </c>
      <c r="H41" s="121" t="str" cm="1">
        <f t="array" ref="H41:J41">IF(D41="","",(_xlfn.TEXTSPLIT(D41,"-")))</f>
        <v>Corn</v>
      </c>
      <c r="I41" s="121" t="str">
        <v>r14</v>
      </c>
      <c r="J41" t="str">
        <v>A</v>
      </c>
      <c r="K41" s="129" t="str">
        <f>VLOOKUP(VALUE($B41),test_out_xwalk!$C:$L,3,FALSE)</f>
        <v>Corn-1-2</v>
      </c>
      <c r="L41" s="129">
        <f>VLOOKUP(VALUE($B41),test_out_xwalk!$C:$L,5,FALSE)</f>
        <v>0.75</v>
      </c>
      <c r="M41" s="129">
        <f>VLOOKUP(VALUE($B41),test_out_xwalk!$C:$L,6,FALSE)</f>
        <v>0.75</v>
      </c>
      <c r="N41" s="129" t="str">
        <f>VLOOKUP(VALUE($B41),test_out_xwalk!$C:$L,8,FALSE)</f>
        <v>Aerial_Coarse</v>
      </c>
      <c r="O41" s="129" t="str">
        <f>VLOOKUP(VALUE($B41),test_out_xwalk!$C:$L,7,FALSE)</f>
        <v>Spray</v>
      </c>
      <c r="P41" s="129" t="str">
        <f>VLOOKUP(VALUE($B41),test_out_xwalk!$C:$L,4,FALSE)</f>
        <v>Pre-emergence</v>
      </c>
      <c r="Q41" s="129" t="str">
        <f>VLOOKUP(VALUE($B41),test_out_xwalk!$C:$L,9,FALSE)</f>
        <v>Corn</v>
      </c>
      <c r="R41">
        <f>_xlfn.XLOOKUP(VALUE(B41),test_out_xwalk!$C:$C,test_out_xwalk!$A:$A)</f>
        <v>1</v>
      </c>
      <c r="T41" s="121" t="str">
        <f>IF('summary_EPA Pond'!$O41="","Check Summary EPA POND worksheet Column O",'summary_EPA Pond'!$O41)</f>
        <v xml:space="preserve">5_506809-18005-1_Corn-r14-A_USEPA Pond_0010_median                                    </v>
      </c>
      <c r="U41" s="121" t="str" cm="1">
        <f t="array" ref="U41:Z41">IFERROR(_xlfn.TEXTSPLIT(T41,"_"),"")</f>
        <v>5</v>
      </c>
      <c r="V41" t="str">
        <v>506809-18005-1</v>
      </c>
      <c r="W41" t="str">
        <v>Corn-r14-A</v>
      </c>
      <c r="X41" t="str">
        <v>USEPA Pond</v>
      </c>
      <c r="Y41" t="str">
        <v>0010</v>
      </c>
      <c r="Z41" t="str">
        <v xml:space="preserve">median                                    </v>
      </c>
      <c r="AA41" s="121" t="str" cm="1">
        <f t="array" ref="AA41:AC41">IF(W41="","",(_xlfn.TEXTSPLIT(W41,"-")))</f>
        <v>Corn</v>
      </c>
      <c r="AB41" s="121" t="str">
        <v>r14</v>
      </c>
      <c r="AC41" t="str">
        <v>A</v>
      </c>
      <c r="AD41" s="129" t="str">
        <f>VLOOKUP(VALUE($U41),test_out_xwalk!$C:$L,3,FALSE)</f>
        <v>Corn-1-5</v>
      </c>
      <c r="AE41" s="129">
        <f>VLOOKUP(VALUE($U41),test_out_xwalk!$C:$L,5,FALSE)</f>
        <v>0.75</v>
      </c>
      <c r="AF41" s="129">
        <f>VLOOKUP(VALUE($U41),test_out_xwalk!$C:$L,6,FALSE)</f>
        <v>0.75</v>
      </c>
      <c r="AG41" s="129" t="str">
        <f>VLOOKUP(VALUE($U41),test_out_xwalk!$C:$L,8,FALSE)</f>
        <v>None</v>
      </c>
      <c r="AH41" s="129" t="str">
        <f>VLOOKUP(VALUE($U41),test_out_xwalk!$C:$L,7,FALSE)</f>
        <v>Spray</v>
      </c>
      <c r="AI41" s="129" t="str">
        <f>VLOOKUP(VALUE($U41),test_out_xwalk!$C:$L,4,FALSE)</f>
        <v>Pre-emergence</v>
      </c>
      <c r="AJ41" s="129" t="str">
        <f>VLOOKUP(VALUE($U41),test_out_xwalk!$C:$L,9,FALSE)</f>
        <v>Corn</v>
      </c>
      <c r="AK41">
        <f>_xlfn.XLOOKUP(VALUE(U41),test_out_xwalk!C:C,test_out_xwalk!A:A)</f>
        <v>1</v>
      </c>
    </row>
    <row r="42" spans="1:37" x14ac:dyDescent="0.55000000000000004">
      <c r="A42" s="121" t="str">
        <f>IF('summary_EPA Pond'!$A42="","Check Summary EPA POND worksheet Column A",'summary_EPA Pond'!$A42)</f>
        <v xml:space="preserve">2_54973-11158-226_Corn-r15-A_USEPA Pond_0010_median                                   </v>
      </c>
      <c r="B42" s="121" t="str" cm="1">
        <f t="array" ref="B42:G42">IFERROR(_xlfn.TEXTSPLIT(A42,"_"),"")</f>
        <v>2</v>
      </c>
      <c r="C42" t="str">
        <v>54973-11158-226</v>
      </c>
      <c r="D42" t="str">
        <v>Corn-r15-A</v>
      </c>
      <c r="E42" t="str">
        <v>USEPA Pond</v>
      </c>
      <c r="F42" t="str">
        <v>0010</v>
      </c>
      <c r="G42" t="str">
        <v xml:space="preserve">median                                   </v>
      </c>
      <c r="H42" s="121" t="str" cm="1">
        <f t="array" ref="H42:J42">IF(D42="","",(_xlfn.TEXTSPLIT(D42,"-")))</f>
        <v>Corn</v>
      </c>
      <c r="I42" s="121" t="str">
        <v>r15</v>
      </c>
      <c r="J42" t="str">
        <v>A</v>
      </c>
      <c r="K42" s="129" t="str">
        <f>VLOOKUP(VALUE($B42),test_out_xwalk!$C:$L,3,FALSE)</f>
        <v>Corn-1-2</v>
      </c>
      <c r="L42" s="129">
        <f>VLOOKUP(VALUE($B42),test_out_xwalk!$C:$L,5,FALSE)</f>
        <v>0.75</v>
      </c>
      <c r="M42" s="129">
        <f>VLOOKUP(VALUE($B42),test_out_xwalk!$C:$L,6,FALSE)</f>
        <v>0.75</v>
      </c>
      <c r="N42" s="129" t="str">
        <f>VLOOKUP(VALUE($B42),test_out_xwalk!$C:$L,8,FALSE)</f>
        <v>Aerial_Coarse</v>
      </c>
      <c r="O42" s="129" t="str">
        <f>VLOOKUP(VALUE($B42),test_out_xwalk!$C:$L,7,FALSE)</f>
        <v>Spray</v>
      </c>
      <c r="P42" s="129" t="str">
        <f>VLOOKUP(VALUE($B42),test_out_xwalk!$C:$L,4,FALSE)</f>
        <v>Pre-emergence</v>
      </c>
      <c r="Q42" s="129" t="str">
        <f>VLOOKUP(VALUE($B42),test_out_xwalk!$C:$L,9,FALSE)</f>
        <v>Corn</v>
      </c>
      <c r="R42">
        <f>_xlfn.XLOOKUP(VALUE(B42),test_out_xwalk!$C:$C,test_out_xwalk!$A:$A)</f>
        <v>1</v>
      </c>
      <c r="T42" s="121" t="str">
        <f>IF('summary_EPA Pond'!$O42="","Check Summary EPA POND worksheet Column O",'summary_EPA Pond'!$O42)</f>
        <v xml:space="preserve">5_54973-11158-226_Corn-r15-A_USEPA Pond_0010_median                                   </v>
      </c>
      <c r="U42" s="121" t="str" cm="1">
        <f t="array" ref="U42:Z42">IFERROR(_xlfn.TEXTSPLIT(T42,"_"),"")</f>
        <v>5</v>
      </c>
      <c r="V42" t="str">
        <v>54973-11158-226</v>
      </c>
      <c r="W42" t="str">
        <v>Corn-r15-A</v>
      </c>
      <c r="X42" t="str">
        <v>USEPA Pond</v>
      </c>
      <c r="Y42" t="str">
        <v>0010</v>
      </c>
      <c r="Z42" t="str">
        <v xml:space="preserve">median                                   </v>
      </c>
      <c r="AA42" s="121" t="str" cm="1">
        <f t="array" ref="AA42:AC42">IF(W42="","",(_xlfn.TEXTSPLIT(W42,"-")))</f>
        <v>Corn</v>
      </c>
      <c r="AB42" s="121" t="str">
        <v>r15</v>
      </c>
      <c r="AC42" t="str">
        <v>A</v>
      </c>
      <c r="AD42" s="129" t="str">
        <f>VLOOKUP(VALUE($U42),test_out_xwalk!$C:$L,3,FALSE)</f>
        <v>Corn-1-5</v>
      </c>
      <c r="AE42" s="129">
        <f>VLOOKUP(VALUE($U42),test_out_xwalk!$C:$L,5,FALSE)</f>
        <v>0.75</v>
      </c>
      <c r="AF42" s="129">
        <f>VLOOKUP(VALUE($U42),test_out_xwalk!$C:$L,6,FALSE)</f>
        <v>0.75</v>
      </c>
      <c r="AG42" s="129" t="str">
        <f>VLOOKUP(VALUE($U42),test_out_xwalk!$C:$L,8,FALSE)</f>
        <v>None</v>
      </c>
      <c r="AH42" s="129" t="str">
        <f>VLOOKUP(VALUE($U42),test_out_xwalk!$C:$L,7,FALSE)</f>
        <v>Spray</v>
      </c>
      <c r="AI42" s="129" t="str">
        <f>VLOOKUP(VALUE($U42),test_out_xwalk!$C:$L,4,FALSE)</f>
        <v>Pre-emergence</v>
      </c>
      <c r="AJ42" s="129" t="str">
        <f>VLOOKUP(VALUE($U42),test_out_xwalk!$C:$L,9,FALSE)</f>
        <v>Corn</v>
      </c>
      <c r="AK42">
        <f>_xlfn.XLOOKUP(VALUE(U42),test_out_xwalk!C:C,test_out_xwalk!A:A)</f>
        <v>1</v>
      </c>
    </row>
    <row r="43" spans="1:37" x14ac:dyDescent="0.55000000000000004">
      <c r="A43" s="121" t="str">
        <f>IF('summary_EPA Pond'!$A43="","Check Summary EPA POND worksheet Column A",'summary_EPA Pond'!$A43)</f>
        <v xml:space="preserve">2_481578-20116-1_Corn-r16-A_USEPA Pond_0010_median                                    </v>
      </c>
      <c r="B43" s="121" t="str" cm="1">
        <f t="array" ref="B43:G43">IFERROR(_xlfn.TEXTSPLIT(A43,"_"),"")</f>
        <v>2</v>
      </c>
      <c r="C43" t="str">
        <v>481578-20116-1</v>
      </c>
      <c r="D43" t="str">
        <v>Corn-r16-A</v>
      </c>
      <c r="E43" t="str">
        <v>USEPA Pond</v>
      </c>
      <c r="F43" t="str">
        <v>0010</v>
      </c>
      <c r="G43" t="str">
        <v xml:space="preserve">median                                    </v>
      </c>
      <c r="H43" s="121" t="str" cm="1">
        <f t="array" ref="H43:J43">IF(D43="","",(_xlfn.TEXTSPLIT(D43,"-")))</f>
        <v>Corn</v>
      </c>
      <c r="I43" s="121" t="str">
        <v>r16</v>
      </c>
      <c r="J43" t="str">
        <v>A</v>
      </c>
      <c r="K43" s="129" t="str">
        <f>VLOOKUP(VALUE($B43),test_out_xwalk!$C:$L,3,FALSE)</f>
        <v>Corn-1-2</v>
      </c>
      <c r="L43" s="129">
        <f>VLOOKUP(VALUE($B43),test_out_xwalk!$C:$L,5,FALSE)</f>
        <v>0.75</v>
      </c>
      <c r="M43" s="129">
        <f>VLOOKUP(VALUE($B43),test_out_xwalk!$C:$L,6,FALSE)</f>
        <v>0.75</v>
      </c>
      <c r="N43" s="129" t="str">
        <f>VLOOKUP(VALUE($B43),test_out_xwalk!$C:$L,8,FALSE)</f>
        <v>Aerial_Coarse</v>
      </c>
      <c r="O43" s="129" t="str">
        <f>VLOOKUP(VALUE($B43),test_out_xwalk!$C:$L,7,FALSE)</f>
        <v>Spray</v>
      </c>
      <c r="P43" s="129" t="str">
        <f>VLOOKUP(VALUE($B43),test_out_xwalk!$C:$L,4,FALSE)</f>
        <v>Pre-emergence</v>
      </c>
      <c r="Q43" s="129" t="str">
        <f>VLOOKUP(VALUE($B43),test_out_xwalk!$C:$L,9,FALSE)</f>
        <v>Corn</v>
      </c>
      <c r="R43">
        <f>_xlfn.XLOOKUP(VALUE(B43),test_out_xwalk!$C:$C,test_out_xwalk!$A:$A)</f>
        <v>1</v>
      </c>
      <c r="T43" s="121" t="str">
        <f>IF('summary_EPA Pond'!$O43="","Check Summary EPA POND worksheet Column O",'summary_EPA Pond'!$O43)</f>
        <v xml:space="preserve">5_481578-20116-1_Corn-r16-A_USEPA Pond_0010_median                                    </v>
      </c>
      <c r="U43" s="121" t="str" cm="1">
        <f t="array" ref="U43:Z43">IFERROR(_xlfn.TEXTSPLIT(T43,"_"),"")</f>
        <v>5</v>
      </c>
      <c r="V43" t="str">
        <v>481578-20116-1</v>
      </c>
      <c r="W43" t="str">
        <v>Corn-r16-A</v>
      </c>
      <c r="X43" t="str">
        <v>USEPA Pond</v>
      </c>
      <c r="Y43" t="str">
        <v>0010</v>
      </c>
      <c r="Z43" t="str">
        <v xml:space="preserve">median                                    </v>
      </c>
      <c r="AA43" s="121" t="str" cm="1">
        <f t="array" ref="AA43:AC43">IF(W43="","",(_xlfn.TEXTSPLIT(W43,"-")))</f>
        <v>Corn</v>
      </c>
      <c r="AB43" s="121" t="str">
        <v>r16</v>
      </c>
      <c r="AC43" t="str">
        <v>A</v>
      </c>
      <c r="AD43" s="129" t="str">
        <f>VLOOKUP(VALUE($U43),test_out_xwalk!$C:$L,3,FALSE)</f>
        <v>Corn-1-5</v>
      </c>
      <c r="AE43" s="129">
        <f>VLOOKUP(VALUE($U43),test_out_xwalk!$C:$L,5,FALSE)</f>
        <v>0.75</v>
      </c>
      <c r="AF43" s="129">
        <f>VLOOKUP(VALUE($U43),test_out_xwalk!$C:$L,6,FALSE)</f>
        <v>0.75</v>
      </c>
      <c r="AG43" s="129" t="str">
        <f>VLOOKUP(VALUE($U43),test_out_xwalk!$C:$L,8,FALSE)</f>
        <v>None</v>
      </c>
      <c r="AH43" s="129" t="str">
        <f>VLOOKUP(VALUE($U43),test_out_xwalk!$C:$L,7,FALSE)</f>
        <v>Spray</v>
      </c>
      <c r="AI43" s="129" t="str">
        <f>VLOOKUP(VALUE($U43),test_out_xwalk!$C:$L,4,FALSE)</f>
        <v>Pre-emergence</v>
      </c>
      <c r="AJ43" s="129" t="str">
        <f>VLOOKUP(VALUE($U43),test_out_xwalk!$C:$L,9,FALSE)</f>
        <v>Corn</v>
      </c>
      <c r="AK43">
        <f>_xlfn.XLOOKUP(VALUE(U43),test_out_xwalk!C:C,test_out_xwalk!A:A)</f>
        <v>1</v>
      </c>
    </row>
    <row r="44" spans="1:37" x14ac:dyDescent="0.55000000000000004">
      <c r="A44" s="121" t="str">
        <f>IF('summary_EPA Pond'!$A44="","Check Summary EPA POND worksheet Column A",'summary_EPA Pond'!$A44)</f>
        <v xml:space="preserve">2_69526-24571-1_Corn-r17-A_USEPA Pond_0010_median                                     </v>
      </c>
      <c r="B44" s="121" t="str" cm="1">
        <f t="array" ref="B44:G44">IFERROR(_xlfn.TEXTSPLIT(A44,"_"),"")</f>
        <v>2</v>
      </c>
      <c r="C44" t="str">
        <v>69526-24571-1</v>
      </c>
      <c r="D44" t="str">
        <v>Corn-r17-A</v>
      </c>
      <c r="E44" t="str">
        <v>USEPA Pond</v>
      </c>
      <c r="F44" t="str">
        <v>0010</v>
      </c>
      <c r="G44" t="str">
        <v xml:space="preserve">median                                     </v>
      </c>
      <c r="H44" s="121" t="str" cm="1">
        <f t="array" ref="H44:J44">IF(D44="","",(_xlfn.TEXTSPLIT(D44,"-")))</f>
        <v>Corn</v>
      </c>
      <c r="I44" s="121" t="str">
        <v>r17</v>
      </c>
      <c r="J44" t="str">
        <v>A</v>
      </c>
      <c r="K44" s="129" t="str">
        <f>VLOOKUP(VALUE($B44),test_out_xwalk!$C:$L,3,FALSE)</f>
        <v>Corn-1-2</v>
      </c>
      <c r="L44" s="129">
        <f>VLOOKUP(VALUE($B44),test_out_xwalk!$C:$L,5,FALSE)</f>
        <v>0.75</v>
      </c>
      <c r="M44" s="129">
        <f>VLOOKUP(VALUE($B44),test_out_xwalk!$C:$L,6,FALSE)</f>
        <v>0.75</v>
      </c>
      <c r="N44" s="129" t="str">
        <f>VLOOKUP(VALUE($B44),test_out_xwalk!$C:$L,8,FALSE)</f>
        <v>Aerial_Coarse</v>
      </c>
      <c r="O44" s="129" t="str">
        <f>VLOOKUP(VALUE($B44),test_out_xwalk!$C:$L,7,FALSE)</f>
        <v>Spray</v>
      </c>
      <c r="P44" s="129" t="str">
        <f>VLOOKUP(VALUE($B44),test_out_xwalk!$C:$L,4,FALSE)</f>
        <v>Pre-emergence</v>
      </c>
      <c r="Q44" s="129" t="str">
        <f>VLOOKUP(VALUE($B44),test_out_xwalk!$C:$L,9,FALSE)</f>
        <v>Corn</v>
      </c>
      <c r="R44">
        <f>_xlfn.XLOOKUP(VALUE(B44),test_out_xwalk!$C:$C,test_out_xwalk!$A:$A)</f>
        <v>1</v>
      </c>
      <c r="T44" s="121" t="str">
        <f>IF('summary_EPA Pond'!$O44="","Check Summary EPA POND worksheet Column O",'summary_EPA Pond'!$O44)</f>
        <v xml:space="preserve">5_69526-24571-1_Corn-r17-A_USEPA Pond_0010_median                                     </v>
      </c>
      <c r="U44" s="121" t="str" cm="1">
        <f t="array" ref="U44:Z44">IFERROR(_xlfn.TEXTSPLIT(T44,"_"),"")</f>
        <v>5</v>
      </c>
      <c r="V44" t="str">
        <v>69526-24571-1</v>
      </c>
      <c r="W44" t="str">
        <v>Corn-r17-A</v>
      </c>
      <c r="X44" t="str">
        <v>USEPA Pond</v>
      </c>
      <c r="Y44" t="str">
        <v>0010</v>
      </c>
      <c r="Z44" t="str">
        <v xml:space="preserve">median                                     </v>
      </c>
      <c r="AA44" s="121" t="str" cm="1">
        <f t="array" ref="AA44:AC44">IF(W44="","",(_xlfn.TEXTSPLIT(W44,"-")))</f>
        <v>Corn</v>
      </c>
      <c r="AB44" s="121" t="str">
        <v>r17</v>
      </c>
      <c r="AC44" t="str">
        <v>A</v>
      </c>
      <c r="AD44" s="129" t="str">
        <f>VLOOKUP(VALUE($U44),test_out_xwalk!$C:$L,3,FALSE)</f>
        <v>Corn-1-5</v>
      </c>
      <c r="AE44" s="129">
        <f>VLOOKUP(VALUE($U44),test_out_xwalk!$C:$L,5,FALSE)</f>
        <v>0.75</v>
      </c>
      <c r="AF44" s="129">
        <f>VLOOKUP(VALUE($U44),test_out_xwalk!$C:$L,6,FALSE)</f>
        <v>0.75</v>
      </c>
      <c r="AG44" s="129" t="str">
        <f>VLOOKUP(VALUE($U44),test_out_xwalk!$C:$L,8,FALSE)</f>
        <v>None</v>
      </c>
      <c r="AH44" s="129" t="str">
        <f>VLOOKUP(VALUE($U44),test_out_xwalk!$C:$L,7,FALSE)</f>
        <v>Spray</v>
      </c>
      <c r="AI44" s="129" t="str">
        <f>VLOOKUP(VALUE($U44),test_out_xwalk!$C:$L,4,FALSE)</f>
        <v>Pre-emergence</v>
      </c>
      <c r="AJ44" s="129" t="str">
        <f>VLOOKUP(VALUE($U44),test_out_xwalk!$C:$L,9,FALSE)</f>
        <v>Corn</v>
      </c>
      <c r="AK44">
        <f>_xlfn.XLOOKUP(VALUE(U44),test_out_xwalk!C:C,test_out_xwalk!A:A)</f>
        <v>1</v>
      </c>
    </row>
    <row r="45" spans="1:37" x14ac:dyDescent="0.55000000000000004">
      <c r="A45" s="121" t="str">
        <f>IF('summary_EPA Pond'!$A45="","Check Summary EPA POND worksheet Column A",'summary_EPA Pond'!$A45)</f>
        <v xml:space="preserve">2_467176-15131-225_Corn-r18-A_USEPA Pond_0010_median                                  </v>
      </c>
      <c r="B45" s="121" t="str" cm="1">
        <f t="array" ref="B45:G45">IFERROR(_xlfn.TEXTSPLIT(A45,"_"),"")</f>
        <v>2</v>
      </c>
      <c r="C45" t="str">
        <v>467176-15131-225</v>
      </c>
      <c r="D45" t="str">
        <v>Corn-r18-A</v>
      </c>
      <c r="E45" t="str">
        <v>USEPA Pond</v>
      </c>
      <c r="F45" t="str">
        <v>0010</v>
      </c>
      <c r="G45" t="str">
        <v xml:space="preserve">median                                  </v>
      </c>
      <c r="H45" s="121" t="str" cm="1">
        <f t="array" ref="H45:J45">IF(D45="","",(_xlfn.TEXTSPLIT(D45,"-")))</f>
        <v>Corn</v>
      </c>
      <c r="I45" s="121" t="str">
        <v>r18</v>
      </c>
      <c r="J45" t="str">
        <v>A</v>
      </c>
      <c r="K45" s="129" t="str">
        <f>VLOOKUP(VALUE($B45),test_out_xwalk!$C:$L,3,FALSE)</f>
        <v>Corn-1-2</v>
      </c>
      <c r="L45" s="129">
        <f>VLOOKUP(VALUE($B45),test_out_xwalk!$C:$L,5,FALSE)</f>
        <v>0.75</v>
      </c>
      <c r="M45" s="129">
        <f>VLOOKUP(VALUE($B45),test_out_xwalk!$C:$L,6,FALSE)</f>
        <v>0.75</v>
      </c>
      <c r="N45" s="129" t="str">
        <f>VLOOKUP(VALUE($B45),test_out_xwalk!$C:$L,8,FALSE)</f>
        <v>Aerial_Coarse</v>
      </c>
      <c r="O45" s="129" t="str">
        <f>VLOOKUP(VALUE($B45),test_out_xwalk!$C:$L,7,FALSE)</f>
        <v>Spray</v>
      </c>
      <c r="P45" s="129" t="str">
        <f>VLOOKUP(VALUE($B45),test_out_xwalk!$C:$L,4,FALSE)</f>
        <v>Pre-emergence</v>
      </c>
      <c r="Q45" s="129" t="str">
        <f>VLOOKUP(VALUE($B45),test_out_xwalk!$C:$L,9,FALSE)</f>
        <v>Corn</v>
      </c>
      <c r="R45">
        <f>_xlfn.XLOOKUP(VALUE(B45),test_out_xwalk!$C:$C,test_out_xwalk!$A:$A)</f>
        <v>1</v>
      </c>
      <c r="T45" s="121" t="str">
        <f>IF('summary_EPA Pond'!$O45="","Check Summary EPA POND worksheet Column O",'summary_EPA Pond'!$O45)</f>
        <v xml:space="preserve">5_467176-15131-225_Corn-r18-A_USEPA Pond_0010_median                                  </v>
      </c>
      <c r="U45" s="121" t="str" cm="1">
        <f t="array" ref="U45:Z45">IFERROR(_xlfn.TEXTSPLIT(T45,"_"),"")</f>
        <v>5</v>
      </c>
      <c r="V45" t="str">
        <v>467176-15131-225</v>
      </c>
      <c r="W45" t="str">
        <v>Corn-r18-A</v>
      </c>
      <c r="X45" t="str">
        <v>USEPA Pond</v>
      </c>
      <c r="Y45" t="str">
        <v>0010</v>
      </c>
      <c r="Z45" t="str">
        <v xml:space="preserve">median                                  </v>
      </c>
      <c r="AA45" s="121" t="str" cm="1">
        <f t="array" ref="AA45:AC45">IF(W45="","",(_xlfn.TEXTSPLIT(W45,"-")))</f>
        <v>Corn</v>
      </c>
      <c r="AB45" s="121" t="str">
        <v>r18</v>
      </c>
      <c r="AC45" t="str">
        <v>A</v>
      </c>
      <c r="AD45" s="129" t="str">
        <f>VLOOKUP(VALUE($U45),test_out_xwalk!$C:$L,3,FALSE)</f>
        <v>Corn-1-5</v>
      </c>
      <c r="AE45" s="129">
        <f>VLOOKUP(VALUE($U45),test_out_xwalk!$C:$L,5,FALSE)</f>
        <v>0.75</v>
      </c>
      <c r="AF45" s="129">
        <f>VLOOKUP(VALUE($U45),test_out_xwalk!$C:$L,6,FALSE)</f>
        <v>0.75</v>
      </c>
      <c r="AG45" s="129" t="str">
        <f>VLOOKUP(VALUE($U45),test_out_xwalk!$C:$L,8,FALSE)</f>
        <v>None</v>
      </c>
      <c r="AH45" s="129" t="str">
        <f>VLOOKUP(VALUE($U45),test_out_xwalk!$C:$L,7,FALSE)</f>
        <v>Spray</v>
      </c>
      <c r="AI45" s="129" t="str">
        <f>VLOOKUP(VALUE($U45),test_out_xwalk!$C:$L,4,FALSE)</f>
        <v>Pre-emergence</v>
      </c>
      <c r="AJ45" s="129" t="str">
        <f>VLOOKUP(VALUE($U45),test_out_xwalk!$C:$L,9,FALSE)</f>
        <v>Corn</v>
      </c>
      <c r="AK45">
        <f>_xlfn.XLOOKUP(VALUE(U45),test_out_xwalk!C:C,test_out_xwalk!A:A)</f>
        <v>1</v>
      </c>
    </row>
    <row r="46" spans="1:37" x14ac:dyDescent="0.55000000000000004">
      <c r="A46" s="121" t="str">
        <f>IF('summary_EPA Pond'!$A46="","Check Summary EPA POND worksheet Column A",'summary_EPA Pond'!$A46)</f>
        <v xml:space="preserve">3_284802-23590-1_Corn-r01-A_USEPA Pond_0010_median                                    </v>
      </c>
      <c r="B46" s="121" t="str" cm="1">
        <f t="array" ref="B46:G46">IFERROR(_xlfn.TEXTSPLIT(A46,"_"),"")</f>
        <v>3</v>
      </c>
      <c r="C46" t="str">
        <v>284802-23590-1</v>
      </c>
      <c r="D46" t="str">
        <v>Corn-r01-A</v>
      </c>
      <c r="E46" t="str">
        <v>USEPA Pond</v>
      </c>
      <c r="F46" t="str">
        <v>0010</v>
      </c>
      <c r="G46" t="str">
        <v xml:space="preserve">median                                    </v>
      </c>
      <c r="H46" s="121" t="str" cm="1">
        <f t="array" ref="H46:J46">IF(D46="","",(_xlfn.TEXTSPLIT(D46,"-")))</f>
        <v>Corn</v>
      </c>
      <c r="I46" s="121" t="str">
        <v>r01</v>
      </c>
      <c r="J46" t="str">
        <v>A</v>
      </c>
      <c r="K46" s="129" t="str">
        <f>VLOOKUP(VALUE($B46),test_out_xwalk!$C:$L,3,FALSE)</f>
        <v>Corn-1-3</v>
      </c>
      <c r="L46" s="129">
        <f>VLOOKUP(VALUE($B46),test_out_xwalk!$C:$L,5,FALSE)</f>
        <v>0.75</v>
      </c>
      <c r="M46" s="129">
        <f>VLOOKUP(VALUE($B46),test_out_xwalk!$C:$L,6,FALSE)</f>
        <v>0.75</v>
      </c>
      <c r="N46" s="129" t="str">
        <f>VLOOKUP(VALUE($B46),test_out_xwalk!$C:$L,8,FALSE)</f>
        <v>Ground_F-MC_HB</v>
      </c>
      <c r="O46" s="129" t="str">
        <f>VLOOKUP(VALUE($B46),test_out_xwalk!$C:$L,7,FALSE)</f>
        <v>Spray</v>
      </c>
      <c r="P46" s="129" t="str">
        <f>VLOOKUP(VALUE($B46),test_out_xwalk!$C:$L,4,FALSE)</f>
        <v>Pre-emergence</v>
      </c>
      <c r="Q46" s="129" t="str">
        <f>VLOOKUP(VALUE($B46),test_out_xwalk!$C:$L,9,FALSE)</f>
        <v>Corn</v>
      </c>
      <c r="R46">
        <f>_xlfn.XLOOKUP(VALUE(B46),test_out_xwalk!$C:$C,test_out_xwalk!$A:$A)</f>
        <v>1</v>
      </c>
      <c r="T46" s="121" t="str">
        <f>IF('summary_EPA Pond'!$O46="","Check Summary EPA POND worksheet Column O",'summary_EPA Pond'!$O46)</f>
        <v xml:space="preserve">8_290662-20742-26_Soybean-r01-A_USEPA Pond_0076_median                                </v>
      </c>
      <c r="U46" s="121" t="str" cm="1">
        <f t="array" ref="U46:Z46">IFERROR(_xlfn.TEXTSPLIT(T46,"_"),"")</f>
        <v>8</v>
      </c>
      <c r="V46" t="str">
        <v>290662-20742-26</v>
      </c>
      <c r="W46" t="str">
        <v>Soybean-r01-A</v>
      </c>
      <c r="X46" t="str">
        <v>USEPA Pond</v>
      </c>
      <c r="Y46" t="str">
        <v>0076</v>
      </c>
      <c r="Z46" t="str">
        <v xml:space="preserve">median                                </v>
      </c>
      <c r="AA46" s="121" t="str" cm="1">
        <f t="array" ref="AA46:AC46">IF(W46="","",(_xlfn.TEXTSPLIT(W46,"-")))</f>
        <v>Soybean</v>
      </c>
      <c r="AB46" s="121" t="str">
        <v>r01</v>
      </c>
      <c r="AC46" t="str">
        <v>A</v>
      </c>
      <c r="AD46" s="129" t="str">
        <f>VLOOKUP(VALUE($U46),test_out_xwalk!$C:$L,3,FALSE)</f>
        <v>Soybean (Glycine max)-2-8</v>
      </c>
      <c r="AE46" s="129">
        <f>VLOOKUP(VALUE($U46),test_out_xwalk!$C:$L,5,FALSE)</f>
        <v>1.125</v>
      </c>
      <c r="AF46" s="129">
        <f>VLOOKUP(VALUE($U46),test_out_xwalk!$C:$L,6,FALSE)</f>
        <v>3</v>
      </c>
      <c r="AG46" s="129" t="str">
        <f>VLOOKUP(VALUE($U46),test_out_xwalk!$C:$L,8,FALSE)</f>
        <v>None</v>
      </c>
      <c r="AH46" s="129" t="str">
        <f>VLOOKUP(VALUE($U46),test_out_xwalk!$C:$L,7,FALSE)</f>
        <v>Spray</v>
      </c>
      <c r="AI46" s="129" t="str">
        <f>VLOOKUP(VALUE($U46),test_out_xwalk!$C:$L,4,FALSE)</f>
        <v>Post-emergence</v>
      </c>
      <c r="AJ46" s="129" t="str">
        <f>VLOOKUP(VALUE($U46),test_out_xwalk!$C:$L,9,FALSE)</f>
        <v>Soybeans</v>
      </c>
      <c r="AK46">
        <f>_xlfn.XLOOKUP(VALUE(U46),test_out_xwalk!C:C,test_out_xwalk!A:A)</f>
        <v>2</v>
      </c>
    </row>
    <row r="47" spans="1:37" x14ac:dyDescent="0.55000000000000004">
      <c r="A47" s="121" t="str">
        <f>IF('summary_EPA Pond'!$A47="","Check Summary EPA POND worksheet Column A",'summary_EPA Pond'!$A47)</f>
        <v xml:space="preserve">3_282174-22397-1_Corn-r02-A_USEPA Pond_0010_median                                    </v>
      </c>
      <c r="B47" s="121" t="str" cm="1">
        <f t="array" ref="B47:G47">IFERROR(_xlfn.TEXTSPLIT(A47,"_"),"")</f>
        <v>3</v>
      </c>
      <c r="C47" t="str">
        <v>282174-22397-1</v>
      </c>
      <c r="D47" t="str">
        <v>Corn-r02-A</v>
      </c>
      <c r="E47" t="str">
        <v>USEPA Pond</v>
      </c>
      <c r="F47" t="str">
        <v>0010</v>
      </c>
      <c r="G47" t="str">
        <v xml:space="preserve">median                                    </v>
      </c>
      <c r="H47" s="121" t="str" cm="1">
        <f t="array" ref="H47:J47">IF(D47="","",(_xlfn.TEXTSPLIT(D47,"-")))</f>
        <v>Corn</v>
      </c>
      <c r="I47" s="121" t="str">
        <v>r02</v>
      </c>
      <c r="J47" t="str">
        <v>A</v>
      </c>
      <c r="K47" s="129" t="str">
        <f>VLOOKUP(VALUE($B47),test_out_xwalk!$C:$L,3,FALSE)</f>
        <v>Corn-1-3</v>
      </c>
      <c r="L47" s="129">
        <f>VLOOKUP(VALUE($B47),test_out_xwalk!$C:$L,5,FALSE)</f>
        <v>0.75</v>
      </c>
      <c r="M47" s="129">
        <f>VLOOKUP(VALUE($B47),test_out_xwalk!$C:$L,6,FALSE)</f>
        <v>0.75</v>
      </c>
      <c r="N47" s="129" t="str">
        <f>VLOOKUP(VALUE($B47),test_out_xwalk!$C:$L,8,FALSE)</f>
        <v>Ground_F-MC_HB</v>
      </c>
      <c r="O47" s="129" t="str">
        <f>VLOOKUP(VALUE($B47),test_out_xwalk!$C:$L,7,FALSE)</f>
        <v>Spray</v>
      </c>
      <c r="P47" s="129" t="str">
        <f>VLOOKUP(VALUE($B47),test_out_xwalk!$C:$L,4,FALSE)</f>
        <v>Pre-emergence</v>
      </c>
      <c r="Q47" s="129" t="str">
        <f>VLOOKUP(VALUE($B47),test_out_xwalk!$C:$L,9,FALSE)</f>
        <v>Corn</v>
      </c>
      <c r="R47">
        <f>_xlfn.XLOOKUP(VALUE(B47),test_out_xwalk!$C:$C,test_out_xwalk!$A:$A)</f>
        <v>1</v>
      </c>
      <c r="T47" s="121" t="str">
        <f>IF('summary_EPA Pond'!$O47="","Check Summary EPA POND worksheet Column O",'summary_EPA Pond'!$O47)</f>
        <v xml:space="preserve">8_1606194-18138-5_Soybean-r02-A_USEPA Pond_0076_median                                </v>
      </c>
      <c r="U47" s="121" t="str" cm="1">
        <f t="array" ref="U47:Z47">IFERROR(_xlfn.TEXTSPLIT(T47,"_"),"")</f>
        <v>8</v>
      </c>
      <c r="V47" t="str">
        <v>1606194-18138-5</v>
      </c>
      <c r="W47" t="str">
        <v>Soybean-r02-A</v>
      </c>
      <c r="X47" t="str">
        <v>USEPA Pond</v>
      </c>
      <c r="Y47" t="str">
        <v>0076</v>
      </c>
      <c r="Z47" t="str">
        <v xml:space="preserve">median                                </v>
      </c>
      <c r="AA47" s="121" t="str" cm="1">
        <f t="array" ref="AA47:AC47">IF(W47="","",(_xlfn.TEXTSPLIT(W47,"-")))</f>
        <v>Soybean</v>
      </c>
      <c r="AB47" s="121" t="str">
        <v>r02</v>
      </c>
      <c r="AC47" t="str">
        <v>A</v>
      </c>
      <c r="AD47" s="129" t="str">
        <f>VLOOKUP(VALUE($U47),test_out_xwalk!$C:$L,3,FALSE)</f>
        <v>Soybean (Glycine max)-2-8</v>
      </c>
      <c r="AE47" s="129">
        <f>VLOOKUP(VALUE($U47),test_out_xwalk!$C:$L,5,FALSE)</f>
        <v>1.125</v>
      </c>
      <c r="AF47" s="129">
        <f>VLOOKUP(VALUE($U47),test_out_xwalk!$C:$L,6,FALSE)</f>
        <v>3</v>
      </c>
      <c r="AG47" s="129" t="str">
        <f>VLOOKUP(VALUE($U47),test_out_xwalk!$C:$L,8,FALSE)</f>
        <v>None</v>
      </c>
      <c r="AH47" s="129" t="str">
        <f>VLOOKUP(VALUE($U47),test_out_xwalk!$C:$L,7,FALSE)</f>
        <v>Spray</v>
      </c>
      <c r="AI47" s="129" t="str">
        <f>VLOOKUP(VALUE($U47),test_out_xwalk!$C:$L,4,FALSE)</f>
        <v>Post-emergence</v>
      </c>
      <c r="AJ47" s="129" t="str">
        <f>VLOOKUP(VALUE($U47),test_out_xwalk!$C:$L,9,FALSE)</f>
        <v>Soybeans</v>
      </c>
      <c r="AK47">
        <f>_xlfn.XLOOKUP(VALUE(U47),test_out_xwalk!C:C,test_out_xwalk!A:A)</f>
        <v>2</v>
      </c>
    </row>
    <row r="48" spans="1:37" x14ac:dyDescent="0.55000000000000004">
      <c r="A48" s="121" t="str">
        <f>IF('summary_EPA Pond'!$A48="","Check Summary EPA POND worksheet Column A",'summary_EPA Pond'!$A48)</f>
        <v xml:space="preserve">3_2493903-15051-1_Corn-r03N-A_USEPA Pond_0010_median                                  </v>
      </c>
      <c r="B48" s="121" t="str" cm="1">
        <f t="array" ref="B48:G48">IFERROR(_xlfn.TEXTSPLIT(A48,"_"),"")</f>
        <v>3</v>
      </c>
      <c r="C48" t="str">
        <v>2493903-15051-1</v>
      </c>
      <c r="D48" t="str">
        <v>Corn-r03N-A</v>
      </c>
      <c r="E48" t="str">
        <v>USEPA Pond</v>
      </c>
      <c r="F48" t="str">
        <v>0010</v>
      </c>
      <c r="G48" t="str">
        <v xml:space="preserve">median                                  </v>
      </c>
      <c r="H48" s="121" t="str" cm="1">
        <f t="array" ref="H48:J48">IF(D48="","",(_xlfn.TEXTSPLIT(D48,"-")))</f>
        <v>Corn</v>
      </c>
      <c r="I48" s="121" t="str">
        <v>r03N</v>
      </c>
      <c r="J48" t="str">
        <v>A</v>
      </c>
      <c r="K48" s="129" t="str">
        <f>VLOOKUP(VALUE($B48),test_out_xwalk!$C:$L,3,FALSE)</f>
        <v>Corn-1-3</v>
      </c>
      <c r="L48" s="129">
        <f>VLOOKUP(VALUE($B48),test_out_xwalk!$C:$L,5,FALSE)</f>
        <v>0.75</v>
      </c>
      <c r="M48" s="129">
        <f>VLOOKUP(VALUE($B48),test_out_xwalk!$C:$L,6,FALSE)</f>
        <v>0.75</v>
      </c>
      <c r="N48" s="129" t="str">
        <f>VLOOKUP(VALUE($B48),test_out_xwalk!$C:$L,8,FALSE)</f>
        <v>Ground_F-MC_HB</v>
      </c>
      <c r="O48" s="129" t="str">
        <f>VLOOKUP(VALUE($B48),test_out_xwalk!$C:$L,7,FALSE)</f>
        <v>Spray</v>
      </c>
      <c r="P48" s="129" t="str">
        <f>VLOOKUP(VALUE($B48),test_out_xwalk!$C:$L,4,FALSE)</f>
        <v>Pre-emergence</v>
      </c>
      <c r="Q48" s="129" t="str">
        <f>VLOOKUP(VALUE($B48),test_out_xwalk!$C:$L,9,FALSE)</f>
        <v>Corn</v>
      </c>
      <c r="R48">
        <f>_xlfn.XLOOKUP(VALUE(B48),test_out_xwalk!$C:$C,test_out_xwalk!$A:$A)</f>
        <v>1</v>
      </c>
      <c r="T48" s="121" t="str">
        <f>IF('summary_EPA Pond'!$O48="","Check Summary EPA POND worksheet Column O",'summary_EPA Pond'!$O48)</f>
        <v xml:space="preserve">8_114323-14827-5_Soybean-r03N-A_USEPA Pond_0076_median                                </v>
      </c>
      <c r="U48" s="121" t="str" cm="1">
        <f t="array" ref="U48:Z48">IFERROR(_xlfn.TEXTSPLIT(T48,"_"),"")</f>
        <v>8</v>
      </c>
      <c r="V48" t="str">
        <v>114323-14827-5</v>
      </c>
      <c r="W48" t="str">
        <v>Soybean-r03N-A</v>
      </c>
      <c r="X48" t="str">
        <v>USEPA Pond</v>
      </c>
      <c r="Y48" t="str">
        <v>0076</v>
      </c>
      <c r="Z48" t="str">
        <v xml:space="preserve">median                                </v>
      </c>
      <c r="AA48" s="121" t="str" cm="1">
        <f t="array" ref="AA48:AC48">IF(W48="","",(_xlfn.TEXTSPLIT(W48,"-")))</f>
        <v>Soybean</v>
      </c>
      <c r="AB48" s="121" t="str">
        <v>r03N</v>
      </c>
      <c r="AC48" t="str">
        <v>A</v>
      </c>
      <c r="AD48" s="129" t="str">
        <f>VLOOKUP(VALUE($U48),test_out_xwalk!$C:$L,3,FALSE)</f>
        <v>Soybean (Glycine max)-2-8</v>
      </c>
      <c r="AE48" s="129">
        <f>VLOOKUP(VALUE($U48),test_out_xwalk!$C:$L,5,FALSE)</f>
        <v>1.125</v>
      </c>
      <c r="AF48" s="129">
        <f>VLOOKUP(VALUE($U48),test_out_xwalk!$C:$L,6,FALSE)</f>
        <v>3</v>
      </c>
      <c r="AG48" s="129" t="str">
        <f>VLOOKUP(VALUE($U48),test_out_xwalk!$C:$L,8,FALSE)</f>
        <v>None</v>
      </c>
      <c r="AH48" s="129" t="str">
        <f>VLOOKUP(VALUE($U48),test_out_xwalk!$C:$L,7,FALSE)</f>
        <v>Spray</v>
      </c>
      <c r="AI48" s="129" t="str">
        <f>VLOOKUP(VALUE($U48),test_out_xwalk!$C:$L,4,FALSE)</f>
        <v>Post-emergence</v>
      </c>
      <c r="AJ48" s="129" t="str">
        <f>VLOOKUP(VALUE($U48),test_out_xwalk!$C:$L,9,FALSE)</f>
        <v>Soybeans</v>
      </c>
      <c r="AK48">
        <f>_xlfn.XLOOKUP(VALUE(U48),test_out_xwalk!C:C,test_out_xwalk!A:A)</f>
        <v>2</v>
      </c>
    </row>
    <row r="49" spans="1:37" x14ac:dyDescent="0.55000000000000004">
      <c r="A49" s="121" t="str">
        <f>IF('summary_EPA Pond'!$A49="","Check Summary EPA POND worksheet Column A",'summary_EPA Pond'!$A49)</f>
        <v xml:space="preserve">3_125348-10792-1_Corn-r03S-A_USEPA Pond_0010_median                                   </v>
      </c>
      <c r="B49" s="121" t="str" cm="1">
        <f t="array" ref="B49:G49">IFERROR(_xlfn.TEXTSPLIT(A49,"_"),"")</f>
        <v>3</v>
      </c>
      <c r="C49" t="str">
        <v>125348-10792-1</v>
      </c>
      <c r="D49" t="str">
        <v>Corn-r03S-A</v>
      </c>
      <c r="E49" t="str">
        <v>USEPA Pond</v>
      </c>
      <c r="F49" t="str">
        <v>0010</v>
      </c>
      <c r="G49" t="str">
        <v xml:space="preserve">median                                   </v>
      </c>
      <c r="H49" s="121" t="str" cm="1">
        <f t="array" ref="H49:J49">IF(D49="","",(_xlfn.TEXTSPLIT(D49,"-")))</f>
        <v>Corn</v>
      </c>
      <c r="I49" s="121" t="str">
        <v>r03S</v>
      </c>
      <c r="J49" t="str">
        <v>A</v>
      </c>
      <c r="K49" s="129" t="str">
        <f>VLOOKUP(VALUE($B49),test_out_xwalk!$C:$L,3,FALSE)</f>
        <v>Corn-1-3</v>
      </c>
      <c r="L49" s="129">
        <f>VLOOKUP(VALUE($B49),test_out_xwalk!$C:$L,5,FALSE)</f>
        <v>0.75</v>
      </c>
      <c r="M49" s="129">
        <f>VLOOKUP(VALUE($B49),test_out_xwalk!$C:$L,6,FALSE)</f>
        <v>0.75</v>
      </c>
      <c r="N49" s="129" t="str">
        <f>VLOOKUP(VALUE($B49),test_out_xwalk!$C:$L,8,FALSE)</f>
        <v>Ground_F-MC_HB</v>
      </c>
      <c r="O49" s="129" t="str">
        <f>VLOOKUP(VALUE($B49),test_out_xwalk!$C:$L,7,FALSE)</f>
        <v>Spray</v>
      </c>
      <c r="P49" s="129" t="str">
        <f>VLOOKUP(VALUE($B49),test_out_xwalk!$C:$L,4,FALSE)</f>
        <v>Pre-emergence</v>
      </c>
      <c r="Q49" s="129" t="str">
        <f>VLOOKUP(VALUE($B49),test_out_xwalk!$C:$L,9,FALSE)</f>
        <v>Corn</v>
      </c>
      <c r="R49">
        <f>_xlfn.XLOOKUP(VALUE(B49),test_out_xwalk!$C:$C,test_out_xwalk!$A:$A)</f>
        <v>1</v>
      </c>
      <c r="T49" s="121" t="str">
        <f>IF('summary_EPA Pond'!$O49="","Check Summary EPA POND worksheet Column O",'summary_EPA Pond'!$O49)</f>
        <v xml:space="preserve">8_325092-11970-5_Soybean-r03S-A_USEPA Pond_0076_median                                </v>
      </c>
      <c r="U49" s="121" t="str" cm="1">
        <f t="array" ref="U49:Z49">IFERROR(_xlfn.TEXTSPLIT(T49,"_"),"")</f>
        <v>8</v>
      </c>
      <c r="V49" t="str">
        <v>325092-11970-5</v>
      </c>
      <c r="W49" t="str">
        <v>Soybean-r03S-A</v>
      </c>
      <c r="X49" t="str">
        <v>USEPA Pond</v>
      </c>
      <c r="Y49" t="str">
        <v>0076</v>
      </c>
      <c r="Z49" t="str">
        <v xml:space="preserve">median                                </v>
      </c>
      <c r="AA49" s="121" t="str" cm="1">
        <f t="array" ref="AA49:AC49">IF(W49="","",(_xlfn.TEXTSPLIT(W49,"-")))</f>
        <v>Soybean</v>
      </c>
      <c r="AB49" s="121" t="str">
        <v>r03S</v>
      </c>
      <c r="AC49" t="str">
        <v>A</v>
      </c>
      <c r="AD49" s="129" t="str">
        <f>VLOOKUP(VALUE($U49),test_out_xwalk!$C:$L,3,FALSE)</f>
        <v>Soybean (Glycine max)-2-8</v>
      </c>
      <c r="AE49" s="129">
        <f>VLOOKUP(VALUE($U49),test_out_xwalk!$C:$L,5,FALSE)</f>
        <v>1.125</v>
      </c>
      <c r="AF49" s="129">
        <f>VLOOKUP(VALUE($U49),test_out_xwalk!$C:$L,6,FALSE)</f>
        <v>3</v>
      </c>
      <c r="AG49" s="129" t="str">
        <f>VLOOKUP(VALUE($U49),test_out_xwalk!$C:$L,8,FALSE)</f>
        <v>None</v>
      </c>
      <c r="AH49" s="129" t="str">
        <f>VLOOKUP(VALUE($U49),test_out_xwalk!$C:$L,7,FALSE)</f>
        <v>Spray</v>
      </c>
      <c r="AI49" s="129" t="str">
        <f>VLOOKUP(VALUE($U49),test_out_xwalk!$C:$L,4,FALSE)</f>
        <v>Post-emergence</v>
      </c>
      <c r="AJ49" s="129" t="str">
        <f>VLOOKUP(VALUE($U49),test_out_xwalk!$C:$L,9,FALSE)</f>
        <v>Soybeans</v>
      </c>
      <c r="AK49">
        <f>_xlfn.XLOOKUP(VALUE(U49),test_out_xwalk!C:C,test_out_xwalk!A:A)</f>
        <v>2</v>
      </c>
    </row>
    <row r="50" spans="1:37" x14ac:dyDescent="0.55000000000000004">
      <c r="A50" s="121" t="str">
        <f>IF('summary_EPA Pond'!$A50="","Check Summary EPA POND worksheet Column A",'summary_EPA Pond'!$A50)</f>
        <v xml:space="preserve">3_333066-12658-1_Corn-r03W-A_USEPA Pond_0010_median                                   </v>
      </c>
      <c r="B50" s="121" t="str" cm="1">
        <f t="array" ref="B50:G50">IFERROR(_xlfn.TEXTSPLIT(A50,"_"),"")</f>
        <v>3</v>
      </c>
      <c r="C50" t="str">
        <v>333066-12658-1</v>
      </c>
      <c r="D50" t="str">
        <v>Corn-r03W-A</v>
      </c>
      <c r="E50" t="str">
        <v>USEPA Pond</v>
      </c>
      <c r="F50" t="str">
        <v>0010</v>
      </c>
      <c r="G50" t="str">
        <v xml:space="preserve">median                                   </v>
      </c>
      <c r="H50" s="121" t="str" cm="1">
        <f t="array" ref="H50:J50">IF(D50="","",(_xlfn.TEXTSPLIT(D50,"-")))</f>
        <v>Corn</v>
      </c>
      <c r="I50" s="121" t="str">
        <v>r03W</v>
      </c>
      <c r="J50" t="str">
        <v>A</v>
      </c>
      <c r="K50" s="129" t="str">
        <f>VLOOKUP(VALUE($B50),test_out_xwalk!$C:$L,3,FALSE)</f>
        <v>Corn-1-3</v>
      </c>
      <c r="L50" s="129">
        <f>VLOOKUP(VALUE($B50),test_out_xwalk!$C:$L,5,FALSE)</f>
        <v>0.75</v>
      </c>
      <c r="M50" s="129">
        <f>VLOOKUP(VALUE($B50),test_out_xwalk!$C:$L,6,FALSE)</f>
        <v>0.75</v>
      </c>
      <c r="N50" s="129" t="str">
        <f>VLOOKUP(VALUE($B50),test_out_xwalk!$C:$L,8,FALSE)</f>
        <v>Ground_F-MC_HB</v>
      </c>
      <c r="O50" s="129" t="str">
        <f>VLOOKUP(VALUE($B50),test_out_xwalk!$C:$L,7,FALSE)</f>
        <v>Spray</v>
      </c>
      <c r="P50" s="129" t="str">
        <f>VLOOKUP(VALUE($B50),test_out_xwalk!$C:$L,4,FALSE)</f>
        <v>Pre-emergence</v>
      </c>
      <c r="Q50" s="129" t="str">
        <f>VLOOKUP(VALUE($B50),test_out_xwalk!$C:$L,9,FALSE)</f>
        <v>Corn</v>
      </c>
      <c r="R50">
        <f>_xlfn.XLOOKUP(VALUE(B50),test_out_xwalk!$C:$C,test_out_xwalk!$A:$A)</f>
        <v>1</v>
      </c>
      <c r="T50" s="121" t="str">
        <f>IF('summary_EPA Pond'!$O50="","Check Summary EPA POND worksheet Column O",'summary_EPA Pond'!$O50)</f>
        <v xml:space="preserve">8_333014-13366-5_Soybean-r03W-A_USEPA Pond_0076_median                                </v>
      </c>
      <c r="U50" s="121" t="str" cm="1">
        <f t="array" ref="U50:Z50">IFERROR(_xlfn.TEXTSPLIT(T50,"_"),"")</f>
        <v>8</v>
      </c>
      <c r="V50" t="str">
        <v>333014-13366-5</v>
      </c>
      <c r="W50" t="str">
        <v>Soybean-r03W-A</v>
      </c>
      <c r="X50" t="str">
        <v>USEPA Pond</v>
      </c>
      <c r="Y50" t="str">
        <v>0076</v>
      </c>
      <c r="Z50" t="str">
        <v xml:space="preserve">median                                </v>
      </c>
      <c r="AA50" s="121" t="str" cm="1">
        <f t="array" ref="AA50:AC50">IF(W50="","",(_xlfn.TEXTSPLIT(W50,"-")))</f>
        <v>Soybean</v>
      </c>
      <c r="AB50" s="121" t="str">
        <v>r03W</v>
      </c>
      <c r="AC50" t="str">
        <v>A</v>
      </c>
      <c r="AD50" s="129" t="str">
        <f>VLOOKUP(VALUE($U50),test_out_xwalk!$C:$L,3,FALSE)</f>
        <v>Soybean (Glycine max)-2-8</v>
      </c>
      <c r="AE50" s="129">
        <f>VLOOKUP(VALUE($U50),test_out_xwalk!$C:$L,5,FALSE)</f>
        <v>1.125</v>
      </c>
      <c r="AF50" s="129">
        <f>VLOOKUP(VALUE($U50),test_out_xwalk!$C:$L,6,FALSE)</f>
        <v>3</v>
      </c>
      <c r="AG50" s="129" t="str">
        <f>VLOOKUP(VALUE($U50),test_out_xwalk!$C:$L,8,FALSE)</f>
        <v>None</v>
      </c>
      <c r="AH50" s="129" t="str">
        <f>VLOOKUP(VALUE($U50),test_out_xwalk!$C:$L,7,FALSE)</f>
        <v>Spray</v>
      </c>
      <c r="AI50" s="129" t="str">
        <f>VLOOKUP(VALUE($U50),test_out_xwalk!$C:$L,4,FALSE)</f>
        <v>Post-emergence</v>
      </c>
      <c r="AJ50" s="129" t="str">
        <f>VLOOKUP(VALUE($U50),test_out_xwalk!$C:$L,9,FALSE)</f>
        <v>Soybeans</v>
      </c>
      <c r="AK50">
        <f>_xlfn.XLOOKUP(VALUE(U50),test_out_xwalk!C:C,test_out_xwalk!A:A)</f>
        <v>2</v>
      </c>
    </row>
    <row r="51" spans="1:37" x14ac:dyDescent="0.55000000000000004">
      <c r="A51" s="121" t="str">
        <f>IF('summary_EPA Pond'!$A51="","Check Summary EPA POND worksheet Column A",'summary_EPA Pond'!$A51)</f>
        <v xml:space="preserve">3_169674-19520-1_Corn-r04-A_USEPA Pond_0010_median                                    </v>
      </c>
      <c r="B51" s="121" t="str" cm="1">
        <f t="array" ref="B51:G51">IFERROR(_xlfn.TEXTSPLIT(A51,"_"),"")</f>
        <v>3</v>
      </c>
      <c r="C51" t="str">
        <v>169674-19520-1</v>
      </c>
      <c r="D51" t="str">
        <v>Corn-r04-A</v>
      </c>
      <c r="E51" t="str">
        <v>USEPA Pond</v>
      </c>
      <c r="F51" t="str">
        <v>0010</v>
      </c>
      <c r="G51" t="str">
        <v xml:space="preserve">median                                    </v>
      </c>
      <c r="H51" s="121" t="str" cm="1">
        <f t="array" ref="H51:J51">IF(D51="","",(_xlfn.TEXTSPLIT(D51,"-")))</f>
        <v>Corn</v>
      </c>
      <c r="I51" s="121" t="str">
        <v>r04</v>
      </c>
      <c r="J51" t="str">
        <v>A</v>
      </c>
      <c r="K51" s="129" t="str">
        <f>VLOOKUP(VALUE($B51),test_out_xwalk!$C:$L,3,FALSE)</f>
        <v>Corn-1-3</v>
      </c>
      <c r="L51" s="129">
        <f>VLOOKUP(VALUE($B51),test_out_xwalk!$C:$L,5,FALSE)</f>
        <v>0.75</v>
      </c>
      <c r="M51" s="129">
        <f>VLOOKUP(VALUE($B51),test_out_xwalk!$C:$L,6,FALSE)</f>
        <v>0.75</v>
      </c>
      <c r="N51" s="129" t="str">
        <f>VLOOKUP(VALUE($B51),test_out_xwalk!$C:$L,8,FALSE)</f>
        <v>Ground_F-MC_HB</v>
      </c>
      <c r="O51" s="129" t="str">
        <f>VLOOKUP(VALUE($B51),test_out_xwalk!$C:$L,7,FALSE)</f>
        <v>Spray</v>
      </c>
      <c r="P51" s="129" t="str">
        <f>VLOOKUP(VALUE($B51),test_out_xwalk!$C:$L,4,FALSE)</f>
        <v>Pre-emergence</v>
      </c>
      <c r="Q51" s="129" t="str">
        <f>VLOOKUP(VALUE($B51),test_out_xwalk!$C:$L,9,FALSE)</f>
        <v>Corn</v>
      </c>
      <c r="R51">
        <f>_xlfn.XLOOKUP(VALUE(B51),test_out_xwalk!$C:$C,test_out_xwalk!$A:$A)</f>
        <v>1</v>
      </c>
      <c r="T51" s="121" t="str">
        <f>IF('summary_EPA Pond'!$O51="","Check Summary EPA POND worksheet Column O",'summary_EPA Pond'!$O51)</f>
        <v xml:space="preserve">8_423263-22330-5_Soybean-r04-A_USEPA Pond_0076_median                                 </v>
      </c>
      <c r="U51" s="121" t="str" cm="1">
        <f t="array" ref="U51:Z51">IFERROR(_xlfn.TEXTSPLIT(T51,"_"),"")</f>
        <v>8</v>
      </c>
      <c r="V51" t="str">
        <v>423263-22330-5</v>
      </c>
      <c r="W51" t="str">
        <v>Soybean-r04-A</v>
      </c>
      <c r="X51" t="str">
        <v>USEPA Pond</v>
      </c>
      <c r="Y51" t="str">
        <v>0076</v>
      </c>
      <c r="Z51" t="str">
        <v xml:space="preserve">median                                 </v>
      </c>
      <c r="AA51" s="121" t="str" cm="1">
        <f t="array" ref="AA51:AC51">IF(W51="","",(_xlfn.TEXTSPLIT(W51,"-")))</f>
        <v>Soybean</v>
      </c>
      <c r="AB51" s="121" t="str">
        <v>r04</v>
      </c>
      <c r="AC51" t="str">
        <v>A</v>
      </c>
      <c r="AD51" s="129" t="str">
        <f>VLOOKUP(VALUE($U51),test_out_xwalk!$C:$L,3,FALSE)</f>
        <v>Soybean (Glycine max)-2-8</v>
      </c>
      <c r="AE51" s="129">
        <f>VLOOKUP(VALUE($U51),test_out_xwalk!$C:$L,5,FALSE)</f>
        <v>1.125</v>
      </c>
      <c r="AF51" s="129">
        <f>VLOOKUP(VALUE($U51),test_out_xwalk!$C:$L,6,FALSE)</f>
        <v>3</v>
      </c>
      <c r="AG51" s="129" t="str">
        <f>VLOOKUP(VALUE($U51),test_out_xwalk!$C:$L,8,FALSE)</f>
        <v>None</v>
      </c>
      <c r="AH51" s="129" t="str">
        <f>VLOOKUP(VALUE($U51),test_out_xwalk!$C:$L,7,FALSE)</f>
        <v>Spray</v>
      </c>
      <c r="AI51" s="129" t="str">
        <f>VLOOKUP(VALUE($U51),test_out_xwalk!$C:$L,4,FALSE)</f>
        <v>Post-emergence</v>
      </c>
      <c r="AJ51" s="129" t="str">
        <f>VLOOKUP(VALUE($U51),test_out_xwalk!$C:$L,9,FALSE)</f>
        <v>Soybeans</v>
      </c>
      <c r="AK51">
        <f>_xlfn.XLOOKUP(VALUE(U51),test_out_xwalk!C:C,test_out_xwalk!A:A)</f>
        <v>2</v>
      </c>
    </row>
    <row r="52" spans="1:37" x14ac:dyDescent="0.55000000000000004">
      <c r="A52" s="121" t="str">
        <f>IF('summary_EPA Pond'!$A52="","Check Summary EPA POND worksheet Column A",'summary_EPA Pond'!$A52)</f>
        <v xml:space="preserve">3_164805-19043-1_Corn-r05-A_USEPA Pond_0010_median                                    </v>
      </c>
      <c r="B52" s="121" t="str" cm="1">
        <f t="array" ref="B52:G52">IFERROR(_xlfn.TEXTSPLIT(A52,"_"),"")</f>
        <v>3</v>
      </c>
      <c r="C52" t="str">
        <v>164805-19043-1</v>
      </c>
      <c r="D52" t="str">
        <v>Corn-r05-A</v>
      </c>
      <c r="E52" t="str">
        <v>USEPA Pond</v>
      </c>
      <c r="F52" t="str">
        <v>0010</v>
      </c>
      <c r="G52" t="str">
        <v xml:space="preserve">median                                    </v>
      </c>
      <c r="H52" s="121" t="str" cm="1">
        <f t="array" ref="H52:J52">IF(D52="","",(_xlfn.TEXTSPLIT(D52,"-")))</f>
        <v>Corn</v>
      </c>
      <c r="I52" s="121" t="str">
        <v>r05</v>
      </c>
      <c r="J52" t="str">
        <v>A</v>
      </c>
      <c r="K52" s="129" t="str">
        <f>VLOOKUP(VALUE($B52),test_out_xwalk!$C:$L,3,FALSE)</f>
        <v>Corn-1-3</v>
      </c>
      <c r="L52" s="129">
        <f>VLOOKUP(VALUE($B52),test_out_xwalk!$C:$L,5,FALSE)</f>
        <v>0.75</v>
      </c>
      <c r="M52" s="129">
        <f>VLOOKUP(VALUE($B52),test_out_xwalk!$C:$L,6,FALSE)</f>
        <v>0.75</v>
      </c>
      <c r="N52" s="129" t="str">
        <f>VLOOKUP(VALUE($B52),test_out_xwalk!$C:$L,8,FALSE)</f>
        <v>Ground_F-MC_HB</v>
      </c>
      <c r="O52" s="129" t="str">
        <f>VLOOKUP(VALUE($B52),test_out_xwalk!$C:$L,7,FALSE)</f>
        <v>Spray</v>
      </c>
      <c r="P52" s="129" t="str">
        <f>VLOOKUP(VALUE($B52),test_out_xwalk!$C:$L,4,FALSE)</f>
        <v>Pre-emergence</v>
      </c>
      <c r="Q52" s="129" t="str">
        <f>VLOOKUP(VALUE($B52),test_out_xwalk!$C:$L,9,FALSE)</f>
        <v>Corn</v>
      </c>
      <c r="R52">
        <f>_xlfn.XLOOKUP(VALUE(B52),test_out_xwalk!$C:$C,test_out_xwalk!$A:$A)</f>
        <v>1</v>
      </c>
      <c r="T52" s="121" t="str">
        <f>IF('summary_EPA Pond'!$O52="","Check Summary EPA POND worksheet Column O",'summary_EPA Pond'!$O52)</f>
        <v xml:space="preserve">8_163010-18801-5_Soybean-r05-A_USEPA Pond_0076_median                                 </v>
      </c>
      <c r="U52" s="121" t="str" cm="1">
        <f t="array" ref="U52:Z52">IFERROR(_xlfn.TEXTSPLIT(T52,"_"),"")</f>
        <v>8</v>
      </c>
      <c r="V52" t="str">
        <v>163010-18801-5</v>
      </c>
      <c r="W52" t="str">
        <v>Soybean-r05-A</v>
      </c>
      <c r="X52" t="str">
        <v>USEPA Pond</v>
      </c>
      <c r="Y52" t="str">
        <v>0076</v>
      </c>
      <c r="Z52" t="str">
        <v xml:space="preserve">median                                 </v>
      </c>
      <c r="AA52" s="121" t="str" cm="1">
        <f t="array" ref="AA52:AC52">IF(W52="","",(_xlfn.TEXTSPLIT(W52,"-")))</f>
        <v>Soybean</v>
      </c>
      <c r="AB52" s="121" t="str">
        <v>r05</v>
      </c>
      <c r="AC52" t="str">
        <v>A</v>
      </c>
      <c r="AD52" s="129" t="str">
        <f>VLOOKUP(VALUE($U52),test_out_xwalk!$C:$L,3,FALSE)</f>
        <v>Soybean (Glycine max)-2-8</v>
      </c>
      <c r="AE52" s="129">
        <f>VLOOKUP(VALUE($U52),test_out_xwalk!$C:$L,5,FALSE)</f>
        <v>1.125</v>
      </c>
      <c r="AF52" s="129">
        <f>VLOOKUP(VALUE($U52),test_out_xwalk!$C:$L,6,FALSE)</f>
        <v>3</v>
      </c>
      <c r="AG52" s="129" t="str">
        <f>VLOOKUP(VALUE($U52),test_out_xwalk!$C:$L,8,FALSE)</f>
        <v>None</v>
      </c>
      <c r="AH52" s="129" t="str">
        <f>VLOOKUP(VALUE($U52),test_out_xwalk!$C:$L,7,FALSE)</f>
        <v>Spray</v>
      </c>
      <c r="AI52" s="129" t="str">
        <f>VLOOKUP(VALUE($U52),test_out_xwalk!$C:$L,4,FALSE)</f>
        <v>Post-emergence</v>
      </c>
      <c r="AJ52" s="129" t="str">
        <f>VLOOKUP(VALUE($U52),test_out_xwalk!$C:$L,9,FALSE)</f>
        <v>Soybeans</v>
      </c>
      <c r="AK52">
        <f>_xlfn.XLOOKUP(VALUE(U52),test_out_xwalk!C:C,test_out_xwalk!A:A)</f>
        <v>2</v>
      </c>
    </row>
    <row r="53" spans="1:37" x14ac:dyDescent="0.55000000000000004">
      <c r="A53" s="121" t="str">
        <f>IF('summary_EPA Pond'!$A53="","Check Summary EPA POND worksheet Column A",'summary_EPA Pond'!$A53)</f>
        <v xml:space="preserve">3_522893-13848-1_Corn-r06-A_USEPA Pond_0010_median                                    </v>
      </c>
      <c r="B53" s="121" t="str" cm="1">
        <f t="array" ref="B53:G53">IFERROR(_xlfn.TEXTSPLIT(A53,"_"),"")</f>
        <v>3</v>
      </c>
      <c r="C53" t="str">
        <v>522893-13848-1</v>
      </c>
      <c r="D53" t="str">
        <v>Corn-r06-A</v>
      </c>
      <c r="E53" t="str">
        <v>USEPA Pond</v>
      </c>
      <c r="F53" t="str">
        <v>0010</v>
      </c>
      <c r="G53" t="str">
        <v xml:space="preserve">median                                    </v>
      </c>
      <c r="H53" s="121" t="str" cm="1">
        <f t="array" ref="H53:J53">IF(D53="","",(_xlfn.TEXTSPLIT(D53,"-")))</f>
        <v>Corn</v>
      </c>
      <c r="I53" s="121" t="str">
        <v>r06</v>
      </c>
      <c r="J53" t="str">
        <v>A</v>
      </c>
      <c r="K53" s="129" t="str">
        <f>VLOOKUP(VALUE($B53),test_out_xwalk!$C:$L,3,FALSE)</f>
        <v>Corn-1-3</v>
      </c>
      <c r="L53" s="129">
        <f>VLOOKUP(VALUE($B53),test_out_xwalk!$C:$L,5,FALSE)</f>
        <v>0.75</v>
      </c>
      <c r="M53" s="129">
        <f>VLOOKUP(VALUE($B53),test_out_xwalk!$C:$L,6,FALSE)</f>
        <v>0.75</v>
      </c>
      <c r="N53" s="129" t="str">
        <f>VLOOKUP(VALUE($B53),test_out_xwalk!$C:$L,8,FALSE)</f>
        <v>Ground_F-MC_HB</v>
      </c>
      <c r="O53" s="129" t="str">
        <f>VLOOKUP(VALUE($B53),test_out_xwalk!$C:$L,7,FALSE)</f>
        <v>Spray</v>
      </c>
      <c r="P53" s="129" t="str">
        <f>VLOOKUP(VALUE($B53),test_out_xwalk!$C:$L,4,FALSE)</f>
        <v>Pre-emergence</v>
      </c>
      <c r="Q53" s="129" t="str">
        <f>VLOOKUP(VALUE($B53),test_out_xwalk!$C:$L,9,FALSE)</f>
        <v>Corn</v>
      </c>
      <c r="R53">
        <f>_xlfn.XLOOKUP(VALUE(B53),test_out_xwalk!$C:$C,test_out_xwalk!$A:$A)</f>
        <v>1</v>
      </c>
      <c r="T53" s="121" t="str">
        <f>IF('summary_EPA Pond'!$O53="","Check Summary EPA POND worksheet Column O",'summary_EPA Pond'!$O53)</f>
        <v xml:space="preserve">8_1597339-15962-5_Soybean-r06-A_USEPA Pond_0076_median                                </v>
      </c>
      <c r="U53" s="121" t="str" cm="1">
        <f t="array" ref="U53:Z53">IFERROR(_xlfn.TEXTSPLIT(T53,"_"),"")</f>
        <v>8</v>
      </c>
      <c r="V53" t="str">
        <v>1597339-15962-5</v>
      </c>
      <c r="W53" t="str">
        <v>Soybean-r06-A</v>
      </c>
      <c r="X53" t="str">
        <v>USEPA Pond</v>
      </c>
      <c r="Y53" t="str">
        <v>0076</v>
      </c>
      <c r="Z53" t="str">
        <v xml:space="preserve">median                                </v>
      </c>
      <c r="AA53" s="121" t="str" cm="1">
        <f t="array" ref="AA53:AC53">IF(W53="","",(_xlfn.TEXTSPLIT(W53,"-")))</f>
        <v>Soybean</v>
      </c>
      <c r="AB53" s="121" t="str">
        <v>r06</v>
      </c>
      <c r="AC53" t="str">
        <v>A</v>
      </c>
      <c r="AD53" s="129" t="str">
        <f>VLOOKUP(VALUE($U53),test_out_xwalk!$C:$L,3,FALSE)</f>
        <v>Soybean (Glycine max)-2-8</v>
      </c>
      <c r="AE53" s="129">
        <f>VLOOKUP(VALUE($U53),test_out_xwalk!$C:$L,5,FALSE)</f>
        <v>1.125</v>
      </c>
      <c r="AF53" s="129">
        <f>VLOOKUP(VALUE($U53),test_out_xwalk!$C:$L,6,FALSE)</f>
        <v>3</v>
      </c>
      <c r="AG53" s="129" t="str">
        <f>VLOOKUP(VALUE($U53),test_out_xwalk!$C:$L,8,FALSE)</f>
        <v>None</v>
      </c>
      <c r="AH53" s="129" t="str">
        <f>VLOOKUP(VALUE($U53),test_out_xwalk!$C:$L,7,FALSE)</f>
        <v>Spray</v>
      </c>
      <c r="AI53" s="129" t="str">
        <f>VLOOKUP(VALUE($U53),test_out_xwalk!$C:$L,4,FALSE)</f>
        <v>Post-emergence</v>
      </c>
      <c r="AJ53" s="129" t="str">
        <f>VLOOKUP(VALUE($U53),test_out_xwalk!$C:$L,9,FALSE)</f>
        <v>Soybeans</v>
      </c>
      <c r="AK53">
        <f>_xlfn.XLOOKUP(VALUE(U53),test_out_xwalk!C:C,test_out_xwalk!A:A)</f>
        <v>2</v>
      </c>
    </row>
    <row r="54" spans="1:37" x14ac:dyDescent="0.55000000000000004">
      <c r="A54" s="121" t="str">
        <f>IF('summary_EPA Pond'!$A54="","Check Summary EPA POND worksheet Column A",'summary_EPA Pond'!$A54)</f>
        <v xml:space="preserve">3_2765542-21371-1_Corn-r07-A_USEPA Pond_0010_median                                   </v>
      </c>
      <c r="B54" s="121" t="str" cm="1">
        <f t="array" ref="B54:G54">IFERROR(_xlfn.TEXTSPLIT(A54,"_"),"")</f>
        <v>3</v>
      </c>
      <c r="C54" t="str">
        <v>2765542-21371-1</v>
      </c>
      <c r="D54" t="str">
        <v>Corn-r07-A</v>
      </c>
      <c r="E54" t="str">
        <v>USEPA Pond</v>
      </c>
      <c r="F54" t="str">
        <v>0010</v>
      </c>
      <c r="G54" t="str">
        <v xml:space="preserve">median                                   </v>
      </c>
      <c r="H54" s="121" t="str" cm="1">
        <f t="array" ref="H54:J54">IF(D54="","",(_xlfn.TEXTSPLIT(D54,"-")))</f>
        <v>Corn</v>
      </c>
      <c r="I54" s="121" t="str">
        <v>r07</v>
      </c>
      <c r="J54" t="str">
        <v>A</v>
      </c>
      <c r="K54" s="129" t="str">
        <f>VLOOKUP(VALUE($B54),test_out_xwalk!$C:$L,3,FALSE)</f>
        <v>Corn-1-3</v>
      </c>
      <c r="L54" s="129">
        <f>VLOOKUP(VALUE($B54),test_out_xwalk!$C:$L,5,FALSE)</f>
        <v>0.75</v>
      </c>
      <c r="M54" s="129">
        <f>VLOOKUP(VALUE($B54),test_out_xwalk!$C:$L,6,FALSE)</f>
        <v>0.75</v>
      </c>
      <c r="N54" s="129" t="str">
        <f>VLOOKUP(VALUE($B54),test_out_xwalk!$C:$L,8,FALSE)</f>
        <v>Ground_F-MC_HB</v>
      </c>
      <c r="O54" s="129" t="str">
        <f>VLOOKUP(VALUE($B54),test_out_xwalk!$C:$L,7,FALSE)</f>
        <v>Spray</v>
      </c>
      <c r="P54" s="129" t="str">
        <f>VLOOKUP(VALUE($B54),test_out_xwalk!$C:$L,4,FALSE)</f>
        <v>Pre-emergence</v>
      </c>
      <c r="Q54" s="129" t="str">
        <f>VLOOKUP(VALUE($B54),test_out_xwalk!$C:$L,9,FALSE)</f>
        <v>Corn</v>
      </c>
      <c r="R54">
        <f>_xlfn.XLOOKUP(VALUE(B54),test_out_xwalk!$C:$C,test_out_xwalk!$A:$A)</f>
        <v>1</v>
      </c>
      <c r="T54" s="121" t="str">
        <f>IF('summary_EPA Pond'!$O54="","Check Summary EPA POND worksheet Column O",'summary_EPA Pond'!$O54)</f>
        <v xml:space="preserve">8_1585999-21611-5_Soybean-r07-A_USEPA Pond_0076_median                                </v>
      </c>
      <c r="U54" s="121" t="str" cm="1">
        <f t="array" ref="U54:Z54">IFERROR(_xlfn.TEXTSPLIT(T54,"_"),"")</f>
        <v>8</v>
      </c>
      <c r="V54" t="str">
        <v>1585999-21611-5</v>
      </c>
      <c r="W54" t="str">
        <v>Soybean-r07-A</v>
      </c>
      <c r="X54" t="str">
        <v>USEPA Pond</v>
      </c>
      <c r="Y54" t="str">
        <v>0076</v>
      </c>
      <c r="Z54" t="str">
        <v xml:space="preserve">median                                </v>
      </c>
      <c r="AA54" s="121" t="str" cm="1">
        <f t="array" ref="AA54:AC54">IF(W54="","",(_xlfn.TEXTSPLIT(W54,"-")))</f>
        <v>Soybean</v>
      </c>
      <c r="AB54" s="121" t="str">
        <v>r07</v>
      </c>
      <c r="AC54" t="str">
        <v>A</v>
      </c>
      <c r="AD54" s="129" t="str">
        <f>VLOOKUP(VALUE($U54),test_out_xwalk!$C:$L,3,FALSE)</f>
        <v>Soybean (Glycine max)-2-8</v>
      </c>
      <c r="AE54" s="129">
        <f>VLOOKUP(VALUE($U54),test_out_xwalk!$C:$L,5,FALSE)</f>
        <v>1.125</v>
      </c>
      <c r="AF54" s="129">
        <f>VLOOKUP(VALUE($U54),test_out_xwalk!$C:$L,6,FALSE)</f>
        <v>3</v>
      </c>
      <c r="AG54" s="129" t="str">
        <f>VLOOKUP(VALUE($U54),test_out_xwalk!$C:$L,8,FALSE)</f>
        <v>None</v>
      </c>
      <c r="AH54" s="129" t="str">
        <f>VLOOKUP(VALUE($U54),test_out_xwalk!$C:$L,7,FALSE)</f>
        <v>Spray</v>
      </c>
      <c r="AI54" s="129" t="str">
        <f>VLOOKUP(VALUE($U54),test_out_xwalk!$C:$L,4,FALSE)</f>
        <v>Post-emergence</v>
      </c>
      <c r="AJ54" s="129" t="str">
        <f>VLOOKUP(VALUE($U54),test_out_xwalk!$C:$L,9,FALSE)</f>
        <v>Soybeans</v>
      </c>
      <c r="AK54">
        <f>_xlfn.XLOOKUP(VALUE(U54),test_out_xwalk!C:C,test_out_xwalk!A:A)</f>
        <v>2</v>
      </c>
    </row>
    <row r="55" spans="1:37" x14ac:dyDescent="0.55000000000000004">
      <c r="A55" s="121" t="str">
        <f>IF('summary_EPA Pond'!$A55="","Check Summary EPA POND worksheet Column A",'summary_EPA Pond'!$A55)</f>
        <v xml:space="preserve">3_568322-13597-1_Corn-r08-A_USEPA Pond_0010_median                                    </v>
      </c>
      <c r="B55" s="121" t="str" cm="1">
        <f t="array" ref="B55:G55">IFERROR(_xlfn.TEXTSPLIT(A55,"_"),"")</f>
        <v>3</v>
      </c>
      <c r="C55" t="str">
        <v>568322-13597-1</v>
      </c>
      <c r="D55" t="str">
        <v>Corn-r08-A</v>
      </c>
      <c r="E55" t="str">
        <v>USEPA Pond</v>
      </c>
      <c r="F55" t="str">
        <v>0010</v>
      </c>
      <c r="G55" t="str">
        <v xml:space="preserve">median                                    </v>
      </c>
      <c r="H55" s="121" t="str" cm="1">
        <f t="array" ref="H55:J55">IF(D55="","",(_xlfn.TEXTSPLIT(D55,"-")))</f>
        <v>Corn</v>
      </c>
      <c r="I55" s="121" t="str">
        <v>r08</v>
      </c>
      <c r="J55" t="str">
        <v>A</v>
      </c>
      <c r="K55" s="129" t="str">
        <f>VLOOKUP(VALUE($B55),test_out_xwalk!$C:$L,3,FALSE)</f>
        <v>Corn-1-3</v>
      </c>
      <c r="L55" s="129">
        <f>VLOOKUP(VALUE($B55),test_out_xwalk!$C:$L,5,FALSE)</f>
        <v>0.75</v>
      </c>
      <c r="M55" s="129">
        <f>VLOOKUP(VALUE($B55),test_out_xwalk!$C:$L,6,FALSE)</f>
        <v>0.75</v>
      </c>
      <c r="N55" s="129" t="str">
        <f>VLOOKUP(VALUE($B55),test_out_xwalk!$C:$L,8,FALSE)</f>
        <v>Ground_F-MC_HB</v>
      </c>
      <c r="O55" s="129" t="str">
        <f>VLOOKUP(VALUE($B55),test_out_xwalk!$C:$L,7,FALSE)</f>
        <v>Spray</v>
      </c>
      <c r="P55" s="129" t="str">
        <f>VLOOKUP(VALUE($B55),test_out_xwalk!$C:$L,4,FALSE)</f>
        <v>Pre-emergence</v>
      </c>
      <c r="Q55" s="129" t="str">
        <f>VLOOKUP(VALUE($B55),test_out_xwalk!$C:$L,9,FALSE)</f>
        <v>Corn</v>
      </c>
      <c r="R55">
        <f>_xlfn.XLOOKUP(VALUE(B55),test_out_xwalk!$C:$C,test_out_xwalk!$A:$A)</f>
        <v>1</v>
      </c>
      <c r="T55" s="121" t="str">
        <f>IF('summary_EPA Pond'!$O55="","Check Summary EPA POND worksheet Column O",'summary_EPA Pond'!$O55)</f>
        <v xml:space="preserve">8_564088-14065-5_Soybean-r08-A_USEPA Pond_0076_median                                 </v>
      </c>
      <c r="U55" s="121" t="str" cm="1">
        <f t="array" ref="U55:Z55">IFERROR(_xlfn.TEXTSPLIT(T55,"_"),"")</f>
        <v>8</v>
      </c>
      <c r="V55" t="str">
        <v>564088-14065-5</v>
      </c>
      <c r="W55" t="str">
        <v>Soybean-r08-A</v>
      </c>
      <c r="X55" t="str">
        <v>USEPA Pond</v>
      </c>
      <c r="Y55" t="str">
        <v>0076</v>
      </c>
      <c r="Z55" t="str">
        <v xml:space="preserve">median                                 </v>
      </c>
      <c r="AA55" s="121" t="str" cm="1">
        <f t="array" ref="AA55:AC55">IF(W55="","",(_xlfn.TEXTSPLIT(W55,"-")))</f>
        <v>Soybean</v>
      </c>
      <c r="AB55" s="121" t="str">
        <v>r08</v>
      </c>
      <c r="AC55" t="str">
        <v>A</v>
      </c>
      <c r="AD55" s="129" t="str">
        <f>VLOOKUP(VALUE($U55),test_out_xwalk!$C:$L,3,FALSE)</f>
        <v>Soybean (Glycine max)-2-8</v>
      </c>
      <c r="AE55" s="129">
        <f>VLOOKUP(VALUE($U55),test_out_xwalk!$C:$L,5,FALSE)</f>
        <v>1.125</v>
      </c>
      <c r="AF55" s="129">
        <f>VLOOKUP(VALUE($U55),test_out_xwalk!$C:$L,6,FALSE)</f>
        <v>3</v>
      </c>
      <c r="AG55" s="129" t="str">
        <f>VLOOKUP(VALUE($U55),test_out_xwalk!$C:$L,8,FALSE)</f>
        <v>None</v>
      </c>
      <c r="AH55" s="129" t="str">
        <f>VLOOKUP(VALUE($U55),test_out_xwalk!$C:$L,7,FALSE)</f>
        <v>Spray</v>
      </c>
      <c r="AI55" s="129" t="str">
        <f>VLOOKUP(VALUE($U55),test_out_xwalk!$C:$L,4,FALSE)</f>
        <v>Post-emergence</v>
      </c>
      <c r="AJ55" s="129" t="str">
        <f>VLOOKUP(VALUE($U55),test_out_xwalk!$C:$L,9,FALSE)</f>
        <v>Soybeans</v>
      </c>
      <c r="AK55">
        <f>_xlfn.XLOOKUP(VALUE(U55),test_out_xwalk!C:C,test_out_xwalk!A:A)</f>
        <v>2</v>
      </c>
    </row>
    <row r="56" spans="1:37" x14ac:dyDescent="0.55000000000000004">
      <c r="A56" s="121" t="str">
        <f>IF('summary_EPA Pond'!$A56="","Check Summary EPA POND worksheet Column A",'summary_EPA Pond'!$A56)</f>
        <v xml:space="preserve">3_2798874-27020-1_Corn-r09-A_USEPA Pond_0010_median                                   </v>
      </c>
      <c r="B56" s="121" t="str" cm="1">
        <f t="array" ref="B56:G56">IFERROR(_xlfn.TEXTSPLIT(A56,"_"),"")</f>
        <v>3</v>
      </c>
      <c r="C56" t="str">
        <v>2798874-27020-1</v>
      </c>
      <c r="D56" t="str">
        <v>Corn-r09-A</v>
      </c>
      <c r="E56" t="str">
        <v>USEPA Pond</v>
      </c>
      <c r="F56" t="str">
        <v>0010</v>
      </c>
      <c r="G56" t="str">
        <v xml:space="preserve">median                                   </v>
      </c>
      <c r="H56" s="121" t="str" cm="1">
        <f t="array" ref="H56:J56">IF(D56="","",(_xlfn.TEXTSPLIT(D56,"-")))</f>
        <v>Corn</v>
      </c>
      <c r="I56" s="121" t="str">
        <v>r09</v>
      </c>
      <c r="J56" t="str">
        <v>A</v>
      </c>
      <c r="K56" s="129" t="str">
        <f>VLOOKUP(VALUE($B56),test_out_xwalk!$C:$L,3,FALSE)</f>
        <v>Corn-1-3</v>
      </c>
      <c r="L56" s="129">
        <f>VLOOKUP(VALUE($B56),test_out_xwalk!$C:$L,5,FALSE)</f>
        <v>0.75</v>
      </c>
      <c r="M56" s="129">
        <f>VLOOKUP(VALUE($B56),test_out_xwalk!$C:$L,6,FALSE)</f>
        <v>0.75</v>
      </c>
      <c r="N56" s="129" t="str">
        <f>VLOOKUP(VALUE($B56),test_out_xwalk!$C:$L,8,FALSE)</f>
        <v>Ground_F-MC_HB</v>
      </c>
      <c r="O56" s="129" t="str">
        <f>VLOOKUP(VALUE($B56),test_out_xwalk!$C:$L,7,FALSE)</f>
        <v>Spray</v>
      </c>
      <c r="P56" s="129" t="str">
        <f>VLOOKUP(VALUE($B56),test_out_xwalk!$C:$L,4,FALSE)</f>
        <v>Pre-emergence</v>
      </c>
      <c r="Q56" s="129" t="str">
        <f>VLOOKUP(VALUE($B56),test_out_xwalk!$C:$L,9,FALSE)</f>
        <v>Corn</v>
      </c>
      <c r="R56">
        <f>_xlfn.XLOOKUP(VALUE(B56),test_out_xwalk!$C:$C,test_out_xwalk!$A:$A)</f>
        <v>1</v>
      </c>
      <c r="T56" s="121" t="str">
        <f>IF('summary_EPA Pond'!$O56="","Check Summary EPA POND worksheet Column O",'summary_EPA Pond'!$O56)</f>
        <v xml:space="preserve">8_2585754-26533-5_Soybean-r09-A_USEPA Pond_0076_median                                </v>
      </c>
      <c r="U56" s="121" t="str" cm="1">
        <f t="array" ref="U56:Z56">IFERROR(_xlfn.TEXTSPLIT(T56,"_"),"")</f>
        <v>8</v>
      </c>
      <c r="V56" t="str">
        <v>2585754-26533-5</v>
      </c>
      <c r="W56" t="str">
        <v>Soybean-r09-A</v>
      </c>
      <c r="X56" t="str">
        <v>USEPA Pond</v>
      </c>
      <c r="Y56" t="str">
        <v>0076</v>
      </c>
      <c r="Z56" t="str">
        <v xml:space="preserve">median                                </v>
      </c>
      <c r="AA56" s="121" t="str" cm="1">
        <f t="array" ref="AA56:AC56">IF(W56="","",(_xlfn.TEXTSPLIT(W56,"-")))</f>
        <v>Soybean</v>
      </c>
      <c r="AB56" s="121" t="str">
        <v>r09</v>
      </c>
      <c r="AC56" t="str">
        <v>A</v>
      </c>
      <c r="AD56" s="129" t="str">
        <f>VLOOKUP(VALUE($U56),test_out_xwalk!$C:$L,3,FALSE)</f>
        <v>Soybean (Glycine max)-2-8</v>
      </c>
      <c r="AE56" s="129">
        <f>VLOOKUP(VALUE($U56),test_out_xwalk!$C:$L,5,FALSE)</f>
        <v>1.125</v>
      </c>
      <c r="AF56" s="129">
        <f>VLOOKUP(VALUE($U56),test_out_xwalk!$C:$L,6,FALSE)</f>
        <v>3</v>
      </c>
      <c r="AG56" s="129" t="str">
        <f>VLOOKUP(VALUE($U56),test_out_xwalk!$C:$L,8,FALSE)</f>
        <v>None</v>
      </c>
      <c r="AH56" s="129" t="str">
        <f>VLOOKUP(VALUE($U56),test_out_xwalk!$C:$L,7,FALSE)</f>
        <v>Spray</v>
      </c>
      <c r="AI56" s="129" t="str">
        <f>VLOOKUP(VALUE($U56),test_out_xwalk!$C:$L,4,FALSE)</f>
        <v>Post-emergence</v>
      </c>
      <c r="AJ56" s="129" t="str">
        <f>VLOOKUP(VALUE($U56),test_out_xwalk!$C:$L,9,FALSE)</f>
        <v>Soybeans</v>
      </c>
      <c r="AK56">
        <f>_xlfn.XLOOKUP(VALUE(U56),test_out_xwalk!C:C,test_out_xwalk!A:A)</f>
        <v>2</v>
      </c>
    </row>
    <row r="57" spans="1:37" x14ac:dyDescent="0.55000000000000004">
      <c r="A57" s="121" t="str">
        <f>IF('summary_EPA Pond'!$A57="","Check Summary EPA POND worksheet Column A",'summary_EPA Pond'!$A57)</f>
        <v xml:space="preserve">3_1691426-20179-13_Corn-r10L-A_USEPA Pond_0010_median                                 </v>
      </c>
      <c r="B57" s="121" t="str" cm="1">
        <f t="array" ref="B57:G57">IFERROR(_xlfn.TEXTSPLIT(A57,"_"),"")</f>
        <v>3</v>
      </c>
      <c r="C57" t="str">
        <v>1691426-20179-13</v>
      </c>
      <c r="D57" t="str">
        <v>Corn-r10L-A</v>
      </c>
      <c r="E57" t="str">
        <v>USEPA Pond</v>
      </c>
      <c r="F57" t="str">
        <v>0010</v>
      </c>
      <c r="G57" t="str">
        <v xml:space="preserve">median                                 </v>
      </c>
      <c r="H57" s="121" t="str" cm="1">
        <f t="array" ref="H57:J57">IF(D57="","",(_xlfn.TEXTSPLIT(D57,"-")))</f>
        <v>Corn</v>
      </c>
      <c r="I57" s="121" t="str">
        <v>r10L</v>
      </c>
      <c r="J57" t="str">
        <v>A</v>
      </c>
      <c r="K57" s="129" t="str">
        <f>VLOOKUP(VALUE($B57),test_out_xwalk!$C:$L,3,FALSE)</f>
        <v>Corn-1-3</v>
      </c>
      <c r="L57" s="129">
        <f>VLOOKUP(VALUE($B57),test_out_xwalk!$C:$L,5,FALSE)</f>
        <v>0.75</v>
      </c>
      <c r="M57" s="129">
        <f>VLOOKUP(VALUE($B57),test_out_xwalk!$C:$L,6,FALSE)</f>
        <v>0.75</v>
      </c>
      <c r="N57" s="129" t="str">
        <f>VLOOKUP(VALUE($B57),test_out_xwalk!$C:$L,8,FALSE)</f>
        <v>Ground_F-MC_HB</v>
      </c>
      <c r="O57" s="129" t="str">
        <f>VLOOKUP(VALUE($B57),test_out_xwalk!$C:$L,7,FALSE)</f>
        <v>Spray</v>
      </c>
      <c r="P57" s="129" t="str">
        <f>VLOOKUP(VALUE($B57),test_out_xwalk!$C:$L,4,FALSE)</f>
        <v>Pre-emergence</v>
      </c>
      <c r="Q57" s="129" t="str">
        <f>VLOOKUP(VALUE($B57),test_out_xwalk!$C:$L,9,FALSE)</f>
        <v>Corn</v>
      </c>
      <c r="R57">
        <f>_xlfn.XLOOKUP(VALUE(B57),test_out_xwalk!$C:$C,test_out_xwalk!$A:$A)</f>
        <v>1</v>
      </c>
      <c r="T57" s="121" t="str">
        <f>IF('summary_EPA Pond'!$O57="","Check Summary EPA POND worksheet Column O",'summary_EPA Pond'!$O57)</f>
        <v xml:space="preserve">8_1700092-19697-5_Soybean-r10L-A_USEPA Pond_0076_median                               </v>
      </c>
      <c r="U57" s="121" t="str" cm="1">
        <f t="array" ref="U57:Z57">IFERROR(_xlfn.TEXTSPLIT(T57,"_"),"")</f>
        <v>8</v>
      </c>
      <c r="V57" t="str">
        <v>1700092-19697-5</v>
      </c>
      <c r="W57" t="str">
        <v>Soybean-r10L-A</v>
      </c>
      <c r="X57" t="str">
        <v>USEPA Pond</v>
      </c>
      <c r="Y57" t="str">
        <v>0076</v>
      </c>
      <c r="Z57" t="str">
        <v xml:space="preserve">median                               </v>
      </c>
      <c r="AA57" s="121" t="str" cm="1">
        <f t="array" ref="AA57:AC57">IF(W57="","",(_xlfn.TEXTSPLIT(W57,"-")))</f>
        <v>Soybean</v>
      </c>
      <c r="AB57" s="121" t="str">
        <v>r10L</v>
      </c>
      <c r="AC57" t="str">
        <v>A</v>
      </c>
      <c r="AD57" s="129" t="str">
        <f>VLOOKUP(VALUE($U57),test_out_xwalk!$C:$L,3,FALSE)</f>
        <v>Soybean (Glycine max)-2-8</v>
      </c>
      <c r="AE57" s="129">
        <f>VLOOKUP(VALUE($U57),test_out_xwalk!$C:$L,5,FALSE)</f>
        <v>1.125</v>
      </c>
      <c r="AF57" s="129">
        <f>VLOOKUP(VALUE($U57),test_out_xwalk!$C:$L,6,FALSE)</f>
        <v>3</v>
      </c>
      <c r="AG57" s="129" t="str">
        <f>VLOOKUP(VALUE($U57),test_out_xwalk!$C:$L,8,FALSE)</f>
        <v>None</v>
      </c>
      <c r="AH57" s="129" t="str">
        <f>VLOOKUP(VALUE($U57),test_out_xwalk!$C:$L,7,FALSE)</f>
        <v>Spray</v>
      </c>
      <c r="AI57" s="129" t="str">
        <f>VLOOKUP(VALUE($U57),test_out_xwalk!$C:$L,4,FALSE)</f>
        <v>Post-emergence</v>
      </c>
      <c r="AJ57" s="129" t="str">
        <f>VLOOKUP(VALUE($U57),test_out_xwalk!$C:$L,9,FALSE)</f>
        <v>Soybeans</v>
      </c>
      <c r="AK57">
        <f>_xlfn.XLOOKUP(VALUE(U57),test_out_xwalk!C:C,test_out_xwalk!A:A)</f>
        <v>2</v>
      </c>
    </row>
    <row r="58" spans="1:37" x14ac:dyDescent="0.55000000000000004">
      <c r="A58" s="121" t="str">
        <f>IF('summary_EPA Pond'!$A58="","Check Summary EPA POND worksheet Column A",'summary_EPA Pond'!$A58)</f>
        <v xml:space="preserve">3_418822-23009-1_Corn-r10U-A_USEPA Pond_0010_median                                   </v>
      </c>
      <c r="B58" s="121" t="str" cm="1">
        <f t="array" ref="B58:G58">IFERROR(_xlfn.TEXTSPLIT(A58,"_"),"")</f>
        <v>3</v>
      </c>
      <c r="C58" t="str">
        <v>418822-23009-1</v>
      </c>
      <c r="D58" t="str">
        <v>Corn-r10U-A</v>
      </c>
      <c r="E58" t="str">
        <v>USEPA Pond</v>
      </c>
      <c r="F58" t="str">
        <v>0010</v>
      </c>
      <c r="G58" t="str">
        <v xml:space="preserve">median                                   </v>
      </c>
      <c r="H58" s="121" t="str" cm="1">
        <f t="array" ref="H58:J58">IF(D58="","",(_xlfn.TEXTSPLIT(D58,"-")))</f>
        <v>Corn</v>
      </c>
      <c r="I58" s="121" t="str">
        <v>r10U</v>
      </c>
      <c r="J58" t="str">
        <v>A</v>
      </c>
      <c r="K58" s="129" t="str">
        <f>VLOOKUP(VALUE($B58),test_out_xwalk!$C:$L,3,FALSE)</f>
        <v>Corn-1-3</v>
      </c>
      <c r="L58" s="129">
        <f>VLOOKUP(VALUE($B58),test_out_xwalk!$C:$L,5,FALSE)</f>
        <v>0.75</v>
      </c>
      <c r="M58" s="129">
        <f>VLOOKUP(VALUE($B58),test_out_xwalk!$C:$L,6,FALSE)</f>
        <v>0.75</v>
      </c>
      <c r="N58" s="129" t="str">
        <f>VLOOKUP(VALUE($B58),test_out_xwalk!$C:$L,8,FALSE)</f>
        <v>Ground_F-MC_HB</v>
      </c>
      <c r="O58" s="129" t="str">
        <f>VLOOKUP(VALUE($B58),test_out_xwalk!$C:$L,7,FALSE)</f>
        <v>Spray</v>
      </c>
      <c r="P58" s="129" t="str">
        <f>VLOOKUP(VALUE($B58),test_out_xwalk!$C:$L,4,FALSE)</f>
        <v>Pre-emergence</v>
      </c>
      <c r="Q58" s="129" t="str">
        <f>VLOOKUP(VALUE($B58),test_out_xwalk!$C:$L,9,FALSE)</f>
        <v>Corn</v>
      </c>
      <c r="R58">
        <f>_xlfn.XLOOKUP(VALUE(B58),test_out_xwalk!$C:$C,test_out_xwalk!$A:$A)</f>
        <v>1</v>
      </c>
      <c r="T58" s="121" t="str">
        <f>IF('summary_EPA Pond'!$O58="","Check Summary EPA POND worksheet Column O",'summary_EPA Pond'!$O58)</f>
        <v xml:space="preserve">8_2573568-25127-5_Soybean-r10U-A_USEPA Pond_0076_median                               </v>
      </c>
      <c r="U58" s="121" t="str" cm="1">
        <f t="array" ref="U58:Z58">IFERROR(_xlfn.TEXTSPLIT(T58,"_"),"")</f>
        <v>8</v>
      </c>
      <c r="V58" t="str">
        <v>2573568-25127-5</v>
      </c>
      <c r="W58" t="str">
        <v>Soybean-r10U-A</v>
      </c>
      <c r="X58" t="str">
        <v>USEPA Pond</v>
      </c>
      <c r="Y58" t="str">
        <v>0076</v>
      </c>
      <c r="Z58" t="str">
        <v xml:space="preserve">median                               </v>
      </c>
      <c r="AA58" s="121" t="str" cm="1">
        <f t="array" ref="AA58:AC58">IF(W58="","",(_xlfn.TEXTSPLIT(W58,"-")))</f>
        <v>Soybean</v>
      </c>
      <c r="AB58" s="121" t="str">
        <v>r10U</v>
      </c>
      <c r="AC58" t="str">
        <v>A</v>
      </c>
      <c r="AD58" s="129" t="str">
        <f>VLOOKUP(VALUE($U58),test_out_xwalk!$C:$L,3,FALSE)</f>
        <v>Soybean (Glycine max)-2-8</v>
      </c>
      <c r="AE58" s="129">
        <f>VLOOKUP(VALUE($U58),test_out_xwalk!$C:$L,5,FALSE)</f>
        <v>1.125</v>
      </c>
      <c r="AF58" s="129">
        <f>VLOOKUP(VALUE($U58),test_out_xwalk!$C:$L,6,FALSE)</f>
        <v>3</v>
      </c>
      <c r="AG58" s="129" t="str">
        <f>VLOOKUP(VALUE($U58),test_out_xwalk!$C:$L,8,FALSE)</f>
        <v>None</v>
      </c>
      <c r="AH58" s="129" t="str">
        <f>VLOOKUP(VALUE($U58),test_out_xwalk!$C:$L,7,FALSE)</f>
        <v>Spray</v>
      </c>
      <c r="AI58" s="129" t="str">
        <f>VLOOKUP(VALUE($U58),test_out_xwalk!$C:$L,4,FALSE)</f>
        <v>Post-emergence</v>
      </c>
      <c r="AJ58" s="129" t="str">
        <f>VLOOKUP(VALUE($U58),test_out_xwalk!$C:$L,9,FALSE)</f>
        <v>Soybeans</v>
      </c>
      <c r="AK58">
        <f>_xlfn.XLOOKUP(VALUE(U58),test_out_xwalk!C:C,test_out_xwalk!A:A)</f>
        <v>2</v>
      </c>
    </row>
    <row r="59" spans="1:37" x14ac:dyDescent="0.55000000000000004">
      <c r="A59" s="121" t="str">
        <f>IF('summary_EPA Pond'!$A59="","Check Summary EPA POND worksheet Column A",'summary_EPA Pond'!$A59)</f>
        <v xml:space="preserve">3_1380629-16622-1_Corn-r11-A_USEPA Pond_0010_median                                   </v>
      </c>
      <c r="B59" s="121" t="str" cm="1">
        <f t="array" ref="B59:G59">IFERROR(_xlfn.TEXTSPLIT(A59,"_"),"")</f>
        <v>3</v>
      </c>
      <c r="C59" t="str">
        <v>1380629-16622-1</v>
      </c>
      <c r="D59" t="str">
        <v>Corn-r11-A</v>
      </c>
      <c r="E59" t="str">
        <v>USEPA Pond</v>
      </c>
      <c r="F59" t="str">
        <v>0010</v>
      </c>
      <c r="G59" t="str">
        <v xml:space="preserve">median                                   </v>
      </c>
      <c r="H59" s="121" t="str" cm="1">
        <f t="array" ref="H59:J59">IF(D59="","",(_xlfn.TEXTSPLIT(D59,"-")))</f>
        <v>Corn</v>
      </c>
      <c r="I59" s="121" t="str">
        <v>r11</v>
      </c>
      <c r="J59" t="str">
        <v>A</v>
      </c>
      <c r="K59" s="129" t="str">
        <f>VLOOKUP(VALUE($B59),test_out_xwalk!$C:$L,3,FALSE)</f>
        <v>Corn-1-3</v>
      </c>
      <c r="L59" s="129">
        <f>VLOOKUP(VALUE($B59),test_out_xwalk!$C:$L,5,FALSE)</f>
        <v>0.75</v>
      </c>
      <c r="M59" s="129">
        <f>VLOOKUP(VALUE($B59),test_out_xwalk!$C:$L,6,FALSE)</f>
        <v>0.75</v>
      </c>
      <c r="N59" s="129" t="str">
        <f>VLOOKUP(VALUE($B59),test_out_xwalk!$C:$L,8,FALSE)</f>
        <v>Ground_F-MC_HB</v>
      </c>
      <c r="O59" s="129" t="str">
        <f>VLOOKUP(VALUE($B59),test_out_xwalk!$C:$L,7,FALSE)</f>
        <v>Spray</v>
      </c>
      <c r="P59" s="129" t="str">
        <f>VLOOKUP(VALUE($B59),test_out_xwalk!$C:$L,4,FALSE)</f>
        <v>Pre-emergence</v>
      </c>
      <c r="Q59" s="129" t="str">
        <f>VLOOKUP(VALUE($B59),test_out_xwalk!$C:$L,9,FALSE)</f>
        <v>Corn</v>
      </c>
      <c r="R59">
        <f>_xlfn.XLOOKUP(VALUE(B59),test_out_xwalk!$C:$C,test_out_xwalk!$A:$A)</f>
        <v>1</v>
      </c>
      <c r="T59" s="121" t="str">
        <f>IF('summary_EPA Pond'!$O59="","Check Summary EPA POND worksheet Column O",'summary_EPA Pond'!$O59)</f>
        <v xml:space="preserve">8_1155440-16870-254_Soybean-r11-A_USEPA Pond_0076_median                              </v>
      </c>
      <c r="U59" s="121" t="str" cm="1">
        <f t="array" ref="U59:Z59">IFERROR(_xlfn.TEXTSPLIT(T59,"_"),"")</f>
        <v>8</v>
      </c>
      <c r="V59" t="str">
        <v>1155440-16870-254</v>
      </c>
      <c r="W59" t="str">
        <v>Soybean-r11-A</v>
      </c>
      <c r="X59" t="str">
        <v>USEPA Pond</v>
      </c>
      <c r="Y59" t="str">
        <v>0076</v>
      </c>
      <c r="Z59" t="str">
        <v xml:space="preserve">median                              </v>
      </c>
      <c r="AA59" s="121" t="str" cm="1">
        <f t="array" ref="AA59:AC59">IF(W59="","",(_xlfn.TEXTSPLIT(W59,"-")))</f>
        <v>Soybean</v>
      </c>
      <c r="AB59" s="121" t="str">
        <v>r11</v>
      </c>
      <c r="AC59" t="str">
        <v>A</v>
      </c>
      <c r="AD59" s="129" t="str">
        <f>VLOOKUP(VALUE($U59),test_out_xwalk!$C:$L,3,FALSE)</f>
        <v>Soybean (Glycine max)-2-8</v>
      </c>
      <c r="AE59" s="129">
        <f>VLOOKUP(VALUE($U59),test_out_xwalk!$C:$L,5,FALSE)</f>
        <v>1.125</v>
      </c>
      <c r="AF59" s="129">
        <f>VLOOKUP(VALUE($U59),test_out_xwalk!$C:$L,6,FALSE)</f>
        <v>3</v>
      </c>
      <c r="AG59" s="129" t="str">
        <f>VLOOKUP(VALUE($U59),test_out_xwalk!$C:$L,8,FALSE)</f>
        <v>None</v>
      </c>
      <c r="AH59" s="129" t="str">
        <f>VLOOKUP(VALUE($U59),test_out_xwalk!$C:$L,7,FALSE)</f>
        <v>Spray</v>
      </c>
      <c r="AI59" s="129" t="str">
        <f>VLOOKUP(VALUE($U59),test_out_xwalk!$C:$L,4,FALSE)</f>
        <v>Post-emergence</v>
      </c>
      <c r="AJ59" s="129" t="str">
        <f>VLOOKUP(VALUE($U59),test_out_xwalk!$C:$L,9,FALSE)</f>
        <v>Soybeans</v>
      </c>
      <c r="AK59">
        <f>_xlfn.XLOOKUP(VALUE(U59),test_out_xwalk!C:C,test_out_xwalk!A:A)</f>
        <v>2</v>
      </c>
    </row>
    <row r="60" spans="1:37" x14ac:dyDescent="0.55000000000000004">
      <c r="A60" s="121" t="str">
        <f>IF('summary_EPA Pond'!$A60="","Check Summary EPA POND worksheet Column A",'summary_EPA Pond'!$A60)</f>
        <v xml:space="preserve">3_372423-12152-1_Corn-r12-A_USEPA Pond_0010_median                                    </v>
      </c>
      <c r="B60" s="121" t="str" cm="1">
        <f t="array" ref="B60:G60">IFERROR(_xlfn.TEXTSPLIT(A60,"_"),"")</f>
        <v>3</v>
      </c>
      <c r="C60" t="str">
        <v>372423-12152-1</v>
      </c>
      <c r="D60" t="str">
        <v>Corn-r12-A</v>
      </c>
      <c r="E60" t="str">
        <v>USEPA Pond</v>
      </c>
      <c r="F60" t="str">
        <v>0010</v>
      </c>
      <c r="G60" t="str">
        <v xml:space="preserve">median                                    </v>
      </c>
      <c r="H60" s="121" t="str" cm="1">
        <f t="array" ref="H60:J60">IF(D60="","",(_xlfn.TEXTSPLIT(D60,"-")))</f>
        <v>Corn</v>
      </c>
      <c r="I60" s="121" t="str">
        <v>r12</v>
      </c>
      <c r="J60" t="str">
        <v>A</v>
      </c>
      <c r="K60" s="129" t="str">
        <f>VLOOKUP(VALUE($B60),test_out_xwalk!$C:$L,3,FALSE)</f>
        <v>Corn-1-3</v>
      </c>
      <c r="L60" s="129">
        <f>VLOOKUP(VALUE($B60),test_out_xwalk!$C:$L,5,FALSE)</f>
        <v>0.75</v>
      </c>
      <c r="M60" s="129">
        <f>VLOOKUP(VALUE($B60),test_out_xwalk!$C:$L,6,FALSE)</f>
        <v>0.75</v>
      </c>
      <c r="N60" s="129" t="str">
        <f>VLOOKUP(VALUE($B60),test_out_xwalk!$C:$L,8,FALSE)</f>
        <v>Ground_F-MC_HB</v>
      </c>
      <c r="O60" s="129" t="str">
        <f>VLOOKUP(VALUE($B60),test_out_xwalk!$C:$L,7,FALSE)</f>
        <v>Spray</v>
      </c>
      <c r="P60" s="129" t="str">
        <f>VLOOKUP(VALUE($B60),test_out_xwalk!$C:$L,4,FALSE)</f>
        <v>Pre-emergence</v>
      </c>
      <c r="Q60" s="129" t="str">
        <f>VLOOKUP(VALUE($B60),test_out_xwalk!$C:$L,9,FALSE)</f>
        <v>Corn</v>
      </c>
      <c r="R60">
        <f>_xlfn.XLOOKUP(VALUE(B60),test_out_xwalk!$C:$C,test_out_xwalk!$A:$A)</f>
        <v>1</v>
      </c>
      <c r="T60" s="121" t="str">
        <f>IF('summary_EPA Pond'!$O60="","Check Summary EPA POND worksheet Column O",'summary_EPA Pond'!$O60)</f>
        <v xml:space="preserve">8_373259-8851-5_Soybean-r12-A_USEPA Pond_0076_median                                  </v>
      </c>
      <c r="U60" s="121" t="str" cm="1">
        <f t="array" ref="U60:Z60">IFERROR(_xlfn.TEXTSPLIT(T60,"_"),"")</f>
        <v>8</v>
      </c>
      <c r="V60" t="str">
        <v>373259-8851-5</v>
      </c>
      <c r="W60" t="str">
        <v>Soybean-r12-A</v>
      </c>
      <c r="X60" t="str">
        <v>USEPA Pond</v>
      </c>
      <c r="Y60" t="str">
        <v>0076</v>
      </c>
      <c r="Z60" t="str">
        <v xml:space="preserve">median                                  </v>
      </c>
      <c r="AA60" s="121" t="str" cm="1">
        <f t="array" ref="AA60:AC60">IF(W60="","",(_xlfn.TEXTSPLIT(W60,"-")))</f>
        <v>Soybean</v>
      </c>
      <c r="AB60" s="121" t="str">
        <v>r12</v>
      </c>
      <c r="AC60" t="str">
        <v>A</v>
      </c>
      <c r="AD60" s="129" t="str">
        <f>VLOOKUP(VALUE($U60),test_out_xwalk!$C:$L,3,FALSE)</f>
        <v>Soybean (Glycine max)-2-8</v>
      </c>
      <c r="AE60" s="129">
        <f>VLOOKUP(VALUE($U60),test_out_xwalk!$C:$L,5,FALSE)</f>
        <v>1.125</v>
      </c>
      <c r="AF60" s="129">
        <f>VLOOKUP(VALUE($U60),test_out_xwalk!$C:$L,6,FALSE)</f>
        <v>3</v>
      </c>
      <c r="AG60" s="129" t="str">
        <f>VLOOKUP(VALUE($U60),test_out_xwalk!$C:$L,8,FALSE)</f>
        <v>None</v>
      </c>
      <c r="AH60" s="129" t="str">
        <f>VLOOKUP(VALUE($U60),test_out_xwalk!$C:$L,7,FALSE)</f>
        <v>Spray</v>
      </c>
      <c r="AI60" s="129" t="str">
        <f>VLOOKUP(VALUE($U60),test_out_xwalk!$C:$L,4,FALSE)</f>
        <v>Post-emergence</v>
      </c>
      <c r="AJ60" s="129" t="str">
        <f>VLOOKUP(VALUE($U60),test_out_xwalk!$C:$L,9,FALSE)</f>
        <v>Soybeans</v>
      </c>
      <c r="AK60">
        <f>_xlfn.XLOOKUP(VALUE(U60),test_out_xwalk!C:C,test_out_xwalk!A:A)</f>
        <v>2</v>
      </c>
    </row>
    <row r="61" spans="1:37" x14ac:dyDescent="0.55000000000000004">
      <c r="A61" s="121" t="str">
        <f>IF('summary_EPA Pond'!$A61="","Check Summary EPA POND worksheet Column A",'summary_EPA Pond'!$A61)</f>
        <v xml:space="preserve">3_55992-12595-237_Corn-r13-A_USEPA Pond_0010_median                                   </v>
      </c>
      <c r="B61" s="121" t="str" cm="1">
        <f t="array" ref="B61:G61">IFERROR(_xlfn.TEXTSPLIT(A61,"_"),"")</f>
        <v>3</v>
      </c>
      <c r="C61" t="str">
        <v>55992-12595-237</v>
      </c>
      <c r="D61" t="str">
        <v>Corn-r13-A</v>
      </c>
      <c r="E61" t="str">
        <v>USEPA Pond</v>
      </c>
      <c r="F61" t="str">
        <v>0010</v>
      </c>
      <c r="G61" t="str">
        <v xml:space="preserve">median                                   </v>
      </c>
      <c r="H61" s="121" t="str" cm="1">
        <f t="array" ref="H61:J61">IF(D61="","",(_xlfn.TEXTSPLIT(D61,"-")))</f>
        <v>Corn</v>
      </c>
      <c r="I61" s="121" t="str">
        <v>r13</v>
      </c>
      <c r="J61" t="str">
        <v>A</v>
      </c>
      <c r="K61" s="129" t="str">
        <f>VLOOKUP(VALUE($B61),test_out_xwalk!$C:$L,3,FALSE)</f>
        <v>Corn-1-3</v>
      </c>
      <c r="L61" s="129">
        <f>VLOOKUP(VALUE($B61),test_out_xwalk!$C:$L,5,FALSE)</f>
        <v>0.75</v>
      </c>
      <c r="M61" s="129">
        <f>VLOOKUP(VALUE($B61),test_out_xwalk!$C:$L,6,FALSE)</f>
        <v>0.75</v>
      </c>
      <c r="N61" s="129" t="str">
        <f>VLOOKUP(VALUE($B61),test_out_xwalk!$C:$L,8,FALSE)</f>
        <v>Ground_F-MC_HB</v>
      </c>
      <c r="O61" s="129" t="str">
        <f>VLOOKUP(VALUE($B61),test_out_xwalk!$C:$L,7,FALSE)</f>
        <v>Spray</v>
      </c>
      <c r="P61" s="129" t="str">
        <f>VLOOKUP(VALUE($B61),test_out_xwalk!$C:$L,4,FALSE)</f>
        <v>Pre-emergence</v>
      </c>
      <c r="Q61" s="129" t="str">
        <f>VLOOKUP(VALUE($B61),test_out_xwalk!$C:$L,9,FALSE)</f>
        <v>Corn</v>
      </c>
      <c r="R61">
        <f>_xlfn.XLOOKUP(VALUE(B61),test_out_xwalk!$C:$C,test_out_xwalk!$A:$A)</f>
        <v>1</v>
      </c>
      <c r="T61" s="121" t="str">
        <f>IF('summary_EPA Pond'!$O61="","Check Summary EPA POND worksheet Column O",'summary_EPA Pond'!$O61)</f>
        <v xml:space="preserve">8_363659-5778-5_Soybean-r13-A_USEPA Pond_0076_median                                  </v>
      </c>
      <c r="U61" s="121" t="str" cm="1">
        <f t="array" ref="U61:Z61">IFERROR(_xlfn.TEXTSPLIT(T61,"_"),"")</f>
        <v>8</v>
      </c>
      <c r="V61" t="str">
        <v>363659-5778-5</v>
      </c>
      <c r="W61" t="str">
        <v>Soybean-r13-A</v>
      </c>
      <c r="X61" t="str">
        <v>USEPA Pond</v>
      </c>
      <c r="Y61" t="str">
        <v>0076</v>
      </c>
      <c r="Z61" t="str">
        <v xml:space="preserve">median                                  </v>
      </c>
      <c r="AA61" s="121" t="str" cm="1">
        <f t="array" ref="AA61:AC61">IF(W61="","",(_xlfn.TEXTSPLIT(W61,"-")))</f>
        <v>Soybean</v>
      </c>
      <c r="AB61" s="121" t="str">
        <v>r13</v>
      </c>
      <c r="AC61" t="str">
        <v>A</v>
      </c>
      <c r="AD61" s="129" t="str">
        <f>VLOOKUP(VALUE($U61),test_out_xwalk!$C:$L,3,FALSE)</f>
        <v>Soybean (Glycine max)-2-8</v>
      </c>
      <c r="AE61" s="129">
        <f>VLOOKUP(VALUE($U61),test_out_xwalk!$C:$L,5,FALSE)</f>
        <v>1.125</v>
      </c>
      <c r="AF61" s="129">
        <f>VLOOKUP(VALUE($U61),test_out_xwalk!$C:$L,6,FALSE)</f>
        <v>3</v>
      </c>
      <c r="AG61" s="129" t="str">
        <f>VLOOKUP(VALUE($U61),test_out_xwalk!$C:$L,8,FALSE)</f>
        <v>None</v>
      </c>
      <c r="AH61" s="129" t="str">
        <f>VLOOKUP(VALUE($U61),test_out_xwalk!$C:$L,7,FALSE)</f>
        <v>Spray</v>
      </c>
      <c r="AI61" s="129" t="str">
        <f>VLOOKUP(VALUE($U61),test_out_xwalk!$C:$L,4,FALSE)</f>
        <v>Post-emergence</v>
      </c>
      <c r="AJ61" s="129" t="str">
        <f>VLOOKUP(VALUE($U61),test_out_xwalk!$C:$L,9,FALSE)</f>
        <v>Soybeans</v>
      </c>
      <c r="AK61">
        <f>_xlfn.XLOOKUP(VALUE(U61),test_out_xwalk!C:C,test_out_xwalk!A:A)</f>
        <v>2</v>
      </c>
    </row>
    <row r="62" spans="1:37" x14ac:dyDescent="0.55000000000000004">
      <c r="A62" s="121" t="str">
        <f>IF('summary_EPA Pond'!$A62="","Check Summary EPA POND worksheet Column A",'summary_EPA Pond'!$A62)</f>
        <v xml:space="preserve">3_506809-18005-1_Corn-r14-A_USEPA Pond_0010_median                                    </v>
      </c>
      <c r="B62" s="121" t="str" cm="1">
        <f t="array" ref="B62:G62">IFERROR(_xlfn.TEXTSPLIT(A62,"_"),"")</f>
        <v>3</v>
      </c>
      <c r="C62" t="str">
        <v>506809-18005-1</v>
      </c>
      <c r="D62" t="str">
        <v>Corn-r14-A</v>
      </c>
      <c r="E62" t="str">
        <v>USEPA Pond</v>
      </c>
      <c r="F62" t="str">
        <v>0010</v>
      </c>
      <c r="G62" t="str">
        <v xml:space="preserve">median                                    </v>
      </c>
      <c r="H62" s="121" t="str" cm="1">
        <f t="array" ref="H62:J62">IF(D62="","",(_xlfn.TEXTSPLIT(D62,"-")))</f>
        <v>Corn</v>
      </c>
      <c r="I62" s="121" t="str">
        <v>r14</v>
      </c>
      <c r="J62" t="str">
        <v>A</v>
      </c>
      <c r="K62" s="129" t="str">
        <f>VLOOKUP(VALUE($B62),test_out_xwalk!$C:$L,3,FALSE)</f>
        <v>Corn-1-3</v>
      </c>
      <c r="L62" s="129">
        <f>VLOOKUP(VALUE($B62),test_out_xwalk!$C:$L,5,FALSE)</f>
        <v>0.75</v>
      </c>
      <c r="M62" s="129">
        <f>VLOOKUP(VALUE($B62),test_out_xwalk!$C:$L,6,FALSE)</f>
        <v>0.75</v>
      </c>
      <c r="N62" s="129" t="str">
        <f>VLOOKUP(VALUE($B62),test_out_xwalk!$C:$L,8,FALSE)</f>
        <v>Ground_F-MC_HB</v>
      </c>
      <c r="O62" s="129" t="str">
        <f>VLOOKUP(VALUE($B62),test_out_xwalk!$C:$L,7,FALSE)</f>
        <v>Spray</v>
      </c>
      <c r="P62" s="129" t="str">
        <f>VLOOKUP(VALUE($B62),test_out_xwalk!$C:$L,4,FALSE)</f>
        <v>Pre-emergence</v>
      </c>
      <c r="Q62" s="129" t="str">
        <f>VLOOKUP(VALUE($B62),test_out_xwalk!$C:$L,9,FALSE)</f>
        <v>Corn</v>
      </c>
      <c r="R62">
        <f>_xlfn.XLOOKUP(VALUE(B62),test_out_xwalk!$C:$C,test_out_xwalk!$A:$A)</f>
        <v>1</v>
      </c>
      <c r="T62" s="121" t="str">
        <f>IF('summary_EPA Pond'!$O62="","Check Summary EPA POND worksheet Column O",'summary_EPA Pond'!$O62)</f>
        <v xml:space="preserve">8_508783-17536-5_Soybean-r14-A_USEPA Pond_0076_median                                 </v>
      </c>
      <c r="U62" s="121" t="str" cm="1">
        <f t="array" ref="U62:Z62">IFERROR(_xlfn.TEXTSPLIT(T62,"_"),"")</f>
        <v>8</v>
      </c>
      <c r="V62" t="str">
        <v>508783-17536-5</v>
      </c>
      <c r="W62" t="str">
        <v>Soybean-r14-A</v>
      </c>
      <c r="X62" t="str">
        <v>USEPA Pond</v>
      </c>
      <c r="Y62" t="str">
        <v>0076</v>
      </c>
      <c r="Z62" t="str">
        <v xml:space="preserve">median                                 </v>
      </c>
      <c r="AA62" s="121" t="str" cm="1">
        <f t="array" ref="AA62:AC62">IF(W62="","",(_xlfn.TEXTSPLIT(W62,"-")))</f>
        <v>Soybean</v>
      </c>
      <c r="AB62" s="121" t="str">
        <v>r14</v>
      </c>
      <c r="AC62" t="str">
        <v>A</v>
      </c>
      <c r="AD62" s="129" t="str">
        <f>VLOOKUP(VALUE($U62),test_out_xwalk!$C:$L,3,FALSE)</f>
        <v>Soybean (Glycine max)-2-8</v>
      </c>
      <c r="AE62" s="129">
        <f>VLOOKUP(VALUE($U62),test_out_xwalk!$C:$L,5,FALSE)</f>
        <v>1.125</v>
      </c>
      <c r="AF62" s="129">
        <f>VLOOKUP(VALUE($U62),test_out_xwalk!$C:$L,6,FALSE)</f>
        <v>3</v>
      </c>
      <c r="AG62" s="129" t="str">
        <f>VLOOKUP(VALUE($U62),test_out_xwalk!$C:$L,8,FALSE)</f>
        <v>None</v>
      </c>
      <c r="AH62" s="129" t="str">
        <f>VLOOKUP(VALUE($U62),test_out_xwalk!$C:$L,7,FALSE)</f>
        <v>Spray</v>
      </c>
      <c r="AI62" s="129" t="str">
        <f>VLOOKUP(VALUE($U62),test_out_xwalk!$C:$L,4,FALSE)</f>
        <v>Post-emergence</v>
      </c>
      <c r="AJ62" s="129" t="str">
        <f>VLOOKUP(VALUE($U62),test_out_xwalk!$C:$L,9,FALSE)</f>
        <v>Soybeans</v>
      </c>
      <c r="AK62">
        <f>_xlfn.XLOOKUP(VALUE(U62),test_out_xwalk!C:C,test_out_xwalk!A:A)</f>
        <v>2</v>
      </c>
    </row>
    <row r="63" spans="1:37" x14ac:dyDescent="0.55000000000000004">
      <c r="A63" s="121" t="str">
        <f>IF('summary_EPA Pond'!$A63="","Check Summary EPA POND worksheet Column A",'summary_EPA Pond'!$A63)</f>
        <v xml:space="preserve">3_54973-11158-226_Corn-r15-A_USEPA Pond_0010_median                                   </v>
      </c>
      <c r="B63" s="121" t="str" cm="1">
        <f t="array" ref="B63:G63">IFERROR(_xlfn.TEXTSPLIT(A63,"_"),"")</f>
        <v>3</v>
      </c>
      <c r="C63" t="str">
        <v>54973-11158-226</v>
      </c>
      <c r="D63" t="str">
        <v>Corn-r15-A</v>
      </c>
      <c r="E63" t="str">
        <v>USEPA Pond</v>
      </c>
      <c r="F63" t="str">
        <v>0010</v>
      </c>
      <c r="G63" t="str">
        <v xml:space="preserve">median                                   </v>
      </c>
      <c r="H63" s="121" t="str" cm="1">
        <f t="array" ref="H63:J63">IF(D63="","",(_xlfn.TEXTSPLIT(D63,"-")))</f>
        <v>Corn</v>
      </c>
      <c r="I63" s="121" t="str">
        <v>r15</v>
      </c>
      <c r="J63" t="str">
        <v>A</v>
      </c>
      <c r="K63" s="129" t="str">
        <f>VLOOKUP(VALUE($B63),test_out_xwalk!$C:$L,3,FALSE)</f>
        <v>Corn-1-3</v>
      </c>
      <c r="L63" s="129">
        <f>VLOOKUP(VALUE($B63),test_out_xwalk!$C:$L,5,FALSE)</f>
        <v>0.75</v>
      </c>
      <c r="M63" s="129">
        <f>VLOOKUP(VALUE($B63),test_out_xwalk!$C:$L,6,FALSE)</f>
        <v>0.75</v>
      </c>
      <c r="N63" s="129" t="str">
        <f>VLOOKUP(VALUE($B63),test_out_xwalk!$C:$L,8,FALSE)</f>
        <v>Ground_F-MC_HB</v>
      </c>
      <c r="O63" s="129" t="str">
        <f>VLOOKUP(VALUE($B63),test_out_xwalk!$C:$L,7,FALSE)</f>
        <v>Spray</v>
      </c>
      <c r="P63" s="129" t="str">
        <f>VLOOKUP(VALUE($B63),test_out_xwalk!$C:$L,4,FALSE)</f>
        <v>Pre-emergence</v>
      </c>
      <c r="Q63" s="129" t="str">
        <f>VLOOKUP(VALUE($B63),test_out_xwalk!$C:$L,9,FALSE)</f>
        <v>Corn</v>
      </c>
      <c r="R63">
        <f>_xlfn.XLOOKUP(VALUE(B63),test_out_xwalk!$C:$C,test_out_xwalk!$A:$A)</f>
        <v>1</v>
      </c>
      <c r="T63" s="121" t="str">
        <f>IF('summary_EPA Pond'!$O63="","Check Summary EPA POND worksheet Column O",'summary_EPA Pond'!$O63)</f>
        <v xml:space="preserve">8_144849-26715-5_Soybean-r17-A_USEPA Pond_0076_median                                 </v>
      </c>
      <c r="U63" s="121" t="str" cm="1">
        <f t="array" ref="U63:Z63">IFERROR(_xlfn.TEXTSPLIT(T63,"_"),"")</f>
        <v>8</v>
      </c>
      <c r="V63" t="str">
        <v>144849-26715-5</v>
      </c>
      <c r="W63" t="str">
        <v>Soybean-r17-A</v>
      </c>
      <c r="X63" t="str">
        <v>USEPA Pond</v>
      </c>
      <c r="Y63" t="str">
        <v>0076</v>
      </c>
      <c r="Z63" t="str">
        <v xml:space="preserve">median                                 </v>
      </c>
      <c r="AA63" s="121" t="str" cm="1">
        <f t="array" ref="AA63:AC63">IF(W63="","",(_xlfn.TEXTSPLIT(W63,"-")))</f>
        <v>Soybean</v>
      </c>
      <c r="AB63" s="121" t="str">
        <v>r17</v>
      </c>
      <c r="AC63" t="str">
        <v>A</v>
      </c>
      <c r="AD63" s="129" t="str">
        <f>VLOOKUP(VALUE($U63),test_out_xwalk!$C:$L,3,FALSE)</f>
        <v>Soybean (Glycine max)-2-8</v>
      </c>
      <c r="AE63" s="129">
        <f>VLOOKUP(VALUE($U63),test_out_xwalk!$C:$L,5,FALSE)</f>
        <v>1.125</v>
      </c>
      <c r="AF63" s="129">
        <f>VLOOKUP(VALUE($U63),test_out_xwalk!$C:$L,6,FALSE)</f>
        <v>3</v>
      </c>
      <c r="AG63" s="129" t="str">
        <f>VLOOKUP(VALUE($U63),test_out_xwalk!$C:$L,8,FALSE)</f>
        <v>None</v>
      </c>
      <c r="AH63" s="129" t="str">
        <f>VLOOKUP(VALUE($U63),test_out_xwalk!$C:$L,7,FALSE)</f>
        <v>Spray</v>
      </c>
      <c r="AI63" s="129" t="str">
        <f>VLOOKUP(VALUE($U63),test_out_xwalk!$C:$L,4,FALSE)</f>
        <v>Post-emergence</v>
      </c>
      <c r="AJ63" s="129" t="str">
        <f>VLOOKUP(VALUE($U63),test_out_xwalk!$C:$L,9,FALSE)</f>
        <v>Soybeans</v>
      </c>
      <c r="AK63">
        <f>_xlfn.XLOOKUP(VALUE(U63),test_out_xwalk!C:C,test_out_xwalk!A:A)</f>
        <v>2</v>
      </c>
    </row>
    <row r="64" spans="1:37" x14ac:dyDescent="0.55000000000000004">
      <c r="A64" s="121" t="str">
        <f>IF('summary_EPA Pond'!$A64="","Check Summary EPA POND worksheet Column A",'summary_EPA Pond'!$A64)</f>
        <v xml:space="preserve">3_481578-20116-1_Corn-r16-A_USEPA Pond_0010_median                                    </v>
      </c>
      <c r="B64" s="121" t="str" cm="1">
        <f t="array" ref="B64:G64">IFERROR(_xlfn.TEXTSPLIT(A64,"_"),"")</f>
        <v>3</v>
      </c>
      <c r="C64" t="str">
        <v>481578-20116-1</v>
      </c>
      <c r="D64" t="str">
        <v>Corn-r16-A</v>
      </c>
      <c r="E64" t="str">
        <v>USEPA Pond</v>
      </c>
      <c r="F64" t="str">
        <v>0010</v>
      </c>
      <c r="G64" t="str">
        <v xml:space="preserve">median                                    </v>
      </c>
      <c r="H64" s="121" t="str" cm="1">
        <f t="array" ref="H64:J64">IF(D64="","",(_xlfn.TEXTSPLIT(D64,"-")))</f>
        <v>Corn</v>
      </c>
      <c r="I64" s="121" t="str">
        <v>r16</v>
      </c>
      <c r="J64" t="str">
        <v>A</v>
      </c>
      <c r="K64" s="129" t="str">
        <f>VLOOKUP(VALUE($B64),test_out_xwalk!$C:$L,3,FALSE)</f>
        <v>Corn-1-3</v>
      </c>
      <c r="L64" s="129">
        <f>VLOOKUP(VALUE($B64),test_out_xwalk!$C:$L,5,FALSE)</f>
        <v>0.75</v>
      </c>
      <c r="M64" s="129">
        <f>VLOOKUP(VALUE($B64),test_out_xwalk!$C:$L,6,FALSE)</f>
        <v>0.75</v>
      </c>
      <c r="N64" s="129" t="str">
        <f>VLOOKUP(VALUE($B64),test_out_xwalk!$C:$L,8,FALSE)</f>
        <v>Ground_F-MC_HB</v>
      </c>
      <c r="O64" s="129" t="str">
        <f>VLOOKUP(VALUE($B64),test_out_xwalk!$C:$L,7,FALSE)</f>
        <v>Spray</v>
      </c>
      <c r="P64" s="129" t="str">
        <f>VLOOKUP(VALUE($B64),test_out_xwalk!$C:$L,4,FALSE)</f>
        <v>Pre-emergence</v>
      </c>
      <c r="Q64" s="129" t="str">
        <f>VLOOKUP(VALUE($B64),test_out_xwalk!$C:$L,9,FALSE)</f>
        <v>Corn</v>
      </c>
      <c r="R64">
        <f>_xlfn.XLOOKUP(VALUE(B64),test_out_xwalk!$C:$C,test_out_xwalk!$A:$A)</f>
        <v>1</v>
      </c>
      <c r="T64" s="121" t="str">
        <f>IF('summary_EPA Pond'!$O64="","Check Summary EPA POND worksheet Column O",'summary_EPA Pond'!$O64)</f>
        <v xml:space="preserve">12_286087-20273-68_Orchard deciduous-r01-A_USEPA Pond_0089_median                     </v>
      </c>
      <c r="U64" s="121" t="str" cm="1">
        <f t="array" ref="U64:Z64">IFERROR(_xlfn.TEXTSPLIT(T64,"_"),"")</f>
        <v>12</v>
      </c>
      <c r="V64" t="str">
        <v>286087-20273-68</v>
      </c>
      <c r="W64" t="str">
        <v>Orchard deciduous-r01-A</v>
      </c>
      <c r="X64" t="str">
        <v>USEPA Pond</v>
      </c>
      <c r="Y64" t="str">
        <v>0089</v>
      </c>
      <c r="Z64" t="str">
        <v xml:space="preserve">median                     </v>
      </c>
      <c r="AA64" s="121" t="str" cm="1">
        <f t="array" ref="AA64:AC64">IF(W64="","",(_xlfn.TEXTSPLIT(W64,"-")))</f>
        <v>Orchard deciduous</v>
      </c>
      <c r="AB64" s="121" t="str">
        <v>r01</v>
      </c>
      <c r="AC64" t="str">
        <v>A</v>
      </c>
      <c r="AD64" s="129" t="str">
        <f>VLOOKUP(VALUE($U64),test_out_xwalk!$C:$L,3,FALSE)</f>
        <v>Almond-3-12</v>
      </c>
      <c r="AE64" s="129">
        <f>VLOOKUP(VALUE($U64),test_out_xwalk!$C:$L,5,FALSE)</f>
        <v>1</v>
      </c>
      <c r="AF64" s="129">
        <f>VLOOKUP(VALUE($U64),test_out_xwalk!$C:$L,6,FALSE)</f>
        <v>1</v>
      </c>
      <c r="AG64" s="129" t="str">
        <f>VLOOKUP(VALUE($U64),test_out_xwalk!$C:$L,8,FALSE)</f>
        <v>None</v>
      </c>
      <c r="AH64" s="129" t="str">
        <f>VLOOKUP(VALUE($U64),test_out_xwalk!$C:$L,7,FALSE)</f>
        <v>Spray</v>
      </c>
      <c r="AI64" s="129" t="str">
        <f>VLOOKUP(VALUE($U64),test_out_xwalk!$C:$L,4,FALSE)</f>
        <v>Pre-emergence</v>
      </c>
      <c r="AJ64" s="129" t="str">
        <f>VLOOKUP(VALUE($U64),test_out_xwalk!$C:$L,9,FALSE)</f>
        <v>Other Orchards</v>
      </c>
      <c r="AK64">
        <f>_xlfn.XLOOKUP(VALUE(U64),test_out_xwalk!C:C,test_out_xwalk!A:A)</f>
        <v>3</v>
      </c>
    </row>
    <row r="65" spans="1:37" x14ac:dyDescent="0.55000000000000004">
      <c r="A65" s="121" t="str">
        <f>IF('summary_EPA Pond'!$A65="","Check Summary EPA POND worksheet Column A",'summary_EPA Pond'!$A65)</f>
        <v xml:space="preserve">3_69526-24571-1_Corn-r17-A_USEPA Pond_0010_median                                     </v>
      </c>
      <c r="B65" s="121" t="str" cm="1">
        <f t="array" ref="B65:G65">IFERROR(_xlfn.TEXTSPLIT(A65,"_"),"")</f>
        <v>3</v>
      </c>
      <c r="C65" t="str">
        <v>69526-24571-1</v>
      </c>
      <c r="D65" t="str">
        <v>Corn-r17-A</v>
      </c>
      <c r="E65" t="str">
        <v>USEPA Pond</v>
      </c>
      <c r="F65" t="str">
        <v>0010</v>
      </c>
      <c r="G65" t="str">
        <v xml:space="preserve">median                                     </v>
      </c>
      <c r="H65" s="121" t="str" cm="1">
        <f t="array" ref="H65:J65">IF(D65="","",(_xlfn.TEXTSPLIT(D65,"-")))</f>
        <v>Corn</v>
      </c>
      <c r="I65" s="121" t="str">
        <v>r17</v>
      </c>
      <c r="J65" t="str">
        <v>A</v>
      </c>
      <c r="K65" s="129" t="str">
        <f>VLOOKUP(VALUE($B65),test_out_xwalk!$C:$L,3,FALSE)</f>
        <v>Corn-1-3</v>
      </c>
      <c r="L65" s="129">
        <f>VLOOKUP(VALUE($B65),test_out_xwalk!$C:$L,5,FALSE)</f>
        <v>0.75</v>
      </c>
      <c r="M65" s="129">
        <f>VLOOKUP(VALUE($B65),test_out_xwalk!$C:$L,6,FALSE)</f>
        <v>0.75</v>
      </c>
      <c r="N65" s="129" t="str">
        <f>VLOOKUP(VALUE($B65),test_out_xwalk!$C:$L,8,FALSE)</f>
        <v>Ground_F-MC_HB</v>
      </c>
      <c r="O65" s="129" t="str">
        <f>VLOOKUP(VALUE($B65),test_out_xwalk!$C:$L,7,FALSE)</f>
        <v>Spray</v>
      </c>
      <c r="P65" s="129" t="str">
        <f>VLOOKUP(VALUE($B65),test_out_xwalk!$C:$L,4,FALSE)</f>
        <v>Pre-emergence</v>
      </c>
      <c r="Q65" s="129" t="str">
        <f>VLOOKUP(VALUE($B65),test_out_xwalk!$C:$L,9,FALSE)</f>
        <v>Corn</v>
      </c>
      <c r="R65">
        <f>_xlfn.XLOOKUP(VALUE(B65),test_out_xwalk!$C:$C,test_out_xwalk!$A:$A)</f>
        <v>1</v>
      </c>
      <c r="T65" s="121" t="str">
        <f>IF('summary_EPA Pond'!$O65="","Check Summary EPA POND worksheet Column O",'summary_EPA Pond'!$O65)</f>
        <v xml:space="preserve">12_295501-20504-68_Orchard deciduous-r02-A_USEPA Pond_0089_median                     </v>
      </c>
      <c r="U65" s="121" t="str" cm="1">
        <f t="array" ref="U65:Z65">IFERROR(_xlfn.TEXTSPLIT(T65,"_"),"")</f>
        <v>12</v>
      </c>
      <c r="V65" t="str">
        <v>295501-20504-68</v>
      </c>
      <c r="W65" t="str">
        <v>Orchard deciduous-r02-A</v>
      </c>
      <c r="X65" t="str">
        <v>USEPA Pond</v>
      </c>
      <c r="Y65" t="str">
        <v>0089</v>
      </c>
      <c r="Z65" t="str">
        <v xml:space="preserve">median                     </v>
      </c>
      <c r="AA65" s="121" t="str" cm="1">
        <f t="array" ref="AA65:AC65">IF(W65="","",(_xlfn.TEXTSPLIT(W65,"-")))</f>
        <v>Orchard deciduous</v>
      </c>
      <c r="AB65" s="121" t="str">
        <v>r02</v>
      </c>
      <c r="AC65" t="str">
        <v>A</v>
      </c>
      <c r="AD65" s="129" t="str">
        <f>VLOOKUP(VALUE($U65),test_out_xwalk!$C:$L,3,FALSE)</f>
        <v>Almond-3-12</v>
      </c>
      <c r="AE65" s="129">
        <f>VLOOKUP(VALUE($U65),test_out_xwalk!$C:$L,5,FALSE)</f>
        <v>1</v>
      </c>
      <c r="AF65" s="129">
        <f>VLOOKUP(VALUE($U65),test_out_xwalk!$C:$L,6,FALSE)</f>
        <v>1</v>
      </c>
      <c r="AG65" s="129" t="str">
        <f>VLOOKUP(VALUE($U65),test_out_xwalk!$C:$L,8,FALSE)</f>
        <v>None</v>
      </c>
      <c r="AH65" s="129" t="str">
        <f>VLOOKUP(VALUE($U65),test_out_xwalk!$C:$L,7,FALSE)</f>
        <v>Spray</v>
      </c>
      <c r="AI65" s="129" t="str">
        <f>VLOOKUP(VALUE($U65),test_out_xwalk!$C:$L,4,FALSE)</f>
        <v>Pre-emergence</v>
      </c>
      <c r="AJ65" s="129" t="str">
        <f>VLOOKUP(VALUE($U65),test_out_xwalk!$C:$L,9,FALSE)</f>
        <v>Other Orchards</v>
      </c>
      <c r="AK65">
        <f>_xlfn.XLOOKUP(VALUE(U65),test_out_xwalk!C:C,test_out_xwalk!A:A)</f>
        <v>3</v>
      </c>
    </row>
    <row r="66" spans="1:37" x14ac:dyDescent="0.55000000000000004">
      <c r="A66" s="121" t="str">
        <f>IF('summary_EPA Pond'!$A66="","Check Summary EPA POND worksheet Column A",'summary_EPA Pond'!$A66)</f>
        <v xml:space="preserve">3_467176-15131-225_Corn-r18-A_USEPA Pond_0010_median                                  </v>
      </c>
      <c r="B66" s="121" t="str" cm="1">
        <f t="array" ref="B66:G66">IFERROR(_xlfn.TEXTSPLIT(A66,"_"),"")</f>
        <v>3</v>
      </c>
      <c r="C66" t="str">
        <v>467176-15131-225</v>
      </c>
      <c r="D66" t="str">
        <v>Corn-r18-A</v>
      </c>
      <c r="E66" t="str">
        <v>USEPA Pond</v>
      </c>
      <c r="F66" t="str">
        <v>0010</v>
      </c>
      <c r="G66" t="str">
        <v xml:space="preserve">median                                  </v>
      </c>
      <c r="H66" s="121" t="str" cm="1">
        <f t="array" ref="H66:J66">IF(D66="","",(_xlfn.TEXTSPLIT(D66,"-")))</f>
        <v>Corn</v>
      </c>
      <c r="I66" s="121" t="str">
        <v>r18</v>
      </c>
      <c r="J66" t="str">
        <v>A</v>
      </c>
      <c r="K66" s="129" t="str">
        <f>VLOOKUP(VALUE($B66),test_out_xwalk!$C:$L,3,FALSE)</f>
        <v>Corn-1-3</v>
      </c>
      <c r="L66" s="129">
        <f>VLOOKUP(VALUE($B66),test_out_xwalk!$C:$L,5,FALSE)</f>
        <v>0.75</v>
      </c>
      <c r="M66" s="129">
        <f>VLOOKUP(VALUE($B66),test_out_xwalk!$C:$L,6,FALSE)</f>
        <v>0.75</v>
      </c>
      <c r="N66" s="129" t="str">
        <f>VLOOKUP(VALUE($B66),test_out_xwalk!$C:$L,8,FALSE)</f>
        <v>Ground_F-MC_HB</v>
      </c>
      <c r="O66" s="129" t="str">
        <f>VLOOKUP(VALUE($B66),test_out_xwalk!$C:$L,7,FALSE)</f>
        <v>Spray</v>
      </c>
      <c r="P66" s="129" t="str">
        <f>VLOOKUP(VALUE($B66),test_out_xwalk!$C:$L,4,FALSE)</f>
        <v>Pre-emergence</v>
      </c>
      <c r="Q66" s="129" t="str">
        <f>VLOOKUP(VALUE($B66),test_out_xwalk!$C:$L,9,FALSE)</f>
        <v>Corn</v>
      </c>
      <c r="R66">
        <f>_xlfn.XLOOKUP(VALUE(B66),test_out_xwalk!$C:$C,test_out_xwalk!$A:$A)</f>
        <v>1</v>
      </c>
      <c r="T66" s="121" t="str">
        <f>IF('summary_EPA Pond'!$O66="","Check Summary EPA POND worksheet Column O",'summary_EPA Pond'!$O66)</f>
        <v xml:space="preserve">12_130628-13873-74_Orchard deciduous-r03N-A_USEPA Pond_0089_median                    </v>
      </c>
      <c r="U66" s="121" t="str" cm="1">
        <f t="array" ref="U66:Z66">IFERROR(_xlfn.TEXTSPLIT(T66,"_"),"")</f>
        <v>12</v>
      </c>
      <c r="V66" t="str">
        <v>130628-13873-74</v>
      </c>
      <c r="W66" t="str">
        <v>Orchard deciduous-r03N-A</v>
      </c>
      <c r="X66" t="str">
        <v>USEPA Pond</v>
      </c>
      <c r="Y66" t="str">
        <v>0089</v>
      </c>
      <c r="Z66" t="str">
        <v xml:space="preserve">median                    </v>
      </c>
      <c r="AA66" s="121" t="str" cm="1">
        <f t="array" ref="AA66:AC66">IF(W66="","",(_xlfn.TEXTSPLIT(W66,"-")))</f>
        <v>Orchard deciduous</v>
      </c>
      <c r="AB66" s="121" t="str">
        <v>r03N</v>
      </c>
      <c r="AC66" t="str">
        <v>A</v>
      </c>
      <c r="AD66" s="129" t="str">
        <f>VLOOKUP(VALUE($U66),test_out_xwalk!$C:$L,3,FALSE)</f>
        <v>Almond-3-12</v>
      </c>
      <c r="AE66" s="129">
        <f>VLOOKUP(VALUE($U66),test_out_xwalk!$C:$L,5,FALSE)</f>
        <v>1</v>
      </c>
      <c r="AF66" s="129">
        <f>VLOOKUP(VALUE($U66),test_out_xwalk!$C:$L,6,FALSE)</f>
        <v>1</v>
      </c>
      <c r="AG66" s="129" t="str">
        <f>VLOOKUP(VALUE($U66),test_out_xwalk!$C:$L,8,FALSE)</f>
        <v>None</v>
      </c>
      <c r="AH66" s="129" t="str">
        <f>VLOOKUP(VALUE($U66),test_out_xwalk!$C:$L,7,FALSE)</f>
        <v>Spray</v>
      </c>
      <c r="AI66" s="129" t="str">
        <f>VLOOKUP(VALUE($U66),test_out_xwalk!$C:$L,4,FALSE)</f>
        <v>Pre-emergence</v>
      </c>
      <c r="AJ66" s="129" t="str">
        <f>VLOOKUP(VALUE($U66),test_out_xwalk!$C:$L,9,FALSE)</f>
        <v>Other Orchards</v>
      </c>
      <c r="AK66">
        <f>_xlfn.XLOOKUP(VALUE(U66),test_out_xwalk!C:C,test_out_xwalk!A:A)</f>
        <v>3</v>
      </c>
    </row>
    <row r="67" spans="1:37" x14ac:dyDescent="0.55000000000000004">
      <c r="A67" s="121" t="str">
        <f>IF('summary_EPA Pond'!$A67="","Check Summary EPA POND worksheet Column A",'summary_EPA Pond'!$A67)</f>
        <v xml:space="preserve">4_284802-23590-1_Corn-r01-A_USEPA Pond_0010_median                                    </v>
      </c>
      <c r="B67" s="121" t="str" cm="1">
        <f t="array" ref="B67:G67">IFERROR(_xlfn.TEXTSPLIT(A67,"_"),"")</f>
        <v>4</v>
      </c>
      <c r="C67" t="str">
        <v>284802-23590-1</v>
      </c>
      <c r="D67" t="str">
        <v>Corn-r01-A</v>
      </c>
      <c r="E67" t="str">
        <v>USEPA Pond</v>
      </c>
      <c r="F67" t="str">
        <v>0010</v>
      </c>
      <c r="G67" t="str">
        <v xml:space="preserve">median                                    </v>
      </c>
      <c r="H67" s="121" t="str" cm="1">
        <f t="array" ref="H67:J67">IF(D67="","",(_xlfn.TEXTSPLIT(D67,"-")))</f>
        <v>Corn</v>
      </c>
      <c r="I67" s="121" t="str">
        <v>r01</v>
      </c>
      <c r="J67" t="str">
        <v>A</v>
      </c>
      <c r="K67" s="129" t="str">
        <f>VLOOKUP(VALUE($B67),test_out_xwalk!$C:$L,3,FALSE)</f>
        <v>Corn-1-4</v>
      </c>
      <c r="L67" s="129">
        <f>VLOOKUP(VALUE($B67),test_out_xwalk!$C:$L,5,FALSE)</f>
        <v>0.75</v>
      </c>
      <c r="M67" s="129">
        <f>VLOOKUP(VALUE($B67),test_out_xwalk!$C:$L,6,FALSE)</f>
        <v>0.75</v>
      </c>
      <c r="N67" s="129" t="str">
        <f>VLOOKUP(VALUE($B67),test_out_xwalk!$C:$L,8,FALSE)</f>
        <v>Airblast_Sparse</v>
      </c>
      <c r="O67" s="129" t="str">
        <f>VLOOKUP(VALUE($B67),test_out_xwalk!$C:$L,7,FALSE)</f>
        <v>Spray</v>
      </c>
      <c r="P67" s="129" t="str">
        <f>VLOOKUP(VALUE($B67),test_out_xwalk!$C:$L,4,FALSE)</f>
        <v>Pre-emergence</v>
      </c>
      <c r="Q67" s="129" t="str">
        <f>VLOOKUP(VALUE($B67),test_out_xwalk!$C:$L,9,FALSE)</f>
        <v>Corn</v>
      </c>
      <c r="R67">
        <f>_xlfn.XLOOKUP(VALUE(B67),test_out_xwalk!$C:$C,test_out_xwalk!$A:$A)</f>
        <v>1</v>
      </c>
      <c r="T67" s="121" t="str">
        <f>IF('summary_EPA Pond'!$O67="","Check Summary EPA POND worksheet Column O",'summary_EPA Pond'!$O67)</f>
        <v xml:space="preserve">12_125133-11268-74_Orchard deciduous-r03S-A_USEPA Pond_0089_median                    </v>
      </c>
      <c r="U67" s="121" t="str" cm="1">
        <f t="array" ref="U67:Z67">IFERROR(_xlfn.TEXTSPLIT(T67,"_"),"")</f>
        <v>12</v>
      </c>
      <c r="V67" t="str">
        <v>125133-11268-74</v>
      </c>
      <c r="W67" t="str">
        <v>Orchard deciduous-r03S-A</v>
      </c>
      <c r="X67" t="str">
        <v>USEPA Pond</v>
      </c>
      <c r="Y67" t="str">
        <v>0089</v>
      </c>
      <c r="Z67" t="str">
        <v xml:space="preserve">median                    </v>
      </c>
      <c r="AA67" s="121" t="str" cm="1">
        <f t="array" ref="AA67:AC67">IF(W67="","",(_xlfn.TEXTSPLIT(W67,"-")))</f>
        <v>Orchard deciduous</v>
      </c>
      <c r="AB67" s="121" t="str">
        <v>r03S</v>
      </c>
      <c r="AC67" t="str">
        <v>A</v>
      </c>
      <c r="AD67" s="129" t="str">
        <f>VLOOKUP(VALUE($U67),test_out_xwalk!$C:$L,3,FALSE)</f>
        <v>Almond-3-12</v>
      </c>
      <c r="AE67" s="129">
        <f>VLOOKUP(VALUE($U67),test_out_xwalk!$C:$L,5,FALSE)</f>
        <v>1</v>
      </c>
      <c r="AF67" s="129">
        <f>VLOOKUP(VALUE($U67),test_out_xwalk!$C:$L,6,FALSE)</f>
        <v>1</v>
      </c>
      <c r="AG67" s="129" t="str">
        <f>VLOOKUP(VALUE($U67),test_out_xwalk!$C:$L,8,FALSE)</f>
        <v>None</v>
      </c>
      <c r="AH67" s="129" t="str">
        <f>VLOOKUP(VALUE($U67),test_out_xwalk!$C:$L,7,FALSE)</f>
        <v>Spray</v>
      </c>
      <c r="AI67" s="129" t="str">
        <f>VLOOKUP(VALUE($U67),test_out_xwalk!$C:$L,4,FALSE)</f>
        <v>Pre-emergence</v>
      </c>
      <c r="AJ67" s="129" t="str">
        <f>VLOOKUP(VALUE($U67),test_out_xwalk!$C:$L,9,FALSE)</f>
        <v>Other Orchards</v>
      </c>
      <c r="AK67">
        <f>_xlfn.XLOOKUP(VALUE(U67),test_out_xwalk!C:C,test_out_xwalk!A:A)</f>
        <v>3</v>
      </c>
    </row>
    <row r="68" spans="1:37" x14ac:dyDescent="0.55000000000000004">
      <c r="A68" s="121" t="str">
        <f>IF('summary_EPA Pond'!$A68="","Check Summary EPA POND worksheet Column A",'summary_EPA Pond'!$A68)</f>
        <v xml:space="preserve">4_282174-22397-1_Corn-r02-A_USEPA Pond_0010_median                                    </v>
      </c>
      <c r="B68" s="121" t="str" cm="1">
        <f t="array" ref="B68:G68">IFERROR(_xlfn.TEXTSPLIT(A68,"_"),"")</f>
        <v>4</v>
      </c>
      <c r="C68" t="str">
        <v>282174-22397-1</v>
      </c>
      <c r="D68" t="str">
        <v>Corn-r02-A</v>
      </c>
      <c r="E68" t="str">
        <v>USEPA Pond</v>
      </c>
      <c r="F68" t="str">
        <v>0010</v>
      </c>
      <c r="G68" t="str">
        <v xml:space="preserve">median                                    </v>
      </c>
      <c r="H68" s="121" t="str" cm="1">
        <f t="array" ref="H68:J68">IF(D68="","",(_xlfn.TEXTSPLIT(D68,"-")))</f>
        <v>Corn</v>
      </c>
      <c r="I68" s="121" t="str">
        <v>r02</v>
      </c>
      <c r="J68" t="str">
        <v>A</v>
      </c>
      <c r="K68" s="129" t="str">
        <f>VLOOKUP(VALUE($B68),test_out_xwalk!$C:$L,3,FALSE)</f>
        <v>Corn-1-4</v>
      </c>
      <c r="L68" s="129">
        <f>VLOOKUP(VALUE($B68),test_out_xwalk!$C:$L,5,FALSE)</f>
        <v>0.75</v>
      </c>
      <c r="M68" s="129">
        <f>VLOOKUP(VALUE($B68),test_out_xwalk!$C:$L,6,FALSE)</f>
        <v>0.75</v>
      </c>
      <c r="N68" s="129" t="str">
        <f>VLOOKUP(VALUE($B68),test_out_xwalk!$C:$L,8,FALSE)</f>
        <v>Airblast_Sparse</v>
      </c>
      <c r="O68" s="129" t="str">
        <f>VLOOKUP(VALUE($B68),test_out_xwalk!$C:$L,7,FALSE)</f>
        <v>Spray</v>
      </c>
      <c r="P68" s="129" t="str">
        <f>VLOOKUP(VALUE($B68),test_out_xwalk!$C:$L,4,FALSE)</f>
        <v>Pre-emergence</v>
      </c>
      <c r="Q68" s="129" t="str">
        <f>VLOOKUP(VALUE($B68),test_out_xwalk!$C:$L,9,FALSE)</f>
        <v>Corn</v>
      </c>
      <c r="R68">
        <f>_xlfn.XLOOKUP(VALUE(B68),test_out_xwalk!$C:$C,test_out_xwalk!$A:$A)</f>
        <v>1</v>
      </c>
      <c r="T68" s="121" t="str">
        <f>IF('summary_EPA Pond'!$O68="","Check Summary EPA POND worksheet Column O",'summary_EPA Pond'!$O68)</f>
        <v xml:space="preserve">12_2455410-11258-67_Orchard deciduous-r03W-A_USEPA Pond_0089_median                   </v>
      </c>
      <c r="U68" s="121" t="str" cm="1">
        <f t="array" ref="U68:Z68">IFERROR(_xlfn.TEXTSPLIT(T68,"_"),"")</f>
        <v>12</v>
      </c>
      <c r="V68" t="str">
        <v>2455410-11258-67</v>
      </c>
      <c r="W68" t="str">
        <v>Orchard deciduous-r03W-A</v>
      </c>
      <c r="X68" t="str">
        <v>USEPA Pond</v>
      </c>
      <c r="Y68" t="str">
        <v>0089</v>
      </c>
      <c r="Z68" t="str">
        <v xml:space="preserve">median                   </v>
      </c>
      <c r="AA68" s="121" t="str" cm="1">
        <f t="array" ref="AA68:AC68">IF(W68="","",(_xlfn.TEXTSPLIT(W68,"-")))</f>
        <v>Orchard deciduous</v>
      </c>
      <c r="AB68" s="121" t="str">
        <v>r03W</v>
      </c>
      <c r="AC68" t="str">
        <v>A</v>
      </c>
      <c r="AD68" s="129" t="str">
        <f>VLOOKUP(VALUE($U68),test_out_xwalk!$C:$L,3,FALSE)</f>
        <v>Almond-3-12</v>
      </c>
      <c r="AE68" s="129">
        <f>VLOOKUP(VALUE($U68),test_out_xwalk!$C:$L,5,FALSE)</f>
        <v>1</v>
      </c>
      <c r="AF68" s="129">
        <f>VLOOKUP(VALUE($U68),test_out_xwalk!$C:$L,6,FALSE)</f>
        <v>1</v>
      </c>
      <c r="AG68" s="129" t="str">
        <f>VLOOKUP(VALUE($U68),test_out_xwalk!$C:$L,8,FALSE)</f>
        <v>None</v>
      </c>
      <c r="AH68" s="129" t="str">
        <f>VLOOKUP(VALUE($U68),test_out_xwalk!$C:$L,7,FALSE)</f>
        <v>Spray</v>
      </c>
      <c r="AI68" s="129" t="str">
        <f>VLOOKUP(VALUE($U68),test_out_xwalk!$C:$L,4,FALSE)</f>
        <v>Pre-emergence</v>
      </c>
      <c r="AJ68" s="129" t="str">
        <f>VLOOKUP(VALUE($U68),test_out_xwalk!$C:$L,9,FALSE)</f>
        <v>Other Orchards</v>
      </c>
      <c r="AK68">
        <f>_xlfn.XLOOKUP(VALUE(U68),test_out_xwalk!C:C,test_out_xwalk!A:A)</f>
        <v>3</v>
      </c>
    </row>
    <row r="69" spans="1:37" x14ac:dyDescent="0.55000000000000004">
      <c r="A69" s="121" t="str">
        <f>IF('summary_EPA Pond'!$A69="","Check Summary EPA POND worksheet Column A",'summary_EPA Pond'!$A69)</f>
        <v xml:space="preserve">4_2493903-15051-1_Corn-r03N-A_USEPA Pond_0010_median                                  </v>
      </c>
      <c r="B69" s="121" t="str" cm="1">
        <f t="array" ref="B69:G69">IFERROR(_xlfn.TEXTSPLIT(A69,"_"),"")</f>
        <v>4</v>
      </c>
      <c r="C69" t="str">
        <v>2493903-15051-1</v>
      </c>
      <c r="D69" t="str">
        <v>Corn-r03N-A</v>
      </c>
      <c r="E69" t="str">
        <v>USEPA Pond</v>
      </c>
      <c r="F69" t="str">
        <v>0010</v>
      </c>
      <c r="G69" t="str">
        <v xml:space="preserve">median                                  </v>
      </c>
      <c r="H69" s="121" t="str" cm="1">
        <f t="array" ref="H69:J69">IF(D69="","",(_xlfn.TEXTSPLIT(D69,"-")))</f>
        <v>Corn</v>
      </c>
      <c r="I69" s="121" t="str">
        <v>r03N</v>
      </c>
      <c r="J69" t="str">
        <v>A</v>
      </c>
      <c r="K69" s="129" t="str">
        <f>VLOOKUP(VALUE($B69),test_out_xwalk!$C:$L,3,FALSE)</f>
        <v>Corn-1-4</v>
      </c>
      <c r="L69" s="129">
        <f>VLOOKUP(VALUE($B69),test_out_xwalk!$C:$L,5,FALSE)</f>
        <v>0.75</v>
      </c>
      <c r="M69" s="129">
        <f>VLOOKUP(VALUE($B69),test_out_xwalk!$C:$L,6,FALSE)</f>
        <v>0.75</v>
      </c>
      <c r="N69" s="129" t="str">
        <f>VLOOKUP(VALUE($B69),test_out_xwalk!$C:$L,8,FALSE)</f>
        <v>Airblast_Sparse</v>
      </c>
      <c r="O69" s="129" t="str">
        <f>VLOOKUP(VALUE($B69),test_out_xwalk!$C:$L,7,FALSE)</f>
        <v>Spray</v>
      </c>
      <c r="P69" s="129" t="str">
        <f>VLOOKUP(VALUE($B69),test_out_xwalk!$C:$L,4,FALSE)</f>
        <v>Pre-emergence</v>
      </c>
      <c r="Q69" s="129" t="str">
        <f>VLOOKUP(VALUE($B69),test_out_xwalk!$C:$L,9,FALSE)</f>
        <v>Corn</v>
      </c>
      <c r="R69">
        <f>_xlfn.XLOOKUP(VALUE(B69),test_out_xwalk!$C:$C,test_out_xwalk!$A:$A)</f>
        <v>1</v>
      </c>
      <c r="T69" s="121" t="str">
        <f>IF('summary_EPA Pond'!$O69="","Check Summary EPA POND worksheet Column O",'summary_EPA Pond'!$O69)</f>
        <v xml:space="preserve">12_292675-21905-68_Orchard deciduous-r04-A_USEPA Pond_0089_median                     </v>
      </c>
      <c r="U69" s="121" t="str" cm="1">
        <f t="array" ref="U69:Z69">IFERROR(_xlfn.TEXTSPLIT(T69,"_"),"")</f>
        <v>12</v>
      </c>
      <c r="V69" t="str">
        <v>292675-21905-68</v>
      </c>
      <c r="W69" t="str">
        <v>Orchard deciduous-r04-A</v>
      </c>
      <c r="X69" t="str">
        <v>USEPA Pond</v>
      </c>
      <c r="Y69" t="str">
        <v>0089</v>
      </c>
      <c r="Z69" t="str">
        <v xml:space="preserve">median                     </v>
      </c>
      <c r="AA69" s="121" t="str" cm="1">
        <f t="array" ref="AA69:AC69">IF(W69="","",(_xlfn.TEXTSPLIT(W69,"-")))</f>
        <v>Orchard deciduous</v>
      </c>
      <c r="AB69" s="121" t="str">
        <v>r04</v>
      </c>
      <c r="AC69" t="str">
        <v>A</v>
      </c>
      <c r="AD69" s="129" t="str">
        <f>VLOOKUP(VALUE($U69),test_out_xwalk!$C:$L,3,FALSE)</f>
        <v>Almond-3-12</v>
      </c>
      <c r="AE69" s="129">
        <f>VLOOKUP(VALUE($U69),test_out_xwalk!$C:$L,5,FALSE)</f>
        <v>1</v>
      </c>
      <c r="AF69" s="129">
        <f>VLOOKUP(VALUE($U69),test_out_xwalk!$C:$L,6,FALSE)</f>
        <v>1</v>
      </c>
      <c r="AG69" s="129" t="str">
        <f>VLOOKUP(VALUE($U69),test_out_xwalk!$C:$L,8,FALSE)</f>
        <v>None</v>
      </c>
      <c r="AH69" s="129" t="str">
        <f>VLOOKUP(VALUE($U69),test_out_xwalk!$C:$L,7,FALSE)</f>
        <v>Spray</v>
      </c>
      <c r="AI69" s="129" t="str">
        <f>VLOOKUP(VALUE($U69),test_out_xwalk!$C:$L,4,FALSE)</f>
        <v>Pre-emergence</v>
      </c>
      <c r="AJ69" s="129" t="str">
        <f>VLOOKUP(VALUE($U69),test_out_xwalk!$C:$L,9,FALSE)</f>
        <v>Other Orchards</v>
      </c>
      <c r="AK69">
        <f>_xlfn.XLOOKUP(VALUE(U69),test_out_xwalk!C:C,test_out_xwalk!A:A)</f>
        <v>3</v>
      </c>
    </row>
    <row r="70" spans="1:37" x14ac:dyDescent="0.55000000000000004">
      <c r="A70" s="121" t="str">
        <f>IF('summary_EPA Pond'!$A70="","Check Summary EPA POND worksheet Column A",'summary_EPA Pond'!$A70)</f>
        <v xml:space="preserve">4_125348-10792-1_Corn-r03S-A_USEPA Pond_0010_median                                   </v>
      </c>
      <c r="B70" s="121" t="str" cm="1">
        <f t="array" ref="B70:G70">IFERROR(_xlfn.TEXTSPLIT(A70,"_"),"")</f>
        <v>4</v>
      </c>
      <c r="C70" t="str">
        <v>125348-10792-1</v>
      </c>
      <c r="D70" t="str">
        <v>Corn-r03S-A</v>
      </c>
      <c r="E70" t="str">
        <v>USEPA Pond</v>
      </c>
      <c r="F70" t="str">
        <v>0010</v>
      </c>
      <c r="G70" t="str">
        <v xml:space="preserve">median                                   </v>
      </c>
      <c r="H70" s="121" t="str" cm="1">
        <f t="array" ref="H70:J70">IF(D70="","",(_xlfn.TEXTSPLIT(D70,"-")))</f>
        <v>Corn</v>
      </c>
      <c r="I70" s="121" t="str">
        <v>r03S</v>
      </c>
      <c r="J70" t="str">
        <v>A</v>
      </c>
      <c r="K70" s="129" t="str">
        <f>VLOOKUP(VALUE($B70),test_out_xwalk!$C:$L,3,FALSE)</f>
        <v>Corn-1-4</v>
      </c>
      <c r="L70" s="129">
        <f>VLOOKUP(VALUE($B70),test_out_xwalk!$C:$L,5,FALSE)</f>
        <v>0.75</v>
      </c>
      <c r="M70" s="129">
        <f>VLOOKUP(VALUE($B70),test_out_xwalk!$C:$L,6,FALSE)</f>
        <v>0.75</v>
      </c>
      <c r="N70" s="129" t="str">
        <f>VLOOKUP(VALUE($B70),test_out_xwalk!$C:$L,8,FALSE)</f>
        <v>Airblast_Sparse</v>
      </c>
      <c r="O70" s="129" t="str">
        <f>VLOOKUP(VALUE($B70),test_out_xwalk!$C:$L,7,FALSE)</f>
        <v>Spray</v>
      </c>
      <c r="P70" s="129" t="str">
        <f>VLOOKUP(VALUE($B70),test_out_xwalk!$C:$L,4,FALSE)</f>
        <v>Pre-emergence</v>
      </c>
      <c r="Q70" s="129" t="str">
        <f>VLOOKUP(VALUE($B70),test_out_xwalk!$C:$L,9,FALSE)</f>
        <v>Corn</v>
      </c>
      <c r="R70">
        <f>_xlfn.XLOOKUP(VALUE(B70),test_out_xwalk!$C:$C,test_out_xwalk!$A:$A)</f>
        <v>1</v>
      </c>
      <c r="T70" s="121" t="str">
        <f>IF('summary_EPA Pond'!$O70="","Check Summary EPA POND worksheet Column O",'summary_EPA Pond'!$O70)</f>
        <v xml:space="preserve">12_298742-19770-68_Orchard deciduous-r05-A_USEPA Pond_0089_median                     </v>
      </c>
      <c r="U70" s="121" t="str" cm="1">
        <f t="array" ref="U70:Z70">IFERROR(_xlfn.TEXTSPLIT(T70,"_"),"")</f>
        <v>12</v>
      </c>
      <c r="V70" t="str">
        <v>298742-19770-68</v>
      </c>
      <c r="W70" t="str">
        <v>Orchard deciduous-r05-A</v>
      </c>
      <c r="X70" t="str">
        <v>USEPA Pond</v>
      </c>
      <c r="Y70" t="str">
        <v>0089</v>
      </c>
      <c r="Z70" t="str">
        <v xml:space="preserve">median                     </v>
      </c>
      <c r="AA70" s="121" t="str" cm="1">
        <f t="array" ref="AA70:AC70">IF(W70="","",(_xlfn.TEXTSPLIT(W70,"-")))</f>
        <v>Orchard deciduous</v>
      </c>
      <c r="AB70" s="121" t="str">
        <v>r05</v>
      </c>
      <c r="AC70" t="str">
        <v>A</v>
      </c>
      <c r="AD70" s="129" t="str">
        <f>VLOOKUP(VALUE($U70),test_out_xwalk!$C:$L,3,FALSE)</f>
        <v>Almond-3-12</v>
      </c>
      <c r="AE70" s="129">
        <f>VLOOKUP(VALUE($U70),test_out_xwalk!$C:$L,5,FALSE)</f>
        <v>1</v>
      </c>
      <c r="AF70" s="129">
        <f>VLOOKUP(VALUE($U70),test_out_xwalk!$C:$L,6,FALSE)</f>
        <v>1</v>
      </c>
      <c r="AG70" s="129" t="str">
        <f>VLOOKUP(VALUE($U70),test_out_xwalk!$C:$L,8,FALSE)</f>
        <v>None</v>
      </c>
      <c r="AH70" s="129" t="str">
        <f>VLOOKUP(VALUE($U70),test_out_xwalk!$C:$L,7,FALSE)</f>
        <v>Spray</v>
      </c>
      <c r="AI70" s="129" t="str">
        <f>VLOOKUP(VALUE($U70),test_out_xwalk!$C:$L,4,FALSE)</f>
        <v>Pre-emergence</v>
      </c>
      <c r="AJ70" s="129" t="str">
        <f>VLOOKUP(VALUE($U70),test_out_xwalk!$C:$L,9,FALSE)</f>
        <v>Other Orchards</v>
      </c>
      <c r="AK70">
        <f>_xlfn.XLOOKUP(VALUE(U70),test_out_xwalk!C:C,test_out_xwalk!A:A)</f>
        <v>3</v>
      </c>
    </row>
    <row r="71" spans="1:37" x14ac:dyDescent="0.55000000000000004">
      <c r="A71" s="121" t="str">
        <f>IF('summary_EPA Pond'!$A71="","Check Summary EPA POND worksheet Column A",'summary_EPA Pond'!$A71)</f>
        <v xml:space="preserve">4_333066-12658-1_Corn-r03W-A_USEPA Pond_0010_median                                   </v>
      </c>
      <c r="B71" s="121" t="str" cm="1">
        <f t="array" ref="B71:G71">IFERROR(_xlfn.TEXTSPLIT(A71,"_"),"")</f>
        <v>4</v>
      </c>
      <c r="C71" t="str">
        <v>333066-12658-1</v>
      </c>
      <c r="D71" t="str">
        <v>Corn-r03W-A</v>
      </c>
      <c r="E71" t="str">
        <v>USEPA Pond</v>
      </c>
      <c r="F71" t="str">
        <v>0010</v>
      </c>
      <c r="G71" t="str">
        <v xml:space="preserve">median                                   </v>
      </c>
      <c r="H71" s="121" t="str" cm="1">
        <f t="array" ref="H71:J71">IF(D71="","",(_xlfn.TEXTSPLIT(D71,"-")))</f>
        <v>Corn</v>
      </c>
      <c r="I71" s="121" t="str">
        <v>r03W</v>
      </c>
      <c r="J71" t="str">
        <v>A</v>
      </c>
      <c r="K71" s="129" t="str">
        <f>VLOOKUP(VALUE($B71),test_out_xwalk!$C:$L,3,FALSE)</f>
        <v>Corn-1-4</v>
      </c>
      <c r="L71" s="129">
        <f>VLOOKUP(VALUE($B71),test_out_xwalk!$C:$L,5,FALSE)</f>
        <v>0.75</v>
      </c>
      <c r="M71" s="129">
        <f>VLOOKUP(VALUE($B71),test_out_xwalk!$C:$L,6,FALSE)</f>
        <v>0.75</v>
      </c>
      <c r="N71" s="129" t="str">
        <f>VLOOKUP(VALUE($B71),test_out_xwalk!$C:$L,8,FALSE)</f>
        <v>Airblast_Sparse</v>
      </c>
      <c r="O71" s="129" t="str">
        <f>VLOOKUP(VALUE($B71),test_out_xwalk!$C:$L,7,FALSE)</f>
        <v>Spray</v>
      </c>
      <c r="P71" s="129" t="str">
        <f>VLOOKUP(VALUE($B71),test_out_xwalk!$C:$L,4,FALSE)</f>
        <v>Pre-emergence</v>
      </c>
      <c r="Q71" s="129" t="str">
        <f>VLOOKUP(VALUE($B71),test_out_xwalk!$C:$L,9,FALSE)</f>
        <v>Corn</v>
      </c>
      <c r="R71">
        <f>_xlfn.XLOOKUP(VALUE(B71),test_out_xwalk!$C:$C,test_out_xwalk!$A:$A)</f>
        <v>1</v>
      </c>
      <c r="T71" s="121" t="str">
        <f>IF('summary_EPA Pond'!$O71="","Check Summary EPA POND worksheet Column O",'summary_EPA Pond'!$O71)</f>
        <v xml:space="preserve">12_546865-14571-68_Orchard deciduous-r06-A_USEPA Pond_0089_median                     </v>
      </c>
      <c r="U71" s="121" t="str" cm="1">
        <f t="array" ref="U71:Z71">IFERROR(_xlfn.TEXTSPLIT(T71,"_"),"")</f>
        <v>12</v>
      </c>
      <c r="V71" t="str">
        <v>546865-14571-68</v>
      </c>
      <c r="W71" t="str">
        <v>Orchard deciduous-r06-A</v>
      </c>
      <c r="X71" t="str">
        <v>USEPA Pond</v>
      </c>
      <c r="Y71" t="str">
        <v>0089</v>
      </c>
      <c r="Z71" t="str">
        <v xml:space="preserve">median                     </v>
      </c>
      <c r="AA71" s="121" t="str" cm="1">
        <f t="array" ref="AA71:AC71">IF(W71="","",(_xlfn.TEXTSPLIT(W71,"-")))</f>
        <v>Orchard deciduous</v>
      </c>
      <c r="AB71" s="121" t="str">
        <v>r06</v>
      </c>
      <c r="AC71" t="str">
        <v>A</v>
      </c>
      <c r="AD71" s="129" t="str">
        <f>VLOOKUP(VALUE($U71),test_out_xwalk!$C:$L,3,FALSE)</f>
        <v>Almond-3-12</v>
      </c>
      <c r="AE71" s="129">
        <f>VLOOKUP(VALUE($U71),test_out_xwalk!$C:$L,5,FALSE)</f>
        <v>1</v>
      </c>
      <c r="AF71" s="129">
        <f>VLOOKUP(VALUE($U71),test_out_xwalk!$C:$L,6,FALSE)</f>
        <v>1</v>
      </c>
      <c r="AG71" s="129" t="str">
        <f>VLOOKUP(VALUE($U71),test_out_xwalk!$C:$L,8,FALSE)</f>
        <v>None</v>
      </c>
      <c r="AH71" s="129" t="str">
        <f>VLOOKUP(VALUE($U71),test_out_xwalk!$C:$L,7,FALSE)</f>
        <v>Spray</v>
      </c>
      <c r="AI71" s="129" t="str">
        <f>VLOOKUP(VALUE($U71),test_out_xwalk!$C:$L,4,FALSE)</f>
        <v>Pre-emergence</v>
      </c>
      <c r="AJ71" s="129" t="str">
        <f>VLOOKUP(VALUE($U71),test_out_xwalk!$C:$L,9,FALSE)</f>
        <v>Other Orchards</v>
      </c>
      <c r="AK71">
        <f>_xlfn.XLOOKUP(VALUE(U71),test_out_xwalk!C:C,test_out_xwalk!A:A)</f>
        <v>3</v>
      </c>
    </row>
    <row r="72" spans="1:37" x14ac:dyDescent="0.55000000000000004">
      <c r="A72" s="121" t="str">
        <f>IF('summary_EPA Pond'!$A72="","Check Summary EPA POND worksheet Column A",'summary_EPA Pond'!$A72)</f>
        <v xml:space="preserve">4_169674-19520-1_Corn-r04-A_USEPA Pond_0010_median                                    </v>
      </c>
      <c r="B72" s="121" t="str" cm="1">
        <f t="array" ref="B72:G72">IFERROR(_xlfn.TEXTSPLIT(A72,"_"),"")</f>
        <v>4</v>
      </c>
      <c r="C72" t="str">
        <v>169674-19520-1</v>
      </c>
      <c r="D72" t="str">
        <v>Corn-r04-A</v>
      </c>
      <c r="E72" t="str">
        <v>USEPA Pond</v>
      </c>
      <c r="F72" t="str">
        <v>0010</v>
      </c>
      <c r="G72" t="str">
        <v xml:space="preserve">median                                    </v>
      </c>
      <c r="H72" s="121" t="str" cm="1">
        <f t="array" ref="H72:J72">IF(D72="","",(_xlfn.TEXTSPLIT(D72,"-")))</f>
        <v>Corn</v>
      </c>
      <c r="I72" s="121" t="str">
        <v>r04</v>
      </c>
      <c r="J72" t="str">
        <v>A</v>
      </c>
      <c r="K72" s="129" t="str">
        <f>VLOOKUP(VALUE($B72),test_out_xwalk!$C:$L,3,FALSE)</f>
        <v>Corn-1-4</v>
      </c>
      <c r="L72" s="129">
        <f>VLOOKUP(VALUE($B72),test_out_xwalk!$C:$L,5,FALSE)</f>
        <v>0.75</v>
      </c>
      <c r="M72" s="129">
        <f>VLOOKUP(VALUE($B72),test_out_xwalk!$C:$L,6,FALSE)</f>
        <v>0.75</v>
      </c>
      <c r="N72" s="129" t="str">
        <f>VLOOKUP(VALUE($B72),test_out_xwalk!$C:$L,8,FALSE)</f>
        <v>Airblast_Sparse</v>
      </c>
      <c r="O72" s="129" t="str">
        <f>VLOOKUP(VALUE($B72),test_out_xwalk!$C:$L,7,FALSE)</f>
        <v>Spray</v>
      </c>
      <c r="P72" s="129" t="str">
        <f>VLOOKUP(VALUE($B72),test_out_xwalk!$C:$L,4,FALSE)</f>
        <v>Pre-emergence</v>
      </c>
      <c r="Q72" s="129" t="str">
        <f>VLOOKUP(VALUE($B72),test_out_xwalk!$C:$L,9,FALSE)</f>
        <v>Corn</v>
      </c>
      <c r="R72">
        <f>_xlfn.XLOOKUP(VALUE(B72),test_out_xwalk!$C:$C,test_out_xwalk!$A:$A)</f>
        <v>1</v>
      </c>
      <c r="T72" s="121" t="str">
        <f>IF('summary_EPA Pond'!$O72="","Check Summary EPA POND worksheet Column O",'summary_EPA Pond'!$O72)</f>
        <v xml:space="preserve">12_396439-23493-68_Orchard deciduous-r07-A_USEPA Pond_0089_median                     </v>
      </c>
      <c r="U72" s="121" t="str" cm="1">
        <f t="array" ref="U72:Z72">IFERROR(_xlfn.TEXTSPLIT(T72,"_"),"")</f>
        <v>12</v>
      </c>
      <c r="V72" t="str">
        <v>396439-23493-68</v>
      </c>
      <c r="W72" t="str">
        <v>Orchard deciduous-r07-A</v>
      </c>
      <c r="X72" t="str">
        <v>USEPA Pond</v>
      </c>
      <c r="Y72" t="str">
        <v>0089</v>
      </c>
      <c r="Z72" t="str">
        <v xml:space="preserve">median                     </v>
      </c>
      <c r="AA72" s="121" t="str" cm="1">
        <f t="array" ref="AA72:AC72">IF(W72="","",(_xlfn.TEXTSPLIT(W72,"-")))</f>
        <v>Orchard deciduous</v>
      </c>
      <c r="AB72" s="121" t="str">
        <v>r07</v>
      </c>
      <c r="AC72" t="str">
        <v>A</v>
      </c>
      <c r="AD72" s="129" t="str">
        <f>VLOOKUP(VALUE($U72),test_out_xwalk!$C:$L,3,FALSE)</f>
        <v>Almond-3-12</v>
      </c>
      <c r="AE72" s="129">
        <f>VLOOKUP(VALUE($U72),test_out_xwalk!$C:$L,5,FALSE)</f>
        <v>1</v>
      </c>
      <c r="AF72" s="129">
        <f>VLOOKUP(VALUE($U72),test_out_xwalk!$C:$L,6,FALSE)</f>
        <v>1</v>
      </c>
      <c r="AG72" s="129" t="str">
        <f>VLOOKUP(VALUE($U72),test_out_xwalk!$C:$L,8,FALSE)</f>
        <v>None</v>
      </c>
      <c r="AH72" s="129" t="str">
        <f>VLOOKUP(VALUE($U72),test_out_xwalk!$C:$L,7,FALSE)</f>
        <v>Spray</v>
      </c>
      <c r="AI72" s="129" t="str">
        <f>VLOOKUP(VALUE($U72),test_out_xwalk!$C:$L,4,FALSE)</f>
        <v>Pre-emergence</v>
      </c>
      <c r="AJ72" s="129" t="str">
        <f>VLOOKUP(VALUE($U72),test_out_xwalk!$C:$L,9,FALSE)</f>
        <v>Other Orchards</v>
      </c>
      <c r="AK72">
        <f>_xlfn.XLOOKUP(VALUE(U72),test_out_xwalk!C:C,test_out_xwalk!A:A)</f>
        <v>3</v>
      </c>
    </row>
    <row r="73" spans="1:37" x14ac:dyDescent="0.55000000000000004">
      <c r="A73" s="121" t="str">
        <f>IF('summary_EPA Pond'!$A73="","Check Summary EPA POND worksheet Column A",'summary_EPA Pond'!$A73)</f>
        <v xml:space="preserve">4_164805-19043-1_Corn-r05-A_USEPA Pond_0010_median                                    </v>
      </c>
      <c r="B73" s="121" t="str" cm="1">
        <f t="array" ref="B73:G73">IFERROR(_xlfn.TEXTSPLIT(A73,"_"),"")</f>
        <v>4</v>
      </c>
      <c r="C73" t="str">
        <v>164805-19043-1</v>
      </c>
      <c r="D73" t="str">
        <v>Corn-r05-A</v>
      </c>
      <c r="E73" t="str">
        <v>USEPA Pond</v>
      </c>
      <c r="F73" t="str">
        <v>0010</v>
      </c>
      <c r="G73" t="str">
        <v xml:space="preserve">median                                    </v>
      </c>
      <c r="H73" s="121" t="str" cm="1">
        <f t="array" ref="H73:J73">IF(D73="","",(_xlfn.TEXTSPLIT(D73,"-")))</f>
        <v>Corn</v>
      </c>
      <c r="I73" s="121" t="str">
        <v>r05</v>
      </c>
      <c r="J73" t="str">
        <v>A</v>
      </c>
      <c r="K73" s="129" t="str">
        <f>VLOOKUP(VALUE($B73),test_out_xwalk!$C:$L,3,FALSE)</f>
        <v>Corn-1-4</v>
      </c>
      <c r="L73" s="129">
        <f>VLOOKUP(VALUE($B73),test_out_xwalk!$C:$L,5,FALSE)</f>
        <v>0.75</v>
      </c>
      <c r="M73" s="129">
        <f>VLOOKUP(VALUE($B73),test_out_xwalk!$C:$L,6,FALSE)</f>
        <v>0.75</v>
      </c>
      <c r="N73" s="129" t="str">
        <f>VLOOKUP(VALUE($B73),test_out_xwalk!$C:$L,8,FALSE)</f>
        <v>Airblast_Sparse</v>
      </c>
      <c r="O73" s="129" t="str">
        <f>VLOOKUP(VALUE($B73),test_out_xwalk!$C:$L,7,FALSE)</f>
        <v>Spray</v>
      </c>
      <c r="P73" s="129" t="str">
        <f>VLOOKUP(VALUE($B73),test_out_xwalk!$C:$L,4,FALSE)</f>
        <v>Pre-emergence</v>
      </c>
      <c r="Q73" s="129" t="str">
        <f>VLOOKUP(VALUE($B73),test_out_xwalk!$C:$L,9,FALSE)</f>
        <v>Corn</v>
      </c>
      <c r="R73">
        <f>_xlfn.XLOOKUP(VALUE(B73),test_out_xwalk!$C:$C,test_out_xwalk!$A:$A)</f>
        <v>1</v>
      </c>
      <c r="T73" s="121" t="str">
        <f>IF('summary_EPA Pond'!$O73="","Check Summary EPA POND worksheet Column O",'summary_EPA Pond'!$O73)</f>
        <v xml:space="preserve">12_567494-13121-74_Orchard deciduous-r08-A_USEPA Pond_0089_median                     </v>
      </c>
      <c r="U73" s="121" t="str" cm="1">
        <f t="array" ref="U73:Z73">IFERROR(_xlfn.TEXTSPLIT(T73,"_"),"")</f>
        <v>12</v>
      </c>
      <c r="V73" t="str">
        <v>567494-13121-74</v>
      </c>
      <c r="W73" t="str">
        <v>Orchard deciduous-r08-A</v>
      </c>
      <c r="X73" t="str">
        <v>USEPA Pond</v>
      </c>
      <c r="Y73" t="str">
        <v>0089</v>
      </c>
      <c r="Z73" t="str">
        <v xml:space="preserve">median                     </v>
      </c>
      <c r="AA73" s="121" t="str" cm="1">
        <f t="array" ref="AA73:AC73">IF(W73="","",(_xlfn.TEXTSPLIT(W73,"-")))</f>
        <v>Orchard deciduous</v>
      </c>
      <c r="AB73" s="121" t="str">
        <v>r08</v>
      </c>
      <c r="AC73" t="str">
        <v>A</v>
      </c>
      <c r="AD73" s="129" t="str">
        <f>VLOOKUP(VALUE($U73),test_out_xwalk!$C:$L,3,FALSE)</f>
        <v>Almond-3-12</v>
      </c>
      <c r="AE73" s="129">
        <f>VLOOKUP(VALUE($U73),test_out_xwalk!$C:$L,5,FALSE)</f>
        <v>1</v>
      </c>
      <c r="AF73" s="129">
        <f>VLOOKUP(VALUE($U73),test_out_xwalk!$C:$L,6,FALSE)</f>
        <v>1</v>
      </c>
      <c r="AG73" s="129" t="str">
        <f>VLOOKUP(VALUE($U73),test_out_xwalk!$C:$L,8,FALSE)</f>
        <v>None</v>
      </c>
      <c r="AH73" s="129" t="str">
        <f>VLOOKUP(VALUE($U73),test_out_xwalk!$C:$L,7,FALSE)</f>
        <v>Spray</v>
      </c>
      <c r="AI73" s="129" t="str">
        <f>VLOOKUP(VALUE($U73),test_out_xwalk!$C:$L,4,FALSE)</f>
        <v>Pre-emergence</v>
      </c>
      <c r="AJ73" s="129" t="str">
        <f>VLOOKUP(VALUE($U73),test_out_xwalk!$C:$L,9,FALSE)</f>
        <v>Other Orchards</v>
      </c>
      <c r="AK73">
        <f>_xlfn.XLOOKUP(VALUE(U73),test_out_xwalk!C:C,test_out_xwalk!A:A)</f>
        <v>3</v>
      </c>
    </row>
    <row r="74" spans="1:37" x14ac:dyDescent="0.55000000000000004">
      <c r="A74" s="121" t="str">
        <f>IF('summary_EPA Pond'!$A74="","Check Summary EPA POND worksheet Column A",'summary_EPA Pond'!$A74)</f>
        <v xml:space="preserve">4_522893-13848-1_Corn-r06-A_USEPA Pond_0010_median                                    </v>
      </c>
      <c r="B74" s="121" t="str" cm="1">
        <f t="array" ref="B74:G74">IFERROR(_xlfn.TEXTSPLIT(A74,"_"),"")</f>
        <v>4</v>
      </c>
      <c r="C74" t="str">
        <v>522893-13848-1</v>
      </c>
      <c r="D74" t="str">
        <v>Corn-r06-A</v>
      </c>
      <c r="E74" t="str">
        <v>USEPA Pond</v>
      </c>
      <c r="F74" t="str">
        <v>0010</v>
      </c>
      <c r="G74" t="str">
        <v xml:space="preserve">median                                    </v>
      </c>
      <c r="H74" s="121" t="str" cm="1">
        <f t="array" ref="H74:J74">IF(D74="","",(_xlfn.TEXTSPLIT(D74,"-")))</f>
        <v>Corn</v>
      </c>
      <c r="I74" s="121" t="str">
        <v>r06</v>
      </c>
      <c r="J74" t="str">
        <v>A</v>
      </c>
      <c r="K74" s="129" t="str">
        <f>VLOOKUP(VALUE($B74),test_out_xwalk!$C:$L,3,FALSE)</f>
        <v>Corn-1-4</v>
      </c>
      <c r="L74" s="129">
        <f>VLOOKUP(VALUE($B74),test_out_xwalk!$C:$L,5,FALSE)</f>
        <v>0.75</v>
      </c>
      <c r="M74" s="129">
        <f>VLOOKUP(VALUE($B74),test_out_xwalk!$C:$L,6,FALSE)</f>
        <v>0.75</v>
      </c>
      <c r="N74" s="129" t="str">
        <f>VLOOKUP(VALUE($B74),test_out_xwalk!$C:$L,8,FALSE)</f>
        <v>Airblast_Sparse</v>
      </c>
      <c r="O74" s="129" t="str">
        <f>VLOOKUP(VALUE($B74),test_out_xwalk!$C:$L,7,FALSE)</f>
        <v>Spray</v>
      </c>
      <c r="P74" s="129" t="str">
        <f>VLOOKUP(VALUE($B74),test_out_xwalk!$C:$L,4,FALSE)</f>
        <v>Pre-emergence</v>
      </c>
      <c r="Q74" s="129" t="str">
        <f>VLOOKUP(VALUE($B74),test_out_xwalk!$C:$L,9,FALSE)</f>
        <v>Corn</v>
      </c>
      <c r="R74">
        <f>_xlfn.XLOOKUP(VALUE(B74),test_out_xwalk!$C:$C,test_out_xwalk!$A:$A)</f>
        <v>1</v>
      </c>
      <c r="T74" s="121" t="str">
        <f>IF('summary_EPA Pond'!$O74="","Check Summary EPA POND worksheet Column O",'summary_EPA Pond'!$O74)</f>
        <v xml:space="preserve">12_2774572-26572-68_Orchard deciduous-r09-A_USEPA Pond_0089_median                    </v>
      </c>
      <c r="U74" s="121" t="str" cm="1">
        <f t="array" ref="U74:Z74">IFERROR(_xlfn.TEXTSPLIT(T74,"_"),"")</f>
        <v>12</v>
      </c>
      <c r="V74" t="str">
        <v>2774572-26572-68</v>
      </c>
      <c r="W74" t="str">
        <v>Orchard deciduous-r09-A</v>
      </c>
      <c r="X74" t="str">
        <v>USEPA Pond</v>
      </c>
      <c r="Y74" t="str">
        <v>0089</v>
      </c>
      <c r="Z74" t="str">
        <v xml:space="preserve">median                    </v>
      </c>
      <c r="AA74" s="121" t="str" cm="1">
        <f t="array" ref="AA74:AC74">IF(W74="","",(_xlfn.TEXTSPLIT(W74,"-")))</f>
        <v>Orchard deciduous</v>
      </c>
      <c r="AB74" s="121" t="str">
        <v>r09</v>
      </c>
      <c r="AC74" t="str">
        <v>A</v>
      </c>
      <c r="AD74" s="129" t="str">
        <f>VLOOKUP(VALUE($U74),test_out_xwalk!$C:$L,3,FALSE)</f>
        <v>Almond-3-12</v>
      </c>
      <c r="AE74" s="129">
        <f>VLOOKUP(VALUE($U74),test_out_xwalk!$C:$L,5,FALSE)</f>
        <v>1</v>
      </c>
      <c r="AF74" s="129">
        <f>VLOOKUP(VALUE($U74),test_out_xwalk!$C:$L,6,FALSE)</f>
        <v>1</v>
      </c>
      <c r="AG74" s="129" t="str">
        <f>VLOOKUP(VALUE($U74),test_out_xwalk!$C:$L,8,FALSE)</f>
        <v>None</v>
      </c>
      <c r="AH74" s="129" t="str">
        <f>VLOOKUP(VALUE($U74),test_out_xwalk!$C:$L,7,FALSE)</f>
        <v>Spray</v>
      </c>
      <c r="AI74" s="129" t="str">
        <f>VLOOKUP(VALUE($U74),test_out_xwalk!$C:$L,4,FALSE)</f>
        <v>Pre-emergence</v>
      </c>
      <c r="AJ74" s="129" t="str">
        <f>VLOOKUP(VALUE($U74),test_out_xwalk!$C:$L,9,FALSE)</f>
        <v>Other Orchards</v>
      </c>
      <c r="AK74">
        <f>_xlfn.XLOOKUP(VALUE(U74),test_out_xwalk!C:C,test_out_xwalk!A:A)</f>
        <v>3</v>
      </c>
    </row>
    <row r="75" spans="1:37" x14ac:dyDescent="0.55000000000000004">
      <c r="A75" s="121" t="str">
        <f>IF('summary_EPA Pond'!$A75="","Check Summary EPA POND worksheet Column A",'summary_EPA Pond'!$A75)</f>
        <v xml:space="preserve">4_2765542-21371-1_Corn-r07-A_USEPA Pond_0010_median                                   </v>
      </c>
      <c r="B75" s="121" t="str" cm="1">
        <f t="array" ref="B75:G75">IFERROR(_xlfn.TEXTSPLIT(A75,"_"),"")</f>
        <v>4</v>
      </c>
      <c r="C75" t="str">
        <v>2765542-21371-1</v>
      </c>
      <c r="D75" t="str">
        <v>Corn-r07-A</v>
      </c>
      <c r="E75" t="str">
        <v>USEPA Pond</v>
      </c>
      <c r="F75" t="str">
        <v>0010</v>
      </c>
      <c r="G75" t="str">
        <v xml:space="preserve">median                                   </v>
      </c>
      <c r="H75" s="121" t="str" cm="1">
        <f t="array" ref="H75:J75">IF(D75="","",(_xlfn.TEXTSPLIT(D75,"-")))</f>
        <v>Corn</v>
      </c>
      <c r="I75" s="121" t="str">
        <v>r07</v>
      </c>
      <c r="J75" t="str">
        <v>A</v>
      </c>
      <c r="K75" s="129" t="str">
        <f>VLOOKUP(VALUE($B75),test_out_xwalk!$C:$L,3,FALSE)</f>
        <v>Corn-1-4</v>
      </c>
      <c r="L75" s="129">
        <f>VLOOKUP(VALUE($B75),test_out_xwalk!$C:$L,5,FALSE)</f>
        <v>0.75</v>
      </c>
      <c r="M75" s="129">
        <f>VLOOKUP(VALUE($B75),test_out_xwalk!$C:$L,6,FALSE)</f>
        <v>0.75</v>
      </c>
      <c r="N75" s="129" t="str">
        <f>VLOOKUP(VALUE($B75),test_out_xwalk!$C:$L,8,FALSE)</f>
        <v>Airblast_Sparse</v>
      </c>
      <c r="O75" s="129" t="str">
        <f>VLOOKUP(VALUE($B75),test_out_xwalk!$C:$L,7,FALSE)</f>
        <v>Spray</v>
      </c>
      <c r="P75" s="129" t="str">
        <f>VLOOKUP(VALUE($B75),test_out_xwalk!$C:$L,4,FALSE)</f>
        <v>Pre-emergence</v>
      </c>
      <c r="Q75" s="129" t="str">
        <f>VLOOKUP(VALUE($B75),test_out_xwalk!$C:$L,9,FALSE)</f>
        <v>Corn</v>
      </c>
      <c r="R75">
        <f>_xlfn.XLOOKUP(VALUE(B75),test_out_xwalk!$C:$C,test_out_xwalk!$A:$A)</f>
        <v>1</v>
      </c>
      <c r="T75" s="121" t="str">
        <f>IF('summary_EPA Pond'!$O75="","Check Summary EPA POND worksheet Column O",'summary_EPA Pond'!$O75)</f>
        <v xml:space="preserve">12_2532369-16882-74_Orchard deciduous-r10L-A_USEPA Pond_0089_median                   </v>
      </c>
      <c r="U75" s="121" t="str" cm="1">
        <f t="array" ref="U75:Z75">IFERROR(_xlfn.TEXTSPLIT(T75,"_"),"")</f>
        <v>12</v>
      </c>
      <c r="V75" t="str">
        <v>2532369-16882-74</v>
      </c>
      <c r="W75" t="str">
        <v>Orchard deciduous-r10L-A</v>
      </c>
      <c r="X75" t="str">
        <v>USEPA Pond</v>
      </c>
      <c r="Y75" t="str">
        <v>0089</v>
      </c>
      <c r="Z75" t="str">
        <v xml:space="preserve">median                   </v>
      </c>
      <c r="AA75" s="121" t="str" cm="1">
        <f t="array" ref="AA75:AC75">IF(W75="","",(_xlfn.TEXTSPLIT(W75,"-")))</f>
        <v>Orchard deciduous</v>
      </c>
      <c r="AB75" s="121" t="str">
        <v>r10L</v>
      </c>
      <c r="AC75" t="str">
        <v>A</v>
      </c>
      <c r="AD75" s="129" t="str">
        <f>VLOOKUP(VALUE($U75),test_out_xwalk!$C:$L,3,FALSE)</f>
        <v>Almond-3-12</v>
      </c>
      <c r="AE75" s="129">
        <f>VLOOKUP(VALUE($U75),test_out_xwalk!$C:$L,5,FALSE)</f>
        <v>1</v>
      </c>
      <c r="AF75" s="129">
        <f>VLOOKUP(VALUE($U75),test_out_xwalk!$C:$L,6,FALSE)</f>
        <v>1</v>
      </c>
      <c r="AG75" s="129" t="str">
        <f>VLOOKUP(VALUE($U75),test_out_xwalk!$C:$L,8,FALSE)</f>
        <v>None</v>
      </c>
      <c r="AH75" s="129" t="str">
        <f>VLOOKUP(VALUE($U75),test_out_xwalk!$C:$L,7,FALSE)</f>
        <v>Spray</v>
      </c>
      <c r="AI75" s="129" t="str">
        <f>VLOOKUP(VALUE($U75),test_out_xwalk!$C:$L,4,FALSE)</f>
        <v>Pre-emergence</v>
      </c>
      <c r="AJ75" s="129" t="str">
        <f>VLOOKUP(VALUE($U75),test_out_xwalk!$C:$L,9,FALSE)</f>
        <v>Other Orchards</v>
      </c>
      <c r="AK75">
        <f>_xlfn.XLOOKUP(VALUE(U75),test_out_xwalk!C:C,test_out_xwalk!A:A)</f>
        <v>3</v>
      </c>
    </row>
    <row r="76" spans="1:37" x14ac:dyDescent="0.55000000000000004">
      <c r="A76" s="121" t="str">
        <f>IF('summary_EPA Pond'!$A76="","Check Summary EPA POND worksheet Column A",'summary_EPA Pond'!$A76)</f>
        <v xml:space="preserve">4_568322-13597-1_Corn-r08-A_USEPA Pond_0010_median                                    </v>
      </c>
      <c r="B76" s="121" t="str" cm="1">
        <f t="array" ref="B76:G76">IFERROR(_xlfn.TEXTSPLIT(A76,"_"),"")</f>
        <v>4</v>
      </c>
      <c r="C76" t="str">
        <v>568322-13597-1</v>
      </c>
      <c r="D76" t="str">
        <v>Corn-r08-A</v>
      </c>
      <c r="E76" t="str">
        <v>USEPA Pond</v>
      </c>
      <c r="F76" t="str">
        <v>0010</v>
      </c>
      <c r="G76" t="str">
        <v xml:space="preserve">median                                    </v>
      </c>
      <c r="H76" s="121" t="str" cm="1">
        <f t="array" ref="H76:J76">IF(D76="","",(_xlfn.TEXTSPLIT(D76,"-")))</f>
        <v>Corn</v>
      </c>
      <c r="I76" s="121" t="str">
        <v>r08</v>
      </c>
      <c r="J76" t="str">
        <v>A</v>
      </c>
      <c r="K76" s="129" t="str">
        <f>VLOOKUP(VALUE($B76),test_out_xwalk!$C:$L,3,FALSE)</f>
        <v>Corn-1-4</v>
      </c>
      <c r="L76" s="129">
        <f>VLOOKUP(VALUE($B76),test_out_xwalk!$C:$L,5,FALSE)</f>
        <v>0.75</v>
      </c>
      <c r="M76" s="129">
        <f>VLOOKUP(VALUE($B76),test_out_xwalk!$C:$L,6,FALSE)</f>
        <v>0.75</v>
      </c>
      <c r="N76" s="129" t="str">
        <f>VLOOKUP(VALUE($B76),test_out_xwalk!$C:$L,8,FALSE)</f>
        <v>Airblast_Sparse</v>
      </c>
      <c r="O76" s="129" t="str">
        <f>VLOOKUP(VALUE($B76),test_out_xwalk!$C:$L,7,FALSE)</f>
        <v>Spray</v>
      </c>
      <c r="P76" s="129" t="str">
        <f>VLOOKUP(VALUE($B76),test_out_xwalk!$C:$L,4,FALSE)</f>
        <v>Pre-emergence</v>
      </c>
      <c r="Q76" s="129" t="str">
        <f>VLOOKUP(VALUE($B76),test_out_xwalk!$C:$L,9,FALSE)</f>
        <v>Corn</v>
      </c>
      <c r="R76">
        <f>_xlfn.XLOOKUP(VALUE(B76),test_out_xwalk!$C:$C,test_out_xwalk!$A:$A)</f>
        <v>1</v>
      </c>
      <c r="T76" s="121" t="str">
        <f>IF('summary_EPA Pond'!$O76="","Check Summary EPA POND worksheet Column O",'summary_EPA Pond'!$O76)</f>
        <v xml:space="preserve">12_146775-27192-66_Orchard deciduous-r10U-A_USEPA Pond_0089_median                    </v>
      </c>
      <c r="U76" s="121" t="str" cm="1">
        <f t="array" ref="U76:Z76">IFERROR(_xlfn.TEXTSPLIT(T76,"_"),"")</f>
        <v>12</v>
      </c>
      <c r="V76" t="str">
        <v>146775-27192-66</v>
      </c>
      <c r="W76" t="str">
        <v>Orchard deciduous-r10U-A</v>
      </c>
      <c r="X76" t="str">
        <v>USEPA Pond</v>
      </c>
      <c r="Y76" t="str">
        <v>0089</v>
      </c>
      <c r="Z76" t="str">
        <v xml:space="preserve">median                    </v>
      </c>
      <c r="AA76" s="121" t="str" cm="1">
        <f t="array" ref="AA76:AC76">IF(W76="","",(_xlfn.TEXTSPLIT(W76,"-")))</f>
        <v>Orchard deciduous</v>
      </c>
      <c r="AB76" s="121" t="str">
        <v>r10U</v>
      </c>
      <c r="AC76" t="str">
        <v>A</v>
      </c>
      <c r="AD76" s="129" t="str">
        <f>VLOOKUP(VALUE($U76),test_out_xwalk!$C:$L,3,FALSE)</f>
        <v>Almond-3-12</v>
      </c>
      <c r="AE76" s="129">
        <f>VLOOKUP(VALUE($U76),test_out_xwalk!$C:$L,5,FALSE)</f>
        <v>1</v>
      </c>
      <c r="AF76" s="129">
        <f>VLOOKUP(VALUE($U76),test_out_xwalk!$C:$L,6,FALSE)</f>
        <v>1</v>
      </c>
      <c r="AG76" s="129" t="str">
        <f>VLOOKUP(VALUE($U76),test_out_xwalk!$C:$L,8,FALSE)</f>
        <v>None</v>
      </c>
      <c r="AH76" s="129" t="str">
        <f>VLOOKUP(VALUE($U76),test_out_xwalk!$C:$L,7,FALSE)</f>
        <v>Spray</v>
      </c>
      <c r="AI76" s="129" t="str">
        <f>VLOOKUP(VALUE($U76),test_out_xwalk!$C:$L,4,FALSE)</f>
        <v>Pre-emergence</v>
      </c>
      <c r="AJ76" s="129" t="str">
        <f>VLOOKUP(VALUE($U76),test_out_xwalk!$C:$L,9,FALSE)</f>
        <v>Other Orchards</v>
      </c>
      <c r="AK76">
        <f>_xlfn.XLOOKUP(VALUE(U76),test_out_xwalk!C:C,test_out_xwalk!A:A)</f>
        <v>3</v>
      </c>
    </row>
    <row r="77" spans="1:37" x14ac:dyDescent="0.55000000000000004">
      <c r="A77" s="121" t="str">
        <f>IF('summary_EPA Pond'!$A77="","Check Summary EPA POND worksheet Column A",'summary_EPA Pond'!$A77)</f>
        <v xml:space="preserve">4_2798874-27020-1_Corn-r09-A_USEPA Pond_0010_median                                   </v>
      </c>
      <c r="B77" s="121" t="str" cm="1">
        <f t="array" ref="B77:G77">IFERROR(_xlfn.TEXTSPLIT(A77,"_"),"")</f>
        <v>4</v>
      </c>
      <c r="C77" t="str">
        <v>2798874-27020-1</v>
      </c>
      <c r="D77" t="str">
        <v>Corn-r09-A</v>
      </c>
      <c r="E77" t="str">
        <v>USEPA Pond</v>
      </c>
      <c r="F77" t="str">
        <v>0010</v>
      </c>
      <c r="G77" t="str">
        <v xml:space="preserve">median                                   </v>
      </c>
      <c r="H77" s="121" t="str" cm="1">
        <f t="array" ref="H77:J77">IF(D77="","",(_xlfn.TEXTSPLIT(D77,"-")))</f>
        <v>Corn</v>
      </c>
      <c r="I77" s="121" t="str">
        <v>r09</v>
      </c>
      <c r="J77" t="str">
        <v>A</v>
      </c>
      <c r="K77" s="129" t="str">
        <f>VLOOKUP(VALUE($B77),test_out_xwalk!$C:$L,3,FALSE)</f>
        <v>Corn-1-4</v>
      </c>
      <c r="L77" s="129">
        <f>VLOOKUP(VALUE($B77),test_out_xwalk!$C:$L,5,FALSE)</f>
        <v>0.75</v>
      </c>
      <c r="M77" s="129">
        <f>VLOOKUP(VALUE($B77),test_out_xwalk!$C:$L,6,FALSE)</f>
        <v>0.75</v>
      </c>
      <c r="N77" s="129" t="str">
        <f>VLOOKUP(VALUE($B77),test_out_xwalk!$C:$L,8,FALSE)</f>
        <v>Airblast_Sparse</v>
      </c>
      <c r="O77" s="129" t="str">
        <f>VLOOKUP(VALUE($B77),test_out_xwalk!$C:$L,7,FALSE)</f>
        <v>Spray</v>
      </c>
      <c r="P77" s="129" t="str">
        <f>VLOOKUP(VALUE($B77),test_out_xwalk!$C:$L,4,FALSE)</f>
        <v>Pre-emergence</v>
      </c>
      <c r="Q77" s="129" t="str">
        <f>VLOOKUP(VALUE($B77),test_out_xwalk!$C:$L,9,FALSE)</f>
        <v>Corn</v>
      </c>
      <c r="R77">
        <f>_xlfn.XLOOKUP(VALUE(B77),test_out_xwalk!$C:$C,test_out_xwalk!$A:$A)</f>
        <v>1</v>
      </c>
      <c r="T77" s="121" t="str">
        <f>IF('summary_EPA Pond'!$O77="","Check Summary EPA POND worksheet Column O",'summary_EPA Pond'!$O77)</f>
        <v xml:space="preserve">12_106593-15934-74_Orchard deciduous-r11-A_USEPA Pond_0089_median                     </v>
      </c>
      <c r="U77" s="121" t="str" cm="1">
        <f t="array" ref="U77:Z77">IFERROR(_xlfn.TEXTSPLIT(T77,"_"),"")</f>
        <v>12</v>
      </c>
      <c r="V77" t="str">
        <v>106593-15934-74</v>
      </c>
      <c r="W77" t="str">
        <v>Orchard deciduous-r11-A</v>
      </c>
      <c r="X77" t="str">
        <v>USEPA Pond</v>
      </c>
      <c r="Y77" t="str">
        <v>0089</v>
      </c>
      <c r="Z77" t="str">
        <v xml:space="preserve">median                     </v>
      </c>
      <c r="AA77" s="121" t="str" cm="1">
        <f t="array" ref="AA77:AC77">IF(W77="","",(_xlfn.TEXTSPLIT(W77,"-")))</f>
        <v>Orchard deciduous</v>
      </c>
      <c r="AB77" s="121" t="str">
        <v>r11</v>
      </c>
      <c r="AC77" t="str">
        <v>A</v>
      </c>
      <c r="AD77" s="129" t="str">
        <f>VLOOKUP(VALUE($U77),test_out_xwalk!$C:$L,3,FALSE)</f>
        <v>Almond-3-12</v>
      </c>
      <c r="AE77" s="129">
        <f>VLOOKUP(VALUE($U77),test_out_xwalk!$C:$L,5,FALSE)</f>
        <v>1</v>
      </c>
      <c r="AF77" s="129">
        <f>VLOOKUP(VALUE($U77),test_out_xwalk!$C:$L,6,FALSE)</f>
        <v>1</v>
      </c>
      <c r="AG77" s="129" t="str">
        <f>VLOOKUP(VALUE($U77),test_out_xwalk!$C:$L,8,FALSE)</f>
        <v>None</v>
      </c>
      <c r="AH77" s="129" t="str">
        <f>VLOOKUP(VALUE($U77),test_out_xwalk!$C:$L,7,FALSE)</f>
        <v>Spray</v>
      </c>
      <c r="AI77" s="129" t="str">
        <f>VLOOKUP(VALUE($U77),test_out_xwalk!$C:$L,4,FALSE)</f>
        <v>Pre-emergence</v>
      </c>
      <c r="AJ77" s="129" t="str">
        <f>VLOOKUP(VALUE($U77),test_out_xwalk!$C:$L,9,FALSE)</f>
        <v>Other Orchards</v>
      </c>
      <c r="AK77">
        <f>_xlfn.XLOOKUP(VALUE(U77),test_out_xwalk!C:C,test_out_xwalk!A:A)</f>
        <v>3</v>
      </c>
    </row>
    <row r="78" spans="1:37" x14ac:dyDescent="0.55000000000000004">
      <c r="A78" s="121" t="str">
        <f>IF('summary_EPA Pond'!$A78="","Check Summary EPA POND worksheet Column A",'summary_EPA Pond'!$A78)</f>
        <v xml:space="preserve">4_1691426-20179-13_Corn-r10L-A_USEPA Pond_0010_median                                 </v>
      </c>
      <c r="B78" s="121" t="str" cm="1">
        <f t="array" ref="B78:G78">IFERROR(_xlfn.TEXTSPLIT(A78,"_"),"")</f>
        <v>4</v>
      </c>
      <c r="C78" t="str">
        <v>1691426-20179-13</v>
      </c>
      <c r="D78" t="str">
        <v>Corn-r10L-A</v>
      </c>
      <c r="E78" t="str">
        <v>USEPA Pond</v>
      </c>
      <c r="F78" t="str">
        <v>0010</v>
      </c>
      <c r="G78" t="str">
        <v xml:space="preserve">median                                 </v>
      </c>
      <c r="H78" s="121" t="str" cm="1">
        <f t="array" ref="H78:J78">IF(D78="","",(_xlfn.TEXTSPLIT(D78,"-")))</f>
        <v>Corn</v>
      </c>
      <c r="I78" s="121" t="str">
        <v>r10L</v>
      </c>
      <c r="J78" t="str">
        <v>A</v>
      </c>
      <c r="K78" s="129" t="str">
        <f>VLOOKUP(VALUE($B78),test_out_xwalk!$C:$L,3,FALSE)</f>
        <v>Corn-1-4</v>
      </c>
      <c r="L78" s="129">
        <f>VLOOKUP(VALUE($B78),test_out_xwalk!$C:$L,5,FALSE)</f>
        <v>0.75</v>
      </c>
      <c r="M78" s="129">
        <f>VLOOKUP(VALUE($B78),test_out_xwalk!$C:$L,6,FALSE)</f>
        <v>0.75</v>
      </c>
      <c r="N78" s="129" t="str">
        <f>VLOOKUP(VALUE($B78),test_out_xwalk!$C:$L,8,FALSE)</f>
        <v>Airblast_Sparse</v>
      </c>
      <c r="O78" s="129" t="str">
        <f>VLOOKUP(VALUE($B78),test_out_xwalk!$C:$L,7,FALSE)</f>
        <v>Spray</v>
      </c>
      <c r="P78" s="129" t="str">
        <f>VLOOKUP(VALUE($B78),test_out_xwalk!$C:$L,4,FALSE)</f>
        <v>Pre-emergence</v>
      </c>
      <c r="Q78" s="129" t="str">
        <f>VLOOKUP(VALUE($B78),test_out_xwalk!$C:$L,9,FALSE)</f>
        <v>Corn</v>
      </c>
      <c r="R78">
        <f>_xlfn.XLOOKUP(VALUE(B78),test_out_xwalk!$C:$C,test_out_xwalk!$A:$A)</f>
        <v>1</v>
      </c>
      <c r="T78" s="121" t="str">
        <f>IF('summary_EPA Pond'!$O78="","Check Summary EPA POND worksheet Column O",'summary_EPA Pond'!$O78)</f>
        <v xml:space="preserve">12_367880-12156-74_Orchard deciduous-r12-A_USEPA Pond_0089_median                     </v>
      </c>
      <c r="U78" s="121" t="str" cm="1">
        <f t="array" ref="U78:Z78">IFERROR(_xlfn.TEXTSPLIT(T78,"_"),"")</f>
        <v>12</v>
      </c>
      <c r="V78" t="str">
        <v>367880-12156-74</v>
      </c>
      <c r="W78" t="str">
        <v>Orchard deciduous-r12-A</v>
      </c>
      <c r="X78" t="str">
        <v>USEPA Pond</v>
      </c>
      <c r="Y78" t="str">
        <v>0089</v>
      </c>
      <c r="Z78" t="str">
        <v xml:space="preserve">median                     </v>
      </c>
      <c r="AA78" s="121" t="str" cm="1">
        <f t="array" ref="AA78:AC78">IF(W78="","",(_xlfn.TEXTSPLIT(W78,"-")))</f>
        <v>Orchard deciduous</v>
      </c>
      <c r="AB78" s="121" t="str">
        <v>r12</v>
      </c>
      <c r="AC78" t="str">
        <v>A</v>
      </c>
      <c r="AD78" s="129" t="str">
        <f>VLOOKUP(VALUE($U78),test_out_xwalk!$C:$L,3,FALSE)</f>
        <v>Almond-3-12</v>
      </c>
      <c r="AE78" s="129">
        <f>VLOOKUP(VALUE($U78),test_out_xwalk!$C:$L,5,FALSE)</f>
        <v>1</v>
      </c>
      <c r="AF78" s="129">
        <f>VLOOKUP(VALUE($U78),test_out_xwalk!$C:$L,6,FALSE)</f>
        <v>1</v>
      </c>
      <c r="AG78" s="129" t="str">
        <f>VLOOKUP(VALUE($U78),test_out_xwalk!$C:$L,8,FALSE)</f>
        <v>None</v>
      </c>
      <c r="AH78" s="129" t="str">
        <f>VLOOKUP(VALUE($U78),test_out_xwalk!$C:$L,7,FALSE)</f>
        <v>Spray</v>
      </c>
      <c r="AI78" s="129" t="str">
        <f>VLOOKUP(VALUE($U78),test_out_xwalk!$C:$L,4,FALSE)</f>
        <v>Pre-emergence</v>
      </c>
      <c r="AJ78" s="129" t="str">
        <f>VLOOKUP(VALUE($U78),test_out_xwalk!$C:$L,9,FALSE)</f>
        <v>Other Orchards</v>
      </c>
      <c r="AK78">
        <f>_xlfn.XLOOKUP(VALUE(U78),test_out_xwalk!C:C,test_out_xwalk!A:A)</f>
        <v>3</v>
      </c>
    </row>
    <row r="79" spans="1:37" x14ac:dyDescent="0.55000000000000004">
      <c r="A79" s="121" t="str">
        <f>IF('summary_EPA Pond'!$A79="","Check Summary EPA POND worksheet Column A",'summary_EPA Pond'!$A79)</f>
        <v xml:space="preserve">4_418822-23009-1_Corn-r10U-A_USEPA Pond_0010_median                                   </v>
      </c>
      <c r="B79" s="121" t="str" cm="1">
        <f t="array" ref="B79:G79">IFERROR(_xlfn.TEXTSPLIT(A79,"_"),"")</f>
        <v>4</v>
      </c>
      <c r="C79" t="str">
        <v>418822-23009-1</v>
      </c>
      <c r="D79" t="str">
        <v>Corn-r10U-A</v>
      </c>
      <c r="E79" t="str">
        <v>USEPA Pond</v>
      </c>
      <c r="F79" t="str">
        <v>0010</v>
      </c>
      <c r="G79" t="str">
        <v xml:space="preserve">median                                   </v>
      </c>
      <c r="H79" s="121" t="str" cm="1">
        <f t="array" ref="H79:J79">IF(D79="","",(_xlfn.TEXTSPLIT(D79,"-")))</f>
        <v>Corn</v>
      </c>
      <c r="I79" s="121" t="str">
        <v>r10U</v>
      </c>
      <c r="J79" t="str">
        <v>A</v>
      </c>
      <c r="K79" s="129" t="str">
        <f>VLOOKUP(VALUE($B79),test_out_xwalk!$C:$L,3,FALSE)</f>
        <v>Corn-1-4</v>
      </c>
      <c r="L79" s="129">
        <f>VLOOKUP(VALUE($B79),test_out_xwalk!$C:$L,5,FALSE)</f>
        <v>0.75</v>
      </c>
      <c r="M79" s="129">
        <f>VLOOKUP(VALUE($B79),test_out_xwalk!$C:$L,6,FALSE)</f>
        <v>0.75</v>
      </c>
      <c r="N79" s="129" t="str">
        <f>VLOOKUP(VALUE($B79),test_out_xwalk!$C:$L,8,FALSE)</f>
        <v>Airblast_Sparse</v>
      </c>
      <c r="O79" s="129" t="str">
        <f>VLOOKUP(VALUE($B79),test_out_xwalk!$C:$L,7,FALSE)</f>
        <v>Spray</v>
      </c>
      <c r="P79" s="129" t="str">
        <f>VLOOKUP(VALUE($B79),test_out_xwalk!$C:$L,4,FALSE)</f>
        <v>Pre-emergence</v>
      </c>
      <c r="Q79" s="129" t="str">
        <f>VLOOKUP(VALUE($B79),test_out_xwalk!$C:$L,9,FALSE)</f>
        <v>Corn</v>
      </c>
      <c r="R79">
        <f>_xlfn.XLOOKUP(VALUE(B79),test_out_xwalk!$C:$C,test_out_xwalk!$A:$A)</f>
        <v>1</v>
      </c>
      <c r="T79" s="121" t="str">
        <f>IF('summary_EPA Pond'!$O79="","Check Summary EPA POND worksheet Column O",'summary_EPA Pond'!$O79)</f>
        <v xml:space="preserve">12_712158-9291-74_Orchard deciduous-r13-A_USEPA Pond_0089_median                      </v>
      </c>
      <c r="U79" s="121" t="str" cm="1">
        <f t="array" ref="U79:Z79">IFERROR(_xlfn.TEXTSPLIT(T79,"_"),"")</f>
        <v>12</v>
      </c>
      <c r="V79" t="str">
        <v>712158-9291-74</v>
      </c>
      <c r="W79" t="str">
        <v>Orchard deciduous-r13-A</v>
      </c>
      <c r="X79" t="str">
        <v>USEPA Pond</v>
      </c>
      <c r="Y79" t="str">
        <v>0089</v>
      </c>
      <c r="Z79" t="str">
        <v xml:space="preserve">median                      </v>
      </c>
      <c r="AA79" s="121" t="str" cm="1">
        <f t="array" ref="AA79:AC79">IF(W79="","",(_xlfn.TEXTSPLIT(W79,"-")))</f>
        <v>Orchard deciduous</v>
      </c>
      <c r="AB79" s="121" t="str">
        <v>r13</v>
      </c>
      <c r="AC79" t="str">
        <v>A</v>
      </c>
      <c r="AD79" s="129" t="str">
        <f>VLOOKUP(VALUE($U79),test_out_xwalk!$C:$L,3,FALSE)</f>
        <v>Almond-3-12</v>
      </c>
      <c r="AE79" s="129">
        <f>VLOOKUP(VALUE($U79),test_out_xwalk!$C:$L,5,FALSE)</f>
        <v>1</v>
      </c>
      <c r="AF79" s="129">
        <f>VLOOKUP(VALUE($U79),test_out_xwalk!$C:$L,6,FALSE)</f>
        <v>1</v>
      </c>
      <c r="AG79" s="129" t="str">
        <f>VLOOKUP(VALUE($U79),test_out_xwalk!$C:$L,8,FALSE)</f>
        <v>None</v>
      </c>
      <c r="AH79" s="129" t="str">
        <f>VLOOKUP(VALUE($U79),test_out_xwalk!$C:$L,7,FALSE)</f>
        <v>Spray</v>
      </c>
      <c r="AI79" s="129" t="str">
        <f>VLOOKUP(VALUE($U79),test_out_xwalk!$C:$L,4,FALSE)</f>
        <v>Pre-emergence</v>
      </c>
      <c r="AJ79" s="129" t="str">
        <f>VLOOKUP(VALUE($U79),test_out_xwalk!$C:$L,9,FALSE)</f>
        <v>Other Orchards</v>
      </c>
      <c r="AK79">
        <f>_xlfn.XLOOKUP(VALUE(U79),test_out_xwalk!C:C,test_out_xwalk!A:A)</f>
        <v>3</v>
      </c>
    </row>
    <row r="80" spans="1:37" x14ac:dyDescent="0.55000000000000004">
      <c r="A80" s="121" t="str">
        <f>IF('summary_EPA Pond'!$A80="","Check Summary EPA POND worksheet Column A",'summary_EPA Pond'!$A80)</f>
        <v xml:space="preserve">4_1380629-16622-1_Corn-r11-A_USEPA Pond_0010_median                                   </v>
      </c>
      <c r="B80" s="121" t="str" cm="1">
        <f t="array" ref="B80:G80">IFERROR(_xlfn.TEXTSPLIT(A80,"_"),"")</f>
        <v>4</v>
      </c>
      <c r="C80" t="str">
        <v>1380629-16622-1</v>
      </c>
      <c r="D80" t="str">
        <v>Corn-r11-A</v>
      </c>
      <c r="E80" t="str">
        <v>USEPA Pond</v>
      </c>
      <c r="F80" t="str">
        <v>0010</v>
      </c>
      <c r="G80" t="str">
        <v xml:space="preserve">median                                   </v>
      </c>
      <c r="H80" s="121" t="str" cm="1">
        <f t="array" ref="H80:J80">IF(D80="","",(_xlfn.TEXTSPLIT(D80,"-")))</f>
        <v>Corn</v>
      </c>
      <c r="I80" s="121" t="str">
        <v>r11</v>
      </c>
      <c r="J80" t="str">
        <v>A</v>
      </c>
      <c r="K80" s="129" t="str">
        <f>VLOOKUP(VALUE($B80),test_out_xwalk!$C:$L,3,FALSE)</f>
        <v>Corn-1-4</v>
      </c>
      <c r="L80" s="129">
        <f>VLOOKUP(VALUE($B80),test_out_xwalk!$C:$L,5,FALSE)</f>
        <v>0.75</v>
      </c>
      <c r="M80" s="129">
        <f>VLOOKUP(VALUE($B80),test_out_xwalk!$C:$L,6,FALSE)</f>
        <v>0.75</v>
      </c>
      <c r="N80" s="129" t="str">
        <f>VLOOKUP(VALUE($B80),test_out_xwalk!$C:$L,8,FALSE)</f>
        <v>Airblast_Sparse</v>
      </c>
      <c r="O80" s="129" t="str">
        <f>VLOOKUP(VALUE($B80),test_out_xwalk!$C:$L,7,FALSE)</f>
        <v>Spray</v>
      </c>
      <c r="P80" s="129" t="str">
        <f>VLOOKUP(VALUE($B80),test_out_xwalk!$C:$L,4,FALSE)</f>
        <v>Pre-emergence</v>
      </c>
      <c r="Q80" s="129" t="str">
        <f>VLOOKUP(VALUE($B80),test_out_xwalk!$C:$L,9,FALSE)</f>
        <v>Corn</v>
      </c>
      <c r="R80">
        <f>_xlfn.XLOOKUP(VALUE(B80),test_out_xwalk!$C:$C,test_out_xwalk!$A:$A)</f>
        <v>1</v>
      </c>
      <c r="T80" s="121" t="str">
        <f>IF('summary_EPA Pond'!$O80="","Check Summary EPA POND worksheet Column O",'summary_EPA Pond'!$O80)</f>
        <v xml:space="preserve">12_496634-17773-67_Orchard deciduous-r14-A_USEPA Pond_0089_median                     </v>
      </c>
      <c r="U80" s="121" t="str" cm="1">
        <f t="array" ref="U80:Z80">IFERROR(_xlfn.TEXTSPLIT(T80,"_"),"")</f>
        <v>12</v>
      </c>
      <c r="V80" t="str">
        <v>496634-17773-67</v>
      </c>
      <c r="W80" t="str">
        <v>Orchard deciduous-r14-A</v>
      </c>
      <c r="X80" t="str">
        <v>USEPA Pond</v>
      </c>
      <c r="Y80" t="str">
        <v>0089</v>
      </c>
      <c r="Z80" t="str">
        <v xml:space="preserve">median                     </v>
      </c>
      <c r="AA80" s="121" t="str" cm="1">
        <f t="array" ref="AA80:AC80">IF(W80="","",(_xlfn.TEXTSPLIT(W80,"-")))</f>
        <v>Orchard deciduous</v>
      </c>
      <c r="AB80" s="121" t="str">
        <v>r14</v>
      </c>
      <c r="AC80" t="str">
        <v>A</v>
      </c>
      <c r="AD80" s="129" t="str">
        <f>VLOOKUP(VALUE($U80),test_out_xwalk!$C:$L,3,FALSE)</f>
        <v>Almond-3-12</v>
      </c>
      <c r="AE80" s="129">
        <f>VLOOKUP(VALUE($U80),test_out_xwalk!$C:$L,5,FALSE)</f>
        <v>1</v>
      </c>
      <c r="AF80" s="129">
        <f>VLOOKUP(VALUE($U80),test_out_xwalk!$C:$L,6,FALSE)</f>
        <v>1</v>
      </c>
      <c r="AG80" s="129" t="str">
        <f>VLOOKUP(VALUE($U80),test_out_xwalk!$C:$L,8,FALSE)</f>
        <v>None</v>
      </c>
      <c r="AH80" s="129" t="str">
        <f>VLOOKUP(VALUE($U80),test_out_xwalk!$C:$L,7,FALSE)</f>
        <v>Spray</v>
      </c>
      <c r="AI80" s="129" t="str">
        <f>VLOOKUP(VALUE($U80),test_out_xwalk!$C:$L,4,FALSE)</f>
        <v>Pre-emergence</v>
      </c>
      <c r="AJ80" s="129" t="str">
        <f>VLOOKUP(VALUE($U80),test_out_xwalk!$C:$L,9,FALSE)</f>
        <v>Other Orchards</v>
      </c>
      <c r="AK80">
        <f>_xlfn.XLOOKUP(VALUE(U80),test_out_xwalk!C:C,test_out_xwalk!A:A)</f>
        <v>3</v>
      </c>
    </row>
    <row r="81" spans="1:37" x14ac:dyDescent="0.55000000000000004">
      <c r="A81" s="121" t="str">
        <f>IF('summary_EPA Pond'!$A81="","Check Summary EPA POND worksheet Column A",'summary_EPA Pond'!$A81)</f>
        <v xml:space="preserve">4_372423-12152-1_Corn-r12-A_USEPA Pond_0010_median                                    </v>
      </c>
      <c r="B81" s="121" t="str" cm="1">
        <f t="array" ref="B81:G81">IFERROR(_xlfn.TEXTSPLIT(A81,"_"),"")</f>
        <v>4</v>
      </c>
      <c r="C81" t="str">
        <v>372423-12152-1</v>
      </c>
      <c r="D81" t="str">
        <v>Corn-r12-A</v>
      </c>
      <c r="E81" t="str">
        <v>USEPA Pond</v>
      </c>
      <c r="F81" t="str">
        <v>0010</v>
      </c>
      <c r="G81" t="str">
        <v xml:space="preserve">median                                    </v>
      </c>
      <c r="H81" s="121" t="str" cm="1">
        <f t="array" ref="H81:J81">IF(D81="","",(_xlfn.TEXTSPLIT(D81,"-")))</f>
        <v>Corn</v>
      </c>
      <c r="I81" s="121" t="str">
        <v>r12</v>
      </c>
      <c r="J81" t="str">
        <v>A</v>
      </c>
      <c r="K81" s="129" t="str">
        <f>VLOOKUP(VALUE($B81),test_out_xwalk!$C:$L,3,FALSE)</f>
        <v>Corn-1-4</v>
      </c>
      <c r="L81" s="129">
        <f>VLOOKUP(VALUE($B81),test_out_xwalk!$C:$L,5,FALSE)</f>
        <v>0.75</v>
      </c>
      <c r="M81" s="129">
        <f>VLOOKUP(VALUE($B81),test_out_xwalk!$C:$L,6,FALSE)</f>
        <v>0.75</v>
      </c>
      <c r="N81" s="129" t="str">
        <f>VLOOKUP(VALUE($B81),test_out_xwalk!$C:$L,8,FALSE)</f>
        <v>Airblast_Sparse</v>
      </c>
      <c r="O81" s="129" t="str">
        <f>VLOOKUP(VALUE($B81),test_out_xwalk!$C:$L,7,FALSE)</f>
        <v>Spray</v>
      </c>
      <c r="P81" s="129" t="str">
        <f>VLOOKUP(VALUE($B81),test_out_xwalk!$C:$L,4,FALSE)</f>
        <v>Pre-emergence</v>
      </c>
      <c r="Q81" s="129" t="str">
        <f>VLOOKUP(VALUE($B81),test_out_xwalk!$C:$L,9,FALSE)</f>
        <v>Corn</v>
      </c>
      <c r="R81">
        <f>_xlfn.XLOOKUP(VALUE(B81),test_out_xwalk!$C:$C,test_out_xwalk!$A:$A)</f>
        <v>1</v>
      </c>
      <c r="T81" s="121" t="str">
        <f>IF('summary_EPA Pond'!$O81="","Check Summary EPA POND worksheet Column O",'summary_EPA Pond'!$O81)</f>
        <v xml:space="preserve">12_53675-11396-74_Orchard deciduous-r15-A_USEPA Pond_0089_median                      </v>
      </c>
      <c r="U81" s="121" t="str" cm="1">
        <f t="array" ref="U81:Z81">IFERROR(_xlfn.TEXTSPLIT(T81,"_"),"")</f>
        <v>12</v>
      </c>
      <c r="V81" t="str">
        <v>53675-11396-74</v>
      </c>
      <c r="W81" t="str">
        <v>Orchard deciduous-r15-A</v>
      </c>
      <c r="X81" t="str">
        <v>USEPA Pond</v>
      </c>
      <c r="Y81" t="str">
        <v>0089</v>
      </c>
      <c r="Z81" t="str">
        <v xml:space="preserve">median                      </v>
      </c>
      <c r="AA81" s="121" t="str" cm="1">
        <f t="array" ref="AA81:AC81">IF(W81="","",(_xlfn.TEXTSPLIT(W81,"-")))</f>
        <v>Orchard deciduous</v>
      </c>
      <c r="AB81" s="121" t="str">
        <v>r15</v>
      </c>
      <c r="AC81" t="str">
        <v>A</v>
      </c>
      <c r="AD81" s="129" t="str">
        <f>VLOOKUP(VALUE($U81),test_out_xwalk!$C:$L,3,FALSE)</f>
        <v>Almond-3-12</v>
      </c>
      <c r="AE81" s="129">
        <f>VLOOKUP(VALUE($U81),test_out_xwalk!$C:$L,5,FALSE)</f>
        <v>1</v>
      </c>
      <c r="AF81" s="129">
        <f>VLOOKUP(VALUE($U81),test_out_xwalk!$C:$L,6,FALSE)</f>
        <v>1</v>
      </c>
      <c r="AG81" s="129" t="str">
        <f>VLOOKUP(VALUE($U81),test_out_xwalk!$C:$L,8,FALSE)</f>
        <v>None</v>
      </c>
      <c r="AH81" s="129" t="str">
        <f>VLOOKUP(VALUE($U81),test_out_xwalk!$C:$L,7,FALSE)</f>
        <v>Spray</v>
      </c>
      <c r="AI81" s="129" t="str">
        <f>VLOOKUP(VALUE($U81),test_out_xwalk!$C:$L,4,FALSE)</f>
        <v>Pre-emergence</v>
      </c>
      <c r="AJ81" s="129" t="str">
        <f>VLOOKUP(VALUE($U81),test_out_xwalk!$C:$L,9,FALSE)</f>
        <v>Other Orchards</v>
      </c>
      <c r="AK81">
        <f>_xlfn.XLOOKUP(VALUE(U81),test_out_xwalk!C:C,test_out_xwalk!A:A)</f>
        <v>3</v>
      </c>
    </row>
    <row r="82" spans="1:37" x14ac:dyDescent="0.55000000000000004">
      <c r="A82" s="121" t="str">
        <f>IF('summary_EPA Pond'!$A82="","Check Summary EPA POND worksheet Column A",'summary_EPA Pond'!$A82)</f>
        <v xml:space="preserve">4_55992-12595-237_Corn-r13-A_USEPA Pond_0010_median                                   </v>
      </c>
      <c r="B82" s="121" t="str" cm="1">
        <f t="array" ref="B82:G82">IFERROR(_xlfn.TEXTSPLIT(A82,"_"),"")</f>
        <v>4</v>
      </c>
      <c r="C82" t="str">
        <v>55992-12595-237</v>
      </c>
      <c r="D82" t="str">
        <v>Corn-r13-A</v>
      </c>
      <c r="E82" t="str">
        <v>USEPA Pond</v>
      </c>
      <c r="F82" t="str">
        <v>0010</v>
      </c>
      <c r="G82" t="str">
        <v xml:space="preserve">median                                   </v>
      </c>
      <c r="H82" s="121" t="str" cm="1">
        <f t="array" ref="H82:J82">IF(D82="","",(_xlfn.TEXTSPLIT(D82,"-")))</f>
        <v>Corn</v>
      </c>
      <c r="I82" s="121" t="str">
        <v>r13</v>
      </c>
      <c r="J82" t="str">
        <v>A</v>
      </c>
      <c r="K82" s="129" t="str">
        <f>VLOOKUP(VALUE($B82),test_out_xwalk!$C:$L,3,FALSE)</f>
        <v>Corn-1-4</v>
      </c>
      <c r="L82" s="129">
        <f>VLOOKUP(VALUE($B82),test_out_xwalk!$C:$L,5,FALSE)</f>
        <v>0.75</v>
      </c>
      <c r="M82" s="129">
        <f>VLOOKUP(VALUE($B82),test_out_xwalk!$C:$L,6,FALSE)</f>
        <v>0.75</v>
      </c>
      <c r="N82" s="129" t="str">
        <f>VLOOKUP(VALUE($B82),test_out_xwalk!$C:$L,8,FALSE)</f>
        <v>Airblast_Sparse</v>
      </c>
      <c r="O82" s="129" t="str">
        <f>VLOOKUP(VALUE($B82),test_out_xwalk!$C:$L,7,FALSE)</f>
        <v>Spray</v>
      </c>
      <c r="P82" s="129" t="str">
        <f>VLOOKUP(VALUE($B82),test_out_xwalk!$C:$L,4,FALSE)</f>
        <v>Pre-emergence</v>
      </c>
      <c r="Q82" s="129" t="str">
        <f>VLOOKUP(VALUE($B82),test_out_xwalk!$C:$L,9,FALSE)</f>
        <v>Corn</v>
      </c>
      <c r="R82">
        <f>_xlfn.XLOOKUP(VALUE(B82),test_out_xwalk!$C:$C,test_out_xwalk!$A:$A)</f>
        <v>1</v>
      </c>
      <c r="T82" s="121" t="str">
        <f>IF('summary_EPA Pond'!$O82="","Check Summary EPA POND worksheet Column O",'summary_EPA Pond'!$O82)</f>
        <v xml:space="preserve">12_483390-18938-66_Orchard deciduous-r16-A_USEPA Pond_0089_median                     </v>
      </c>
      <c r="U82" s="121" t="str" cm="1">
        <f t="array" ref="U82:Z82">IFERROR(_xlfn.TEXTSPLIT(T82,"_"),"")</f>
        <v>12</v>
      </c>
      <c r="V82" t="str">
        <v>483390-18938-66</v>
      </c>
      <c r="W82" t="str">
        <v>Orchard deciduous-r16-A</v>
      </c>
      <c r="X82" t="str">
        <v>USEPA Pond</v>
      </c>
      <c r="Y82" t="str">
        <v>0089</v>
      </c>
      <c r="Z82" t="str">
        <v xml:space="preserve">median                     </v>
      </c>
      <c r="AA82" s="121" t="str" cm="1">
        <f t="array" ref="AA82:AC82">IF(W82="","",(_xlfn.TEXTSPLIT(W82,"-")))</f>
        <v>Orchard deciduous</v>
      </c>
      <c r="AB82" s="121" t="str">
        <v>r16</v>
      </c>
      <c r="AC82" t="str">
        <v>A</v>
      </c>
      <c r="AD82" s="129" t="str">
        <f>VLOOKUP(VALUE($U82),test_out_xwalk!$C:$L,3,FALSE)</f>
        <v>Almond-3-12</v>
      </c>
      <c r="AE82" s="129">
        <f>VLOOKUP(VALUE($U82),test_out_xwalk!$C:$L,5,FALSE)</f>
        <v>1</v>
      </c>
      <c r="AF82" s="129">
        <f>VLOOKUP(VALUE($U82),test_out_xwalk!$C:$L,6,FALSE)</f>
        <v>1</v>
      </c>
      <c r="AG82" s="129" t="str">
        <f>VLOOKUP(VALUE($U82),test_out_xwalk!$C:$L,8,FALSE)</f>
        <v>None</v>
      </c>
      <c r="AH82" s="129" t="str">
        <f>VLOOKUP(VALUE($U82),test_out_xwalk!$C:$L,7,FALSE)</f>
        <v>Spray</v>
      </c>
      <c r="AI82" s="129" t="str">
        <f>VLOOKUP(VALUE($U82),test_out_xwalk!$C:$L,4,FALSE)</f>
        <v>Pre-emergence</v>
      </c>
      <c r="AJ82" s="129" t="str">
        <f>VLOOKUP(VALUE($U82),test_out_xwalk!$C:$L,9,FALSE)</f>
        <v>Other Orchards</v>
      </c>
      <c r="AK82">
        <f>_xlfn.XLOOKUP(VALUE(U82),test_out_xwalk!C:C,test_out_xwalk!A:A)</f>
        <v>3</v>
      </c>
    </row>
    <row r="83" spans="1:37" x14ac:dyDescent="0.55000000000000004">
      <c r="A83" s="121" t="str">
        <f>IF('summary_EPA Pond'!$A83="","Check Summary EPA POND worksheet Column A",'summary_EPA Pond'!$A83)</f>
        <v xml:space="preserve">4_506809-18005-1_Corn-r14-A_USEPA Pond_0010_median                                    </v>
      </c>
      <c r="B83" s="121" t="str" cm="1">
        <f t="array" ref="B83:G83">IFERROR(_xlfn.TEXTSPLIT(A83,"_"),"")</f>
        <v>4</v>
      </c>
      <c r="C83" t="str">
        <v>506809-18005-1</v>
      </c>
      <c r="D83" t="str">
        <v>Corn-r14-A</v>
      </c>
      <c r="E83" t="str">
        <v>USEPA Pond</v>
      </c>
      <c r="F83" t="str">
        <v>0010</v>
      </c>
      <c r="G83" t="str">
        <v xml:space="preserve">median                                    </v>
      </c>
      <c r="H83" s="121" t="str" cm="1">
        <f t="array" ref="H83:J83">IF(D83="","",(_xlfn.TEXTSPLIT(D83,"-")))</f>
        <v>Corn</v>
      </c>
      <c r="I83" s="121" t="str">
        <v>r14</v>
      </c>
      <c r="J83" t="str">
        <v>A</v>
      </c>
      <c r="K83" s="129" t="str">
        <f>VLOOKUP(VALUE($B83),test_out_xwalk!$C:$L,3,FALSE)</f>
        <v>Corn-1-4</v>
      </c>
      <c r="L83" s="129">
        <f>VLOOKUP(VALUE($B83),test_out_xwalk!$C:$L,5,FALSE)</f>
        <v>0.75</v>
      </c>
      <c r="M83" s="129">
        <f>VLOOKUP(VALUE($B83),test_out_xwalk!$C:$L,6,FALSE)</f>
        <v>0.75</v>
      </c>
      <c r="N83" s="129" t="str">
        <f>VLOOKUP(VALUE($B83),test_out_xwalk!$C:$L,8,FALSE)</f>
        <v>Airblast_Sparse</v>
      </c>
      <c r="O83" s="129" t="str">
        <f>VLOOKUP(VALUE($B83),test_out_xwalk!$C:$L,7,FALSE)</f>
        <v>Spray</v>
      </c>
      <c r="P83" s="129" t="str">
        <f>VLOOKUP(VALUE($B83),test_out_xwalk!$C:$L,4,FALSE)</f>
        <v>Pre-emergence</v>
      </c>
      <c r="Q83" s="129" t="str">
        <f>VLOOKUP(VALUE($B83),test_out_xwalk!$C:$L,9,FALSE)</f>
        <v>Corn</v>
      </c>
      <c r="R83">
        <f>_xlfn.XLOOKUP(VALUE(B83),test_out_xwalk!$C:$C,test_out_xwalk!$A:$A)</f>
        <v>1</v>
      </c>
      <c r="T83" s="121" t="str">
        <f>IF('summary_EPA Pond'!$O83="","Check Summary EPA POND worksheet Column O",'summary_EPA Pond'!$O83)</f>
        <v xml:space="preserve">12_62699-22668-71_Orchard deciduous-r17-A_USEPA Pond_0089_median                      </v>
      </c>
      <c r="U83" s="121" t="str" cm="1">
        <f t="array" ref="U83:Z83">IFERROR(_xlfn.TEXTSPLIT(T83,"_"),"")</f>
        <v>12</v>
      </c>
      <c r="V83" t="str">
        <v>62699-22668-71</v>
      </c>
      <c r="W83" t="str">
        <v>Orchard deciduous-r17-A</v>
      </c>
      <c r="X83" t="str">
        <v>USEPA Pond</v>
      </c>
      <c r="Y83" t="str">
        <v>0089</v>
      </c>
      <c r="Z83" t="str">
        <v xml:space="preserve">median                      </v>
      </c>
      <c r="AA83" s="121" t="str" cm="1">
        <f t="array" ref="AA83:AC83">IF(W83="","",(_xlfn.TEXTSPLIT(W83,"-")))</f>
        <v>Orchard deciduous</v>
      </c>
      <c r="AB83" s="121" t="str">
        <v>r17</v>
      </c>
      <c r="AC83" t="str">
        <v>A</v>
      </c>
      <c r="AD83" s="129" t="str">
        <f>VLOOKUP(VALUE($U83),test_out_xwalk!$C:$L,3,FALSE)</f>
        <v>Almond-3-12</v>
      </c>
      <c r="AE83" s="129">
        <f>VLOOKUP(VALUE($U83),test_out_xwalk!$C:$L,5,FALSE)</f>
        <v>1</v>
      </c>
      <c r="AF83" s="129">
        <f>VLOOKUP(VALUE($U83),test_out_xwalk!$C:$L,6,FALSE)</f>
        <v>1</v>
      </c>
      <c r="AG83" s="129" t="str">
        <f>VLOOKUP(VALUE($U83),test_out_xwalk!$C:$L,8,FALSE)</f>
        <v>None</v>
      </c>
      <c r="AH83" s="129" t="str">
        <f>VLOOKUP(VALUE($U83),test_out_xwalk!$C:$L,7,FALSE)</f>
        <v>Spray</v>
      </c>
      <c r="AI83" s="129" t="str">
        <f>VLOOKUP(VALUE($U83),test_out_xwalk!$C:$L,4,FALSE)</f>
        <v>Pre-emergence</v>
      </c>
      <c r="AJ83" s="129" t="str">
        <f>VLOOKUP(VALUE($U83),test_out_xwalk!$C:$L,9,FALSE)</f>
        <v>Other Orchards</v>
      </c>
      <c r="AK83">
        <f>_xlfn.XLOOKUP(VALUE(U83),test_out_xwalk!C:C,test_out_xwalk!A:A)</f>
        <v>3</v>
      </c>
    </row>
    <row r="84" spans="1:37" x14ac:dyDescent="0.55000000000000004">
      <c r="A84" s="121" t="str">
        <f>IF('summary_EPA Pond'!$A84="","Check Summary EPA POND worksheet Column A",'summary_EPA Pond'!$A84)</f>
        <v xml:space="preserve">4_54973-11158-226_Corn-r15-A_USEPA Pond_0010_median                                   </v>
      </c>
      <c r="B84" s="121" t="str" cm="1">
        <f t="array" ref="B84:G84">IFERROR(_xlfn.TEXTSPLIT(A84,"_"),"")</f>
        <v>4</v>
      </c>
      <c r="C84" t="str">
        <v>54973-11158-226</v>
      </c>
      <c r="D84" t="str">
        <v>Corn-r15-A</v>
      </c>
      <c r="E84" t="str">
        <v>USEPA Pond</v>
      </c>
      <c r="F84" t="str">
        <v>0010</v>
      </c>
      <c r="G84" t="str">
        <v xml:space="preserve">median                                   </v>
      </c>
      <c r="H84" s="121" t="str" cm="1">
        <f t="array" ref="H84:J84">IF(D84="","",(_xlfn.TEXTSPLIT(D84,"-")))</f>
        <v>Corn</v>
      </c>
      <c r="I84" s="121" t="str">
        <v>r15</v>
      </c>
      <c r="J84" t="str">
        <v>A</v>
      </c>
      <c r="K84" s="129" t="str">
        <f>VLOOKUP(VALUE($B84),test_out_xwalk!$C:$L,3,FALSE)</f>
        <v>Corn-1-4</v>
      </c>
      <c r="L84" s="129">
        <f>VLOOKUP(VALUE($B84),test_out_xwalk!$C:$L,5,FALSE)</f>
        <v>0.75</v>
      </c>
      <c r="M84" s="129">
        <f>VLOOKUP(VALUE($B84),test_out_xwalk!$C:$L,6,FALSE)</f>
        <v>0.75</v>
      </c>
      <c r="N84" s="129" t="str">
        <f>VLOOKUP(VALUE($B84),test_out_xwalk!$C:$L,8,FALSE)</f>
        <v>Airblast_Sparse</v>
      </c>
      <c r="O84" s="129" t="str">
        <f>VLOOKUP(VALUE($B84),test_out_xwalk!$C:$L,7,FALSE)</f>
        <v>Spray</v>
      </c>
      <c r="P84" s="129" t="str">
        <f>VLOOKUP(VALUE($B84),test_out_xwalk!$C:$L,4,FALSE)</f>
        <v>Pre-emergence</v>
      </c>
      <c r="Q84" s="129" t="str">
        <f>VLOOKUP(VALUE($B84),test_out_xwalk!$C:$L,9,FALSE)</f>
        <v>Corn</v>
      </c>
      <c r="R84">
        <f>_xlfn.XLOOKUP(VALUE(B84),test_out_xwalk!$C:$C,test_out_xwalk!$A:$A)</f>
        <v>1</v>
      </c>
      <c r="T84" s="121" t="str">
        <f>IF('summary_EPA Pond'!$O84="","Check Summary EPA POND worksheet Column O",'summary_EPA Pond'!$O84)</f>
        <v xml:space="preserve">12_462066-17012-75_Orchard deciduous-r18-A_USEPA Pond_0089_median                     </v>
      </c>
      <c r="U84" s="121" t="str" cm="1">
        <f t="array" ref="U84:Z84">IFERROR(_xlfn.TEXTSPLIT(T84,"_"),"")</f>
        <v>12</v>
      </c>
      <c r="V84" t="str">
        <v>462066-17012-75</v>
      </c>
      <c r="W84" t="str">
        <v>Orchard deciduous-r18-A</v>
      </c>
      <c r="X84" t="str">
        <v>USEPA Pond</v>
      </c>
      <c r="Y84" t="str">
        <v>0089</v>
      </c>
      <c r="Z84" t="str">
        <v xml:space="preserve">median                     </v>
      </c>
      <c r="AA84" s="121" t="str" cm="1">
        <f t="array" ref="AA84:AC84">IF(W84="","",(_xlfn.TEXTSPLIT(W84,"-")))</f>
        <v>Orchard deciduous</v>
      </c>
      <c r="AB84" s="121" t="str">
        <v>r18</v>
      </c>
      <c r="AC84" t="str">
        <v>A</v>
      </c>
      <c r="AD84" s="129" t="str">
        <f>VLOOKUP(VALUE($U84),test_out_xwalk!$C:$L,3,FALSE)</f>
        <v>Almond-3-12</v>
      </c>
      <c r="AE84" s="129">
        <f>VLOOKUP(VALUE($U84),test_out_xwalk!$C:$L,5,FALSE)</f>
        <v>1</v>
      </c>
      <c r="AF84" s="129">
        <f>VLOOKUP(VALUE($U84),test_out_xwalk!$C:$L,6,FALSE)</f>
        <v>1</v>
      </c>
      <c r="AG84" s="129" t="str">
        <f>VLOOKUP(VALUE($U84),test_out_xwalk!$C:$L,8,FALSE)</f>
        <v>None</v>
      </c>
      <c r="AH84" s="129" t="str">
        <f>VLOOKUP(VALUE($U84),test_out_xwalk!$C:$L,7,FALSE)</f>
        <v>Spray</v>
      </c>
      <c r="AI84" s="129" t="str">
        <f>VLOOKUP(VALUE($U84),test_out_xwalk!$C:$L,4,FALSE)</f>
        <v>Pre-emergence</v>
      </c>
      <c r="AJ84" s="129" t="str">
        <f>VLOOKUP(VALUE($U84),test_out_xwalk!$C:$L,9,FALSE)</f>
        <v>Other Orchards</v>
      </c>
      <c r="AK84">
        <f>_xlfn.XLOOKUP(VALUE(U84),test_out_xwalk!C:C,test_out_xwalk!A:A)</f>
        <v>3</v>
      </c>
    </row>
    <row r="85" spans="1:37" x14ac:dyDescent="0.55000000000000004">
      <c r="A85" s="121" t="str">
        <f>IF('summary_EPA Pond'!$A85="","Check Summary EPA POND worksheet Column A",'summary_EPA Pond'!$A85)</f>
        <v xml:space="preserve">4_481578-20116-1_Corn-r16-A_USEPA Pond_0010_median                                    </v>
      </c>
      <c r="B85" s="121" t="str" cm="1">
        <f t="array" ref="B85:G85">IFERROR(_xlfn.TEXTSPLIT(A85,"_"),"")</f>
        <v>4</v>
      </c>
      <c r="C85" t="str">
        <v>481578-20116-1</v>
      </c>
      <c r="D85" t="str">
        <v>Corn-r16-A</v>
      </c>
      <c r="E85" t="str">
        <v>USEPA Pond</v>
      </c>
      <c r="F85" t="str">
        <v>0010</v>
      </c>
      <c r="G85" t="str">
        <v xml:space="preserve">median                                    </v>
      </c>
      <c r="H85" s="121" t="str" cm="1">
        <f t="array" ref="H85:J85">IF(D85="","",(_xlfn.TEXTSPLIT(D85,"-")))</f>
        <v>Corn</v>
      </c>
      <c r="I85" s="121" t="str">
        <v>r16</v>
      </c>
      <c r="J85" t="str">
        <v>A</v>
      </c>
      <c r="K85" s="129" t="str">
        <f>VLOOKUP(VALUE($B85),test_out_xwalk!$C:$L,3,FALSE)</f>
        <v>Corn-1-4</v>
      </c>
      <c r="L85" s="129">
        <f>VLOOKUP(VALUE($B85),test_out_xwalk!$C:$L,5,FALSE)</f>
        <v>0.75</v>
      </c>
      <c r="M85" s="129">
        <f>VLOOKUP(VALUE($B85),test_out_xwalk!$C:$L,6,FALSE)</f>
        <v>0.75</v>
      </c>
      <c r="N85" s="129" t="str">
        <f>VLOOKUP(VALUE($B85),test_out_xwalk!$C:$L,8,FALSE)</f>
        <v>Airblast_Sparse</v>
      </c>
      <c r="O85" s="129" t="str">
        <f>VLOOKUP(VALUE($B85),test_out_xwalk!$C:$L,7,FALSE)</f>
        <v>Spray</v>
      </c>
      <c r="P85" s="129" t="str">
        <f>VLOOKUP(VALUE($B85),test_out_xwalk!$C:$L,4,FALSE)</f>
        <v>Pre-emergence</v>
      </c>
      <c r="Q85" s="129" t="str">
        <f>VLOOKUP(VALUE($B85),test_out_xwalk!$C:$L,9,FALSE)</f>
        <v>Corn</v>
      </c>
      <c r="R85">
        <f>_xlfn.XLOOKUP(VALUE(B85),test_out_xwalk!$C:$C,test_out_xwalk!$A:$A)</f>
        <v>1</v>
      </c>
      <c r="T85" s="121" t="str">
        <f>IF('summary_EPA Pond'!$O85="","Check Summary EPA POND worksheet Column O",'summary_EPA Pond'!$O85)</f>
        <v xml:space="preserve">15_1151415-6314-212_Orchard evergreen-r03S-A_USEPA Pond_0010_median                   </v>
      </c>
      <c r="U85" s="121" t="str" cm="1">
        <f t="array" ref="U85:Z85">IFERROR(_xlfn.TEXTSPLIT(T85,"_"),"")</f>
        <v>15</v>
      </c>
      <c r="V85" t="str">
        <v>1151415-6314-212</v>
      </c>
      <c r="W85" t="str">
        <v>Orchard evergreen-r03S-A</v>
      </c>
      <c r="X85" t="str">
        <v>USEPA Pond</v>
      </c>
      <c r="Y85" t="str">
        <v>0010</v>
      </c>
      <c r="Z85" t="str">
        <v xml:space="preserve">median                   </v>
      </c>
      <c r="AA85" s="121" t="str" cm="1">
        <f t="array" ref="AA85:AC85">IF(W85="","",(_xlfn.TEXTSPLIT(W85,"-")))</f>
        <v>Orchard evergreen</v>
      </c>
      <c r="AB85" s="121" t="str">
        <v>r03S</v>
      </c>
      <c r="AC85" t="str">
        <v>A</v>
      </c>
      <c r="AD85" s="129" t="str">
        <f>VLOOKUP(VALUE($U85),test_out_xwalk!$C:$L,3,FALSE)</f>
        <v>Citrus hybrids,Â Citrus spp.Â EremocitrusÂ spp.,Â FortunellaÂ spp.,Â MicrocitrusÂ spp., andÂ PoncirusÂ spp-4-15</v>
      </c>
      <c r="AE85" s="129">
        <f>VLOOKUP(VALUE($U85),test_out_xwalk!$C:$L,5,FALSE)</f>
        <v>1</v>
      </c>
      <c r="AF85" s="129">
        <f>VLOOKUP(VALUE($U85),test_out_xwalk!$C:$L,6,FALSE)</f>
        <v>1.5</v>
      </c>
      <c r="AG85" s="129" t="str">
        <f>VLOOKUP(VALUE($U85),test_out_xwalk!$C:$L,8,FALSE)</f>
        <v>None</v>
      </c>
      <c r="AH85" s="129" t="str">
        <f>VLOOKUP(VALUE($U85),test_out_xwalk!$C:$L,7,FALSE)</f>
        <v>Spray</v>
      </c>
      <c r="AI85" s="129" t="str">
        <f>VLOOKUP(VALUE($U85),test_out_xwalk!$C:$L,4,FALSE)</f>
        <v>Pre-emergence</v>
      </c>
      <c r="AJ85" s="129" t="str">
        <f>VLOOKUP(VALUE($U85),test_out_xwalk!$C:$L,9,FALSE)</f>
        <v>Citrus</v>
      </c>
      <c r="AK85">
        <f>_xlfn.XLOOKUP(VALUE(U85),test_out_xwalk!C:C,test_out_xwalk!A:A)</f>
        <v>4</v>
      </c>
    </row>
    <row r="86" spans="1:37" x14ac:dyDescent="0.55000000000000004">
      <c r="A86" s="121" t="str">
        <f>IF('summary_EPA Pond'!$A86="","Check Summary EPA POND worksheet Column A",'summary_EPA Pond'!$A86)</f>
        <v xml:space="preserve">4_69526-24571-1_Corn-r17-A_USEPA Pond_0010_median                                     </v>
      </c>
      <c r="B86" s="121" t="str" cm="1">
        <f t="array" ref="B86:G86">IFERROR(_xlfn.TEXTSPLIT(A86,"_"),"")</f>
        <v>4</v>
      </c>
      <c r="C86" t="str">
        <v>69526-24571-1</v>
      </c>
      <c r="D86" t="str">
        <v>Corn-r17-A</v>
      </c>
      <c r="E86" t="str">
        <v>USEPA Pond</v>
      </c>
      <c r="F86" t="str">
        <v>0010</v>
      </c>
      <c r="G86" t="str">
        <v xml:space="preserve">median                                     </v>
      </c>
      <c r="H86" s="121" t="str" cm="1">
        <f t="array" ref="H86:J86">IF(D86="","",(_xlfn.TEXTSPLIT(D86,"-")))</f>
        <v>Corn</v>
      </c>
      <c r="I86" s="121" t="str">
        <v>r17</v>
      </c>
      <c r="J86" t="str">
        <v>A</v>
      </c>
      <c r="K86" s="129" t="str">
        <f>VLOOKUP(VALUE($B86),test_out_xwalk!$C:$L,3,FALSE)</f>
        <v>Corn-1-4</v>
      </c>
      <c r="L86" s="129">
        <f>VLOOKUP(VALUE($B86),test_out_xwalk!$C:$L,5,FALSE)</f>
        <v>0.75</v>
      </c>
      <c r="M86" s="129">
        <f>VLOOKUP(VALUE($B86),test_out_xwalk!$C:$L,6,FALSE)</f>
        <v>0.75</v>
      </c>
      <c r="N86" s="129" t="str">
        <f>VLOOKUP(VALUE($B86),test_out_xwalk!$C:$L,8,FALSE)</f>
        <v>Airblast_Sparse</v>
      </c>
      <c r="O86" s="129" t="str">
        <f>VLOOKUP(VALUE($B86),test_out_xwalk!$C:$L,7,FALSE)</f>
        <v>Spray</v>
      </c>
      <c r="P86" s="129" t="str">
        <f>VLOOKUP(VALUE($B86),test_out_xwalk!$C:$L,4,FALSE)</f>
        <v>Pre-emergence</v>
      </c>
      <c r="Q86" s="129" t="str">
        <f>VLOOKUP(VALUE($B86),test_out_xwalk!$C:$L,9,FALSE)</f>
        <v>Corn</v>
      </c>
      <c r="R86">
        <f>_xlfn.XLOOKUP(VALUE(B86),test_out_xwalk!$C:$C,test_out_xwalk!$A:$A)</f>
        <v>1</v>
      </c>
      <c r="T86" s="121" t="str">
        <f>IF('summary_EPA Pond'!$O86="","Check Summary EPA POND worksheet Column O",'summary_EPA Pond'!$O86)</f>
        <v xml:space="preserve">15_1017242-10309-212_Orchard evergreen-r03W-A_USEPA Pond_0010_median                  </v>
      </c>
      <c r="U86" s="121" t="str" cm="1">
        <f t="array" ref="U86:Z86">IFERROR(_xlfn.TEXTSPLIT(T86,"_"),"")</f>
        <v>15</v>
      </c>
      <c r="V86" t="str">
        <v>1017242-10309-212</v>
      </c>
      <c r="W86" t="str">
        <v>Orchard evergreen-r03W-A</v>
      </c>
      <c r="X86" t="str">
        <v>USEPA Pond</v>
      </c>
      <c r="Y86" t="str">
        <v>0010</v>
      </c>
      <c r="Z86" t="str">
        <v xml:space="preserve">median                  </v>
      </c>
      <c r="AA86" s="121" t="str" cm="1">
        <f t="array" ref="AA86:AC86">IF(W86="","",(_xlfn.TEXTSPLIT(W86,"-")))</f>
        <v>Orchard evergreen</v>
      </c>
      <c r="AB86" s="121" t="str">
        <v>r03W</v>
      </c>
      <c r="AC86" t="str">
        <v>A</v>
      </c>
      <c r="AD86" s="129" t="str">
        <f>VLOOKUP(VALUE($U86),test_out_xwalk!$C:$L,3,FALSE)</f>
        <v>Citrus hybrids,Â Citrus spp.Â EremocitrusÂ spp.,Â FortunellaÂ spp.,Â MicrocitrusÂ spp., andÂ PoncirusÂ spp-4-15</v>
      </c>
      <c r="AE86" s="129">
        <f>VLOOKUP(VALUE($U86),test_out_xwalk!$C:$L,5,FALSE)</f>
        <v>1</v>
      </c>
      <c r="AF86" s="129">
        <f>VLOOKUP(VALUE($U86),test_out_xwalk!$C:$L,6,FALSE)</f>
        <v>1.5</v>
      </c>
      <c r="AG86" s="129" t="str">
        <f>VLOOKUP(VALUE($U86),test_out_xwalk!$C:$L,8,FALSE)</f>
        <v>None</v>
      </c>
      <c r="AH86" s="129" t="str">
        <f>VLOOKUP(VALUE($U86),test_out_xwalk!$C:$L,7,FALSE)</f>
        <v>Spray</v>
      </c>
      <c r="AI86" s="129" t="str">
        <f>VLOOKUP(VALUE($U86),test_out_xwalk!$C:$L,4,FALSE)</f>
        <v>Pre-emergence</v>
      </c>
      <c r="AJ86" s="129" t="str">
        <f>VLOOKUP(VALUE($U86),test_out_xwalk!$C:$L,9,FALSE)</f>
        <v>Citrus</v>
      </c>
      <c r="AK86">
        <f>_xlfn.XLOOKUP(VALUE(U86),test_out_xwalk!C:C,test_out_xwalk!A:A)</f>
        <v>4</v>
      </c>
    </row>
    <row r="87" spans="1:37" x14ac:dyDescent="0.55000000000000004">
      <c r="A87" s="121" t="str">
        <f>IF('summary_EPA Pond'!$A87="","Check Summary EPA POND worksheet Column A",'summary_EPA Pond'!$A87)</f>
        <v xml:space="preserve">4_467176-15131-225_Corn-r18-A_USEPA Pond_0010_median                                  </v>
      </c>
      <c r="B87" s="121" t="str" cm="1">
        <f t="array" ref="B87:G87">IFERROR(_xlfn.TEXTSPLIT(A87,"_"),"")</f>
        <v>4</v>
      </c>
      <c r="C87" t="str">
        <v>467176-15131-225</v>
      </c>
      <c r="D87" t="str">
        <v>Corn-r18-A</v>
      </c>
      <c r="E87" t="str">
        <v>USEPA Pond</v>
      </c>
      <c r="F87" t="str">
        <v>0010</v>
      </c>
      <c r="G87" t="str">
        <v xml:space="preserve">median                                  </v>
      </c>
      <c r="H87" s="121" t="str" cm="1">
        <f t="array" ref="H87:J87">IF(D87="","",(_xlfn.TEXTSPLIT(D87,"-")))</f>
        <v>Corn</v>
      </c>
      <c r="I87" s="121" t="str">
        <v>r18</v>
      </c>
      <c r="J87" t="str">
        <v>A</v>
      </c>
      <c r="K87" s="129" t="str">
        <f>VLOOKUP(VALUE($B87),test_out_xwalk!$C:$L,3,FALSE)</f>
        <v>Corn-1-4</v>
      </c>
      <c r="L87" s="129">
        <f>VLOOKUP(VALUE($B87),test_out_xwalk!$C:$L,5,FALSE)</f>
        <v>0.75</v>
      </c>
      <c r="M87" s="129">
        <f>VLOOKUP(VALUE($B87),test_out_xwalk!$C:$L,6,FALSE)</f>
        <v>0.75</v>
      </c>
      <c r="N87" s="129" t="str">
        <f>VLOOKUP(VALUE($B87),test_out_xwalk!$C:$L,8,FALSE)</f>
        <v>Airblast_Sparse</v>
      </c>
      <c r="O87" s="129" t="str">
        <f>VLOOKUP(VALUE($B87),test_out_xwalk!$C:$L,7,FALSE)</f>
        <v>Spray</v>
      </c>
      <c r="P87" s="129" t="str">
        <f>VLOOKUP(VALUE($B87),test_out_xwalk!$C:$L,4,FALSE)</f>
        <v>Pre-emergence</v>
      </c>
      <c r="Q87" s="129" t="str">
        <f>VLOOKUP(VALUE($B87),test_out_xwalk!$C:$L,9,FALSE)</f>
        <v>Corn</v>
      </c>
      <c r="R87">
        <f>_xlfn.XLOOKUP(VALUE(B87),test_out_xwalk!$C:$C,test_out_xwalk!$A:$A)</f>
        <v>1</v>
      </c>
      <c r="T87" s="121" t="str">
        <f>IF('summary_EPA Pond'!$O87="","Check Summary EPA POND worksheet Column O",'summary_EPA Pond'!$O87)</f>
        <v xml:space="preserve">15_576089-12632-72_Orchard evergreen-r11-A_USEPA Pond_0010_median                     </v>
      </c>
      <c r="U87" s="121" t="str" cm="1">
        <f t="array" ref="U87:Z87">IFERROR(_xlfn.TEXTSPLIT(T87,"_"),"")</f>
        <v>15</v>
      </c>
      <c r="V87" t="str">
        <v>576089-12632-72</v>
      </c>
      <c r="W87" t="str">
        <v>Orchard evergreen-r11-A</v>
      </c>
      <c r="X87" t="str">
        <v>USEPA Pond</v>
      </c>
      <c r="Y87" t="str">
        <v>0010</v>
      </c>
      <c r="Z87" t="str">
        <v xml:space="preserve">median                     </v>
      </c>
      <c r="AA87" s="121" t="str" cm="1">
        <f t="array" ref="AA87:AC87">IF(W87="","",(_xlfn.TEXTSPLIT(W87,"-")))</f>
        <v>Orchard evergreen</v>
      </c>
      <c r="AB87" s="121" t="str">
        <v>r11</v>
      </c>
      <c r="AC87" t="str">
        <v>A</v>
      </c>
      <c r="AD87" s="129" t="str">
        <f>VLOOKUP(VALUE($U87),test_out_xwalk!$C:$L,3,FALSE)</f>
        <v>Citrus hybrids,Â Citrus spp.Â EremocitrusÂ spp.,Â FortunellaÂ spp.,Â MicrocitrusÂ spp., andÂ PoncirusÂ spp-4-15</v>
      </c>
      <c r="AE87" s="129">
        <f>VLOOKUP(VALUE($U87),test_out_xwalk!$C:$L,5,FALSE)</f>
        <v>1</v>
      </c>
      <c r="AF87" s="129">
        <f>VLOOKUP(VALUE($U87),test_out_xwalk!$C:$L,6,FALSE)</f>
        <v>1.5</v>
      </c>
      <c r="AG87" s="129" t="str">
        <f>VLOOKUP(VALUE($U87),test_out_xwalk!$C:$L,8,FALSE)</f>
        <v>None</v>
      </c>
      <c r="AH87" s="129" t="str">
        <f>VLOOKUP(VALUE($U87),test_out_xwalk!$C:$L,7,FALSE)</f>
        <v>Spray</v>
      </c>
      <c r="AI87" s="129" t="str">
        <f>VLOOKUP(VALUE($U87),test_out_xwalk!$C:$L,4,FALSE)</f>
        <v>Pre-emergence</v>
      </c>
      <c r="AJ87" s="129" t="str">
        <f>VLOOKUP(VALUE($U87),test_out_xwalk!$C:$L,9,FALSE)</f>
        <v>Citrus</v>
      </c>
      <c r="AK87">
        <f>_xlfn.XLOOKUP(VALUE(U87),test_out_xwalk!C:C,test_out_xwalk!A:A)</f>
        <v>4</v>
      </c>
    </row>
    <row r="88" spans="1:37" x14ac:dyDescent="0.55000000000000004">
      <c r="A88" s="121" t="str">
        <f>IF('summary_EPA Pond'!$A88="","Check Summary EPA POND worksheet Column A",'summary_EPA Pond'!$A88)</f>
        <v xml:space="preserve">6_290662-20742-26_Soybean-r01-A_USEPA Pond_0076_median                                </v>
      </c>
      <c r="B88" s="121" t="str" cm="1">
        <f t="array" ref="B88:G88">IFERROR(_xlfn.TEXTSPLIT(A88,"_"),"")</f>
        <v>6</v>
      </c>
      <c r="C88" t="str">
        <v>290662-20742-26</v>
      </c>
      <c r="D88" t="str">
        <v>Soybean-r01-A</v>
      </c>
      <c r="E88" t="str">
        <v>USEPA Pond</v>
      </c>
      <c r="F88" t="str">
        <v>0076</v>
      </c>
      <c r="G88" t="str">
        <v xml:space="preserve">median                                </v>
      </c>
      <c r="H88" s="121" t="str" cm="1">
        <f t="array" ref="H88:J88">IF(D88="","",(_xlfn.TEXTSPLIT(D88,"-")))</f>
        <v>Soybean</v>
      </c>
      <c r="I88" s="121" t="str">
        <v>r01</v>
      </c>
      <c r="J88" t="str">
        <v>A</v>
      </c>
      <c r="K88" s="129" t="str">
        <f>VLOOKUP(VALUE($B88),test_out_xwalk!$C:$L,3,FALSE)</f>
        <v>Soybean (Glycine max)-2-6</v>
      </c>
      <c r="L88" s="129">
        <f>VLOOKUP(VALUE($B88),test_out_xwalk!$C:$L,5,FALSE)</f>
        <v>1.125</v>
      </c>
      <c r="M88" s="129">
        <f>VLOOKUP(VALUE($B88),test_out_xwalk!$C:$L,6,FALSE)</f>
        <v>3</v>
      </c>
      <c r="N88" s="129" t="str">
        <f>VLOOKUP(VALUE($B88),test_out_xwalk!$C:$L,8,FALSE)</f>
        <v>Aerial_Fine_50</v>
      </c>
      <c r="O88" s="129" t="str">
        <f>VLOOKUP(VALUE($B88),test_out_xwalk!$C:$L,7,FALSE)</f>
        <v>Spray</v>
      </c>
      <c r="P88" s="129" t="str">
        <f>VLOOKUP(VALUE($B88),test_out_xwalk!$C:$L,4,FALSE)</f>
        <v>Post-emergence</v>
      </c>
      <c r="Q88" s="129" t="str">
        <f>VLOOKUP(VALUE($B88),test_out_xwalk!$C:$L,9,FALSE)</f>
        <v>Soybeans</v>
      </c>
      <c r="R88">
        <f>_xlfn.XLOOKUP(VALUE(B88),test_out_xwalk!$C:$C,test_out_xwalk!$A:$A)</f>
        <v>2</v>
      </c>
      <c r="T88" s="121" t="str">
        <f>IF('summary_EPA Pond'!$O88="","Check Summary EPA POND worksheet Column O",'summary_EPA Pond'!$O88)</f>
        <v xml:space="preserve">15_363322-6720-72_Orchard evergreen-r12-A_USEPA Pond_0010_median                      </v>
      </c>
      <c r="U88" s="121" t="str" cm="1">
        <f t="array" ref="U88:Z88">IFERROR(_xlfn.TEXTSPLIT(T88,"_"),"")</f>
        <v>15</v>
      </c>
      <c r="V88" t="str">
        <v>363322-6720-72</v>
      </c>
      <c r="W88" t="str">
        <v>Orchard evergreen-r12-A</v>
      </c>
      <c r="X88" t="str">
        <v>USEPA Pond</v>
      </c>
      <c r="Y88" t="str">
        <v>0010</v>
      </c>
      <c r="Z88" t="str">
        <v xml:space="preserve">median                      </v>
      </c>
      <c r="AA88" s="121" t="str" cm="1">
        <f t="array" ref="AA88:AC88">IF(W88="","",(_xlfn.TEXTSPLIT(W88,"-")))</f>
        <v>Orchard evergreen</v>
      </c>
      <c r="AB88" s="121" t="str">
        <v>r12</v>
      </c>
      <c r="AC88" t="str">
        <v>A</v>
      </c>
      <c r="AD88" s="129" t="str">
        <f>VLOOKUP(VALUE($U88),test_out_xwalk!$C:$L,3,FALSE)</f>
        <v>Citrus hybrids,Â Citrus spp.Â EremocitrusÂ spp.,Â FortunellaÂ spp.,Â MicrocitrusÂ spp., andÂ PoncirusÂ spp-4-15</v>
      </c>
      <c r="AE88" s="129">
        <f>VLOOKUP(VALUE($U88),test_out_xwalk!$C:$L,5,FALSE)</f>
        <v>1</v>
      </c>
      <c r="AF88" s="129">
        <f>VLOOKUP(VALUE($U88),test_out_xwalk!$C:$L,6,FALSE)</f>
        <v>1.5</v>
      </c>
      <c r="AG88" s="129" t="str">
        <f>VLOOKUP(VALUE($U88),test_out_xwalk!$C:$L,8,FALSE)</f>
        <v>None</v>
      </c>
      <c r="AH88" s="129" t="str">
        <f>VLOOKUP(VALUE($U88),test_out_xwalk!$C:$L,7,FALSE)</f>
        <v>Spray</v>
      </c>
      <c r="AI88" s="129" t="str">
        <f>VLOOKUP(VALUE($U88),test_out_xwalk!$C:$L,4,FALSE)</f>
        <v>Pre-emergence</v>
      </c>
      <c r="AJ88" s="129" t="str">
        <f>VLOOKUP(VALUE($U88),test_out_xwalk!$C:$L,9,FALSE)</f>
        <v>Citrus</v>
      </c>
      <c r="AK88">
        <f>_xlfn.XLOOKUP(VALUE(U88),test_out_xwalk!C:C,test_out_xwalk!A:A)</f>
        <v>4</v>
      </c>
    </row>
    <row r="89" spans="1:37" x14ac:dyDescent="0.55000000000000004">
      <c r="A89" s="121" t="str">
        <f>IF('summary_EPA Pond'!$A89="","Check Summary EPA POND worksheet Column A",'summary_EPA Pond'!$A89)</f>
        <v xml:space="preserve">6_1606194-18138-5_Soybean-r02-A_USEPA Pond_0076_median                                </v>
      </c>
      <c r="B89" s="121" t="str" cm="1">
        <f t="array" ref="B89:G89">IFERROR(_xlfn.TEXTSPLIT(A89,"_"),"")</f>
        <v>6</v>
      </c>
      <c r="C89" t="str">
        <v>1606194-18138-5</v>
      </c>
      <c r="D89" t="str">
        <v>Soybean-r02-A</v>
      </c>
      <c r="E89" t="str">
        <v>USEPA Pond</v>
      </c>
      <c r="F89" t="str">
        <v>0076</v>
      </c>
      <c r="G89" t="str">
        <v xml:space="preserve">median                                </v>
      </c>
      <c r="H89" s="121" t="str" cm="1">
        <f t="array" ref="H89:J89">IF(D89="","",(_xlfn.TEXTSPLIT(D89,"-")))</f>
        <v>Soybean</v>
      </c>
      <c r="I89" s="121" t="str">
        <v>r02</v>
      </c>
      <c r="J89" t="str">
        <v>A</v>
      </c>
      <c r="K89" s="129" t="str">
        <f>VLOOKUP(VALUE($B89),test_out_xwalk!$C:$L,3,FALSE)</f>
        <v>Soybean (Glycine max)-2-6</v>
      </c>
      <c r="L89" s="129">
        <f>VLOOKUP(VALUE($B89),test_out_xwalk!$C:$L,5,FALSE)</f>
        <v>1.125</v>
      </c>
      <c r="M89" s="129">
        <f>VLOOKUP(VALUE($B89),test_out_xwalk!$C:$L,6,FALSE)</f>
        <v>3</v>
      </c>
      <c r="N89" s="129" t="str">
        <f>VLOOKUP(VALUE($B89),test_out_xwalk!$C:$L,8,FALSE)</f>
        <v>Aerial_Fine_50</v>
      </c>
      <c r="O89" s="129" t="str">
        <f>VLOOKUP(VALUE($B89),test_out_xwalk!$C:$L,7,FALSE)</f>
        <v>Spray</v>
      </c>
      <c r="P89" s="129" t="str">
        <f>VLOOKUP(VALUE($B89),test_out_xwalk!$C:$L,4,FALSE)</f>
        <v>Post-emergence</v>
      </c>
      <c r="Q89" s="129" t="str">
        <f>VLOOKUP(VALUE($B89),test_out_xwalk!$C:$L,9,FALSE)</f>
        <v>Soybeans</v>
      </c>
      <c r="R89">
        <f>_xlfn.XLOOKUP(VALUE(B89),test_out_xwalk!$C:$C,test_out_xwalk!$A:$A)</f>
        <v>2</v>
      </c>
      <c r="T89" s="121" t="str">
        <f>IF('summary_EPA Pond'!$O89="","Check Summary EPA POND worksheet Column O",'summary_EPA Pond'!$O89)</f>
        <v xml:space="preserve">15_367672-5777-72_Orchard evergreen-r13-A_USEPA Pond_0010_median                      </v>
      </c>
      <c r="U89" s="121" t="str" cm="1">
        <f t="array" ref="U89:Z89">IFERROR(_xlfn.TEXTSPLIT(T89,"_"),"")</f>
        <v>15</v>
      </c>
      <c r="V89" t="str">
        <v>367672-5777-72</v>
      </c>
      <c r="W89" t="str">
        <v>Orchard evergreen-r13-A</v>
      </c>
      <c r="X89" t="str">
        <v>USEPA Pond</v>
      </c>
      <c r="Y89" t="str">
        <v>0010</v>
      </c>
      <c r="Z89" t="str">
        <v xml:space="preserve">median                      </v>
      </c>
      <c r="AA89" s="121" t="str" cm="1">
        <f t="array" ref="AA89:AC89">IF(W89="","",(_xlfn.TEXTSPLIT(W89,"-")))</f>
        <v>Orchard evergreen</v>
      </c>
      <c r="AB89" s="121" t="str">
        <v>r13</v>
      </c>
      <c r="AC89" t="str">
        <v>A</v>
      </c>
      <c r="AD89" s="129" t="str">
        <f>VLOOKUP(VALUE($U89),test_out_xwalk!$C:$L,3,FALSE)</f>
        <v>Citrus hybrids,Â Citrus spp.Â EremocitrusÂ spp.,Â FortunellaÂ spp.,Â MicrocitrusÂ spp., andÂ PoncirusÂ spp-4-15</v>
      </c>
      <c r="AE89" s="129">
        <f>VLOOKUP(VALUE($U89),test_out_xwalk!$C:$L,5,FALSE)</f>
        <v>1</v>
      </c>
      <c r="AF89" s="129">
        <f>VLOOKUP(VALUE($U89),test_out_xwalk!$C:$L,6,FALSE)</f>
        <v>1.5</v>
      </c>
      <c r="AG89" s="129" t="str">
        <f>VLOOKUP(VALUE($U89),test_out_xwalk!$C:$L,8,FALSE)</f>
        <v>None</v>
      </c>
      <c r="AH89" s="129" t="str">
        <f>VLOOKUP(VALUE($U89),test_out_xwalk!$C:$L,7,FALSE)</f>
        <v>Spray</v>
      </c>
      <c r="AI89" s="129" t="str">
        <f>VLOOKUP(VALUE($U89),test_out_xwalk!$C:$L,4,FALSE)</f>
        <v>Pre-emergence</v>
      </c>
      <c r="AJ89" s="129" t="str">
        <f>VLOOKUP(VALUE($U89),test_out_xwalk!$C:$L,9,FALSE)</f>
        <v>Citrus</v>
      </c>
      <c r="AK89">
        <f>_xlfn.XLOOKUP(VALUE(U89),test_out_xwalk!C:C,test_out_xwalk!A:A)</f>
        <v>4</v>
      </c>
    </row>
    <row r="90" spans="1:37" x14ac:dyDescent="0.55000000000000004">
      <c r="A90" s="121" t="str">
        <f>IF('summary_EPA Pond'!$A90="","Check Summary EPA POND worksheet Column A",'summary_EPA Pond'!$A90)</f>
        <v xml:space="preserve">6_114323-14827-5_Soybean-r03N-A_USEPA Pond_0076_median                                </v>
      </c>
      <c r="B90" s="121" t="str" cm="1">
        <f t="array" ref="B90:G90">IFERROR(_xlfn.TEXTSPLIT(A90,"_"),"")</f>
        <v>6</v>
      </c>
      <c r="C90" t="str">
        <v>114323-14827-5</v>
      </c>
      <c r="D90" t="str">
        <v>Soybean-r03N-A</v>
      </c>
      <c r="E90" t="str">
        <v>USEPA Pond</v>
      </c>
      <c r="F90" t="str">
        <v>0076</v>
      </c>
      <c r="G90" t="str">
        <v xml:space="preserve">median                                </v>
      </c>
      <c r="H90" s="121" t="str" cm="1">
        <f t="array" ref="H90:J90">IF(D90="","",(_xlfn.TEXTSPLIT(D90,"-")))</f>
        <v>Soybean</v>
      </c>
      <c r="I90" s="121" t="str">
        <v>r03N</v>
      </c>
      <c r="J90" t="str">
        <v>A</v>
      </c>
      <c r="K90" s="129" t="str">
        <f>VLOOKUP(VALUE($B90),test_out_xwalk!$C:$L,3,FALSE)</f>
        <v>Soybean (Glycine max)-2-6</v>
      </c>
      <c r="L90" s="129">
        <f>VLOOKUP(VALUE($B90),test_out_xwalk!$C:$L,5,FALSE)</f>
        <v>1.125</v>
      </c>
      <c r="M90" s="129">
        <f>VLOOKUP(VALUE($B90),test_out_xwalk!$C:$L,6,FALSE)</f>
        <v>3</v>
      </c>
      <c r="N90" s="129" t="str">
        <f>VLOOKUP(VALUE($B90),test_out_xwalk!$C:$L,8,FALSE)</f>
        <v>Aerial_Fine_50</v>
      </c>
      <c r="O90" s="129" t="str">
        <f>VLOOKUP(VALUE($B90),test_out_xwalk!$C:$L,7,FALSE)</f>
        <v>Spray</v>
      </c>
      <c r="P90" s="129" t="str">
        <f>VLOOKUP(VALUE($B90),test_out_xwalk!$C:$L,4,FALSE)</f>
        <v>Post-emergence</v>
      </c>
      <c r="Q90" s="129" t="str">
        <f>VLOOKUP(VALUE($B90),test_out_xwalk!$C:$L,9,FALSE)</f>
        <v>Soybeans</v>
      </c>
      <c r="R90">
        <f>_xlfn.XLOOKUP(VALUE(B90),test_out_xwalk!$C:$C,test_out_xwalk!$A:$A)</f>
        <v>2</v>
      </c>
      <c r="T90" s="121" t="str">
        <f>IF('summary_EPA Pond'!$O90="","Check Summary EPA POND worksheet Column O",'summary_EPA Pond'!$O90)</f>
        <v xml:space="preserve">15_53259-11846-72_Orchard evergreen-r15-A_USEPA Pond_0010_median                      </v>
      </c>
      <c r="U90" s="121" t="str" cm="1">
        <f t="array" ref="U90:Z90">IFERROR(_xlfn.TEXTSPLIT(T90,"_"),"")</f>
        <v>15</v>
      </c>
      <c r="V90" t="str">
        <v>53259-11846-72</v>
      </c>
      <c r="W90" t="str">
        <v>Orchard evergreen-r15-A</v>
      </c>
      <c r="X90" t="str">
        <v>USEPA Pond</v>
      </c>
      <c r="Y90" t="str">
        <v>0010</v>
      </c>
      <c r="Z90" t="str">
        <v xml:space="preserve">median                      </v>
      </c>
      <c r="AA90" s="121" t="str" cm="1">
        <f t="array" ref="AA90:AC90">IF(W90="","",(_xlfn.TEXTSPLIT(W90,"-")))</f>
        <v>Orchard evergreen</v>
      </c>
      <c r="AB90" s="121" t="str">
        <v>r15</v>
      </c>
      <c r="AC90" t="str">
        <v>A</v>
      </c>
      <c r="AD90" s="129" t="str">
        <f>VLOOKUP(VALUE($U90),test_out_xwalk!$C:$L,3,FALSE)</f>
        <v>Citrus hybrids,Â Citrus spp.Â EremocitrusÂ spp.,Â FortunellaÂ spp.,Â MicrocitrusÂ spp., andÂ PoncirusÂ spp-4-15</v>
      </c>
      <c r="AE90" s="129">
        <f>VLOOKUP(VALUE($U90),test_out_xwalk!$C:$L,5,FALSE)</f>
        <v>1</v>
      </c>
      <c r="AF90" s="129">
        <f>VLOOKUP(VALUE($U90),test_out_xwalk!$C:$L,6,FALSE)</f>
        <v>1.5</v>
      </c>
      <c r="AG90" s="129" t="str">
        <f>VLOOKUP(VALUE($U90),test_out_xwalk!$C:$L,8,FALSE)</f>
        <v>None</v>
      </c>
      <c r="AH90" s="129" t="str">
        <f>VLOOKUP(VALUE($U90),test_out_xwalk!$C:$L,7,FALSE)</f>
        <v>Spray</v>
      </c>
      <c r="AI90" s="129" t="str">
        <f>VLOOKUP(VALUE($U90),test_out_xwalk!$C:$L,4,FALSE)</f>
        <v>Pre-emergence</v>
      </c>
      <c r="AJ90" s="129" t="str">
        <f>VLOOKUP(VALUE($U90),test_out_xwalk!$C:$L,9,FALSE)</f>
        <v>Citrus</v>
      </c>
      <c r="AK90">
        <f>_xlfn.XLOOKUP(VALUE(U90),test_out_xwalk!C:C,test_out_xwalk!A:A)</f>
        <v>4</v>
      </c>
    </row>
    <row r="91" spans="1:37" x14ac:dyDescent="0.55000000000000004">
      <c r="A91" s="121" t="str">
        <f>IF('summary_EPA Pond'!$A91="","Check Summary EPA POND worksheet Column A",'summary_EPA Pond'!$A91)</f>
        <v xml:space="preserve">6_325092-11970-5_Soybean-r03S-A_USEPA Pond_0076_median                                </v>
      </c>
      <c r="B91" s="121" t="str" cm="1">
        <f t="array" ref="B91:G91">IFERROR(_xlfn.TEXTSPLIT(A91,"_"),"")</f>
        <v>6</v>
      </c>
      <c r="C91" t="str">
        <v>325092-11970-5</v>
      </c>
      <c r="D91" t="str">
        <v>Soybean-r03S-A</v>
      </c>
      <c r="E91" t="str">
        <v>USEPA Pond</v>
      </c>
      <c r="F91" t="str">
        <v>0076</v>
      </c>
      <c r="G91" t="str">
        <v xml:space="preserve">median                                </v>
      </c>
      <c r="H91" s="121" t="str" cm="1">
        <f t="array" ref="H91:J91">IF(D91="","",(_xlfn.TEXTSPLIT(D91,"-")))</f>
        <v>Soybean</v>
      </c>
      <c r="I91" s="121" t="str">
        <v>r03S</v>
      </c>
      <c r="J91" t="str">
        <v>A</v>
      </c>
      <c r="K91" s="129" t="str">
        <f>VLOOKUP(VALUE($B91),test_out_xwalk!$C:$L,3,FALSE)</f>
        <v>Soybean (Glycine max)-2-6</v>
      </c>
      <c r="L91" s="129">
        <f>VLOOKUP(VALUE($B91),test_out_xwalk!$C:$L,5,FALSE)</f>
        <v>1.125</v>
      </c>
      <c r="M91" s="129">
        <f>VLOOKUP(VALUE($B91),test_out_xwalk!$C:$L,6,FALSE)</f>
        <v>3</v>
      </c>
      <c r="N91" s="129" t="str">
        <f>VLOOKUP(VALUE($B91),test_out_xwalk!$C:$L,8,FALSE)</f>
        <v>Aerial_Fine_50</v>
      </c>
      <c r="O91" s="129" t="str">
        <f>VLOOKUP(VALUE($B91),test_out_xwalk!$C:$L,7,FALSE)</f>
        <v>Spray</v>
      </c>
      <c r="P91" s="129" t="str">
        <f>VLOOKUP(VALUE($B91),test_out_xwalk!$C:$L,4,FALSE)</f>
        <v>Post-emergence</v>
      </c>
      <c r="Q91" s="129" t="str">
        <f>VLOOKUP(VALUE($B91),test_out_xwalk!$C:$L,9,FALSE)</f>
        <v>Soybeans</v>
      </c>
      <c r="R91">
        <f>_xlfn.XLOOKUP(VALUE(B91),test_out_xwalk!$C:$C,test_out_xwalk!$A:$A)</f>
        <v>2</v>
      </c>
      <c r="T91" s="121" t="str">
        <f>IF('summary_EPA Pond'!$O91="","Check Summary EPA POND worksheet Column O",'summary_EPA Pond'!$O91)</f>
        <v xml:space="preserve">15_2424828-17725-212_Orchard evergreen-r16-A_USEPA Pond_0010_median                   </v>
      </c>
      <c r="U91" s="121" t="str" cm="1">
        <f t="array" ref="U91:Z91">IFERROR(_xlfn.TEXTSPLIT(T91,"_"),"")</f>
        <v>15</v>
      </c>
      <c r="V91" t="str">
        <v>2424828-17725-212</v>
      </c>
      <c r="W91" t="str">
        <v>Orchard evergreen-r16-A</v>
      </c>
      <c r="X91" t="str">
        <v>USEPA Pond</v>
      </c>
      <c r="Y91" t="str">
        <v>0010</v>
      </c>
      <c r="Z91" t="str">
        <v xml:space="preserve">median                   </v>
      </c>
      <c r="AA91" s="121" t="str" cm="1">
        <f t="array" ref="AA91:AC91">IF(W91="","",(_xlfn.TEXTSPLIT(W91,"-")))</f>
        <v>Orchard evergreen</v>
      </c>
      <c r="AB91" s="121" t="str">
        <v>r16</v>
      </c>
      <c r="AC91" t="str">
        <v>A</v>
      </c>
      <c r="AD91" s="129" t="str">
        <f>VLOOKUP(VALUE($U91),test_out_xwalk!$C:$L,3,FALSE)</f>
        <v>Citrus hybrids,Â Citrus spp.Â EremocitrusÂ spp.,Â FortunellaÂ spp.,Â MicrocitrusÂ spp., andÂ PoncirusÂ spp-4-15</v>
      </c>
      <c r="AE91" s="129">
        <f>VLOOKUP(VALUE($U91),test_out_xwalk!$C:$L,5,FALSE)</f>
        <v>1</v>
      </c>
      <c r="AF91" s="129">
        <f>VLOOKUP(VALUE($U91),test_out_xwalk!$C:$L,6,FALSE)</f>
        <v>1.5</v>
      </c>
      <c r="AG91" s="129" t="str">
        <f>VLOOKUP(VALUE($U91),test_out_xwalk!$C:$L,8,FALSE)</f>
        <v>None</v>
      </c>
      <c r="AH91" s="129" t="str">
        <f>VLOOKUP(VALUE($U91),test_out_xwalk!$C:$L,7,FALSE)</f>
        <v>Spray</v>
      </c>
      <c r="AI91" s="129" t="str">
        <f>VLOOKUP(VALUE($U91),test_out_xwalk!$C:$L,4,FALSE)</f>
        <v>Pre-emergence</v>
      </c>
      <c r="AJ91" s="129" t="str">
        <f>VLOOKUP(VALUE($U91),test_out_xwalk!$C:$L,9,FALSE)</f>
        <v>Citrus</v>
      </c>
      <c r="AK91">
        <f>_xlfn.XLOOKUP(VALUE(U91),test_out_xwalk!C:C,test_out_xwalk!A:A)</f>
        <v>4</v>
      </c>
    </row>
    <row r="92" spans="1:37" x14ac:dyDescent="0.55000000000000004">
      <c r="A92" s="121" t="str">
        <f>IF('summary_EPA Pond'!$A92="","Check Summary EPA POND worksheet Column A",'summary_EPA Pond'!$A92)</f>
        <v xml:space="preserve">6_333014-13366-5_Soybean-r03W-A_USEPA Pond_0076_median                                </v>
      </c>
      <c r="B92" s="121" t="str" cm="1">
        <f t="array" ref="B92:G92">IFERROR(_xlfn.TEXTSPLIT(A92,"_"),"")</f>
        <v>6</v>
      </c>
      <c r="C92" t="str">
        <v>333014-13366-5</v>
      </c>
      <c r="D92" t="str">
        <v>Soybean-r03W-A</v>
      </c>
      <c r="E92" t="str">
        <v>USEPA Pond</v>
      </c>
      <c r="F92" t="str">
        <v>0076</v>
      </c>
      <c r="G92" t="str">
        <v xml:space="preserve">median                                </v>
      </c>
      <c r="H92" s="121" t="str" cm="1">
        <f t="array" ref="H92:J92">IF(D92="","",(_xlfn.TEXTSPLIT(D92,"-")))</f>
        <v>Soybean</v>
      </c>
      <c r="I92" s="121" t="str">
        <v>r03W</v>
      </c>
      <c r="J92" t="str">
        <v>A</v>
      </c>
      <c r="K92" s="129" t="str">
        <f>VLOOKUP(VALUE($B92),test_out_xwalk!$C:$L,3,FALSE)</f>
        <v>Soybean (Glycine max)-2-6</v>
      </c>
      <c r="L92" s="129">
        <f>VLOOKUP(VALUE($B92),test_out_xwalk!$C:$L,5,FALSE)</f>
        <v>1.125</v>
      </c>
      <c r="M92" s="129">
        <f>VLOOKUP(VALUE($B92),test_out_xwalk!$C:$L,6,FALSE)</f>
        <v>3</v>
      </c>
      <c r="N92" s="129" t="str">
        <f>VLOOKUP(VALUE($B92),test_out_xwalk!$C:$L,8,FALSE)</f>
        <v>Aerial_Fine_50</v>
      </c>
      <c r="O92" s="129" t="str">
        <f>VLOOKUP(VALUE($B92),test_out_xwalk!$C:$L,7,FALSE)</f>
        <v>Spray</v>
      </c>
      <c r="P92" s="129" t="str">
        <f>VLOOKUP(VALUE($B92),test_out_xwalk!$C:$L,4,FALSE)</f>
        <v>Post-emergence</v>
      </c>
      <c r="Q92" s="129" t="str">
        <f>VLOOKUP(VALUE($B92),test_out_xwalk!$C:$L,9,FALSE)</f>
        <v>Soybeans</v>
      </c>
      <c r="R92">
        <f>_xlfn.XLOOKUP(VALUE(B92),test_out_xwalk!$C:$C,test_out_xwalk!$A:$A)</f>
        <v>2</v>
      </c>
      <c r="T92" s="121" t="str">
        <f>IF('summary_EPA Pond'!$O92="","Check Summary EPA POND worksheet Column O",'summary_EPA Pond'!$O92)</f>
        <v xml:space="preserve">15_2766125-18423-211_Orchard evergreen-r18-A_USEPA Pond_0010_median                   </v>
      </c>
      <c r="U92" s="121" t="str" cm="1">
        <f t="array" ref="U92:Z92">IFERROR(_xlfn.TEXTSPLIT(T92,"_"),"")</f>
        <v>15</v>
      </c>
      <c r="V92" t="str">
        <v>2766125-18423-211</v>
      </c>
      <c r="W92" t="str">
        <v>Orchard evergreen-r18-A</v>
      </c>
      <c r="X92" t="str">
        <v>USEPA Pond</v>
      </c>
      <c r="Y92" t="str">
        <v>0010</v>
      </c>
      <c r="Z92" t="str">
        <v xml:space="preserve">median                   </v>
      </c>
      <c r="AA92" s="121" t="str" cm="1">
        <f t="array" ref="AA92:AC92">IF(W92="","",(_xlfn.TEXTSPLIT(W92,"-")))</f>
        <v>Orchard evergreen</v>
      </c>
      <c r="AB92" s="121" t="str">
        <v>r18</v>
      </c>
      <c r="AC92" t="str">
        <v>A</v>
      </c>
      <c r="AD92" s="129" t="str">
        <f>VLOOKUP(VALUE($U92),test_out_xwalk!$C:$L,3,FALSE)</f>
        <v>Citrus hybrids,Â Citrus spp.Â EremocitrusÂ spp.,Â FortunellaÂ spp.,Â MicrocitrusÂ spp., andÂ PoncirusÂ spp-4-15</v>
      </c>
      <c r="AE92" s="129">
        <f>VLOOKUP(VALUE($U92),test_out_xwalk!$C:$L,5,FALSE)</f>
        <v>1</v>
      </c>
      <c r="AF92" s="129">
        <f>VLOOKUP(VALUE($U92),test_out_xwalk!$C:$L,6,FALSE)</f>
        <v>1.5</v>
      </c>
      <c r="AG92" s="129" t="str">
        <f>VLOOKUP(VALUE($U92),test_out_xwalk!$C:$L,8,FALSE)</f>
        <v>None</v>
      </c>
      <c r="AH92" s="129" t="str">
        <f>VLOOKUP(VALUE($U92),test_out_xwalk!$C:$L,7,FALSE)</f>
        <v>Spray</v>
      </c>
      <c r="AI92" s="129" t="str">
        <f>VLOOKUP(VALUE($U92),test_out_xwalk!$C:$L,4,FALSE)</f>
        <v>Pre-emergence</v>
      </c>
      <c r="AJ92" s="129" t="str">
        <f>VLOOKUP(VALUE($U92),test_out_xwalk!$C:$L,9,FALSE)</f>
        <v>Citrus</v>
      </c>
      <c r="AK92">
        <f>_xlfn.XLOOKUP(VALUE(U92),test_out_xwalk!C:C,test_out_xwalk!A:A)</f>
        <v>4</v>
      </c>
    </row>
    <row r="93" spans="1:37" x14ac:dyDescent="0.55000000000000004">
      <c r="A93" s="121" t="str">
        <f>IF('summary_EPA Pond'!$A93="","Check Summary EPA POND worksheet Column A",'summary_EPA Pond'!$A93)</f>
        <v xml:space="preserve">6_423263-22330-5_Soybean-r04-A_USEPA Pond_0076_median                                 </v>
      </c>
      <c r="B93" s="121" t="str" cm="1">
        <f t="array" ref="B93:G93">IFERROR(_xlfn.TEXTSPLIT(A93,"_"),"")</f>
        <v>6</v>
      </c>
      <c r="C93" t="str">
        <v>423263-22330-5</v>
      </c>
      <c r="D93" t="str">
        <v>Soybean-r04-A</v>
      </c>
      <c r="E93" t="str">
        <v>USEPA Pond</v>
      </c>
      <c r="F93" t="str">
        <v>0076</v>
      </c>
      <c r="G93" t="str">
        <v xml:space="preserve">median                                 </v>
      </c>
      <c r="H93" s="121" t="str" cm="1">
        <f t="array" ref="H93:J93">IF(D93="","",(_xlfn.TEXTSPLIT(D93,"-")))</f>
        <v>Soybean</v>
      </c>
      <c r="I93" s="121" t="str">
        <v>r04</v>
      </c>
      <c r="J93" t="str">
        <v>A</v>
      </c>
      <c r="K93" s="129" t="str">
        <f>VLOOKUP(VALUE($B93),test_out_xwalk!$C:$L,3,FALSE)</f>
        <v>Soybean (Glycine max)-2-6</v>
      </c>
      <c r="L93" s="129">
        <f>VLOOKUP(VALUE($B93),test_out_xwalk!$C:$L,5,FALSE)</f>
        <v>1.125</v>
      </c>
      <c r="M93" s="129">
        <f>VLOOKUP(VALUE($B93),test_out_xwalk!$C:$L,6,FALSE)</f>
        <v>3</v>
      </c>
      <c r="N93" s="129" t="str">
        <f>VLOOKUP(VALUE($B93),test_out_xwalk!$C:$L,8,FALSE)</f>
        <v>Aerial_Fine_50</v>
      </c>
      <c r="O93" s="129" t="str">
        <f>VLOOKUP(VALUE($B93),test_out_xwalk!$C:$L,7,FALSE)</f>
        <v>Spray</v>
      </c>
      <c r="P93" s="129" t="str">
        <f>VLOOKUP(VALUE($B93),test_out_xwalk!$C:$L,4,FALSE)</f>
        <v>Post-emergence</v>
      </c>
      <c r="Q93" s="129" t="str">
        <f>VLOOKUP(VALUE($B93),test_out_xwalk!$C:$L,9,FALSE)</f>
        <v>Soybeans</v>
      </c>
      <c r="R93">
        <f>_xlfn.XLOOKUP(VALUE(B93),test_out_xwalk!$C:$C,test_out_xwalk!$A:$A)</f>
        <v>2</v>
      </c>
      <c r="T93" s="121" t="str">
        <f>IF('summary_EPA Pond'!$O93="","Check Summary EPA POND worksheet Column O",'summary_EPA Pond'!$O93)</f>
        <v xml:space="preserve">17_315670-22645-242_Small fruit trellised-r01-A_USEPA Pond_0089_median                </v>
      </c>
      <c r="U93" s="121" t="str" cm="1">
        <f t="array" ref="U93:Z93">IFERROR(_xlfn.TEXTSPLIT(T93,"_"),"")</f>
        <v>17</v>
      </c>
      <c r="V93" t="str">
        <v>315670-22645-242</v>
      </c>
      <c r="W93" t="str">
        <v>Small fruit trellised-r01-A</v>
      </c>
      <c r="X93" t="str">
        <v>USEPA Pond</v>
      </c>
      <c r="Y93" t="str">
        <v>0089</v>
      </c>
      <c r="Z93" t="str">
        <v xml:space="preserve">median                </v>
      </c>
      <c r="AA93" s="121" t="str" cm="1">
        <f t="array" ref="AA93:AC93">IF(W93="","",(_xlfn.TEXTSPLIT(W93,"-")))</f>
        <v>Small fruit trellised</v>
      </c>
      <c r="AB93" s="121" t="str">
        <v>r01</v>
      </c>
      <c r="AC93" t="str">
        <v>A</v>
      </c>
      <c r="AD93" s="129" t="str">
        <f>VLOOKUP(VALUE($U93),test_out_xwalk!$C:$L,3,FALSE)</f>
        <v>Blackberry-5-17</v>
      </c>
      <c r="AE93" s="129">
        <f>VLOOKUP(VALUE($U93),test_out_xwalk!$C:$L,5,FALSE)</f>
        <v>1</v>
      </c>
      <c r="AF93" s="129">
        <f>VLOOKUP(VALUE($U93),test_out_xwalk!$C:$L,6,FALSE)</f>
        <v>1</v>
      </c>
      <c r="AG93" s="129" t="str">
        <f>VLOOKUP(VALUE($U93),test_out_xwalk!$C:$L,8,FALSE)</f>
        <v>None</v>
      </c>
      <c r="AH93" s="129" t="str">
        <f>VLOOKUP(VALUE($U93),test_out_xwalk!$C:$L,7,FALSE)</f>
        <v>Spray</v>
      </c>
      <c r="AI93" s="129" t="str">
        <f>VLOOKUP(VALUE($U93),test_out_xwalk!$C:$L,4,FALSE)</f>
        <v>Post-emergence</v>
      </c>
      <c r="AJ93" s="129" t="str">
        <f>VLOOKUP(VALUE($U93),test_out_xwalk!$C:$L,9,FALSE)</f>
        <v>Vegetables and Ground Fruit</v>
      </c>
      <c r="AK93">
        <f>_xlfn.XLOOKUP(VALUE(U93),test_out_xwalk!C:C,test_out_xwalk!A:A)</f>
        <v>5</v>
      </c>
    </row>
    <row r="94" spans="1:37" x14ac:dyDescent="0.55000000000000004">
      <c r="A94" s="121" t="str">
        <f>IF('summary_EPA Pond'!$A94="","Check Summary EPA POND worksheet Column A",'summary_EPA Pond'!$A94)</f>
        <v xml:space="preserve">6_163010-18801-5_Soybean-r05-A_USEPA Pond_0076_median                                 </v>
      </c>
      <c r="B94" s="121" t="str" cm="1">
        <f t="array" ref="B94:G94">IFERROR(_xlfn.TEXTSPLIT(A94,"_"),"")</f>
        <v>6</v>
      </c>
      <c r="C94" t="str">
        <v>163010-18801-5</v>
      </c>
      <c r="D94" t="str">
        <v>Soybean-r05-A</v>
      </c>
      <c r="E94" t="str">
        <v>USEPA Pond</v>
      </c>
      <c r="F94" t="str">
        <v>0076</v>
      </c>
      <c r="G94" t="str">
        <v xml:space="preserve">median                                 </v>
      </c>
      <c r="H94" s="121" t="str" cm="1">
        <f t="array" ref="H94:J94">IF(D94="","",(_xlfn.TEXTSPLIT(D94,"-")))</f>
        <v>Soybean</v>
      </c>
      <c r="I94" s="121" t="str">
        <v>r05</v>
      </c>
      <c r="J94" t="str">
        <v>A</v>
      </c>
      <c r="K94" s="129" t="str">
        <f>VLOOKUP(VALUE($B94),test_out_xwalk!$C:$L,3,FALSE)</f>
        <v>Soybean (Glycine max)-2-6</v>
      </c>
      <c r="L94" s="129">
        <f>VLOOKUP(VALUE($B94),test_out_xwalk!$C:$L,5,FALSE)</f>
        <v>1.125</v>
      </c>
      <c r="M94" s="129">
        <f>VLOOKUP(VALUE($B94),test_out_xwalk!$C:$L,6,FALSE)</f>
        <v>3</v>
      </c>
      <c r="N94" s="129" t="str">
        <f>VLOOKUP(VALUE($B94),test_out_xwalk!$C:$L,8,FALSE)</f>
        <v>Aerial_Fine_50</v>
      </c>
      <c r="O94" s="129" t="str">
        <f>VLOOKUP(VALUE($B94),test_out_xwalk!$C:$L,7,FALSE)</f>
        <v>Spray</v>
      </c>
      <c r="P94" s="129" t="str">
        <f>VLOOKUP(VALUE($B94),test_out_xwalk!$C:$L,4,FALSE)</f>
        <v>Post-emergence</v>
      </c>
      <c r="Q94" s="129" t="str">
        <f>VLOOKUP(VALUE($B94),test_out_xwalk!$C:$L,9,FALSE)</f>
        <v>Soybeans</v>
      </c>
      <c r="R94">
        <f>_xlfn.XLOOKUP(VALUE(B94),test_out_xwalk!$C:$C,test_out_xwalk!$A:$A)</f>
        <v>2</v>
      </c>
      <c r="T94" s="121" t="str">
        <f>IF('summary_EPA Pond'!$O94="","Check Summary EPA POND worksheet Column O",'summary_EPA Pond'!$O94)</f>
        <v xml:space="preserve">17_545148-18838-69_Small fruit trellised-r02-A_USEPA Pond_0089_median                 </v>
      </c>
      <c r="U94" s="121" t="str" cm="1">
        <f t="array" ref="U94:Z94">IFERROR(_xlfn.TEXTSPLIT(T94,"_"),"")</f>
        <v>17</v>
      </c>
      <c r="V94" t="str">
        <v>545148-18838-69</v>
      </c>
      <c r="W94" t="str">
        <v>Small fruit trellised-r02-A</v>
      </c>
      <c r="X94" t="str">
        <v>USEPA Pond</v>
      </c>
      <c r="Y94" t="str">
        <v>0089</v>
      </c>
      <c r="Z94" t="str">
        <v xml:space="preserve">median                 </v>
      </c>
      <c r="AA94" s="121" t="str" cm="1">
        <f t="array" ref="AA94:AC94">IF(W94="","",(_xlfn.TEXTSPLIT(W94,"-")))</f>
        <v>Small fruit trellised</v>
      </c>
      <c r="AB94" s="121" t="str">
        <v>r02</v>
      </c>
      <c r="AC94" t="str">
        <v>A</v>
      </c>
      <c r="AD94" s="129" t="str">
        <f>VLOOKUP(VALUE($U94),test_out_xwalk!$C:$L,3,FALSE)</f>
        <v>Blackberry-5-17</v>
      </c>
      <c r="AE94" s="129">
        <f>VLOOKUP(VALUE($U94),test_out_xwalk!$C:$L,5,FALSE)</f>
        <v>1</v>
      </c>
      <c r="AF94" s="129">
        <f>VLOOKUP(VALUE($U94),test_out_xwalk!$C:$L,6,FALSE)</f>
        <v>1</v>
      </c>
      <c r="AG94" s="129" t="str">
        <f>VLOOKUP(VALUE($U94),test_out_xwalk!$C:$L,8,FALSE)</f>
        <v>None</v>
      </c>
      <c r="AH94" s="129" t="str">
        <f>VLOOKUP(VALUE($U94),test_out_xwalk!$C:$L,7,FALSE)</f>
        <v>Spray</v>
      </c>
      <c r="AI94" s="129" t="str">
        <f>VLOOKUP(VALUE($U94),test_out_xwalk!$C:$L,4,FALSE)</f>
        <v>Post-emergence</v>
      </c>
      <c r="AJ94" s="129" t="str">
        <f>VLOOKUP(VALUE($U94),test_out_xwalk!$C:$L,9,FALSE)</f>
        <v>Vegetables and Ground Fruit</v>
      </c>
      <c r="AK94">
        <f>_xlfn.XLOOKUP(VALUE(U94),test_out_xwalk!C:C,test_out_xwalk!A:A)</f>
        <v>5</v>
      </c>
    </row>
    <row r="95" spans="1:37" x14ac:dyDescent="0.55000000000000004">
      <c r="A95" s="121" t="str">
        <f>IF('summary_EPA Pond'!$A95="","Check Summary EPA POND worksheet Column A",'summary_EPA Pond'!$A95)</f>
        <v xml:space="preserve">6_1597339-15962-5_Soybean-r06-A_USEPA Pond_0076_median                                </v>
      </c>
      <c r="B95" s="121" t="str" cm="1">
        <f t="array" ref="B95:G95">IFERROR(_xlfn.TEXTSPLIT(A95,"_"),"")</f>
        <v>6</v>
      </c>
      <c r="C95" t="str">
        <v>1597339-15962-5</v>
      </c>
      <c r="D95" t="str">
        <v>Soybean-r06-A</v>
      </c>
      <c r="E95" t="str">
        <v>USEPA Pond</v>
      </c>
      <c r="F95" t="str">
        <v>0076</v>
      </c>
      <c r="G95" t="str">
        <v xml:space="preserve">median                                </v>
      </c>
      <c r="H95" s="121" t="str" cm="1">
        <f t="array" ref="H95:J95">IF(D95="","",(_xlfn.TEXTSPLIT(D95,"-")))</f>
        <v>Soybean</v>
      </c>
      <c r="I95" s="121" t="str">
        <v>r06</v>
      </c>
      <c r="J95" t="str">
        <v>A</v>
      </c>
      <c r="K95" s="129" t="str">
        <f>VLOOKUP(VALUE($B95),test_out_xwalk!$C:$L,3,FALSE)</f>
        <v>Soybean (Glycine max)-2-6</v>
      </c>
      <c r="L95" s="129">
        <f>VLOOKUP(VALUE($B95),test_out_xwalk!$C:$L,5,FALSE)</f>
        <v>1.125</v>
      </c>
      <c r="M95" s="129">
        <f>VLOOKUP(VALUE($B95),test_out_xwalk!$C:$L,6,FALSE)</f>
        <v>3</v>
      </c>
      <c r="N95" s="129" t="str">
        <f>VLOOKUP(VALUE($B95),test_out_xwalk!$C:$L,8,FALSE)</f>
        <v>Aerial_Fine_50</v>
      </c>
      <c r="O95" s="129" t="str">
        <f>VLOOKUP(VALUE($B95),test_out_xwalk!$C:$L,7,FALSE)</f>
        <v>Spray</v>
      </c>
      <c r="P95" s="129" t="str">
        <f>VLOOKUP(VALUE($B95),test_out_xwalk!$C:$L,4,FALSE)</f>
        <v>Post-emergence</v>
      </c>
      <c r="Q95" s="129" t="str">
        <f>VLOOKUP(VALUE($B95),test_out_xwalk!$C:$L,9,FALSE)</f>
        <v>Soybeans</v>
      </c>
      <c r="R95">
        <f>_xlfn.XLOOKUP(VALUE(B95),test_out_xwalk!$C:$C,test_out_xwalk!$A:$A)</f>
        <v>2</v>
      </c>
      <c r="T95" s="121" t="str">
        <f>IF('summary_EPA Pond'!$O95="","Check Summary EPA POND worksheet Column O",'summary_EPA Pond'!$O95)</f>
        <v xml:space="preserve">17_130135-13170-242_Small fruit trellised-r03N-A_USEPA Pond_0089_median               </v>
      </c>
      <c r="U95" s="121" t="str" cm="1">
        <f t="array" ref="U95:Z95">IFERROR(_xlfn.TEXTSPLIT(T95,"_"),"")</f>
        <v>17</v>
      </c>
      <c r="V95" t="str">
        <v>130135-13170-242</v>
      </c>
      <c r="W95" t="str">
        <v>Small fruit trellised-r03N-A</v>
      </c>
      <c r="X95" t="str">
        <v>USEPA Pond</v>
      </c>
      <c r="Y95" t="str">
        <v>0089</v>
      </c>
      <c r="Z95" t="str">
        <v xml:space="preserve">median               </v>
      </c>
      <c r="AA95" s="121" t="str" cm="1">
        <f t="array" ref="AA95:AC95">IF(W95="","",(_xlfn.TEXTSPLIT(W95,"-")))</f>
        <v>Small fruit trellised</v>
      </c>
      <c r="AB95" s="121" t="str">
        <v>r03N</v>
      </c>
      <c r="AC95" t="str">
        <v>A</v>
      </c>
      <c r="AD95" s="129" t="str">
        <f>VLOOKUP(VALUE($U95),test_out_xwalk!$C:$L,3,FALSE)</f>
        <v>Blackberry-5-17</v>
      </c>
      <c r="AE95" s="129">
        <f>VLOOKUP(VALUE($U95),test_out_xwalk!$C:$L,5,FALSE)</f>
        <v>1</v>
      </c>
      <c r="AF95" s="129">
        <f>VLOOKUP(VALUE($U95),test_out_xwalk!$C:$L,6,FALSE)</f>
        <v>1</v>
      </c>
      <c r="AG95" s="129" t="str">
        <f>VLOOKUP(VALUE($U95),test_out_xwalk!$C:$L,8,FALSE)</f>
        <v>None</v>
      </c>
      <c r="AH95" s="129" t="str">
        <f>VLOOKUP(VALUE($U95),test_out_xwalk!$C:$L,7,FALSE)</f>
        <v>Spray</v>
      </c>
      <c r="AI95" s="129" t="str">
        <f>VLOOKUP(VALUE($U95),test_out_xwalk!$C:$L,4,FALSE)</f>
        <v>Post-emergence</v>
      </c>
      <c r="AJ95" s="129" t="str">
        <f>VLOOKUP(VALUE($U95),test_out_xwalk!$C:$L,9,FALSE)</f>
        <v>Vegetables and Ground Fruit</v>
      </c>
      <c r="AK95">
        <f>_xlfn.XLOOKUP(VALUE(U95),test_out_xwalk!C:C,test_out_xwalk!A:A)</f>
        <v>5</v>
      </c>
    </row>
    <row r="96" spans="1:37" x14ac:dyDescent="0.55000000000000004">
      <c r="A96" s="121" t="str">
        <f>IF('summary_EPA Pond'!$A96="","Check Summary EPA POND worksheet Column A",'summary_EPA Pond'!$A96)</f>
        <v xml:space="preserve">6_1585999-21611-5_Soybean-r07-A_USEPA Pond_0076_median                                </v>
      </c>
      <c r="B96" s="121" t="str" cm="1">
        <f t="array" ref="B96:G96">IFERROR(_xlfn.TEXTSPLIT(A96,"_"),"")</f>
        <v>6</v>
      </c>
      <c r="C96" t="str">
        <v>1585999-21611-5</v>
      </c>
      <c r="D96" t="str">
        <v>Soybean-r07-A</v>
      </c>
      <c r="E96" t="str">
        <v>USEPA Pond</v>
      </c>
      <c r="F96" t="str">
        <v>0076</v>
      </c>
      <c r="G96" t="str">
        <v xml:space="preserve">median                                </v>
      </c>
      <c r="H96" s="121" t="str" cm="1">
        <f t="array" ref="H96:J96">IF(D96="","",(_xlfn.TEXTSPLIT(D96,"-")))</f>
        <v>Soybean</v>
      </c>
      <c r="I96" s="121" t="str">
        <v>r07</v>
      </c>
      <c r="J96" t="str">
        <v>A</v>
      </c>
      <c r="K96" s="129" t="str">
        <f>VLOOKUP(VALUE($B96),test_out_xwalk!$C:$L,3,FALSE)</f>
        <v>Soybean (Glycine max)-2-6</v>
      </c>
      <c r="L96" s="129">
        <f>VLOOKUP(VALUE($B96),test_out_xwalk!$C:$L,5,FALSE)</f>
        <v>1.125</v>
      </c>
      <c r="M96" s="129">
        <f>VLOOKUP(VALUE($B96),test_out_xwalk!$C:$L,6,FALSE)</f>
        <v>3</v>
      </c>
      <c r="N96" s="129" t="str">
        <f>VLOOKUP(VALUE($B96),test_out_xwalk!$C:$L,8,FALSE)</f>
        <v>Aerial_Fine_50</v>
      </c>
      <c r="O96" s="129" t="str">
        <f>VLOOKUP(VALUE($B96),test_out_xwalk!$C:$L,7,FALSE)</f>
        <v>Spray</v>
      </c>
      <c r="P96" s="129" t="str">
        <f>VLOOKUP(VALUE($B96),test_out_xwalk!$C:$L,4,FALSE)</f>
        <v>Post-emergence</v>
      </c>
      <c r="Q96" s="129" t="str">
        <f>VLOOKUP(VALUE($B96),test_out_xwalk!$C:$L,9,FALSE)</f>
        <v>Soybeans</v>
      </c>
      <c r="R96">
        <f>_xlfn.XLOOKUP(VALUE(B96),test_out_xwalk!$C:$C,test_out_xwalk!$A:$A)</f>
        <v>2</v>
      </c>
      <c r="T96" s="121" t="str">
        <f>IF('summary_EPA Pond'!$O96="","Check Summary EPA POND worksheet Column O",'summary_EPA Pond'!$O96)</f>
        <v xml:space="preserve">17_125182-11031-242_Small fruit trellised-r03S-A_USEPA Pond_0089_median               </v>
      </c>
      <c r="U96" s="121" t="str" cm="1">
        <f t="array" ref="U96:Z96">IFERROR(_xlfn.TEXTSPLIT(T96,"_"),"")</f>
        <v>17</v>
      </c>
      <c r="V96" t="str">
        <v>125182-11031-242</v>
      </c>
      <c r="W96" t="str">
        <v>Small fruit trellised-r03S-A</v>
      </c>
      <c r="X96" t="str">
        <v>USEPA Pond</v>
      </c>
      <c r="Y96" t="str">
        <v>0089</v>
      </c>
      <c r="Z96" t="str">
        <v xml:space="preserve">median               </v>
      </c>
      <c r="AA96" s="121" t="str" cm="1">
        <f t="array" ref="AA96:AC96">IF(W96="","",(_xlfn.TEXTSPLIT(W96,"-")))</f>
        <v>Small fruit trellised</v>
      </c>
      <c r="AB96" s="121" t="str">
        <v>r03S</v>
      </c>
      <c r="AC96" t="str">
        <v>A</v>
      </c>
      <c r="AD96" s="129" t="str">
        <f>VLOOKUP(VALUE($U96),test_out_xwalk!$C:$L,3,FALSE)</f>
        <v>Blackberry-5-17</v>
      </c>
      <c r="AE96" s="129">
        <f>VLOOKUP(VALUE($U96),test_out_xwalk!$C:$L,5,FALSE)</f>
        <v>1</v>
      </c>
      <c r="AF96" s="129">
        <f>VLOOKUP(VALUE($U96),test_out_xwalk!$C:$L,6,FALSE)</f>
        <v>1</v>
      </c>
      <c r="AG96" s="129" t="str">
        <f>VLOOKUP(VALUE($U96),test_out_xwalk!$C:$L,8,FALSE)</f>
        <v>None</v>
      </c>
      <c r="AH96" s="129" t="str">
        <f>VLOOKUP(VALUE($U96),test_out_xwalk!$C:$L,7,FALSE)</f>
        <v>Spray</v>
      </c>
      <c r="AI96" s="129" t="str">
        <f>VLOOKUP(VALUE($U96),test_out_xwalk!$C:$L,4,FALSE)</f>
        <v>Post-emergence</v>
      </c>
      <c r="AJ96" s="129" t="str">
        <f>VLOOKUP(VALUE($U96),test_out_xwalk!$C:$L,9,FALSE)</f>
        <v>Vegetables and Ground Fruit</v>
      </c>
      <c r="AK96">
        <f>_xlfn.XLOOKUP(VALUE(U96),test_out_xwalk!C:C,test_out_xwalk!A:A)</f>
        <v>5</v>
      </c>
    </row>
    <row r="97" spans="1:37" x14ac:dyDescent="0.55000000000000004">
      <c r="A97" s="121" t="str">
        <f>IF('summary_EPA Pond'!$A97="","Check Summary EPA POND worksheet Column A",'summary_EPA Pond'!$A97)</f>
        <v xml:space="preserve">6_564088-14065-5_Soybean-r08-A_USEPA Pond_0076_median                                 </v>
      </c>
      <c r="B97" s="121" t="str" cm="1">
        <f t="array" ref="B97:G97">IFERROR(_xlfn.TEXTSPLIT(A97,"_"),"")</f>
        <v>6</v>
      </c>
      <c r="C97" t="str">
        <v>564088-14065-5</v>
      </c>
      <c r="D97" t="str">
        <v>Soybean-r08-A</v>
      </c>
      <c r="E97" t="str">
        <v>USEPA Pond</v>
      </c>
      <c r="F97" t="str">
        <v>0076</v>
      </c>
      <c r="G97" t="str">
        <v xml:space="preserve">median                                 </v>
      </c>
      <c r="H97" s="121" t="str" cm="1">
        <f t="array" ref="H97:J97">IF(D97="","",(_xlfn.TEXTSPLIT(D97,"-")))</f>
        <v>Soybean</v>
      </c>
      <c r="I97" s="121" t="str">
        <v>r08</v>
      </c>
      <c r="J97" t="str">
        <v>A</v>
      </c>
      <c r="K97" s="129" t="str">
        <f>VLOOKUP(VALUE($B97),test_out_xwalk!$C:$L,3,FALSE)</f>
        <v>Soybean (Glycine max)-2-6</v>
      </c>
      <c r="L97" s="129">
        <f>VLOOKUP(VALUE($B97),test_out_xwalk!$C:$L,5,FALSE)</f>
        <v>1.125</v>
      </c>
      <c r="M97" s="129">
        <f>VLOOKUP(VALUE($B97),test_out_xwalk!$C:$L,6,FALSE)</f>
        <v>3</v>
      </c>
      <c r="N97" s="129" t="str">
        <f>VLOOKUP(VALUE($B97),test_out_xwalk!$C:$L,8,FALSE)</f>
        <v>Aerial_Fine_50</v>
      </c>
      <c r="O97" s="129" t="str">
        <f>VLOOKUP(VALUE($B97),test_out_xwalk!$C:$L,7,FALSE)</f>
        <v>Spray</v>
      </c>
      <c r="P97" s="129" t="str">
        <f>VLOOKUP(VALUE($B97),test_out_xwalk!$C:$L,4,FALSE)</f>
        <v>Post-emergence</v>
      </c>
      <c r="Q97" s="129" t="str">
        <f>VLOOKUP(VALUE($B97),test_out_xwalk!$C:$L,9,FALSE)</f>
        <v>Soybeans</v>
      </c>
      <c r="R97">
        <f>_xlfn.XLOOKUP(VALUE(B97),test_out_xwalk!$C:$C,test_out_xwalk!$A:$A)</f>
        <v>2</v>
      </c>
      <c r="T97" s="121" t="str">
        <f>IF('summary_EPA Pond'!$O97="","Check Summary EPA POND worksheet Column O",'summary_EPA Pond'!$O97)</f>
        <v xml:space="preserve">17_325764-11732-242_Small fruit trellised-r03W-A_USEPA Pond_0089_median               </v>
      </c>
      <c r="U97" s="121" t="str" cm="1">
        <f t="array" ref="U97:Z97">IFERROR(_xlfn.TEXTSPLIT(T97,"_"),"")</f>
        <v>17</v>
      </c>
      <c r="V97" t="str">
        <v>325764-11732-242</v>
      </c>
      <c r="W97" t="str">
        <v>Small fruit trellised-r03W-A</v>
      </c>
      <c r="X97" t="str">
        <v>USEPA Pond</v>
      </c>
      <c r="Y97" t="str">
        <v>0089</v>
      </c>
      <c r="Z97" t="str">
        <v xml:space="preserve">median               </v>
      </c>
      <c r="AA97" s="121" t="str" cm="1">
        <f t="array" ref="AA97:AC97">IF(W97="","",(_xlfn.TEXTSPLIT(W97,"-")))</f>
        <v>Small fruit trellised</v>
      </c>
      <c r="AB97" s="121" t="str">
        <v>r03W</v>
      </c>
      <c r="AC97" t="str">
        <v>A</v>
      </c>
      <c r="AD97" s="129" t="str">
        <f>VLOOKUP(VALUE($U97),test_out_xwalk!$C:$L,3,FALSE)</f>
        <v>Blackberry-5-17</v>
      </c>
      <c r="AE97" s="129">
        <f>VLOOKUP(VALUE($U97),test_out_xwalk!$C:$L,5,FALSE)</f>
        <v>1</v>
      </c>
      <c r="AF97" s="129">
        <f>VLOOKUP(VALUE($U97),test_out_xwalk!$C:$L,6,FALSE)</f>
        <v>1</v>
      </c>
      <c r="AG97" s="129" t="str">
        <f>VLOOKUP(VALUE($U97),test_out_xwalk!$C:$L,8,FALSE)</f>
        <v>None</v>
      </c>
      <c r="AH97" s="129" t="str">
        <f>VLOOKUP(VALUE($U97),test_out_xwalk!$C:$L,7,FALSE)</f>
        <v>Spray</v>
      </c>
      <c r="AI97" s="129" t="str">
        <f>VLOOKUP(VALUE($U97),test_out_xwalk!$C:$L,4,FALSE)</f>
        <v>Post-emergence</v>
      </c>
      <c r="AJ97" s="129" t="str">
        <f>VLOOKUP(VALUE($U97),test_out_xwalk!$C:$L,9,FALSE)</f>
        <v>Vegetables and Ground Fruit</v>
      </c>
      <c r="AK97">
        <f>_xlfn.XLOOKUP(VALUE(U97),test_out_xwalk!C:C,test_out_xwalk!A:A)</f>
        <v>5</v>
      </c>
    </row>
    <row r="98" spans="1:37" x14ac:dyDescent="0.55000000000000004">
      <c r="A98" s="121" t="str">
        <f>IF('summary_EPA Pond'!$A98="","Check Summary EPA POND worksheet Column A",'summary_EPA Pond'!$A98)</f>
        <v xml:space="preserve">6_2585754-26533-5_Soybean-r09-A_USEPA Pond_0076_median                                </v>
      </c>
      <c r="B98" s="121" t="str" cm="1">
        <f t="array" ref="B98:G98">IFERROR(_xlfn.TEXTSPLIT(A98,"_"),"")</f>
        <v>6</v>
      </c>
      <c r="C98" t="str">
        <v>2585754-26533-5</v>
      </c>
      <c r="D98" t="str">
        <v>Soybean-r09-A</v>
      </c>
      <c r="E98" t="str">
        <v>USEPA Pond</v>
      </c>
      <c r="F98" t="str">
        <v>0076</v>
      </c>
      <c r="G98" t="str">
        <v xml:space="preserve">median                                </v>
      </c>
      <c r="H98" s="121" t="str" cm="1">
        <f t="array" ref="H98:J98">IF(D98="","",(_xlfn.TEXTSPLIT(D98,"-")))</f>
        <v>Soybean</v>
      </c>
      <c r="I98" s="121" t="str">
        <v>r09</v>
      </c>
      <c r="J98" t="str">
        <v>A</v>
      </c>
      <c r="K98" s="129" t="str">
        <f>VLOOKUP(VALUE($B98),test_out_xwalk!$C:$L,3,FALSE)</f>
        <v>Soybean (Glycine max)-2-6</v>
      </c>
      <c r="L98" s="129">
        <f>VLOOKUP(VALUE($B98),test_out_xwalk!$C:$L,5,FALSE)</f>
        <v>1.125</v>
      </c>
      <c r="M98" s="129">
        <f>VLOOKUP(VALUE($B98),test_out_xwalk!$C:$L,6,FALSE)</f>
        <v>3</v>
      </c>
      <c r="N98" s="129" t="str">
        <f>VLOOKUP(VALUE($B98),test_out_xwalk!$C:$L,8,FALSE)</f>
        <v>Aerial_Fine_50</v>
      </c>
      <c r="O98" s="129" t="str">
        <f>VLOOKUP(VALUE($B98),test_out_xwalk!$C:$L,7,FALSE)</f>
        <v>Spray</v>
      </c>
      <c r="P98" s="129" t="str">
        <f>VLOOKUP(VALUE($B98),test_out_xwalk!$C:$L,4,FALSE)</f>
        <v>Post-emergence</v>
      </c>
      <c r="Q98" s="129" t="str">
        <f>VLOOKUP(VALUE($B98),test_out_xwalk!$C:$L,9,FALSE)</f>
        <v>Soybeans</v>
      </c>
      <c r="R98">
        <f>_xlfn.XLOOKUP(VALUE(B98),test_out_xwalk!$C:$C,test_out_xwalk!$A:$A)</f>
        <v>2</v>
      </c>
      <c r="T98" s="121" t="str">
        <f>IF('summary_EPA Pond'!$O98="","Check Summary EPA POND worksheet Column O",'summary_EPA Pond'!$O98)</f>
        <v xml:space="preserve">17_289866-21191-69_Small fruit trellised-r04-A_USEPA Pond_0089_median                 </v>
      </c>
      <c r="U98" s="121" t="str" cm="1">
        <f t="array" ref="U98:Z98">IFERROR(_xlfn.TEXTSPLIT(T98,"_"),"")</f>
        <v>17</v>
      </c>
      <c r="V98" t="str">
        <v>289866-21191-69</v>
      </c>
      <c r="W98" t="str">
        <v>Small fruit trellised-r04-A</v>
      </c>
      <c r="X98" t="str">
        <v>USEPA Pond</v>
      </c>
      <c r="Y98" t="str">
        <v>0089</v>
      </c>
      <c r="Z98" t="str">
        <v xml:space="preserve">median                 </v>
      </c>
      <c r="AA98" s="121" t="str" cm="1">
        <f t="array" ref="AA98:AC98">IF(W98="","",(_xlfn.TEXTSPLIT(W98,"-")))</f>
        <v>Small fruit trellised</v>
      </c>
      <c r="AB98" s="121" t="str">
        <v>r04</v>
      </c>
      <c r="AC98" t="str">
        <v>A</v>
      </c>
      <c r="AD98" s="129" t="str">
        <f>VLOOKUP(VALUE($U98),test_out_xwalk!$C:$L,3,FALSE)</f>
        <v>Blackberry-5-17</v>
      </c>
      <c r="AE98" s="129">
        <f>VLOOKUP(VALUE($U98),test_out_xwalk!$C:$L,5,FALSE)</f>
        <v>1</v>
      </c>
      <c r="AF98" s="129">
        <f>VLOOKUP(VALUE($U98),test_out_xwalk!$C:$L,6,FALSE)</f>
        <v>1</v>
      </c>
      <c r="AG98" s="129" t="str">
        <f>VLOOKUP(VALUE($U98),test_out_xwalk!$C:$L,8,FALSE)</f>
        <v>None</v>
      </c>
      <c r="AH98" s="129" t="str">
        <f>VLOOKUP(VALUE($U98),test_out_xwalk!$C:$L,7,FALSE)</f>
        <v>Spray</v>
      </c>
      <c r="AI98" s="129" t="str">
        <f>VLOOKUP(VALUE($U98),test_out_xwalk!$C:$L,4,FALSE)</f>
        <v>Post-emergence</v>
      </c>
      <c r="AJ98" s="129" t="str">
        <f>VLOOKUP(VALUE($U98),test_out_xwalk!$C:$L,9,FALSE)</f>
        <v>Vegetables and Ground Fruit</v>
      </c>
      <c r="AK98">
        <f>_xlfn.XLOOKUP(VALUE(U98),test_out_xwalk!C:C,test_out_xwalk!A:A)</f>
        <v>5</v>
      </c>
    </row>
    <row r="99" spans="1:37" x14ac:dyDescent="0.55000000000000004">
      <c r="A99" s="121" t="str">
        <f>IF('summary_EPA Pond'!$A99="","Check Summary EPA POND worksheet Column A",'summary_EPA Pond'!$A99)</f>
        <v xml:space="preserve">6_1700092-19697-5_Soybean-r10L-A_USEPA Pond_0076_median                               </v>
      </c>
      <c r="B99" s="121" t="str" cm="1">
        <f t="array" ref="B99:G99">IFERROR(_xlfn.TEXTSPLIT(A99,"_"),"")</f>
        <v>6</v>
      </c>
      <c r="C99" t="str">
        <v>1700092-19697-5</v>
      </c>
      <c r="D99" t="str">
        <v>Soybean-r10L-A</v>
      </c>
      <c r="E99" t="str">
        <v>USEPA Pond</v>
      </c>
      <c r="F99" t="str">
        <v>0076</v>
      </c>
      <c r="G99" t="str">
        <v xml:space="preserve">median                               </v>
      </c>
      <c r="H99" s="121" t="str" cm="1">
        <f t="array" ref="H99:J99">IF(D99="","",(_xlfn.TEXTSPLIT(D99,"-")))</f>
        <v>Soybean</v>
      </c>
      <c r="I99" s="121" t="str">
        <v>r10L</v>
      </c>
      <c r="J99" t="str">
        <v>A</v>
      </c>
      <c r="K99" s="129" t="str">
        <f>VLOOKUP(VALUE($B99),test_out_xwalk!$C:$L,3,FALSE)</f>
        <v>Soybean (Glycine max)-2-6</v>
      </c>
      <c r="L99" s="129">
        <f>VLOOKUP(VALUE($B99),test_out_xwalk!$C:$L,5,FALSE)</f>
        <v>1.125</v>
      </c>
      <c r="M99" s="129">
        <f>VLOOKUP(VALUE($B99),test_out_xwalk!$C:$L,6,FALSE)</f>
        <v>3</v>
      </c>
      <c r="N99" s="129" t="str">
        <f>VLOOKUP(VALUE($B99),test_out_xwalk!$C:$L,8,FALSE)</f>
        <v>Aerial_Fine_50</v>
      </c>
      <c r="O99" s="129" t="str">
        <f>VLOOKUP(VALUE($B99),test_out_xwalk!$C:$L,7,FALSE)</f>
        <v>Spray</v>
      </c>
      <c r="P99" s="129" t="str">
        <f>VLOOKUP(VALUE($B99),test_out_xwalk!$C:$L,4,FALSE)</f>
        <v>Post-emergence</v>
      </c>
      <c r="Q99" s="129" t="str">
        <f>VLOOKUP(VALUE($B99),test_out_xwalk!$C:$L,9,FALSE)</f>
        <v>Soybeans</v>
      </c>
      <c r="R99">
        <f>_xlfn.XLOOKUP(VALUE(B99),test_out_xwalk!$C:$C,test_out_xwalk!$A:$A)</f>
        <v>2</v>
      </c>
      <c r="T99" s="121" t="str">
        <f>IF('summary_EPA Pond'!$O99="","Check Summary EPA POND worksheet Column O",'summary_EPA Pond'!$O99)</f>
        <v xml:space="preserve">17_2633044-20953-69_Small fruit trellised-r05-A_USEPA Pond_0089_median                </v>
      </c>
      <c r="U99" s="121" t="str" cm="1">
        <f t="array" ref="U99:Z99">IFERROR(_xlfn.TEXTSPLIT(T99,"_"),"")</f>
        <v>17</v>
      </c>
      <c r="V99" t="str">
        <v>2633044-20953-69</v>
      </c>
      <c r="W99" t="str">
        <v>Small fruit trellised-r05-A</v>
      </c>
      <c r="X99" t="str">
        <v>USEPA Pond</v>
      </c>
      <c r="Y99" t="str">
        <v>0089</v>
      </c>
      <c r="Z99" t="str">
        <v xml:space="preserve">median                </v>
      </c>
      <c r="AA99" s="121" t="str" cm="1">
        <f t="array" ref="AA99:AC99">IF(W99="","",(_xlfn.TEXTSPLIT(W99,"-")))</f>
        <v>Small fruit trellised</v>
      </c>
      <c r="AB99" s="121" t="str">
        <v>r05</v>
      </c>
      <c r="AC99" t="str">
        <v>A</v>
      </c>
      <c r="AD99" s="129" t="str">
        <f>VLOOKUP(VALUE($U99),test_out_xwalk!$C:$L,3,FALSE)</f>
        <v>Blackberry-5-17</v>
      </c>
      <c r="AE99" s="129">
        <f>VLOOKUP(VALUE($U99),test_out_xwalk!$C:$L,5,FALSE)</f>
        <v>1</v>
      </c>
      <c r="AF99" s="129">
        <f>VLOOKUP(VALUE($U99),test_out_xwalk!$C:$L,6,FALSE)</f>
        <v>1</v>
      </c>
      <c r="AG99" s="129" t="str">
        <f>VLOOKUP(VALUE($U99),test_out_xwalk!$C:$L,8,FALSE)</f>
        <v>None</v>
      </c>
      <c r="AH99" s="129" t="str">
        <f>VLOOKUP(VALUE($U99),test_out_xwalk!$C:$L,7,FALSE)</f>
        <v>Spray</v>
      </c>
      <c r="AI99" s="129" t="str">
        <f>VLOOKUP(VALUE($U99),test_out_xwalk!$C:$L,4,FALSE)</f>
        <v>Post-emergence</v>
      </c>
      <c r="AJ99" s="129" t="str">
        <f>VLOOKUP(VALUE($U99),test_out_xwalk!$C:$L,9,FALSE)</f>
        <v>Vegetables and Ground Fruit</v>
      </c>
      <c r="AK99">
        <f>_xlfn.XLOOKUP(VALUE(U99),test_out_xwalk!C:C,test_out_xwalk!A:A)</f>
        <v>5</v>
      </c>
    </row>
    <row r="100" spans="1:37" x14ac:dyDescent="0.55000000000000004">
      <c r="A100" s="121" t="str">
        <f>IF('summary_EPA Pond'!$A100="","Check Summary EPA POND worksheet Column A",'summary_EPA Pond'!$A100)</f>
        <v xml:space="preserve">6_2573568-25127-5_Soybean-r10U-A_USEPA Pond_0076_median                               </v>
      </c>
      <c r="B100" s="121" t="str" cm="1">
        <f t="array" ref="B100:G100">IFERROR(_xlfn.TEXTSPLIT(A100,"_"),"")</f>
        <v>6</v>
      </c>
      <c r="C100" t="str">
        <v>2573568-25127-5</v>
      </c>
      <c r="D100" t="str">
        <v>Soybean-r10U-A</v>
      </c>
      <c r="E100" t="str">
        <v>USEPA Pond</v>
      </c>
      <c r="F100" t="str">
        <v>0076</v>
      </c>
      <c r="G100" t="str">
        <v xml:space="preserve">median                               </v>
      </c>
      <c r="H100" s="121" t="str" cm="1">
        <f t="array" ref="H100:J100">IF(D100="","",(_xlfn.TEXTSPLIT(D100,"-")))</f>
        <v>Soybean</v>
      </c>
      <c r="I100" s="121" t="str">
        <v>r10U</v>
      </c>
      <c r="J100" t="str">
        <v>A</v>
      </c>
      <c r="K100" s="129" t="str">
        <f>VLOOKUP(VALUE($B100),test_out_xwalk!$C:$L,3,FALSE)</f>
        <v>Soybean (Glycine max)-2-6</v>
      </c>
      <c r="L100" s="129">
        <f>VLOOKUP(VALUE($B100),test_out_xwalk!$C:$L,5,FALSE)</f>
        <v>1.125</v>
      </c>
      <c r="M100" s="129">
        <f>VLOOKUP(VALUE($B100),test_out_xwalk!$C:$L,6,FALSE)</f>
        <v>3</v>
      </c>
      <c r="N100" s="129" t="str">
        <f>VLOOKUP(VALUE($B100),test_out_xwalk!$C:$L,8,FALSE)</f>
        <v>Aerial_Fine_50</v>
      </c>
      <c r="O100" s="129" t="str">
        <f>VLOOKUP(VALUE($B100),test_out_xwalk!$C:$L,7,FALSE)</f>
        <v>Spray</v>
      </c>
      <c r="P100" s="129" t="str">
        <f>VLOOKUP(VALUE($B100),test_out_xwalk!$C:$L,4,FALSE)</f>
        <v>Post-emergence</v>
      </c>
      <c r="Q100" s="129" t="str">
        <f>VLOOKUP(VALUE($B100),test_out_xwalk!$C:$L,9,FALSE)</f>
        <v>Soybeans</v>
      </c>
      <c r="R100">
        <f>_xlfn.XLOOKUP(VALUE(B100),test_out_xwalk!$C:$C,test_out_xwalk!$A:$A)</f>
        <v>2</v>
      </c>
      <c r="T100" s="121" t="str">
        <f>IF('summary_EPA Pond'!$O100="","Check Summary EPA POND worksheet Column O",'summary_EPA Pond'!$O100)</f>
        <v xml:space="preserve">17_529798-15281-69_Small fruit trellised-r06-A_USEPA Pond_0089_median                 </v>
      </c>
      <c r="U100" s="121" t="str" cm="1">
        <f t="array" ref="U100:Z100">IFERROR(_xlfn.TEXTSPLIT(T100,"_"),"")</f>
        <v>17</v>
      </c>
      <c r="V100" t="str">
        <v>529798-15281-69</v>
      </c>
      <c r="W100" t="str">
        <v>Small fruit trellised-r06-A</v>
      </c>
      <c r="X100" t="str">
        <v>USEPA Pond</v>
      </c>
      <c r="Y100" t="str">
        <v>0089</v>
      </c>
      <c r="Z100" t="str">
        <v xml:space="preserve">median                 </v>
      </c>
      <c r="AA100" s="121" t="str" cm="1">
        <f t="array" ref="AA100:AC100">IF(W100="","",(_xlfn.TEXTSPLIT(W100,"-")))</f>
        <v>Small fruit trellised</v>
      </c>
      <c r="AB100" s="121" t="str">
        <v>r06</v>
      </c>
      <c r="AC100" t="str">
        <v>A</v>
      </c>
      <c r="AD100" s="129" t="str">
        <f>VLOOKUP(VALUE($U100),test_out_xwalk!$C:$L,3,FALSE)</f>
        <v>Blackberry-5-17</v>
      </c>
      <c r="AE100" s="129">
        <f>VLOOKUP(VALUE($U100),test_out_xwalk!$C:$L,5,FALSE)</f>
        <v>1</v>
      </c>
      <c r="AF100" s="129">
        <f>VLOOKUP(VALUE($U100),test_out_xwalk!$C:$L,6,FALSE)</f>
        <v>1</v>
      </c>
      <c r="AG100" s="129" t="str">
        <f>VLOOKUP(VALUE($U100),test_out_xwalk!$C:$L,8,FALSE)</f>
        <v>None</v>
      </c>
      <c r="AH100" s="129" t="str">
        <f>VLOOKUP(VALUE($U100),test_out_xwalk!$C:$L,7,FALSE)</f>
        <v>Spray</v>
      </c>
      <c r="AI100" s="129" t="str">
        <f>VLOOKUP(VALUE($U100),test_out_xwalk!$C:$L,4,FALSE)</f>
        <v>Post-emergence</v>
      </c>
      <c r="AJ100" s="129" t="str">
        <f>VLOOKUP(VALUE($U100),test_out_xwalk!$C:$L,9,FALSE)</f>
        <v>Vegetables and Ground Fruit</v>
      </c>
      <c r="AK100">
        <f>_xlfn.XLOOKUP(VALUE(U100),test_out_xwalk!C:C,test_out_xwalk!A:A)</f>
        <v>5</v>
      </c>
    </row>
    <row r="101" spans="1:37" x14ac:dyDescent="0.55000000000000004">
      <c r="A101" s="121" t="str">
        <f>IF('summary_EPA Pond'!$A101="","Check Summary EPA POND worksheet Column A",'summary_EPA Pond'!$A101)</f>
        <v xml:space="preserve">6_1155440-16870-254_Soybean-r11-A_USEPA Pond_0076_median                              </v>
      </c>
      <c r="B101" s="121" t="str" cm="1">
        <f t="array" ref="B101:G101">IFERROR(_xlfn.TEXTSPLIT(A101,"_"),"")</f>
        <v>6</v>
      </c>
      <c r="C101" t="str">
        <v>1155440-16870-254</v>
      </c>
      <c r="D101" t="str">
        <v>Soybean-r11-A</v>
      </c>
      <c r="E101" t="str">
        <v>USEPA Pond</v>
      </c>
      <c r="F101" t="str">
        <v>0076</v>
      </c>
      <c r="G101" t="str">
        <v xml:space="preserve">median                              </v>
      </c>
      <c r="H101" s="121" t="str" cm="1">
        <f t="array" ref="H101:J101">IF(D101="","",(_xlfn.TEXTSPLIT(D101,"-")))</f>
        <v>Soybean</v>
      </c>
      <c r="I101" s="121" t="str">
        <v>r11</v>
      </c>
      <c r="J101" t="str">
        <v>A</v>
      </c>
      <c r="K101" s="129" t="str">
        <f>VLOOKUP(VALUE($B101),test_out_xwalk!$C:$L,3,FALSE)</f>
        <v>Soybean (Glycine max)-2-6</v>
      </c>
      <c r="L101" s="129">
        <f>VLOOKUP(VALUE($B101),test_out_xwalk!$C:$L,5,FALSE)</f>
        <v>1.125</v>
      </c>
      <c r="M101" s="129">
        <f>VLOOKUP(VALUE($B101),test_out_xwalk!$C:$L,6,FALSE)</f>
        <v>3</v>
      </c>
      <c r="N101" s="129" t="str">
        <f>VLOOKUP(VALUE($B101),test_out_xwalk!$C:$L,8,FALSE)</f>
        <v>Aerial_Fine_50</v>
      </c>
      <c r="O101" s="129" t="str">
        <f>VLOOKUP(VALUE($B101),test_out_xwalk!$C:$L,7,FALSE)</f>
        <v>Spray</v>
      </c>
      <c r="P101" s="129" t="str">
        <f>VLOOKUP(VALUE($B101),test_out_xwalk!$C:$L,4,FALSE)</f>
        <v>Post-emergence</v>
      </c>
      <c r="Q101" s="129" t="str">
        <f>VLOOKUP(VALUE($B101),test_out_xwalk!$C:$L,9,FALSE)</f>
        <v>Soybeans</v>
      </c>
      <c r="R101">
        <f>_xlfn.XLOOKUP(VALUE(B101),test_out_xwalk!$C:$C,test_out_xwalk!$A:$A)</f>
        <v>2</v>
      </c>
      <c r="T101" s="121" t="str">
        <f>IF('summary_EPA Pond'!$O101="","Check Summary EPA POND worksheet Column O",'summary_EPA Pond'!$O101)</f>
        <v xml:space="preserve">17_487692-19376-69_Small fruit trellised-r16-A_USEPA Pond_0089_median                 </v>
      </c>
      <c r="U101" s="121" t="str" cm="1">
        <f t="array" ref="U101:Z101">IFERROR(_xlfn.TEXTSPLIT(T101,"_"),"")</f>
        <v>17</v>
      </c>
      <c r="V101" t="str">
        <v>487692-19376-69</v>
      </c>
      <c r="W101" t="str">
        <v>Small fruit trellised-r16-A</v>
      </c>
      <c r="X101" t="str">
        <v>USEPA Pond</v>
      </c>
      <c r="Y101" t="str">
        <v>0089</v>
      </c>
      <c r="Z101" t="str">
        <v xml:space="preserve">median                 </v>
      </c>
      <c r="AA101" s="121" t="str" cm="1">
        <f t="array" ref="AA101:AC101">IF(W101="","",(_xlfn.TEXTSPLIT(W101,"-")))</f>
        <v>Small fruit trellised</v>
      </c>
      <c r="AB101" s="121" t="str">
        <v>r16</v>
      </c>
      <c r="AC101" t="str">
        <v>A</v>
      </c>
      <c r="AD101" s="129" t="str">
        <f>VLOOKUP(VALUE($U101),test_out_xwalk!$C:$L,3,FALSE)</f>
        <v>Blackberry-5-17</v>
      </c>
      <c r="AE101" s="129">
        <f>VLOOKUP(VALUE($U101),test_out_xwalk!$C:$L,5,FALSE)</f>
        <v>1</v>
      </c>
      <c r="AF101" s="129">
        <f>VLOOKUP(VALUE($U101),test_out_xwalk!$C:$L,6,FALSE)</f>
        <v>1</v>
      </c>
      <c r="AG101" s="129" t="str">
        <f>VLOOKUP(VALUE($U101),test_out_xwalk!$C:$L,8,FALSE)</f>
        <v>None</v>
      </c>
      <c r="AH101" s="129" t="str">
        <f>VLOOKUP(VALUE($U101),test_out_xwalk!$C:$L,7,FALSE)</f>
        <v>Spray</v>
      </c>
      <c r="AI101" s="129" t="str">
        <f>VLOOKUP(VALUE($U101),test_out_xwalk!$C:$L,4,FALSE)</f>
        <v>Post-emergence</v>
      </c>
      <c r="AJ101" s="129" t="str">
        <f>VLOOKUP(VALUE($U101),test_out_xwalk!$C:$L,9,FALSE)</f>
        <v>Vegetables and Ground Fruit</v>
      </c>
      <c r="AK101">
        <f>_xlfn.XLOOKUP(VALUE(U101),test_out_xwalk!C:C,test_out_xwalk!A:A)</f>
        <v>5</v>
      </c>
    </row>
    <row r="102" spans="1:37" x14ac:dyDescent="0.55000000000000004">
      <c r="A102" s="121" t="str">
        <f>IF('summary_EPA Pond'!$A102="","Check Summary EPA POND worksheet Column A",'summary_EPA Pond'!$A102)</f>
        <v xml:space="preserve">6_373259-8851-5_Soybean-r12-A_USEPA Pond_0076_median                                  </v>
      </c>
      <c r="B102" s="121" t="str" cm="1">
        <f t="array" ref="B102:G102">IFERROR(_xlfn.TEXTSPLIT(A102,"_"),"")</f>
        <v>6</v>
      </c>
      <c r="C102" t="str">
        <v>373259-8851-5</v>
      </c>
      <c r="D102" t="str">
        <v>Soybean-r12-A</v>
      </c>
      <c r="E102" t="str">
        <v>USEPA Pond</v>
      </c>
      <c r="F102" t="str">
        <v>0076</v>
      </c>
      <c r="G102" t="str">
        <v xml:space="preserve">median                                  </v>
      </c>
      <c r="H102" s="121" t="str" cm="1">
        <f t="array" ref="H102:J102">IF(D102="","",(_xlfn.TEXTSPLIT(D102,"-")))</f>
        <v>Soybean</v>
      </c>
      <c r="I102" s="121" t="str">
        <v>r12</v>
      </c>
      <c r="J102" t="str">
        <v>A</v>
      </c>
      <c r="K102" s="129" t="str">
        <f>VLOOKUP(VALUE($B102),test_out_xwalk!$C:$L,3,FALSE)</f>
        <v>Soybean (Glycine max)-2-6</v>
      </c>
      <c r="L102" s="129">
        <f>VLOOKUP(VALUE($B102),test_out_xwalk!$C:$L,5,FALSE)</f>
        <v>1.125</v>
      </c>
      <c r="M102" s="129">
        <f>VLOOKUP(VALUE($B102),test_out_xwalk!$C:$L,6,FALSE)</f>
        <v>3</v>
      </c>
      <c r="N102" s="129" t="str">
        <f>VLOOKUP(VALUE($B102),test_out_xwalk!$C:$L,8,FALSE)</f>
        <v>Aerial_Fine_50</v>
      </c>
      <c r="O102" s="129" t="str">
        <f>VLOOKUP(VALUE($B102),test_out_xwalk!$C:$L,7,FALSE)</f>
        <v>Spray</v>
      </c>
      <c r="P102" s="129" t="str">
        <f>VLOOKUP(VALUE($B102),test_out_xwalk!$C:$L,4,FALSE)</f>
        <v>Post-emergence</v>
      </c>
      <c r="Q102" s="129" t="str">
        <f>VLOOKUP(VALUE($B102),test_out_xwalk!$C:$L,9,FALSE)</f>
        <v>Soybeans</v>
      </c>
      <c r="R102">
        <f>_xlfn.XLOOKUP(VALUE(B102),test_out_xwalk!$C:$C,test_out_xwalk!$A:$A)</f>
        <v>2</v>
      </c>
      <c r="T102" s="121" t="str">
        <f>IF('summary_EPA Pond'!$O102="","Check Summary EPA POND worksheet Column O",'summary_EPA Pond'!$O102)</f>
        <v xml:space="preserve">17_68977-25039-56_Small fruit trellised-r17-A_USEPA Pond_0089_median                  </v>
      </c>
      <c r="U102" s="121" t="str" cm="1">
        <f t="array" ref="U102:Z102">IFERROR(_xlfn.TEXTSPLIT(T102,"_"),"")</f>
        <v>17</v>
      </c>
      <c r="V102" t="str">
        <v>68977-25039-56</v>
      </c>
      <c r="W102" t="str">
        <v>Small fruit trellised-r17-A</v>
      </c>
      <c r="X102" t="str">
        <v>USEPA Pond</v>
      </c>
      <c r="Y102" t="str">
        <v>0089</v>
      </c>
      <c r="Z102" t="str">
        <v xml:space="preserve">median                  </v>
      </c>
      <c r="AA102" s="121" t="str" cm="1">
        <f t="array" ref="AA102:AC102">IF(W102="","",(_xlfn.TEXTSPLIT(W102,"-")))</f>
        <v>Small fruit trellised</v>
      </c>
      <c r="AB102" s="121" t="str">
        <v>r17</v>
      </c>
      <c r="AC102" t="str">
        <v>A</v>
      </c>
      <c r="AD102" s="129" t="str">
        <f>VLOOKUP(VALUE($U102),test_out_xwalk!$C:$L,3,FALSE)</f>
        <v>Blackberry-5-17</v>
      </c>
      <c r="AE102" s="129">
        <f>VLOOKUP(VALUE($U102),test_out_xwalk!$C:$L,5,FALSE)</f>
        <v>1</v>
      </c>
      <c r="AF102" s="129">
        <f>VLOOKUP(VALUE($U102),test_out_xwalk!$C:$L,6,FALSE)</f>
        <v>1</v>
      </c>
      <c r="AG102" s="129" t="str">
        <f>VLOOKUP(VALUE($U102),test_out_xwalk!$C:$L,8,FALSE)</f>
        <v>None</v>
      </c>
      <c r="AH102" s="129" t="str">
        <f>VLOOKUP(VALUE($U102),test_out_xwalk!$C:$L,7,FALSE)</f>
        <v>Spray</v>
      </c>
      <c r="AI102" s="129" t="str">
        <f>VLOOKUP(VALUE($U102),test_out_xwalk!$C:$L,4,FALSE)</f>
        <v>Post-emergence</v>
      </c>
      <c r="AJ102" s="129" t="str">
        <f>VLOOKUP(VALUE($U102),test_out_xwalk!$C:$L,9,FALSE)</f>
        <v>Vegetables and Ground Fruit</v>
      </c>
      <c r="AK102">
        <f>_xlfn.XLOOKUP(VALUE(U102),test_out_xwalk!C:C,test_out_xwalk!A:A)</f>
        <v>5</v>
      </c>
    </row>
    <row r="103" spans="1:37" x14ac:dyDescent="0.55000000000000004">
      <c r="A103" s="121" t="str">
        <f>IF('summary_EPA Pond'!$A103="","Check Summary EPA POND worksheet Column A",'summary_EPA Pond'!$A103)</f>
        <v xml:space="preserve">6_363659-5778-5_Soybean-r13-A_USEPA Pond_0076_median                                  </v>
      </c>
      <c r="B103" s="121" t="str" cm="1">
        <f t="array" ref="B103:G103">IFERROR(_xlfn.TEXTSPLIT(A103,"_"),"")</f>
        <v>6</v>
      </c>
      <c r="C103" t="str">
        <v>363659-5778-5</v>
      </c>
      <c r="D103" t="str">
        <v>Soybean-r13-A</v>
      </c>
      <c r="E103" t="str">
        <v>USEPA Pond</v>
      </c>
      <c r="F103" t="str">
        <v>0076</v>
      </c>
      <c r="G103" t="str">
        <v xml:space="preserve">median                                  </v>
      </c>
      <c r="H103" s="121" t="str" cm="1">
        <f t="array" ref="H103:J103">IF(D103="","",(_xlfn.TEXTSPLIT(D103,"-")))</f>
        <v>Soybean</v>
      </c>
      <c r="I103" s="121" t="str">
        <v>r13</v>
      </c>
      <c r="J103" t="str">
        <v>A</v>
      </c>
      <c r="K103" s="129" t="str">
        <f>VLOOKUP(VALUE($B103),test_out_xwalk!$C:$L,3,FALSE)</f>
        <v>Soybean (Glycine max)-2-6</v>
      </c>
      <c r="L103" s="129">
        <f>VLOOKUP(VALUE($B103),test_out_xwalk!$C:$L,5,FALSE)</f>
        <v>1.125</v>
      </c>
      <c r="M103" s="129">
        <f>VLOOKUP(VALUE($B103),test_out_xwalk!$C:$L,6,FALSE)</f>
        <v>3</v>
      </c>
      <c r="N103" s="129" t="str">
        <f>VLOOKUP(VALUE($B103),test_out_xwalk!$C:$L,8,FALSE)</f>
        <v>Aerial_Fine_50</v>
      </c>
      <c r="O103" s="129" t="str">
        <f>VLOOKUP(VALUE($B103),test_out_xwalk!$C:$L,7,FALSE)</f>
        <v>Spray</v>
      </c>
      <c r="P103" s="129" t="str">
        <f>VLOOKUP(VALUE($B103),test_out_xwalk!$C:$L,4,FALSE)</f>
        <v>Post-emergence</v>
      </c>
      <c r="Q103" s="129" t="str">
        <f>VLOOKUP(VALUE($B103),test_out_xwalk!$C:$L,9,FALSE)</f>
        <v>Soybeans</v>
      </c>
      <c r="R103">
        <f>_xlfn.XLOOKUP(VALUE(B103),test_out_xwalk!$C:$C,test_out_xwalk!$A:$A)</f>
        <v>2</v>
      </c>
      <c r="T103" s="121" t="str">
        <f>IF('summary_EPA Pond'!$O103="","Check Summary EPA POND worksheet Column O",'summary_EPA Pond'!$O103)</f>
        <v xml:space="preserve">17_463590-15133-69_Small fruit trellised-r18-A_USEPA Pond_0089_median                 </v>
      </c>
      <c r="U103" s="121" t="str" cm="1">
        <f t="array" ref="U103:Z103">IFERROR(_xlfn.TEXTSPLIT(T103,"_"),"")</f>
        <v>17</v>
      </c>
      <c r="V103" t="str">
        <v>463590-15133-69</v>
      </c>
      <c r="W103" t="str">
        <v>Small fruit trellised-r18-A</v>
      </c>
      <c r="X103" t="str">
        <v>USEPA Pond</v>
      </c>
      <c r="Y103" t="str">
        <v>0089</v>
      </c>
      <c r="Z103" t="str">
        <v xml:space="preserve">median                 </v>
      </c>
      <c r="AA103" s="121" t="str" cm="1">
        <f t="array" ref="AA103:AC103">IF(W103="","",(_xlfn.TEXTSPLIT(W103,"-")))</f>
        <v>Small fruit trellised</v>
      </c>
      <c r="AB103" s="121" t="str">
        <v>r18</v>
      </c>
      <c r="AC103" t="str">
        <v>A</v>
      </c>
      <c r="AD103" s="129" t="str">
        <f>VLOOKUP(VALUE($U103),test_out_xwalk!$C:$L,3,FALSE)</f>
        <v>Blackberry-5-17</v>
      </c>
      <c r="AE103" s="129">
        <f>VLOOKUP(VALUE($U103),test_out_xwalk!$C:$L,5,FALSE)</f>
        <v>1</v>
      </c>
      <c r="AF103" s="129">
        <f>VLOOKUP(VALUE($U103),test_out_xwalk!$C:$L,6,FALSE)</f>
        <v>1</v>
      </c>
      <c r="AG103" s="129" t="str">
        <f>VLOOKUP(VALUE($U103),test_out_xwalk!$C:$L,8,FALSE)</f>
        <v>None</v>
      </c>
      <c r="AH103" s="129" t="str">
        <f>VLOOKUP(VALUE($U103),test_out_xwalk!$C:$L,7,FALSE)</f>
        <v>Spray</v>
      </c>
      <c r="AI103" s="129" t="str">
        <f>VLOOKUP(VALUE($U103),test_out_xwalk!$C:$L,4,FALSE)</f>
        <v>Post-emergence</v>
      </c>
      <c r="AJ103" s="129" t="str">
        <f>VLOOKUP(VALUE($U103),test_out_xwalk!$C:$L,9,FALSE)</f>
        <v>Vegetables and Ground Fruit</v>
      </c>
      <c r="AK103">
        <f>_xlfn.XLOOKUP(VALUE(U103),test_out_xwalk!C:C,test_out_xwalk!A:A)</f>
        <v>5</v>
      </c>
    </row>
    <row r="104" spans="1:37" x14ac:dyDescent="0.55000000000000004">
      <c r="A104" s="121" t="str">
        <f>IF('summary_EPA Pond'!$A104="","Check Summary EPA POND worksheet Column A",'summary_EPA Pond'!$A104)</f>
        <v xml:space="preserve">6_508783-17536-5_Soybean-r14-A_USEPA Pond_0076_median                                 </v>
      </c>
      <c r="B104" s="121" t="str" cm="1">
        <f t="array" ref="B104:G104">IFERROR(_xlfn.TEXTSPLIT(A104,"_"),"")</f>
        <v>6</v>
      </c>
      <c r="C104" t="str">
        <v>508783-17536-5</v>
      </c>
      <c r="D104" t="str">
        <v>Soybean-r14-A</v>
      </c>
      <c r="E104" t="str">
        <v>USEPA Pond</v>
      </c>
      <c r="F104" t="str">
        <v>0076</v>
      </c>
      <c r="G104" t="str">
        <v xml:space="preserve">median                                 </v>
      </c>
      <c r="H104" s="121" t="str" cm="1">
        <f t="array" ref="H104:J104">IF(D104="","",(_xlfn.TEXTSPLIT(D104,"-")))</f>
        <v>Soybean</v>
      </c>
      <c r="I104" s="121" t="str">
        <v>r14</v>
      </c>
      <c r="J104" t="str">
        <v>A</v>
      </c>
      <c r="K104" s="129" t="str">
        <f>VLOOKUP(VALUE($B104),test_out_xwalk!$C:$L,3,FALSE)</f>
        <v>Soybean (Glycine max)-2-6</v>
      </c>
      <c r="L104" s="129">
        <f>VLOOKUP(VALUE($B104),test_out_xwalk!$C:$L,5,FALSE)</f>
        <v>1.125</v>
      </c>
      <c r="M104" s="129">
        <f>VLOOKUP(VALUE($B104),test_out_xwalk!$C:$L,6,FALSE)</f>
        <v>3</v>
      </c>
      <c r="N104" s="129" t="str">
        <f>VLOOKUP(VALUE($B104),test_out_xwalk!$C:$L,8,FALSE)</f>
        <v>Aerial_Fine_50</v>
      </c>
      <c r="O104" s="129" t="str">
        <f>VLOOKUP(VALUE($B104),test_out_xwalk!$C:$L,7,FALSE)</f>
        <v>Spray</v>
      </c>
      <c r="P104" s="129" t="str">
        <f>VLOOKUP(VALUE($B104),test_out_xwalk!$C:$L,4,FALSE)</f>
        <v>Post-emergence</v>
      </c>
      <c r="Q104" s="129" t="str">
        <f>VLOOKUP(VALUE($B104),test_out_xwalk!$C:$L,9,FALSE)</f>
        <v>Soybeans</v>
      </c>
      <c r="R104">
        <f>_xlfn.XLOOKUP(VALUE(B104),test_out_xwalk!$C:$C,test_out_xwalk!$A:$A)</f>
        <v>2</v>
      </c>
      <c r="T104" s="121" t="str">
        <f>IF('summary_EPA Pond'!$O104="","Check Summary EPA POND worksheet Column O",'summary_EPA Pond'!$O104)</f>
        <v xml:space="preserve">19_286019-20746-12_Vegetable fresh or processing market-r01-A_USEPA Pond_0010_median  </v>
      </c>
      <c r="U104" s="121" t="str" cm="1">
        <f t="array" ref="U104:Z104">IFERROR(_xlfn.TEXTSPLIT(T104,"_"),"")</f>
        <v>19</v>
      </c>
      <c r="V104" t="str">
        <v>286019-20746-12</v>
      </c>
      <c r="W104" t="str">
        <v>Vegetable fresh or processing market-r01-A</v>
      </c>
      <c r="X104" t="str">
        <v>USEPA Pond</v>
      </c>
      <c r="Y104" t="str">
        <v>0010</v>
      </c>
      <c r="Z104" t="str">
        <v xml:space="preserve">median  </v>
      </c>
      <c r="AA104" s="121" t="str" cm="1">
        <f t="array" ref="AA104:AC104">IF(W104="","",(_xlfn.TEXTSPLIT(W104,"-")))</f>
        <v>Vegetable fresh or processing market</v>
      </c>
      <c r="AB104" s="121" t="str">
        <v>r01</v>
      </c>
      <c r="AC104" t="str">
        <v>A</v>
      </c>
      <c r="AD104" s="129" t="str">
        <f>VLOOKUP(VALUE($U104),test_out_xwalk!$C:$L,3,FALSE)</f>
        <v>Broccoli-6-19</v>
      </c>
      <c r="AE104" s="129">
        <f>VLOOKUP(VALUE($U104),test_out_xwalk!$C:$L,5,FALSE)</f>
        <v>0.5</v>
      </c>
      <c r="AF104" s="129">
        <f>VLOOKUP(VALUE($U104),test_out_xwalk!$C:$L,6,FALSE)</f>
        <v>0.5</v>
      </c>
      <c r="AG104" s="129" t="str">
        <f>VLOOKUP(VALUE($U104),test_out_xwalk!$C:$L,8,FALSE)</f>
        <v>None</v>
      </c>
      <c r="AH104" s="129" t="str">
        <f>VLOOKUP(VALUE($U104),test_out_xwalk!$C:$L,7,FALSE)</f>
        <v>Spray</v>
      </c>
      <c r="AI104" s="129" t="str">
        <f>VLOOKUP(VALUE($U104),test_out_xwalk!$C:$L,4,FALSE)</f>
        <v>Pre-emergence</v>
      </c>
      <c r="AJ104" s="129" t="str">
        <f>VLOOKUP(VALUE($U104),test_out_xwalk!$C:$L,9,FALSE)</f>
        <v>Vegetables and Ground Fruit</v>
      </c>
      <c r="AK104">
        <f>_xlfn.XLOOKUP(VALUE(U104),test_out_xwalk!C:C,test_out_xwalk!A:A)</f>
        <v>6</v>
      </c>
    </row>
    <row r="105" spans="1:37" x14ac:dyDescent="0.55000000000000004">
      <c r="A105" s="121" t="str">
        <f>IF('summary_EPA Pond'!$A105="","Check Summary EPA POND worksheet Column A",'summary_EPA Pond'!$A105)</f>
        <v xml:space="preserve">6_144849-26715-5_Soybean-r17-A_USEPA Pond_0076_median                                 </v>
      </c>
      <c r="B105" s="121" t="str" cm="1">
        <f t="array" ref="B105:G105">IFERROR(_xlfn.TEXTSPLIT(A105,"_"),"")</f>
        <v>6</v>
      </c>
      <c r="C105" t="str">
        <v>144849-26715-5</v>
      </c>
      <c r="D105" t="str">
        <v>Soybean-r17-A</v>
      </c>
      <c r="E105" t="str">
        <v>USEPA Pond</v>
      </c>
      <c r="F105" t="str">
        <v>0076</v>
      </c>
      <c r="G105" t="str">
        <v xml:space="preserve">median                                 </v>
      </c>
      <c r="H105" s="121" t="str" cm="1">
        <f t="array" ref="H105:J105">IF(D105="","",(_xlfn.TEXTSPLIT(D105,"-")))</f>
        <v>Soybean</v>
      </c>
      <c r="I105" s="121" t="str">
        <v>r17</v>
      </c>
      <c r="J105" t="str">
        <v>A</v>
      </c>
      <c r="K105" s="129" t="str">
        <f>VLOOKUP(VALUE($B105),test_out_xwalk!$C:$L,3,FALSE)</f>
        <v>Soybean (Glycine max)-2-6</v>
      </c>
      <c r="L105" s="129">
        <f>VLOOKUP(VALUE($B105),test_out_xwalk!$C:$L,5,FALSE)</f>
        <v>1.125</v>
      </c>
      <c r="M105" s="129">
        <f>VLOOKUP(VALUE($B105),test_out_xwalk!$C:$L,6,FALSE)</f>
        <v>3</v>
      </c>
      <c r="N105" s="129" t="str">
        <f>VLOOKUP(VALUE($B105),test_out_xwalk!$C:$L,8,FALSE)</f>
        <v>Aerial_Fine_50</v>
      </c>
      <c r="O105" s="129" t="str">
        <f>VLOOKUP(VALUE($B105),test_out_xwalk!$C:$L,7,FALSE)</f>
        <v>Spray</v>
      </c>
      <c r="P105" s="129" t="str">
        <f>VLOOKUP(VALUE($B105),test_out_xwalk!$C:$L,4,FALSE)</f>
        <v>Post-emergence</v>
      </c>
      <c r="Q105" s="129" t="str">
        <f>VLOOKUP(VALUE($B105),test_out_xwalk!$C:$L,9,FALSE)</f>
        <v>Soybeans</v>
      </c>
      <c r="R105">
        <f>_xlfn.XLOOKUP(VALUE(B105),test_out_xwalk!$C:$C,test_out_xwalk!$A:$A)</f>
        <v>2</v>
      </c>
      <c r="T105" s="121" t="str">
        <f>IF('summary_EPA Pond'!$O105="","Check Summary EPA POND worksheet Column O",'summary_EPA Pond'!$O105)</f>
        <v xml:space="preserve">19_2950700-17902-12_Vegetable fresh or processing market-r02-A_USEPA Pond_0010_median </v>
      </c>
      <c r="U105" s="121" t="str" cm="1">
        <f t="array" ref="U105:Z105">IFERROR(_xlfn.TEXTSPLIT(T105,"_"),"")</f>
        <v>19</v>
      </c>
      <c r="V105" t="str">
        <v>2950700-17902-12</v>
      </c>
      <c r="W105" t="str">
        <v>Vegetable fresh or processing market-r02-A</v>
      </c>
      <c r="X105" t="str">
        <v>USEPA Pond</v>
      </c>
      <c r="Y105" t="str">
        <v>0010</v>
      </c>
      <c r="Z105" t="str">
        <v xml:space="preserve">median </v>
      </c>
      <c r="AA105" s="121" t="str" cm="1">
        <f t="array" ref="AA105:AC105">IF(W105="","",(_xlfn.TEXTSPLIT(W105,"-")))</f>
        <v>Vegetable fresh or processing market</v>
      </c>
      <c r="AB105" s="121" t="str">
        <v>r02</v>
      </c>
      <c r="AC105" t="str">
        <v>A</v>
      </c>
      <c r="AD105" s="129" t="str">
        <f>VLOOKUP(VALUE($U105),test_out_xwalk!$C:$L,3,FALSE)</f>
        <v>Broccoli-6-19</v>
      </c>
      <c r="AE105" s="129">
        <f>VLOOKUP(VALUE($U105),test_out_xwalk!$C:$L,5,FALSE)</f>
        <v>0.5</v>
      </c>
      <c r="AF105" s="129">
        <f>VLOOKUP(VALUE($U105),test_out_xwalk!$C:$L,6,FALSE)</f>
        <v>0.5</v>
      </c>
      <c r="AG105" s="129" t="str">
        <f>VLOOKUP(VALUE($U105),test_out_xwalk!$C:$L,8,FALSE)</f>
        <v>None</v>
      </c>
      <c r="AH105" s="129" t="str">
        <f>VLOOKUP(VALUE($U105),test_out_xwalk!$C:$L,7,FALSE)</f>
        <v>Spray</v>
      </c>
      <c r="AI105" s="129" t="str">
        <f>VLOOKUP(VALUE($U105),test_out_xwalk!$C:$L,4,FALSE)</f>
        <v>Pre-emergence</v>
      </c>
      <c r="AJ105" s="129" t="str">
        <f>VLOOKUP(VALUE($U105),test_out_xwalk!$C:$L,9,FALSE)</f>
        <v>Vegetables and Ground Fruit</v>
      </c>
      <c r="AK105">
        <f>_xlfn.XLOOKUP(VALUE(U105),test_out_xwalk!C:C,test_out_xwalk!A:A)</f>
        <v>6</v>
      </c>
    </row>
    <row r="106" spans="1:37" x14ac:dyDescent="0.55000000000000004">
      <c r="A106" s="121" t="str">
        <f>IF('summary_EPA Pond'!$A106="","Check Summary EPA POND worksheet Column A",'summary_EPA Pond'!$A106)</f>
        <v xml:space="preserve">7_290662-20742-26_Soybean-r01-A_USEPA Pond_0076_median                                </v>
      </c>
      <c r="B106" s="121" t="str" cm="1">
        <f t="array" ref="B106:G106">IFERROR(_xlfn.TEXTSPLIT(A106,"_"),"")</f>
        <v>7</v>
      </c>
      <c r="C106" t="str">
        <v>290662-20742-26</v>
      </c>
      <c r="D106" t="str">
        <v>Soybean-r01-A</v>
      </c>
      <c r="E106" t="str">
        <v>USEPA Pond</v>
      </c>
      <c r="F106" t="str">
        <v>0076</v>
      </c>
      <c r="G106" t="str">
        <v xml:space="preserve">median                                </v>
      </c>
      <c r="H106" s="121" t="str" cm="1">
        <f t="array" ref="H106:J106">IF(D106="","",(_xlfn.TEXTSPLIT(D106,"-")))</f>
        <v>Soybean</v>
      </c>
      <c r="I106" s="121" t="str">
        <v>r01</v>
      </c>
      <c r="J106" t="str">
        <v>A</v>
      </c>
      <c r="K106" s="129" t="str">
        <f>VLOOKUP(VALUE($B106),test_out_xwalk!$C:$L,3,FALSE)</f>
        <v>Soybean (Glycine max)-2-7</v>
      </c>
      <c r="L106" s="129">
        <f>VLOOKUP(VALUE($B106),test_out_xwalk!$C:$L,5,FALSE)</f>
        <v>1.125</v>
      </c>
      <c r="M106" s="129">
        <f>VLOOKUP(VALUE($B106),test_out_xwalk!$C:$L,6,FALSE)</f>
        <v>3</v>
      </c>
      <c r="N106" s="129" t="str">
        <f>VLOOKUP(VALUE($B106),test_out_xwalk!$C:$L,8,FALSE)</f>
        <v>Ground_VF-F_HB</v>
      </c>
      <c r="O106" s="129" t="str">
        <f>VLOOKUP(VALUE($B106),test_out_xwalk!$C:$L,7,FALSE)</f>
        <v>Spray</v>
      </c>
      <c r="P106" s="129" t="str">
        <f>VLOOKUP(VALUE($B106),test_out_xwalk!$C:$L,4,FALSE)</f>
        <v>Post-emergence</v>
      </c>
      <c r="Q106" s="129" t="str">
        <f>VLOOKUP(VALUE($B106),test_out_xwalk!$C:$L,9,FALSE)</f>
        <v>Soybeans</v>
      </c>
      <c r="R106">
        <f>_xlfn.XLOOKUP(VALUE(B106),test_out_xwalk!$C:$C,test_out_xwalk!$A:$A)</f>
        <v>2</v>
      </c>
      <c r="T106" s="121" t="str">
        <f>IF('summary_EPA Pond'!$O106="","Check Summary EPA POND worksheet Column O",'summary_EPA Pond'!$O106)</f>
        <v xml:space="preserve">19_111389-15064-57_Vegetable fresh or processing market-r03N-A_USEPA Pond_0010_median </v>
      </c>
      <c r="U106" s="121" t="str" cm="1">
        <f t="array" ref="U106:Z106">IFERROR(_xlfn.TEXTSPLIT(T106,"_"),"")</f>
        <v>19</v>
      </c>
      <c r="V106" t="str">
        <v>111389-15064-57</v>
      </c>
      <c r="W106" t="str">
        <v>Vegetable fresh or processing market-r03N-A</v>
      </c>
      <c r="X106" t="str">
        <v>USEPA Pond</v>
      </c>
      <c r="Y106" t="str">
        <v>0010</v>
      </c>
      <c r="Z106" t="str">
        <v xml:space="preserve">median </v>
      </c>
      <c r="AA106" s="121" t="str" cm="1">
        <f t="array" ref="AA106:AC106">IF(W106="","",(_xlfn.TEXTSPLIT(W106,"-")))</f>
        <v>Vegetable fresh or processing market</v>
      </c>
      <c r="AB106" s="121" t="str">
        <v>r03N</v>
      </c>
      <c r="AC106" t="str">
        <v>A</v>
      </c>
      <c r="AD106" s="129" t="str">
        <f>VLOOKUP(VALUE($U106),test_out_xwalk!$C:$L,3,FALSE)</f>
        <v>Broccoli-6-19</v>
      </c>
      <c r="AE106" s="129">
        <f>VLOOKUP(VALUE($U106),test_out_xwalk!$C:$L,5,FALSE)</f>
        <v>0.5</v>
      </c>
      <c r="AF106" s="129">
        <f>VLOOKUP(VALUE($U106),test_out_xwalk!$C:$L,6,FALSE)</f>
        <v>0.5</v>
      </c>
      <c r="AG106" s="129" t="str">
        <f>VLOOKUP(VALUE($U106),test_out_xwalk!$C:$L,8,FALSE)</f>
        <v>None</v>
      </c>
      <c r="AH106" s="129" t="str">
        <f>VLOOKUP(VALUE($U106),test_out_xwalk!$C:$L,7,FALSE)</f>
        <v>Spray</v>
      </c>
      <c r="AI106" s="129" t="str">
        <f>VLOOKUP(VALUE($U106),test_out_xwalk!$C:$L,4,FALSE)</f>
        <v>Pre-emergence</v>
      </c>
      <c r="AJ106" s="129" t="str">
        <f>VLOOKUP(VALUE($U106),test_out_xwalk!$C:$L,9,FALSE)</f>
        <v>Vegetables and Ground Fruit</v>
      </c>
      <c r="AK106">
        <f>_xlfn.XLOOKUP(VALUE(U106),test_out_xwalk!C:C,test_out_xwalk!A:A)</f>
        <v>6</v>
      </c>
    </row>
    <row r="107" spans="1:37" x14ac:dyDescent="0.55000000000000004">
      <c r="A107" s="121" t="str">
        <f>IF('summary_EPA Pond'!$A107="","Check Summary EPA POND worksheet Column A",'summary_EPA Pond'!$A107)</f>
        <v xml:space="preserve">7_1606194-18138-5_Soybean-r02-A_USEPA Pond_0076_median                                </v>
      </c>
      <c r="B107" s="121" t="str" cm="1">
        <f t="array" ref="B107:G107">IFERROR(_xlfn.TEXTSPLIT(A107,"_"),"")</f>
        <v>7</v>
      </c>
      <c r="C107" t="str">
        <v>1606194-18138-5</v>
      </c>
      <c r="D107" t="str">
        <v>Soybean-r02-A</v>
      </c>
      <c r="E107" t="str">
        <v>USEPA Pond</v>
      </c>
      <c r="F107" t="str">
        <v>0076</v>
      </c>
      <c r="G107" t="str">
        <v xml:space="preserve">median                                </v>
      </c>
      <c r="H107" s="121" t="str" cm="1">
        <f t="array" ref="H107:J107">IF(D107="","",(_xlfn.TEXTSPLIT(D107,"-")))</f>
        <v>Soybean</v>
      </c>
      <c r="I107" s="121" t="str">
        <v>r02</v>
      </c>
      <c r="J107" t="str">
        <v>A</v>
      </c>
      <c r="K107" s="129" t="str">
        <f>VLOOKUP(VALUE($B107),test_out_xwalk!$C:$L,3,FALSE)</f>
        <v>Soybean (Glycine max)-2-7</v>
      </c>
      <c r="L107" s="129">
        <f>VLOOKUP(VALUE($B107),test_out_xwalk!$C:$L,5,FALSE)</f>
        <v>1.125</v>
      </c>
      <c r="M107" s="129">
        <f>VLOOKUP(VALUE($B107),test_out_xwalk!$C:$L,6,FALSE)</f>
        <v>3</v>
      </c>
      <c r="N107" s="129" t="str">
        <f>VLOOKUP(VALUE($B107),test_out_xwalk!$C:$L,8,FALSE)</f>
        <v>Ground_VF-F_HB</v>
      </c>
      <c r="O107" s="129" t="str">
        <f>VLOOKUP(VALUE($B107),test_out_xwalk!$C:$L,7,FALSE)</f>
        <v>Spray</v>
      </c>
      <c r="P107" s="129" t="str">
        <f>VLOOKUP(VALUE($B107),test_out_xwalk!$C:$L,4,FALSE)</f>
        <v>Post-emergence</v>
      </c>
      <c r="Q107" s="129" t="str">
        <f>VLOOKUP(VALUE($B107),test_out_xwalk!$C:$L,9,FALSE)</f>
        <v>Soybeans</v>
      </c>
      <c r="R107">
        <f>_xlfn.XLOOKUP(VALUE(B107),test_out_xwalk!$C:$C,test_out_xwalk!$A:$A)</f>
        <v>2</v>
      </c>
      <c r="T107" s="121" t="str">
        <f>IF('summary_EPA Pond'!$O107="","Check Summary EPA POND worksheet Column O",'summary_EPA Pond'!$O107)</f>
        <v xml:space="preserve">19_631572-5375-222_Vegetable fresh or processing market-r03S-A_USEPA Pond_0010_median </v>
      </c>
      <c r="U107" s="121" t="str" cm="1">
        <f t="array" ref="U107:Z107">IFERROR(_xlfn.TEXTSPLIT(T107,"_"),"")</f>
        <v>19</v>
      </c>
      <c r="V107" t="str">
        <v>631572-5375-222</v>
      </c>
      <c r="W107" t="str">
        <v>Vegetable fresh or processing market-r03S-A</v>
      </c>
      <c r="X107" t="str">
        <v>USEPA Pond</v>
      </c>
      <c r="Y107" t="str">
        <v>0010</v>
      </c>
      <c r="Z107" t="str">
        <v xml:space="preserve">median </v>
      </c>
      <c r="AA107" s="121" t="str" cm="1">
        <f t="array" ref="AA107:AC107">IF(W107="","",(_xlfn.TEXTSPLIT(W107,"-")))</f>
        <v>Vegetable fresh or processing market</v>
      </c>
      <c r="AB107" s="121" t="str">
        <v>r03S</v>
      </c>
      <c r="AC107" t="str">
        <v>A</v>
      </c>
      <c r="AD107" s="129" t="str">
        <f>VLOOKUP(VALUE($U107),test_out_xwalk!$C:$L,3,FALSE)</f>
        <v>Broccoli-6-19</v>
      </c>
      <c r="AE107" s="129">
        <f>VLOOKUP(VALUE($U107),test_out_xwalk!$C:$L,5,FALSE)</f>
        <v>0.5</v>
      </c>
      <c r="AF107" s="129">
        <f>VLOOKUP(VALUE($U107),test_out_xwalk!$C:$L,6,FALSE)</f>
        <v>0.5</v>
      </c>
      <c r="AG107" s="129" t="str">
        <f>VLOOKUP(VALUE($U107),test_out_xwalk!$C:$L,8,FALSE)</f>
        <v>None</v>
      </c>
      <c r="AH107" s="129" t="str">
        <f>VLOOKUP(VALUE($U107),test_out_xwalk!$C:$L,7,FALSE)</f>
        <v>Spray</v>
      </c>
      <c r="AI107" s="129" t="str">
        <f>VLOOKUP(VALUE($U107),test_out_xwalk!$C:$L,4,FALSE)</f>
        <v>Pre-emergence</v>
      </c>
      <c r="AJ107" s="129" t="str">
        <f>VLOOKUP(VALUE($U107),test_out_xwalk!$C:$L,9,FALSE)</f>
        <v>Vegetables and Ground Fruit</v>
      </c>
      <c r="AK107">
        <f>_xlfn.XLOOKUP(VALUE(U107),test_out_xwalk!C:C,test_out_xwalk!A:A)</f>
        <v>6</v>
      </c>
    </row>
    <row r="108" spans="1:37" x14ac:dyDescent="0.55000000000000004">
      <c r="A108" s="121" t="str">
        <f>IF('summary_EPA Pond'!$A108="","Check Summary EPA POND worksheet Column A",'summary_EPA Pond'!$A108)</f>
        <v xml:space="preserve">7_114323-14827-5_Soybean-r03N-A_USEPA Pond_0076_median                                </v>
      </c>
      <c r="B108" s="121" t="str" cm="1">
        <f t="array" ref="B108:G108">IFERROR(_xlfn.TEXTSPLIT(A108,"_"),"")</f>
        <v>7</v>
      </c>
      <c r="C108" t="str">
        <v>114323-14827-5</v>
      </c>
      <c r="D108" t="str">
        <v>Soybean-r03N-A</v>
      </c>
      <c r="E108" t="str">
        <v>USEPA Pond</v>
      </c>
      <c r="F108" t="str">
        <v>0076</v>
      </c>
      <c r="G108" t="str">
        <v xml:space="preserve">median                                </v>
      </c>
      <c r="H108" s="121" t="str" cm="1">
        <f t="array" ref="H108:J108">IF(D108="","",(_xlfn.TEXTSPLIT(D108,"-")))</f>
        <v>Soybean</v>
      </c>
      <c r="I108" s="121" t="str">
        <v>r03N</v>
      </c>
      <c r="J108" t="str">
        <v>A</v>
      </c>
      <c r="K108" s="129" t="str">
        <f>VLOOKUP(VALUE($B108),test_out_xwalk!$C:$L,3,FALSE)</f>
        <v>Soybean (Glycine max)-2-7</v>
      </c>
      <c r="L108" s="129">
        <f>VLOOKUP(VALUE($B108),test_out_xwalk!$C:$L,5,FALSE)</f>
        <v>1.125</v>
      </c>
      <c r="M108" s="129">
        <f>VLOOKUP(VALUE($B108),test_out_xwalk!$C:$L,6,FALSE)</f>
        <v>3</v>
      </c>
      <c r="N108" s="129" t="str">
        <f>VLOOKUP(VALUE($B108),test_out_xwalk!$C:$L,8,FALSE)</f>
        <v>Ground_VF-F_HB</v>
      </c>
      <c r="O108" s="129" t="str">
        <f>VLOOKUP(VALUE($B108),test_out_xwalk!$C:$L,7,FALSE)</f>
        <v>Spray</v>
      </c>
      <c r="P108" s="129" t="str">
        <f>VLOOKUP(VALUE($B108),test_out_xwalk!$C:$L,4,FALSE)</f>
        <v>Post-emergence</v>
      </c>
      <c r="Q108" s="129" t="str">
        <f>VLOOKUP(VALUE($B108),test_out_xwalk!$C:$L,9,FALSE)</f>
        <v>Soybeans</v>
      </c>
      <c r="R108">
        <f>_xlfn.XLOOKUP(VALUE(B108),test_out_xwalk!$C:$C,test_out_xwalk!$A:$A)</f>
        <v>2</v>
      </c>
      <c r="T108" s="121" t="str">
        <f>IF('summary_EPA Pond'!$O108="","Check Summary EPA POND worksheet Column O",'summary_EPA Pond'!$O108)</f>
        <v xml:space="preserve">19_332581-10063-48_Vegetable fresh or processing market-r03W-A_USEPA Pond_0010_median </v>
      </c>
      <c r="U108" s="121" t="str" cm="1">
        <f t="array" ref="U108:Z108">IFERROR(_xlfn.TEXTSPLIT(T108,"_"),"")</f>
        <v>19</v>
      </c>
      <c r="V108" t="str">
        <v>332581-10063-48</v>
      </c>
      <c r="W108" t="str">
        <v>Vegetable fresh or processing market-r03W-A</v>
      </c>
      <c r="X108" t="str">
        <v>USEPA Pond</v>
      </c>
      <c r="Y108" t="str">
        <v>0010</v>
      </c>
      <c r="Z108" t="str">
        <v xml:space="preserve">median </v>
      </c>
      <c r="AA108" s="121" t="str" cm="1">
        <f t="array" ref="AA108:AC108">IF(W108="","",(_xlfn.TEXTSPLIT(W108,"-")))</f>
        <v>Vegetable fresh or processing market</v>
      </c>
      <c r="AB108" s="121" t="str">
        <v>r03W</v>
      </c>
      <c r="AC108" t="str">
        <v>A</v>
      </c>
      <c r="AD108" s="129" t="str">
        <f>VLOOKUP(VALUE($U108),test_out_xwalk!$C:$L,3,FALSE)</f>
        <v>Broccoli-6-19</v>
      </c>
      <c r="AE108" s="129">
        <f>VLOOKUP(VALUE($U108),test_out_xwalk!$C:$L,5,FALSE)</f>
        <v>0.5</v>
      </c>
      <c r="AF108" s="129">
        <f>VLOOKUP(VALUE($U108),test_out_xwalk!$C:$L,6,FALSE)</f>
        <v>0.5</v>
      </c>
      <c r="AG108" s="129" t="str">
        <f>VLOOKUP(VALUE($U108),test_out_xwalk!$C:$L,8,FALSE)</f>
        <v>None</v>
      </c>
      <c r="AH108" s="129" t="str">
        <f>VLOOKUP(VALUE($U108),test_out_xwalk!$C:$L,7,FALSE)</f>
        <v>Spray</v>
      </c>
      <c r="AI108" s="129" t="str">
        <f>VLOOKUP(VALUE($U108),test_out_xwalk!$C:$L,4,FALSE)</f>
        <v>Pre-emergence</v>
      </c>
      <c r="AJ108" s="129" t="str">
        <f>VLOOKUP(VALUE($U108),test_out_xwalk!$C:$L,9,FALSE)</f>
        <v>Vegetables and Ground Fruit</v>
      </c>
      <c r="AK108">
        <f>_xlfn.XLOOKUP(VALUE(U108),test_out_xwalk!C:C,test_out_xwalk!A:A)</f>
        <v>6</v>
      </c>
    </row>
    <row r="109" spans="1:37" x14ac:dyDescent="0.55000000000000004">
      <c r="A109" s="121" t="str">
        <f>IF('summary_EPA Pond'!$A109="","Check Summary EPA POND worksheet Column A",'summary_EPA Pond'!$A109)</f>
        <v xml:space="preserve">7_325092-11970-5_Soybean-r03S-A_USEPA Pond_0076_median                                </v>
      </c>
      <c r="B109" s="121" t="str" cm="1">
        <f t="array" ref="B109:G109">IFERROR(_xlfn.TEXTSPLIT(A109,"_"),"")</f>
        <v>7</v>
      </c>
      <c r="C109" t="str">
        <v>325092-11970-5</v>
      </c>
      <c r="D109" t="str">
        <v>Soybean-r03S-A</v>
      </c>
      <c r="E109" t="str">
        <v>USEPA Pond</v>
      </c>
      <c r="F109" t="str">
        <v>0076</v>
      </c>
      <c r="G109" t="str">
        <v xml:space="preserve">median                                </v>
      </c>
      <c r="H109" s="121" t="str" cm="1">
        <f t="array" ref="H109:J109">IF(D109="","",(_xlfn.TEXTSPLIT(D109,"-")))</f>
        <v>Soybean</v>
      </c>
      <c r="I109" s="121" t="str">
        <v>r03S</v>
      </c>
      <c r="J109" t="str">
        <v>A</v>
      </c>
      <c r="K109" s="129" t="str">
        <f>VLOOKUP(VALUE($B109),test_out_xwalk!$C:$L,3,FALSE)</f>
        <v>Soybean (Glycine max)-2-7</v>
      </c>
      <c r="L109" s="129">
        <f>VLOOKUP(VALUE($B109),test_out_xwalk!$C:$L,5,FALSE)</f>
        <v>1.125</v>
      </c>
      <c r="M109" s="129">
        <f>VLOOKUP(VALUE($B109),test_out_xwalk!$C:$L,6,FALSE)</f>
        <v>3</v>
      </c>
      <c r="N109" s="129" t="str">
        <f>VLOOKUP(VALUE($B109),test_out_xwalk!$C:$L,8,FALSE)</f>
        <v>Ground_VF-F_HB</v>
      </c>
      <c r="O109" s="129" t="str">
        <f>VLOOKUP(VALUE($B109),test_out_xwalk!$C:$L,7,FALSE)</f>
        <v>Spray</v>
      </c>
      <c r="P109" s="129" t="str">
        <f>VLOOKUP(VALUE($B109),test_out_xwalk!$C:$L,4,FALSE)</f>
        <v>Post-emergence</v>
      </c>
      <c r="Q109" s="129" t="str">
        <f>VLOOKUP(VALUE($B109),test_out_xwalk!$C:$L,9,FALSE)</f>
        <v>Soybeans</v>
      </c>
      <c r="R109">
        <f>_xlfn.XLOOKUP(VALUE(B109),test_out_xwalk!$C:$C,test_out_xwalk!$A:$A)</f>
        <v>2</v>
      </c>
      <c r="T109" s="121" t="str">
        <f>IF('summary_EPA Pond'!$O109="","Check Summary EPA POND worksheet Column O",'summary_EPA Pond'!$O109)</f>
        <v xml:space="preserve">19_192466-22579-222_Vegetable fresh or processing market-r04-A_USEPA Pond_0010_median </v>
      </c>
      <c r="U109" s="121" t="str" cm="1">
        <f t="array" ref="U109:Z109">IFERROR(_xlfn.TEXTSPLIT(T109,"_"),"")</f>
        <v>19</v>
      </c>
      <c r="V109" t="str">
        <v>192466-22579-222</v>
      </c>
      <c r="W109" t="str">
        <v>Vegetable fresh or processing market-r04-A</v>
      </c>
      <c r="X109" t="str">
        <v>USEPA Pond</v>
      </c>
      <c r="Y109" t="str">
        <v>0010</v>
      </c>
      <c r="Z109" t="str">
        <v xml:space="preserve">median </v>
      </c>
      <c r="AA109" s="121" t="str" cm="1">
        <f t="array" ref="AA109:AC109">IF(W109="","",(_xlfn.TEXTSPLIT(W109,"-")))</f>
        <v>Vegetable fresh or processing market</v>
      </c>
      <c r="AB109" s="121" t="str">
        <v>r04</v>
      </c>
      <c r="AC109" t="str">
        <v>A</v>
      </c>
      <c r="AD109" s="129" t="str">
        <f>VLOOKUP(VALUE($U109),test_out_xwalk!$C:$L,3,FALSE)</f>
        <v>Broccoli-6-19</v>
      </c>
      <c r="AE109" s="129">
        <f>VLOOKUP(VALUE($U109),test_out_xwalk!$C:$L,5,FALSE)</f>
        <v>0.5</v>
      </c>
      <c r="AF109" s="129">
        <f>VLOOKUP(VALUE($U109),test_out_xwalk!$C:$L,6,FALSE)</f>
        <v>0.5</v>
      </c>
      <c r="AG109" s="129" t="str">
        <f>VLOOKUP(VALUE($U109),test_out_xwalk!$C:$L,8,FALSE)</f>
        <v>None</v>
      </c>
      <c r="AH109" s="129" t="str">
        <f>VLOOKUP(VALUE($U109),test_out_xwalk!$C:$L,7,FALSE)</f>
        <v>Spray</v>
      </c>
      <c r="AI109" s="129" t="str">
        <f>VLOOKUP(VALUE($U109),test_out_xwalk!$C:$L,4,FALSE)</f>
        <v>Pre-emergence</v>
      </c>
      <c r="AJ109" s="129" t="str">
        <f>VLOOKUP(VALUE($U109),test_out_xwalk!$C:$L,9,FALSE)</f>
        <v>Vegetables and Ground Fruit</v>
      </c>
      <c r="AK109">
        <f>_xlfn.XLOOKUP(VALUE(U109),test_out_xwalk!C:C,test_out_xwalk!A:A)</f>
        <v>6</v>
      </c>
    </row>
    <row r="110" spans="1:37" x14ac:dyDescent="0.55000000000000004">
      <c r="A110" s="121" t="str">
        <f>IF('summary_EPA Pond'!$A110="","Check Summary EPA POND worksheet Column A",'summary_EPA Pond'!$A110)</f>
        <v xml:space="preserve">7_333014-13366-5_Soybean-r03W-A_USEPA Pond_0076_median                                </v>
      </c>
      <c r="B110" s="121" t="str" cm="1">
        <f t="array" ref="B110:G110">IFERROR(_xlfn.TEXTSPLIT(A110,"_"),"")</f>
        <v>7</v>
      </c>
      <c r="C110" t="str">
        <v>333014-13366-5</v>
      </c>
      <c r="D110" t="str">
        <v>Soybean-r03W-A</v>
      </c>
      <c r="E110" t="str">
        <v>USEPA Pond</v>
      </c>
      <c r="F110" t="str">
        <v>0076</v>
      </c>
      <c r="G110" t="str">
        <v xml:space="preserve">median                                </v>
      </c>
      <c r="H110" s="121" t="str" cm="1">
        <f t="array" ref="H110:J110">IF(D110="","",(_xlfn.TEXTSPLIT(D110,"-")))</f>
        <v>Soybean</v>
      </c>
      <c r="I110" s="121" t="str">
        <v>r03W</v>
      </c>
      <c r="J110" t="str">
        <v>A</v>
      </c>
      <c r="K110" s="129" t="str">
        <f>VLOOKUP(VALUE($B110),test_out_xwalk!$C:$L,3,FALSE)</f>
        <v>Soybean (Glycine max)-2-7</v>
      </c>
      <c r="L110" s="129">
        <f>VLOOKUP(VALUE($B110),test_out_xwalk!$C:$L,5,FALSE)</f>
        <v>1.125</v>
      </c>
      <c r="M110" s="129">
        <f>VLOOKUP(VALUE($B110),test_out_xwalk!$C:$L,6,FALSE)</f>
        <v>3</v>
      </c>
      <c r="N110" s="129" t="str">
        <f>VLOOKUP(VALUE($B110),test_out_xwalk!$C:$L,8,FALSE)</f>
        <v>Ground_VF-F_HB</v>
      </c>
      <c r="O110" s="129" t="str">
        <f>VLOOKUP(VALUE($B110),test_out_xwalk!$C:$L,7,FALSE)</f>
        <v>Spray</v>
      </c>
      <c r="P110" s="129" t="str">
        <f>VLOOKUP(VALUE($B110),test_out_xwalk!$C:$L,4,FALSE)</f>
        <v>Post-emergence</v>
      </c>
      <c r="Q110" s="129" t="str">
        <f>VLOOKUP(VALUE($B110),test_out_xwalk!$C:$L,9,FALSE)</f>
        <v>Soybeans</v>
      </c>
      <c r="R110">
        <f>_xlfn.XLOOKUP(VALUE(B110),test_out_xwalk!$C:$C,test_out_xwalk!$A:$A)</f>
        <v>2</v>
      </c>
      <c r="T110" s="121" t="str">
        <f>IF('summary_EPA Pond'!$O110="","Check Summary EPA POND worksheet Column O",'summary_EPA Pond'!$O110)</f>
        <v xml:space="preserve">19_160822-18569-229_Vegetable fresh or processing market-r05-A_USEPA Pond_0010_median </v>
      </c>
      <c r="U110" s="121" t="str" cm="1">
        <f t="array" ref="U110:Z110">IFERROR(_xlfn.TEXTSPLIT(T110,"_"),"")</f>
        <v>19</v>
      </c>
      <c r="V110" t="str">
        <v>160822-18569-229</v>
      </c>
      <c r="W110" t="str">
        <v>Vegetable fresh or processing market-r05-A</v>
      </c>
      <c r="X110" t="str">
        <v>USEPA Pond</v>
      </c>
      <c r="Y110" t="str">
        <v>0010</v>
      </c>
      <c r="Z110" t="str">
        <v xml:space="preserve">median </v>
      </c>
      <c r="AA110" s="121" t="str" cm="1">
        <f t="array" ref="AA110:AC110">IF(W110="","",(_xlfn.TEXTSPLIT(W110,"-")))</f>
        <v>Vegetable fresh or processing market</v>
      </c>
      <c r="AB110" s="121" t="str">
        <v>r05</v>
      </c>
      <c r="AC110" t="str">
        <v>A</v>
      </c>
      <c r="AD110" s="129" t="str">
        <f>VLOOKUP(VALUE($U110),test_out_xwalk!$C:$L,3,FALSE)</f>
        <v>Broccoli-6-19</v>
      </c>
      <c r="AE110" s="129">
        <f>VLOOKUP(VALUE($U110),test_out_xwalk!$C:$L,5,FALSE)</f>
        <v>0.5</v>
      </c>
      <c r="AF110" s="129">
        <f>VLOOKUP(VALUE($U110),test_out_xwalk!$C:$L,6,FALSE)</f>
        <v>0.5</v>
      </c>
      <c r="AG110" s="129" t="str">
        <f>VLOOKUP(VALUE($U110),test_out_xwalk!$C:$L,8,FALSE)</f>
        <v>None</v>
      </c>
      <c r="AH110" s="129" t="str">
        <f>VLOOKUP(VALUE($U110),test_out_xwalk!$C:$L,7,FALSE)</f>
        <v>Spray</v>
      </c>
      <c r="AI110" s="129" t="str">
        <f>VLOOKUP(VALUE($U110),test_out_xwalk!$C:$L,4,FALSE)</f>
        <v>Pre-emergence</v>
      </c>
      <c r="AJ110" s="129" t="str">
        <f>VLOOKUP(VALUE($U110),test_out_xwalk!$C:$L,9,FALSE)</f>
        <v>Vegetables and Ground Fruit</v>
      </c>
      <c r="AK110">
        <f>_xlfn.XLOOKUP(VALUE(U110),test_out_xwalk!C:C,test_out_xwalk!A:A)</f>
        <v>6</v>
      </c>
    </row>
    <row r="111" spans="1:37" x14ac:dyDescent="0.55000000000000004">
      <c r="A111" s="121" t="str">
        <f>IF('summary_EPA Pond'!$A111="","Check Summary EPA POND worksheet Column A",'summary_EPA Pond'!$A111)</f>
        <v xml:space="preserve">7_423263-22330-5_Soybean-r04-A_USEPA Pond_0076_median                                 </v>
      </c>
      <c r="B111" s="121" t="str" cm="1">
        <f t="array" ref="B111:G111">IFERROR(_xlfn.TEXTSPLIT(A111,"_"),"")</f>
        <v>7</v>
      </c>
      <c r="C111" t="str">
        <v>423263-22330-5</v>
      </c>
      <c r="D111" t="str">
        <v>Soybean-r04-A</v>
      </c>
      <c r="E111" t="str">
        <v>USEPA Pond</v>
      </c>
      <c r="F111" t="str">
        <v>0076</v>
      </c>
      <c r="G111" t="str">
        <v xml:space="preserve">median                                 </v>
      </c>
      <c r="H111" s="121" t="str" cm="1">
        <f t="array" ref="H111:J111">IF(D111="","",(_xlfn.TEXTSPLIT(D111,"-")))</f>
        <v>Soybean</v>
      </c>
      <c r="I111" s="121" t="str">
        <v>r04</v>
      </c>
      <c r="J111" t="str">
        <v>A</v>
      </c>
      <c r="K111" s="129" t="str">
        <f>VLOOKUP(VALUE($B111),test_out_xwalk!$C:$L,3,FALSE)</f>
        <v>Soybean (Glycine max)-2-7</v>
      </c>
      <c r="L111" s="129">
        <f>VLOOKUP(VALUE($B111),test_out_xwalk!$C:$L,5,FALSE)</f>
        <v>1.125</v>
      </c>
      <c r="M111" s="129">
        <f>VLOOKUP(VALUE($B111),test_out_xwalk!$C:$L,6,FALSE)</f>
        <v>3</v>
      </c>
      <c r="N111" s="129" t="str">
        <f>VLOOKUP(VALUE($B111),test_out_xwalk!$C:$L,8,FALSE)</f>
        <v>Ground_VF-F_HB</v>
      </c>
      <c r="O111" s="129" t="str">
        <f>VLOOKUP(VALUE($B111),test_out_xwalk!$C:$L,7,FALSE)</f>
        <v>Spray</v>
      </c>
      <c r="P111" s="129" t="str">
        <f>VLOOKUP(VALUE($B111),test_out_xwalk!$C:$L,4,FALSE)</f>
        <v>Post-emergence</v>
      </c>
      <c r="Q111" s="129" t="str">
        <f>VLOOKUP(VALUE($B111),test_out_xwalk!$C:$L,9,FALSE)</f>
        <v>Soybeans</v>
      </c>
      <c r="R111">
        <f>_xlfn.XLOOKUP(VALUE(B111),test_out_xwalk!$C:$C,test_out_xwalk!$A:$A)</f>
        <v>2</v>
      </c>
      <c r="T111" s="121" t="str">
        <f>IF('summary_EPA Pond'!$O111="","Check Summary EPA POND worksheet Column O",'summary_EPA Pond'!$O111)</f>
        <v>19_2423116-14329-219_Vegetable fresh or processing market-r06-A_USEPA Pond_0010_median</v>
      </c>
      <c r="U111" s="121" t="str" cm="1">
        <f t="array" ref="U111:Z111">IFERROR(_xlfn.TEXTSPLIT(T111,"_"),"")</f>
        <v>19</v>
      </c>
      <c r="V111" t="str">
        <v>2423116-14329-219</v>
      </c>
      <c r="W111" t="str">
        <v>Vegetable fresh or processing market-r06-A</v>
      </c>
      <c r="X111" t="str">
        <v>USEPA Pond</v>
      </c>
      <c r="Y111" t="str">
        <v>0010</v>
      </c>
      <c r="Z111" t="str">
        <v>median</v>
      </c>
      <c r="AA111" s="121" t="str" cm="1">
        <f t="array" ref="AA111:AC111">IF(W111="","",(_xlfn.TEXTSPLIT(W111,"-")))</f>
        <v>Vegetable fresh or processing market</v>
      </c>
      <c r="AB111" s="121" t="str">
        <v>r06</v>
      </c>
      <c r="AC111" t="str">
        <v>A</v>
      </c>
      <c r="AD111" s="129" t="str">
        <f>VLOOKUP(VALUE($U111),test_out_xwalk!$C:$L,3,FALSE)</f>
        <v>Broccoli-6-19</v>
      </c>
      <c r="AE111" s="129">
        <f>VLOOKUP(VALUE($U111),test_out_xwalk!$C:$L,5,FALSE)</f>
        <v>0.5</v>
      </c>
      <c r="AF111" s="129">
        <f>VLOOKUP(VALUE($U111),test_out_xwalk!$C:$L,6,FALSE)</f>
        <v>0.5</v>
      </c>
      <c r="AG111" s="129" t="str">
        <f>VLOOKUP(VALUE($U111),test_out_xwalk!$C:$L,8,FALSE)</f>
        <v>None</v>
      </c>
      <c r="AH111" s="129" t="str">
        <f>VLOOKUP(VALUE($U111),test_out_xwalk!$C:$L,7,FALSE)</f>
        <v>Spray</v>
      </c>
      <c r="AI111" s="129" t="str">
        <f>VLOOKUP(VALUE($U111),test_out_xwalk!$C:$L,4,FALSE)</f>
        <v>Pre-emergence</v>
      </c>
      <c r="AJ111" s="129" t="str">
        <f>VLOOKUP(VALUE($U111),test_out_xwalk!$C:$L,9,FALSE)</f>
        <v>Vegetables and Ground Fruit</v>
      </c>
      <c r="AK111">
        <f>_xlfn.XLOOKUP(VALUE(U111),test_out_xwalk!C:C,test_out_xwalk!A:A)</f>
        <v>6</v>
      </c>
    </row>
    <row r="112" spans="1:37" x14ac:dyDescent="0.55000000000000004">
      <c r="A112" s="121" t="str">
        <f>IF('summary_EPA Pond'!$A112="","Check Summary EPA POND worksheet Column A",'summary_EPA Pond'!$A112)</f>
        <v xml:space="preserve">7_163010-18801-5_Soybean-r05-A_USEPA Pond_0076_median                                 </v>
      </c>
      <c r="B112" s="121" t="str" cm="1">
        <f t="array" ref="B112:G112">IFERROR(_xlfn.TEXTSPLIT(A112,"_"),"")</f>
        <v>7</v>
      </c>
      <c r="C112" t="str">
        <v>163010-18801-5</v>
      </c>
      <c r="D112" t="str">
        <v>Soybean-r05-A</v>
      </c>
      <c r="E112" t="str">
        <v>USEPA Pond</v>
      </c>
      <c r="F112" t="str">
        <v>0076</v>
      </c>
      <c r="G112" t="str">
        <v xml:space="preserve">median                                 </v>
      </c>
      <c r="H112" s="121" t="str" cm="1">
        <f t="array" ref="H112:J112">IF(D112="","",(_xlfn.TEXTSPLIT(D112,"-")))</f>
        <v>Soybean</v>
      </c>
      <c r="I112" s="121" t="str">
        <v>r05</v>
      </c>
      <c r="J112" t="str">
        <v>A</v>
      </c>
      <c r="K112" s="129" t="str">
        <f>VLOOKUP(VALUE($B112),test_out_xwalk!$C:$L,3,FALSE)</f>
        <v>Soybean (Glycine max)-2-7</v>
      </c>
      <c r="L112" s="129">
        <f>VLOOKUP(VALUE($B112),test_out_xwalk!$C:$L,5,FALSE)</f>
        <v>1.125</v>
      </c>
      <c r="M112" s="129">
        <f>VLOOKUP(VALUE($B112),test_out_xwalk!$C:$L,6,FALSE)</f>
        <v>3</v>
      </c>
      <c r="N112" s="129" t="str">
        <f>VLOOKUP(VALUE($B112),test_out_xwalk!$C:$L,8,FALSE)</f>
        <v>Ground_VF-F_HB</v>
      </c>
      <c r="O112" s="129" t="str">
        <f>VLOOKUP(VALUE($B112),test_out_xwalk!$C:$L,7,FALSE)</f>
        <v>Spray</v>
      </c>
      <c r="P112" s="129" t="str">
        <f>VLOOKUP(VALUE($B112),test_out_xwalk!$C:$L,4,FALSE)</f>
        <v>Post-emergence</v>
      </c>
      <c r="Q112" s="129" t="str">
        <f>VLOOKUP(VALUE($B112),test_out_xwalk!$C:$L,9,FALSE)</f>
        <v>Soybeans</v>
      </c>
      <c r="R112">
        <f>_xlfn.XLOOKUP(VALUE(B112),test_out_xwalk!$C:$C,test_out_xwalk!$A:$A)</f>
        <v>2</v>
      </c>
      <c r="T112" s="121" t="str">
        <f>IF('summary_EPA Pond'!$O112="","Check Summary EPA POND worksheet Column O",'summary_EPA Pond'!$O112)</f>
        <v xml:space="preserve">19_397808-22314-12_Vegetable fresh or processing market-r07-A_USEPA Pond_0010_median  </v>
      </c>
      <c r="U112" s="121" t="str" cm="1">
        <f t="array" ref="U112:Z112">IFERROR(_xlfn.TEXTSPLIT(T112,"_"),"")</f>
        <v>19</v>
      </c>
      <c r="V112" t="str">
        <v>397808-22314-12</v>
      </c>
      <c r="W112" t="str">
        <v>Vegetable fresh or processing market-r07-A</v>
      </c>
      <c r="X112" t="str">
        <v>USEPA Pond</v>
      </c>
      <c r="Y112" t="str">
        <v>0010</v>
      </c>
      <c r="Z112" t="str">
        <v xml:space="preserve">median  </v>
      </c>
      <c r="AA112" s="121" t="str" cm="1">
        <f t="array" ref="AA112:AC112">IF(W112="","",(_xlfn.TEXTSPLIT(W112,"-")))</f>
        <v>Vegetable fresh or processing market</v>
      </c>
      <c r="AB112" s="121" t="str">
        <v>r07</v>
      </c>
      <c r="AC112" t="str">
        <v>A</v>
      </c>
      <c r="AD112" s="129" t="str">
        <f>VLOOKUP(VALUE($U112),test_out_xwalk!$C:$L,3,FALSE)</f>
        <v>Broccoli-6-19</v>
      </c>
      <c r="AE112" s="129">
        <f>VLOOKUP(VALUE($U112),test_out_xwalk!$C:$L,5,FALSE)</f>
        <v>0.5</v>
      </c>
      <c r="AF112" s="129">
        <f>VLOOKUP(VALUE($U112),test_out_xwalk!$C:$L,6,FALSE)</f>
        <v>0.5</v>
      </c>
      <c r="AG112" s="129" t="str">
        <f>VLOOKUP(VALUE($U112),test_out_xwalk!$C:$L,8,FALSE)</f>
        <v>None</v>
      </c>
      <c r="AH112" s="129" t="str">
        <f>VLOOKUP(VALUE($U112),test_out_xwalk!$C:$L,7,FALSE)</f>
        <v>Spray</v>
      </c>
      <c r="AI112" s="129" t="str">
        <f>VLOOKUP(VALUE($U112),test_out_xwalk!$C:$L,4,FALSE)</f>
        <v>Pre-emergence</v>
      </c>
      <c r="AJ112" s="129" t="str">
        <f>VLOOKUP(VALUE($U112),test_out_xwalk!$C:$L,9,FALSE)</f>
        <v>Vegetables and Ground Fruit</v>
      </c>
      <c r="AK112">
        <f>_xlfn.XLOOKUP(VALUE(U112),test_out_xwalk!C:C,test_out_xwalk!A:A)</f>
        <v>6</v>
      </c>
    </row>
    <row r="113" spans="1:37" x14ac:dyDescent="0.55000000000000004">
      <c r="A113" s="121" t="str">
        <f>IF('summary_EPA Pond'!$A113="","Check Summary EPA POND worksheet Column A",'summary_EPA Pond'!$A113)</f>
        <v xml:space="preserve">7_1597339-15962-5_Soybean-r06-A_USEPA Pond_0076_median                                </v>
      </c>
      <c r="B113" s="121" t="str" cm="1">
        <f t="array" ref="B113:G113">IFERROR(_xlfn.TEXTSPLIT(A113,"_"),"")</f>
        <v>7</v>
      </c>
      <c r="C113" t="str">
        <v>1597339-15962-5</v>
      </c>
      <c r="D113" t="str">
        <v>Soybean-r06-A</v>
      </c>
      <c r="E113" t="str">
        <v>USEPA Pond</v>
      </c>
      <c r="F113" t="str">
        <v>0076</v>
      </c>
      <c r="G113" t="str">
        <v xml:space="preserve">median                                </v>
      </c>
      <c r="H113" s="121" t="str" cm="1">
        <f t="array" ref="H113:J113">IF(D113="","",(_xlfn.TEXTSPLIT(D113,"-")))</f>
        <v>Soybean</v>
      </c>
      <c r="I113" s="121" t="str">
        <v>r06</v>
      </c>
      <c r="J113" t="str">
        <v>A</v>
      </c>
      <c r="K113" s="129" t="str">
        <f>VLOOKUP(VALUE($B113),test_out_xwalk!$C:$L,3,FALSE)</f>
        <v>Soybean (Glycine max)-2-7</v>
      </c>
      <c r="L113" s="129">
        <f>VLOOKUP(VALUE($B113),test_out_xwalk!$C:$L,5,FALSE)</f>
        <v>1.125</v>
      </c>
      <c r="M113" s="129">
        <f>VLOOKUP(VALUE($B113),test_out_xwalk!$C:$L,6,FALSE)</f>
        <v>3</v>
      </c>
      <c r="N113" s="129" t="str">
        <f>VLOOKUP(VALUE($B113),test_out_xwalk!$C:$L,8,FALSE)</f>
        <v>Ground_VF-F_HB</v>
      </c>
      <c r="O113" s="129" t="str">
        <f>VLOOKUP(VALUE($B113),test_out_xwalk!$C:$L,7,FALSE)</f>
        <v>Spray</v>
      </c>
      <c r="P113" s="129" t="str">
        <f>VLOOKUP(VALUE($B113),test_out_xwalk!$C:$L,4,FALSE)</f>
        <v>Post-emergence</v>
      </c>
      <c r="Q113" s="129" t="str">
        <f>VLOOKUP(VALUE($B113),test_out_xwalk!$C:$L,9,FALSE)</f>
        <v>Soybeans</v>
      </c>
      <c r="R113">
        <f>_xlfn.XLOOKUP(VALUE(B113),test_out_xwalk!$C:$C,test_out_xwalk!$A:$A)</f>
        <v>2</v>
      </c>
      <c r="T113" s="121" t="str">
        <f>IF('summary_EPA Pond'!$O113="","Check Summary EPA POND worksheet Column O",'summary_EPA Pond'!$O113)</f>
        <v xml:space="preserve">19_1715900-13351-54_Vegetable fresh or processing market-r08-A_USEPA Pond_0010_median </v>
      </c>
      <c r="U113" s="121" t="str" cm="1">
        <f t="array" ref="U113:Z113">IFERROR(_xlfn.TEXTSPLIT(T113,"_"),"")</f>
        <v>19</v>
      </c>
      <c r="V113" t="str">
        <v>1715900-13351-54</v>
      </c>
      <c r="W113" t="str">
        <v>Vegetable fresh or processing market-r08-A</v>
      </c>
      <c r="X113" t="str">
        <v>USEPA Pond</v>
      </c>
      <c r="Y113" t="str">
        <v>0010</v>
      </c>
      <c r="Z113" t="str">
        <v xml:space="preserve">median </v>
      </c>
      <c r="AA113" s="121" t="str" cm="1">
        <f t="array" ref="AA113:AC113">IF(W113="","",(_xlfn.TEXTSPLIT(W113,"-")))</f>
        <v>Vegetable fresh or processing market</v>
      </c>
      <c r="AB113" s="121" t="str">
        <v>r08</v>
      </c>
      <c r="AC113" t="str">
        <v>A</v>
      </c>
      <c r="AD113" s="129" t="str">
        <f>VLOOKUP(VALUE($U113),test_out_xwalk!$C:$L,3,FALSE)</f>
        <v>Broccoli-6-19</v>
      </c>
      <c r="AE113" s="129">
        <f>VLOOKUP(VALUE($U113),test_out_xwalk!$C:$L,5,FALSE)</f>
        <v>0.5</v>
      </c>
      <c r="AF113" s="129">
        <f>VLOOKUP(VALUE($U113),test_out_xwalk!$C:$L,6,FALSE)</f>
        <v>0.5</v>
      </c>
      <c r="AG113" s="129" t="str">
        <f>VLOOKUP(VALUE($U113),test_out_xwalk!$C:$L,8,FALSE)</f>
        <v>None</v>
      </c>
      <c r="AH113" s="129" t="str">
        <f>VLOOKUP(VALUE($U113),test_out_xwalk!$C:$L,7,FALSE)</f>
        <v>Spray</v>
      </c>
      <c r="AI113" s="129" t="str">
        <f>VLOOKUP(VALUE($U113),test_out_xwalk!$C:$L,4,FALSE)</f>
        <v>Pre-emergence</v>
      </c>
      <c r="AJ113" s="129" t="str">
        <f>VLOOKUP(VALUE($U113),test_out_xwalk!$C:$L,9,FALSE)</f>
        <v>Vegetables and Ground Fruit</v>
      </c>
      <c r="AK113">
        <f>_xlfn.XLOOKUP(VALUE(U113),test_out_xwalk!C:C,test_out_xwalk!A:A)</f>
        <v>6</v>
      </c>
    </row>
    <row r="114" spans="1:37" x14ac:dyDescent="0.55000000000000004">
      <c r="A114" s="121" t="str">
        <f>IF('summary_EPA Pond'!$A114="","Check Summary EPA POND worksheet Column A",'summary_EPA Pond'!$A114)</f>
        <v xml:space="preserve">7_1585999-21611-5_Soybean-r07-A_USEPA Pond_0076_median                                </v>
      </c>
      <c r="B114" s="121" t="str" cm="1">
        <f t="array" ref="B114:G114">IFERROR(_xlfn.TEXTSPLIT(A114,"_"),"")</f>
        <v>7</v>
      </c>
      <c r="C114" t="str">
        <v>1585999-21611-5</v>
      </c>
      <c r="D114" t="str">
        <v>Soybean-r07-A</v>
      </c>
      <c r="E114" t="str">
        <v>USEPA Pond</v>
      </c>
      <c r="F114" t="str">
        <v>0076</v>
      </c>
      <c r="G114" t="str">
        <v xml:space="preserve">median                                </v>
      </c>
      <c r="H114" s="121" t="str" cm="1">
        <f t="array" ref="H114:J114">IF(D114="","",(_xlfn.TEXTSPLIT(D114,"-")))</f>
        <v>Soybean</v>
      </c>
      <c r="I114" s="121" t="str">
        <v>r07</v>
      </c>
      <c r="J114" t="str">
        <v>A</v>
      </c>
      <c r="K114" s="129" t="str">
        <f>VLOOKUP(VALUE($B114),test_out_xwalk!$C:$L,3,FALSE)</f>
        <v>Soybean (Glycine max)-2-7</v>
      </c>
      <c r="L114" s="129">
        <f>VLOOKUP(VALUE($B114),test_out_xwalk!$C:$L,5,FALSE)</f>
        <v>1.125</v>
      </c>
      <c r="M114" s="129">
        <f>VLOOKUP(VALUE($B114),test_out_xwalk!$C:$L,6,FALSE)</f>
        <v>3</v>
      </c>
      <c r="N114" s="129" t="str">
        <f>VLOOKUP(VALUE($B114),test_out_xwalk!$C:$L,8,FALSE)</f>
        <v>Ground_VF-F_HB</v>
      </c>
      <c r="O114" s="129" t="str">
        <f>VLOOKUP(VALUE($B114),test_out_xwalk!$C:$L,7,FALSE)</f>
        <v>Spray</v>
      </c>
      <c r="P114" s="129" t="str">
        <f>VLOOKUP(VALUE($B114),test_out_xwalk!$C:$L,4,FALSE)</f>
        <v>Post-emergence</v>
      </c>
      <c r="Q114" s="129" t="str">
        <f>VLOOKUP(VALUE($B114),test_out_xwalk!$C:$L,9,FALSE)</f>
        <v>Soybeans</v>
      </c>
      <c r="R114">
        <f>_xlfn.XLOOKUP(VALUE(B114),test_out_xwalk!$C:$C,test_out_xwalk!$A:$A)</f>
        <v>2</v>
      </c>
      <c r="T114" s="121" t="str">
        <f>IF('summary_EPA Pond'!$O114="","Check Summary EPA POND worksheet Column O",'summary_EPA Pond'!$O114)</f>
        <v xml:space="preserve">19_356962-25371-12_Vegetable fresh or processing market-r09-A_USEPA Pond_0010_median  </v>
      </c>
      <c r="U114" s="121" t="str" cm="1">
        <f t="array" ref="U114:Z114">IFERROR(_xlfn.TEXTSPLIT(T114,"_"),"")</f>
        <v>19</v>
      </c>
      <c r="V114" t="str">
        <v>356962-25371-12</v>
      </c>
      <c r="W114" t="str">
        <v>Vegetable fresh or processing market-r09-A</v>
      </c>
      <c r="X114" t="str">
        <v>USEPA Pond</v>
      </c>
      <c r="Y114" t="str">
        <v>0010</v>
      </c>
      <c r="Z114" t="str">
        <v xml:space="preserve">median  </v>
      </c>
      <c r="AA114" s="121" t="str" cm="1">
        <f t="array" ref="AA114:AC114">IF(W114="","",(_xlfn.TEXTSPLIT(W114,"-")))</f>
        <v>Vegetable fresh or processing market</v>
      </c>
      <c r="AB114" s="121" t="str">
        <v>r09</v>
      </c>
      <c r="AC114" t="str">
        <v>A</v>
      </c>
      <c r="AD114" s="129" t="str">
        <f>VLOOKUP(VALUE($U114),test_out_xwalk!$C:$L,3,FALSE)</f>
        <v>Broccoli-6-19</v>
      </c>
      <c r="AE114" s="129">
        <f>VLOOKUP(VALUE($U114),test_out_xwalk!$C:$L,5,FALSE)</f>
        <v>0.5</v>
      </c>
      <c r="AF114" s="129">
        <f>VLOOKUP(VALUE($U114),test_out_xwalk!$C:$L,6,FALSE)</f>
        <v>0.5</v>
      </c>
      <c r="AG114" s="129" t="str">
        <f>VLOOKUP(VALUE($U114),test_out_xwalk!$C:$L,8,FALSE)</f>
        <v>None</v>
      </c>
      <c r="AH114" s="129" t="str">
        <f>VLOOKUP(VALUE($U114),test_out_xwalk!$C:$L,7,FALSE)</f>
        <v>Spray</v>
      </c>
      <c r="AI114" s="129" t="str">
        <f>VLOOKUP(VALUE($U114),test_out_xwalk!$C:$L,4,FALSE)</f>
        <v>Pre-emergence</v>
      </c>
      <c r="AJ114" s="129" t="str">
        <f>VLOOKUP(VALUE($U114),test_out_xwalk!$C:$L,9,FALSE)</f>
        <v>Vegetables and Ground Fruit</v>
      </c>
      <c r="AK114">
        <f>_xlfn.XLOOKUP(VALUE(U114),test_out_xwalk!C:C,test_out_xwalk!A:A)</f>
        <v>6</v>
      </c>
    </row>
    <row r="115" spans="1:37" x14ac:dyDescent="0.55000000000000004">
      <c r="A115" s="121" t="str">
        <f>IF('summary_EPA Pond'!$A115="","Check Summary EPA POND worksheet Column A",'summary_EPA Pond'!$A115)</f>
        <v xml:space="preserve">7_564088-14065-5_Soybean-r08-A_USEPA Pond_0076_median                                 </v>
      </c>
      <c r="B115" s="121" t="str" cm="1">
        <f t="array" ref="B115:G115">IFERROR(_xlfn.TEXTSPLIT(A115,"_"),"")</f>
        <v>7</v>
      </c>
      <c r="C115" t="str">
        <v>564088-14065-5</v>
      </c>
      <c r="D115" t="str">
        <v>Soybean-r08-A</v>
      </c>
      <c r="E115" t="str">
        <v>USEPA Pond</v>
      </c>
      <c r="F115" t="str">
        <v>0076</v>
      </c>
      <c r="G115" t="str">
        <v xml:space="preserve">median                                 </v>
      </c>
      <c r="H115" s="121" t="str" cm="1">
        <f t="array" ref="H115:J115">IF(D115="","",(_xlfn.TEXTSPLIT(D115,"-")))</f>
        <v>Soybean</v>
      </c>
      <c r="I115" s="121" t="str">
        <v>r08</v>
      </c>
      <c r="J115" t="str">
        <v>A</v>
      </c>
      <c r="K115" s="129" t="str">
        <f>VLOOKUP(VALUE($B115),test_out_xwalk!$C:$L,3,FALSE)</f>
        <v>Soybean (Glycine max)-2-7</v>
      </c>
      <c r="L115" s="129">
        <f>VLOOKUP(VALUE($B115),test_out_xwalk!$C:$L,5,FALSE)</f>
        <v>1.125</v>
      </c>
      <c r="M115" s="129">
        <f>VLOOKUP(VALUE($B115),test_out_xwalk!$C:$L,6,FALSE)</f>
        <v>3</v>
      </c>
      <c r="N115" s="129" t="str">
        <f>VLOOKUP(VALUE($B115),test_out_xwalk!$C:$L,8,FALSE)</f>
        <v>Ground_VF-F_HB</v>
      </c>
      <c r="O115" s="129" t="str">
        <f>VLOOKUP(VALUE($B115),test_out_xwalk!$C:$L,7,FALSE)</f>
        <v>Spray</v>
      </c>
      <c r="P115" s="129" t="str">
        <f>VLOOKUP(VALUE($B115),test_out_xwalk!$C:$L,4,FALSE)</f>
        <v>Post-emergence</v>
      </c>
      <c r="Q115" s="129" t="str">
        <f>VLOOKUP(VALUE($B115),test_out_xwalk!$C:$L,9,FALSE)</f>
        <v>Soybeans</v>
      </c>
      <c r="R115">
        <f>_xlfn.XLOOKUP(VALUE(B115),test_out_xwalk!$C:$C,test_out_xwalk!$A:$A)</f>
        <v>2</v>
      </c>
      <c r="T115" s="121" t="str">
        <f>IF('summary_EPA Pond'!$O115="","Check Summary EPA POND worksheet Column O",'summary_EPA Pond'!$O115)</f>
        <v>19_497748-19437-229_Vegetable fresh or processing market-r10L-A_USEPA Pond_0010_median</v>
      </c>
      <c r="U115" s="121" t="str" cm="1">
        <f t="array" ref="U115:Z115">IFERROR(_xlfn.TEXTSPLIT(T115,"_"),"")</f>
        <v>19</v>
      </c>
      <c r="V115" t="str">
        <v>497748-19437-229</v>
      </c>
      <c r="W115" t="str">
        <v>Vegetable fresh or processing market-r10L-A</v>
      </c>
      <c r="X115" t="str">
        <v>USEPA Pond</v>
      </c>
      <c r="Y115" t="str">
        <v>0010</v>
      </c>
      <c r="Z115" t="str">
        <v>median</v>
      </c>
      <c r="AA115" s="121" t="str" cm="1">
        <f t="array" ref="AA115:AC115">IF(W115="","",(_xlfn.TEXTSPLIT(W115,"-")))</f>
        <v>Vegetable fresh or processing market</v>
      </c>
      <c r="AB115" s="121" t="str">
        <v>r10L</v>
      </c>
      <c r="AC115" t="str">
        <v>A</v>
      </c>
      <c r="AD115" s="129" t="str">
        <f>VLOOKUP(VALUE($U115),test_out_xwalk!$C:$L,3,FALSE)</f>
        <v>Broccoli-6-19</v>
      </c>
      <c r="AE115" s="129">
        <f>VLOOKUP(VALUE($U115),test_out_xwalk!$C:$L,5,FALSE)</f>
        <v>0.5</v>
      </c>
      <c r="AF115" s="129">
        <f>VLOOKUP(VALUE($U115),test_out_xwalk!$C:$L,6,FALSE)</f>
        <v>0.5</v>
      </c>
      <c r="AG115" s="129" t="str">
        <f>VLOOKUP(VALUE($U115),test_out_xwalk!$C:$L,8,FALSE)</f>
        <v>None</v>
      </c>
      <c r="AH115" s="129" t="str">
        <f>VLOOKUP(VALUE($U115),test_out_xwalk!$C:$L,7,FALSE)</f>
        <v>Spray</v>
      </c>
      <c r="AI115" s="129" t="str">
        <f>VLOOKUP(VALUE($U115),test_out_xwalk!$C:$L,4,FALSE)</f>
        <v>Pre-emergence</v>
      </c>
      <c r="AJ115" s="129" t="str">
        <f>VLOOKUP(VALUE($U115),test_out_xwalk!$C:$L,9,FALSE)</f>
        <v>Vegetables and Ground Fruit</v>
      </c>
      <c r="AK115">
        <f>_xlfn.XLOOKUP(VALUE(U115),test_out_xwalk!C:C,test_out_xwalk!A:A)</f>
        <v>6</v>
      </c>
    </row>
    <row r="116" spans="1:37" x14ac:dyDescent="0.55000000000000004">
      <c r="A116" s="121" t="str">
        <f>IF('summary_EPA Pond'!$A116="","Check Summary EPA POND worksheet Column A",'summary_EPA Pond'!$A116)</f>
        <v xml:space="preserve">7_2585754-26533-5_Soybean-r09-A_USEPA Pond_0076_median                                </v>
      </c>
      <c r="B116" s="121" t="str" cm="1">
        <f t="array" ref="B116:G116">IFERROR(_xlfn.TEXTSPLIT(A116,"_"),"")</f>
        <v>7</v>
      </c>
      <c r="C116" t="str">
        <v>2585754-26533-5</v>
      </c>
      <c r="D116" t="str">
        <v>Soybean-r09-A</v>
      </c>
      <c r="E116" t="str">
        <v>USEPA Pond</v>
      </c>
      <c r="F116" t="str">
        <v>0076</v>
      </c>
      <c r="G116" t="str">
        <v xml:space="preserve">median                                </v>
      </c>
      <c r="H116" s="121" t="str" cm="1">
        <f t="array" ref="H116:J116">IF(D116="","",(_xlfn.TEXTSPLIT(D116,"-")))</f>
        <v>Soybean</v>
      </c>
      <c r="I116" s="121" t="str">
        <v>r09</v>
      </c>
      <c r="J116" t="str">
        <v>A</v>
      </c>
      <c r="K116" s="129" t="str">
        <f>VLOOKUP(VALUE($B116),test_out_xwalk!$C:$L,3,FALSE)</f>
        <v>Soybean (Glycine max)-2-7</v>
      </c>
      <c r="L116" s="129">
        <f>VLOOKUP(VALUE($B116),test_out_xwalk!$C:$L,5,FALSE)</f>
        <v>1.125</v>
      </c>
      <c r="M116" s="129">
        <f>VLOOKUP(VALUE($B116),test_out_xwalk!$C:$L,6,FALSE)</f>
        <v>3</v>
      </c>
      <c r="N116" s="129" t="str">
        <f>VLOOKUP(VALUE($B116),test_out_xwalk!$C:$L,8,FALSE)</f>
        <v>Ground_VF-F_HB</v>
      </c>
      <c r="O116" s="129" t="str">
        <f>VLOOKUP(VALUE($B116),test_out_xwalk!$C:$L,7,FALSE)</f>
        <v>Spray</v>
      </c>
      <c r="P116" s="129" t="str">
        <f>VLOOKUP(VALUE($B116),test_out_xwalk!$C:$L,4,FALSE)</f>
        <v>Post-emergence</v>
      </c>
      <c r="Q116" s="129" t="str">
        <f>VLOOKUP(VALUE($B116),test_out_xwalk!$C:$L,9,FALSE)</f>
        <v>Soybeans</v>
      </c>
      <c r="R116">
        <f>_xlfn.XLOOKUP(VALUE(B116),test_out_xwalk!$C:$C,test_out_xwalk!$A:$A)</f>
        <v>2</v>
      </c>
      <c r="T116" s="121" t="str">
        <f>IF('summary_EPA Pond'!$O116="","Check Summary EPA POND worksheet Column O",'summary_EPA Pond'!$O116)</f>
        <v>19_2517301-22540-12_Vegetable fresh or processing market-r10U-A_USEPA Pond_0010_median</v>
      </c>
      <c r="U116" s="121" t="str" cm="1">
        <f t="array" ref="U116:Z116">IFERROR(_xlfn.TEXTSPLIT(T116,"_"),"")</f>
        <v>19</v>
      </c>
      <c r="V116" t="str">
        <v>2517301-22540-12</v>
      </c>
      <c r="W116" t="str">
        <v>Vegetable fresh or processing market-r10U-A</v>
      </c>
      <c r="X116" t="str">
        <v>USEPA Pond</v>
      </c>
      <c r="Y116" t="str">
        <v>0010</v>
      </c>
      <c r="Z116" t="str">
        <v>median</v>
      </c>
      <c r="AA116" s="121" t="str" cm="1">
        <f t="array" ref="AA116:AC116">IF(W116="","",(_xlfn.TEXTSPLIT(W116,"-")))</f>
        <v>Vegetable fresh or processing market</v>
      </c>
      <c r="AB116" s="121" t="str">
        <v>r10U</v>
      </c>
      <c r="AC116" t="str">
        <v>A</v>
      </c>
      <c r="AD116" s="129" t="str">
        <f>VLOOKUP(VALUE($U116),test_out_xwalk!$C:$L,3,FALSE)</f>
        <v>Broccoli-6-19</v>
      </c>
      <c r="AE116" s="129">
        <f>VLOOKUP(VALUE($U116),test_out_xwalk!$C:$L,5,FALSE)</f>
        <v>0.5</v>
      </c>
      <c r="AF116" s="129">
        <f>VLOOKUP(VALUE($U116),test_out_xwalk!$C:$L,6,FALSE)</f>
        <v>0.5</v>
      </c>
      <c r="AG116" s="129" t="str">
        <f>VLOOKUP(VALUE($U116),test_out_xwalk!$C:$L,8,FALSE)</f>
        <v>None</v>
      </c>
      <c r="AH116" s="129" t="str">
        <f>VLOOKUP(VALUE($U116),test_out_xwalk!$C:$L,7,FALSE)</f>
        <v>Spray</v>
      </c>
      <c r="AI116" s="129" t="str">
        <f>VLOOKUP(VALUE($U116),test_out_xwalk!$C:$L,4,FALSE)</f>
        <v>Pre-emergence</v>
      </c>
      <c r="AJ116" s="129" t="str">
        <f>VLOOKUP(VALUE($U116),test_out_xwalk!$C:$L,9,FALSE)</f>
        <v>Vegetables and Ground Fruit</v>
      </c>
      <c r="AK116">
        <f>_xlfn.XLOOKUP(VALUE(U116),test_out_xwalk!C:C,test_out_xwalk!A:A)</f>
        <v>6</v>
      </c>
    </row>
    <row r="117" spans="1:37" x14ac:dyDescent="0.55000000000000004">
      <c r="A117" s="121" t="str">
        <f>IF('summary_EPA Pond'!$A117="","Check Summary EPA POND worksheet Column A",'summary_EPA Pond'!$A117)</f>
        <v xml:space="preserve">7_1700092-19697-5_Soybean-r10L-A_USEPA Pond_0076_median                               </v>
      </c>
      <c r="B117" s="121" t="str" cm="1">
        <f t="array" ref="B117:G117">IFERROR(_xlfn.TEXTSPLIT(A117,"_"),"")</f>
        <v>7</v>
      </c>
      <c r="C117" t="str">
        <v>1700092-19697-5</v>
      </c>
      <c r="D117" t="str">
        <v>Soybean-r10L-A</v>
      </c>
      <c r="E117" t="str">
        <v>USEPA Pond</v>
      </c>
      <c r="F117" t="str">
        <v>0076</v>
      </c>
      <c r="G117" t="str">
        <v xml:space="preserve">median                               </v>
      </c>
      <c r="H117" s="121" t="str" cm="1">
        <f t="array" ref="H117:J117">IF(D117="","",(_xlfn.TEXTSPLIT(D117,"-")))</f>
        <v>Soybean</v>
      </c>
      <c r="I117" s="121" t="str">
        <v>r10L</v>
      </c>
      <c r="J117" t="str">
        <v>A</v>
      </c>
      <c r="K117" s="129" t="str">
        <f>VLOOKUP(VALUE($B117),test_out_xwalk!$C:$L,3,FALSE)</f>
        <v>Soybean (Glycine max)-2-7</v>
      </c>
      <c r="L117" s="129">
        <f>VLOOKUP(VALUE($B117),test_out_xwalk!$C:$L,5,FALSE)</f>
        <v>1.125</v>
      </c>
      <c r="M117" s="129">
        <f>VLOOKUP(VALUE($B117),test_out_xwalk!$C:$L,6,FALSE)</f>
        <v>3</v>
      </c>
      <c r="N117" s="129" t="str">
        <f>VLOOKUP(VALUE($B117),test_out_xwalk!$C:$L,8,FALSE)</f>
        <v>Ground_VF-F_HB</v>
      </c>
      <c r="O117" s="129" t="str">
        <f>VLOOKUP(VALUE($B117),test_out_xwalk!$C:$L,7,FALSE)</f>
        <v>Spray</v>
      </c>
      <c r="P117" s="129" t="str">
        <f>VLOOKUP(VALUE($B117),test_out_xwalk!$C:$L,4,FALSE)</f>
        <v>Post-emergence</v>
      </c>
      <c r="Q117" s="129" t="str">
        <f>VLOOKUP(VALUE($B117),test_out_xwalk!$C:$L,9,FALSE)</f>
        <v>Soybeans</v>
      </c>
      <c r="R117">
        <f>_xlfn.XLOOKUP(VALUE(B117),test_out_xwalk!$C:$C,test_out_xwalk!$A:$A)</f>
        <v>2</v>
      </c>
      <c r="T117" s="121" t="str">
        <f>IF('summary_EPA Pond'!$O117="","Check Summary EPA POND worksheet Column O",'summary_EPA Pond'!$O117)</f>
        <v xml:space="preserve">19_382177-13799-57_Vegetable fresh or processing market-r11-A_USEPA Pond_0010_median  </v>
      </c>
      <c r="U117" s="121" t="str" cm="1">
        <f t="array" ref="U117:Z117">IFERROR(_xlfn.TEXTSPLIT(T117,"_"),"")</f>
        <v>19</v>
      </c>
      <c r="V117" t="str">
        <v>382177-13799-57</v>
      </c>
      <c r="W117" t="str">
        <v>Vegetable fresh or processing market-r11-A</v>
      </c>
      <c r="X117" t="str">
        <v>USEPA Pond</v>
      </c>
      <c r="Y117" t="str">
        <v>0010</v>
      </c>
      <c r="Z117" t="str">
        <v xml:space="preserve">median  </v>
      </c>
      <c r="AA117" s="121" t="str" cm="1">
        <f t="array" ref="AA117:AC117">IF(W117="","",(_xlfn.TEXTSPLIT(W117,"-")))</f>
        <v>Vegetable fresh or processing market</v>
      </c>
      <c r="AB117" s="121" t="str">
        <v>r11</v>
      </c>
      <c r="AC117" t="str">
        <v>A</v>
      </c>
      <c r="AD117" s="129" t="str">
        <f>VLOOKUP(VALUE($U117),test_out_xwalk!$C:$L,3,FALSE)</f>
        <v>Broccoli-6-19</v>
      </c>
      <c r="AE117" s="129">
        <f>VLOOKUP(VALUE($U117),test_out_xwalk!$C:$L,5,FALSE)</f>
        <v>0.5</v>
      </c>
      <c r="AF117" s="129">
        <f>VLOOKUP(VALUE($U117),test_out_xwalk!$C:$L,6,FALSE)</f>
        <v>0.5</v>
      </c>
      <c r="AG117" s="129" t="str">
        <f>VLOOKUP(VALUE($U117),test_out_xwalk!$C:$L,8,FALSE)</f>
        <v>None</v>
      </c>
      <c r="AH117" s="129" t="str">
        <f>VLOOKUP(VALUE($U117),test_out_xwalk!$C:$L,7,FALSE)</f>
        <v>Spray</v>
      </c>
      <c r="AI117" s="129" t="str">
        <f>VLOOKUP(VALUE($U117),test_out_xwalk!$C:$L,4,FALSE)</f>
        <v>Pre-emergence</v>
      </c>
      <c r="AJ117" s="129" t="str">
        <f>VLOOKUP(VALUE($U117),test_out_xwalk!$C:$L,9,FALSE)</f>
        <v>Vegetables and Ground Fruit</v>
      </c>
      <c r="AK117">
        <f>_xlfn.XLOOKUP(VALUE(U117),test_out_xwalk!C:C,test_out_xwalk!A:A)</f>
        <v>6</v>
      </c>
    </row>
    <row r="118" spans="1:37" x14ac:dyDescent="0.55000000000000004">
      <c r="A118" s="121" t="str">
        <f>IF('summary_EPA Pond'!$A118="","Check Summary EPA POND worksheet Column A",'summary_EPA Pond'!$A118)</f>
        <v xml:space="preserve">7_2573568-25127-5_Soybean-r10U-A_USEPA Pond_0076_median                               </v>
      </c>
      <c r="B118" s="121" t="str" cm="1">
        <f t="array" ref="B118:G118">IFERROR(_xlfn.TEXTSPLIT(A118,"_"),"")</f>
        <v>7</v>
      </c>
      <c r="C118" t="str">
        <v>2573568-25127-5</v>
      </c>
      <c r="D118" t="str">
        <v>Soybean-r10U-A</v>
      </c>
      <c r="E118" t="str">
        <v>USEPA Pond</v>
      </c>
      <c r="F118" t="str">
        <v>0076</v>
      </c>
      <c r="G118" t="str">
        <v xml:space="preserve">median                               </v>
      </c>
      <c r="H118" s="121" t="str" cm="1">
        <f t="array" ref="H118:J118">IF(D118="","",(_xlfn.TEXTSPLIT(D118,"-")))</f>
        <v>Soybean</v>
      </c>
      <c r="I118" s="121" t="str">
        <v>r10U</v>
      </c>
      <c r="J118" t="str">
        <v>A</v>
      </c>
      <c r="K118" s="129" t="str">
        <f>VLOOKUP(VALUE($B118),test_out_xwalk!$C:$L,3,FALSE)</f>
        <v>Soybean (Glycine max)-2-7</v>
      </c>
      <c r="L118" s="129">
        <f>VLOOKUP(VALUE($B118),test_out_xwalk!$C:$L,5,FALSE)</f>
        <v>1.125</v>
      </c>
      <c r="M118" s="129">
        <f>VLOOKUP(VALUE($B118),test_out_xwalk!$C:$L,6,FALSE)</f>
        <v>3</v>
      </c>
      <c r="N118" s="129" t="str">
        <f>VLOOKUP(VALUE($B118),test_out_xwalk!$C:$L,8,FALSE)</f>
        <v>Ground_VF-F_HB</v>
      </c>
      <c r="O118" s="129" t="str">
        <f>VLOOKUP(VALUE($B118),test_out_xwalk!$C:$L,7,FALSE)</f>
        <v>Spray</v>
      </c>
      <c r="P118" s="129" t="str">
        <f>VLOOKUP(VALUE($B118),test_out_xwalk!$C:$L,4,FALSE)</f>
        <v>Post-emergence</v>
      </c>
      <c r="Q118" s="129" t="str">
        <f>VLOOKUP(VALUE($B118),test_out_xwalk!$C:$L,9,FALSE)</f>
        <v>Soybeans</v>
      </c>
      <c r="R118">
        <f>_xlfn.XLOOKUP(VALUE(B118),test_out_xwalk!$C:$C,test_out_xwalk!$A:$A)</f>
        <v>2</v>
      </c>
      <c r="T118" s="121" t="str">
        <f>IF('summary_EPA Pond'!$O118="","Check Summary EPA POND worksheet Column O",'summary_EPA Pond'!$O118)</f>
        <v xml:space="preserve">19_373519-10262-57_Vegetable fresh or processing market-r12-A_USEPA Pond_0010_median  </v>
      </c>
      <c r="U118" s="121" t="str" cm="1">
        <f t="array" ref="U118:Z118">IFERROR(_xlfn.TEXTSPLIT(T118,"_"),"")</f>
        <v>19</v>
      </c>
      <c r="V118" t="str">
        <v>373519-10262-57</v>
      </c>
      <c r="W118" t="str">
        <v>Vegetable fresh or processing market-r12-A</v>
      </c>
      <c r="X118" t="str">
        <v>USEPA Pond</v>
      </c>
      <c r="Y118" t="str">
        <v>0010</v>
      </c>
      <c r="Z118" t="str">
        <v xml:space="preserve">median  </v>
      </c>
      <c r="AA118" s="121" t="str" cm="1">
        <f t="array" ref="AA118:AC118">IF(W118="","",(_xlfn.TEXTSPLIT(W118,"-")))</f>
        <v>Vegetable fresh or processing market</v>
      </c>
      <c r="AB118" s="121" t="str">
        <v>r12</v>
      </c>
      <c r="AC118" t="str">
        <v>A</v>
      </c>
      <c r="AD118" s="129" t="str">
        <f>VLOOKUP(VALUE($U118),test_out_xwalk!$C:$L,3,FALSE)</f>
        <v>Broccoli-6-19</v>
      </c>
      <c r="AE118" s="129">
        <f>VLOOKUP(VALUE($U118),test_out_xwalk!$C:$L,5,FALSE)</f>
        <v>0.5</v>
      </c>
      <c r="AF118" s="129">
        <f>VLOOKUP(VALUE($U118),test_out_xwalk!$C:$L,6,FALSE)</f>
        <v>0.5</v>
      </c>
      <c r="AG118" s="129" t="str">
        <f>VLOOKUP(VALUE($U118),test_out_xwalk!$C:$L,8,FALSE)</f>
        <v>None</v>
      </c>
      <c r="AH118" s="129" t="str">
        <f>VLOOKUP(VALUE($U118),test_out_xwalk!$C:$L,7,FALSE)</f>
        <v>Spray</v>
      </c>
      <c r="AI118" s="129" t="str">
        <f>VLOOKUP(VALUE($U118),test_out_xwalk!$C:$L,4,FALSE)</f>
        <v>Pre-emergence</v>
      </c>
      <c r="AJ118" s="129" t="str">
        <f>VLOOKUP(VALUE($U118),test_out_xwalk!$C:$L,9,FALSE)</f>
        <v>Vegetables and Ground Fruit</v>
      </c>
      <c r="AK118">
        <f>_xlfn.XLOOKUP(VALUE(U118),test_out_xwalk!C:C,test_out_xwalk!A:A)</f>
        <v>6</v>
      </c>
    </row>
    <row r="119" spans="1:37" x14ac:dyDescent="0.55000000000000004">
      <c r="A119" s="121" t="str">
        <f>IF('summary_EPA Pond'!$A119="","Check Summary EPA POND worksheet Column A",'summary_EPA Pond'!$A119)</f>
        <v xml:space="preserve">7_1155440-16870-254_Soybean-r11-A_USEPA Pond_0076_median                              </v>
      </c>
      <c r="B119" s="121" t="str" cm="1">
        <f t="array" ref="B119:G119">IFERROR(_xlfn.TEXTSPLIT(A119,"_"),"")</f>
        <v>7</v>
      </c>
      <c r="C119" t="str">
        <v>1155440-16870-254</v>
      </c>
      <c r="D119" t="str">
        <v>Soybean-r11-A</v>
      </c>
      <c r="E119" t="str">
        <v>USEPA Pond</v>
      </c>
      <c r="F119" t="str">
        <v>0076</v>
      </c>
      <c r="G119" t="str">
        <v xml:space="preserve">median                              </v>
      </c>
      <c r="H119" s="121" t="str" cm="1">
        <f t="array" ref="H119:J119">IF(D119="","",(_xlfn.TEXTSPLIT(D119,"-")))</f>
        <v>Soybean</v>
      </c>
      <c r="I119" s="121" t="str">
        <v>r11</v>
      </c>
      <c r="J119" t="str">
        <v>A</v>
      </c>
      <c r="K119" s="129" t="str">
        <f>VLOOKUP(VALUE($B119),test_out_xwalk!$C:$L,3,FALSE)</f>
        <v>Soybean (Glycine max)-2-7</v>
      </c>
      <c r="L119" s="129">
        <f>VLOOKUP(VALUE($B119),test_out_xwalk!$C:$L,5,FALSE)</f>
        <v>1.125</v>
      </c>
      <c r="M119" s="129">
        <f>VLOOKUP(VALUE($B119),test_out_xwalk!$C:$L,6,FALSE)</f>
        <v>3</v>
      </c>
      <c r="N119" s="129" t="str">
        <f>VLOOKUP(VALUE($B119),test_out_xwalk!$C:$L,8,FALSE)</f>
        <v>Ground_VF-F_HB</v>
      </c>
      <c r="O119" s="129" t="str">
        <f>VLOOKUP(VALUE($B119),test_out_xwalk!$C:$L,7,FALSE)</f>
        <v>Spray</v>
      </c>
      <c r="P119" s="129" t="str">
        <f>VLOOKUP(VALUE($B119),test_out_xwalk!$C:$L,4,FALSE)</f>
        <v>Post-emergence</v>
      </c>
      <c r="Q119" s="129" t="str">
        <f>VLOOKUP(VALUE($B119),test_out_xwalk!$C:$L,9,FALSE)</f>
        <v>Soybeans</v>
      </c>
      <c r="R119">
        <f>_xlfn.XLOOKUP(VALUE(B119),test_out_xwalk!$C:$C,test_out_xwalk!$A:$A)</f>
        <v>2</v>
      </c>
      <c r="T119" s="121" t="str">
        <f>IF('summary_EPA Pond'!$O119="","Check Summary EPA POND worksheet Column O",'summary_EPA Pond'!$O119)</f>
        <v xml:space="preserve">19_58936-11176-216_Vegetable fresh or processing market-r13-A_USEPA Pond_0010_median  </v>
      </c>
      <c r="U119" s="121" t="str" cm="1">
        <f t="array" ref="U119:Z119">IFERROR(_xlfn.TEXTSPLIT(T119,"_"),"")</f>
        <v>19</v>
      </c>
      <c r="V119" t="str">
        <v>58936-11176-216</v>
      </c>
      <c r="W119" t="str">
        <v>Vegetable fresh or processing market-r13-A</v>
      </c>
      <c r="X119" t="str">
        <v>USEPA Pond</v>
      </c>
      <c r="Y119" t="str">
        <v>0010</v>
      </c>
      <c r="Z119" t="str">
        <v xml:space="preserve">median  </v>
      </c>
      <c r="AA119" s="121" t="str" cm="1">
        <f t="array" ref="AA119:AC119">IF(W119="","",(_xlfn.TEXTSPLIT(W119,"-")))</f>
        <v>Vegetable fresh or processing market</v>
      </c>
      <c r="AB119" s="121" t="str">
        <v>r13</v>
      </c>
      <c r="AC119" t="str">
        <v>A</v>
      </c>
      <c r="AD119" s="129" t="str">
        <f>VLOOKUP(VALUE($U119),test_out_xwalk!$C:$L,3,FALSE)</f>
        <v>Broccoli-6-19</v>
      </c>
      <c r="AE119" s="129">
        <f>VLOOKUP(VALUE($U119),test_out_xwalk!$C:$L,5,FALSE)</f>
        <v>0.5</v>
      </c>
      <c r="AF119" s="129">
        <f>VLOOKUP(VALUE($U119),test_out_xwalk!$C:$L,6,FALSE)</f>
        <v>0.5</v>
      </c>
      <c r="AG119" s="129" t="str">
        <f>VLOOKUP(VALUE($U119),test_out_xwalk!$C:$L,8,FALSE)</f>
        <v>None</v>
      </c>
      <c r="AH119" s="129" t="str">
        <f>VLOOKUP(VALUE($U119),test_out_xwalk!$C:$L,7,FALSE)</f>
        <v>Spray</v>
      </c>
      <c r="AI119" s="129" t="str">
        <f>VLOOKUP(VALUE($U119),test_out_xwalk!$C:$L,4,FALSE)</f>
        <v>Pre-emergence</v>
      </c>
      <c r="AJ119" s="129" t="str">
        <f>VLOOKUP(VALUE($U119),test_out_xwalk!$C:$L,9,FALSE)</f>
        <v>Vegetables and Ground Fruit</v>
      </c>
      <c r="AK119">
        <f>_xlfn.XLOOKUP(VALUE(U119),test_out_xwalk!C:C,test_out_xwalk!A:A)</f>
        <v>6</v>
      </c>
    </row>
    <row r="120" spans="1:37" x14ac:dyDescent="0.55000000000000004">
      <c r="A120" s="121" t="str">
        <f>IF('summary_EPA Pond'!$A120="","Check Summary EPA POND worksheet Column A",'summary_EPA Pond'!$A120)</f>
        <v xml:space="preserve">7_373259-8851-5_Soybean-r12-A_USEPA Pond_0076_median                                  </v>
      </c>
      <c r="B120" s="121" t="str" cm="1">
        <f t="array" ref="B120:G120">IFERROR(_xlfn.TEXTSPLIT(A120,"_"),"")</f>
        <v>7</v>
      </c>
      <c r="C120" t="str">
        <v>373259-8851-5</v>
      </c>
      <c r="D120" t="str">
        <v>Soybean-r12-A</v>
      </c>
      <c r="E120" t="str">
        <v>USEPA Pond</v>
      </c>
      <c r="F120" t="str">
        <v>0076</v>
      </c>
      <c r="G120" t="str">
        <v xml:space="preserve">median                                  </v>
      </c>
      <c r="H120" s="121" t="str" cm="1">
        <f t="array" ref="H120:J120">IF(D120="","",(_xlfn.TEXTSPLIT(D120,"-")))</f>
        <v>Soybean</v>
      </c>
      <c r="I120" s="121" t="str">
        <v>r12</v>
      </c>
      <c r="J120" t="str">
        <v>A</v>
      </c>
      <c r="K120" s="129" t="str">
        <f>VLOOKUP(VALUE($B120),test_out_xwalk!$C:$L,3,FALSE)</f>
        <v>Soybean (Glycine max)-2-7</v>
      </c>
      <c r="L120" s="129">
        <f>VLOOKUP(VALUE($B120),test_out_xwalk!$C:$L,5,FALSE)</f>
        <v>1.125</v>
      </c>
      <c r="M120" s="129">
        <f>VLOOKUP(VALUE($B120),test_out_xwalk!$C:$L,6,FALSE)</f>
        <v>3</v>
      </c>
      <c r="N120" s="129" t="str">
        <f>VLOOKUP(VALUE($B120),test_out_xwalk!$C:$L,8,FALSE)</f>
        <v>Ground_VF-F_HB</v>
      </c>
      <c r="O120" s="129" t="str">
        <f>VLOOKUP(VALUE($B120),test_out_xwalk!$C:$L,7,FALSE)</f>
        <v>Spray</v>
      </c>
      <c r="P120" s="129" t="str">
        <f>VLOOKUP(VALUE($B120),test_out_xwalk!$C:$L,4,FALSE)</f>
        <v>Post-emergence</v>
      </c>
      <c r="Q120" s="129" t="str">
        <f>VLOOKUP(VALUE($B120),test_out_xwalk!$C:$L,9,FALSE)</f>
        <v>Soybeans</v>
      </c>
      <c r="R120">
        <f>_xlfn.XLOOKUP(VALUE(B120),test_out_xwalk!$C:$C,test_out_xwalk!$A:$A)</f>
        <v>2</v>
      </c>
      <c r="T120" s="121" t="str">
        <f>IF('summary_EPA Pond'!$O120="","Check Summary EPA POND worksheet Column O",'summary_EPA Pond'!$O120)</f>
        <v xml:space="preserve">19_508783-17536-12_Vegetable fresh or processing market-r14-A_USEPA Pond_0010_median  </v>
      </c>
      <c r="U120" s="121" t="str" cm="1">
        <f t="array" ref="U120:Z120">IFERROR(_xlfn.TEXTSPLIT(T120,"_"),"")</f>
        <v>19</v>
      </c>
      <c r="V120" t="str">
        <v>508783-17536-12</v>
      </c>
      <c r="W120" t="str">
        <v>Vegetable fresh or processing market-r14-A</v>
      </c>
      <c r="X120" t="str">
        <v>USEPA Pond</v>
      </c>
      <c r="Y120" t="str">
        <v>0010</v>
      </c>
      <c r="Z120" t="str">
        <v xml:space="preserve">median  </v>
      </c>
      <c r="AA120" s="121" t="str" cm="1">
        <f t="array" ref="AA120:AC120">IF(W120="","",(_xlfn.TEXTSPLIT(W120,"-")))</f>
        <v>Vegetable fresh or processing market</v>
      </c>
      <c r="AB120" s="121" t="str">
        <v>r14</v>
      </c>
      <c r="AC120" t="str">
        <v>A</v>
      </c>
      <c r="AD120" s="129" t="str">
        <f>VLOOKUP(VALUE($U120),test_out_xwalk!$C:$L,3,FALSE)</f>
        <v>Broccoli-6-19</v>
      </c>
      <c r="AE120" s="129">
        <f>VLOOKUP(VALUE($U120),test_out_xwalk!$C:$L,5,FALSE)</f>
        <v>0.5</v>
      </c>
      <c r="AF120" s="129">
        <f>VLOOKUP(VALUE($U120),test_out_xwalk!$C:$L,6,FALSE)</f>
        <v>0.5</v>
      </c>
      <c r="AG120" s="129" t="str">
        <f>VLOOKUP(VALUE($U120),test_out_xwalk!$C:$L,8,FALSE)</f>
        <v>None</v>
      </c>
      <c r="AH120" s="129" t="str">
        <f>VLOOKUP(VALUE($U120),test_out_xwalk!$C:$L,7,FALSE)</f>
        <v>Spray</v>
      </c>
      <c r="AI120" s="129" t="str">
        <f>VLOOKUP(VALUE($U120),test_out_xwalk!$C:$L,4,FALSE)</f>
        <v>Pre-emergence</v>
      </c>
      <c r="AJ120" s="129" t="str">
        <f>VLOOKUP(VALUE($U120),test_out_xwalk!$C:$L,9,FALSE)</f>
        <v>Vegetables and Ground Fruit</v>
      </c>
      <c r="AK120">
        <f>_xlfn.XLOOKUP(VALUE(U120),test_out_xwalk!C:C,test_out_xwalk!A:A)</f>
        <v>6</v>
      </c>
    </row>
    <row r="121" spans="1:37" x14ac:dyDescent="0.55000000000000004">
      <c r="A121" s="121" t="str">
        <f>IF('summary_EPA Pond'!$A121="","Check Summary EPA POND worksheet Column A",'summary_EPA Pond'!$A121)</f>
        <v xml:space="preserve">7_363659-5778-5_Soybean-r13-A_USEPA Pond_0076_median                                  </v>
      </c>
      <c r="B121" s="121" t="str" cm="1">
        <f t="array" ref="B121:G121">IFERROR(_xlfn.TEXTSPLIT(A121,"_"),"")</f>
        <v>7</v>
      </c>
      <c r="C121" t="str">
        <v>363659-5778-5</v>
      </c>
      <c r="D121" t="str">
        <v>Soybean-r13-A</v>
      </c>
      <c r="E121" t="str">
        <v>USEPA Pond</v>
      </c>
      <c r="F121" t="str">
        <v>0076</v>
      </c>
      <c r="G121" t="str">
        <v xml:space="preserve">median                                  </v>
      </c>
      <c r="H121" s="121" t="str" cm="1">
        <f t="array" ref="H121:J121">IF(D121="","",(_xlfn.TEXTSPLIT(D121,"-")))</f>
        <v>Soybean</v>
      </c>
      <c r="I121" s="121" t="str">
        <v>r13</v>
      </c>
      <c r="J121" t="str">
        <v>A</v>
      </c>
      <c r="K121" s="129" t="str">
        <f>VLOOKUP(VALUE($B121),test_out_xwalk!$C:$L,3,FALSE)</f>
        <v>Soybean (Glycine max)-2-7</v>
      </c>
      <c r="L121" s="129">
        <f>VLOOKUP(VALUE($B121),test_out_xwalk!$C:$L,5,FALSE)</f>
        <v>1.125</v>
      </c>
      <c r="M121" s="129">
        <f>VLOOKUP(VALUE($B121),test_out_xwalk!$C:$L,6,FALSE)</f>
        <v>3</v>
      </c>
      <c r="N121" s="129" t="str">
        <f>VLOOKUP(VALUE($B121),test_out_xwalk!$C:$L,8,FALSE)</f>
        <v>Ground_VF-F_HB</v>
      </c>
      <c r="O121" s="129" t="str">
        <f>VLOOKUP(VALUE($B121),test_out_xwalk!$C:$L,7,FALSE)</f>
        <v>Spray</v>
      </c>
      <c r="P121" s="129" t="str">
        <f>VLOOKUP(VALUE($B121),test_out_xwalk!$C:$L,4,FALSE)</f>
        <v>Post-emergence</v>
      </c>
      <c r="Q121" s="129" t="str">
        <f>VLOOKUP(VALUE($B121),test_out_xwalk!$C:$L,9,FALSE)</f>
        <v>Soybeans</v>
      </c>
      <c r="R121">
        <f>_xlfn.XLOOKUP(VALUE(B121),test_out_xwalk!$C:$C,test_out_xwalk!$A:$A)</f>
        <v>2</v>
      </c>
      <c r="T121" s="121" t="str">
        <f>IF('summary_EPA Pond'!$O121="","Check Summary EPA POND worksheet Column O",'summary_EPA Pond'!$O121)</f>
        <v xml:space="preserve">19_53259-11846-227_Vegetable fresh or processing market-r15-A_USEPA Pond_0010_median  </v>
      </c>
      <c r="U121" s="121" t="str" cm="1">
        <f t="array" ref="U121:Z121">IFERROR(_xlfn.TEXTSPLIT(T121,"_"),"")</f>
        <v>19</v>
      </c>
      <c r="V121" t="str">
        <v>53259-11846-227</v>
      </c>
      <c r="W121" t="str">
        <v>Vegetable fresh or processing market-r15-A</v>
      </c>
      <c r="X121" t="str">
        <v>USEPA Pond</v>
      </c>
      <c r="Y121" t="str">
        <v>0010</v>
      </c>
      <c r="Z121" t="str">
        <v xml:space="preserve">median  </v>
      </c>
      <c r="AA121" s="121" t="str" cm="1">
        <f t="array" ref="AA121:AC121">IF(W121="","",(_xlfn.TEXTSPLIT(W121,"-")))</f>
        <v>Vegetable fresh or processing market</v>
      </c>
      <c r="AB121" s="121" t="str">
        <v>r15</v>
      </c>
      <c r="AC121" t="str">
        <v>A</v>
      </c>
      <c r="AD121" s="129" t="str">
        <f>VLOOKUP(VALUE($U121),test_out_xwalk!$C:$L,3,FALSE)</f>
        <v>Broccoli-6-19</v>
      </c>
      <c r="AE121" s="129">
        <f>VLOOKUP(VALUE($U121),test_out_xwalk!$C:$L,5,FALSE)</f>
        <v>0.5</v>
      </c>
      <c r="AF121" s="129">
        <f>VLOOKUP(VALUE($U121),test_out_xwalk!$C:$L,6,FALSE)</f>
        <v>0.5</v>
      </c>
      <c r="AG121" s="129" t="str">
        <f>VLOOKUP(VALUE($U121),test_out_xwalk!$C:$L,8,FALSE)</f>
        <v>None</v>
      </c>
      <c r="AH121" s="129" t="str">
        <f>VLOOKUP(VALUE($U121),test_out_xwalk!$C:$L,7,FALSE)</f>
        <v>Spray</v>
      </c>
      <c r="AI121" s="129" t="str">
        <f>VLOOKUP(VALUE($U121),test_out_xwalk!$C:$L,4,FALSE)</f>
        <v>Pre-emergence</v>
      </c>
      <c r="AJ121" s="129" t="str">
        <f>VLOOKUP(VALUE($U121),test_out_xwalk!$C:$L,9,FALSE)</f>
        <v>Vegetables and Ground Fruit</v>
      </c>
      <c r="AK121">
        <f>_xlfn.XLOOKUP(VALUE(U121),test_out_xwalk!C:C,test_out_xwalk!A:A)</f>
        <v>6</v>
      </c>
    </row>
    <row r="122" spans="1:37" x14ac:dyDescent="0.55000000000000004">
      <c r="A122" s="121" t="str">
        <f>IF('summary_EPA Pond'!$A122="","Check Summary EPA POND worksheet Column A",'summary_EPA Pond'!$A122)</f>
        <v xml:space="preserve">7_508783-17536-5_Soybean-r14-A_USEPA Pond_0076_median                                 </v>
      </c>
      <c r="B122" s="121" t="str" cm="1">
        <f t="array" ref="B122:G122">IFERROR(_xlfn.TEXTSPLIT(A122,"_"),"")</f>
        <v>7</v>
      </c>
      <c r="C122" t="str">
        <v>508783-17536-5</v>
      </c>
      <c r="D122" t="str">
        <v>Soybean-r14-A</v>
      </c>
      <c r="E122" t="str">
        <v>USEPA Pond</v>
      </c>
      <c r="F122" t="str">
        <v>0076</v>
      </c>
      <c r="G122" t="str">
        <v xml:space="preserve">median                                 </v>
      </c>
      <c r="H122" s="121" t="str" cm="1">
        <f t="array" ref="H122:J122">IF(D122="","",(_xlfn.TEXTSPLIT(D122,"-")))</f>
        <v>Soybean</v>
      </c>
      <c r="I122" s="121" t="str">
        <v>r14</v>
      </c>
      <c r="J122" t="str">
        <v>A</v>
      </c>
      <c r="K122" s="129" t="str">
        <f>VLOOKUP(VALUE($B122),test_out_xwalk!$C:$L,3,FALSE)</f>
        <v>Soybean (Glycine max)-2-7</v>
      </c>
      <c r="L122" s="129">
        <f>VLOOKUP(VALUE($B122),test_out_xwalk!$C:$L,5,FALSE)</f>
        <v>1.125</v>
      </c>
      <c r="M122" s="129">
        <f>VLOOKUP(VALUE($B122),test_out_xwalk!$C:$L,6,FALSE)</f>
        <v>3</v>
      </c>
      <c r="N122" s="129" t="str">
        <f>VLOOKUP(VALUE($B122),test_out_xwalk!$C:$L,8,FALSE)</f>
        <v>Ground_VF-F_HB</v>
      </c>
      <c r="O122" s="129" t="str">
        <f>VLOOKUP(VALUE($B122),test_out_xwalk!$C:$L,7,FALSE)</f>
        <v>Spray</v>
      </c>
      <c r="P122" s="129" t="str">
        <f>VLOOKUP(VALUE($B122),test_out_xwalk!$C:$L,4,FALSE)</f>
        <v>Post-emergence</v>
      </c>
      <c r="Q122" s="129" t="str">
        <f>VLOOKUP(VALUE($B122),test_out_xwalk!$C:$L,9,FALSE)</f>
        <v>Soybeans</v>
      </c>
      <c r="R122">
        <f>_xlfn.XLOOKUP(VALUE(B122),test_out_xwalk!$C:$C,test_out_xwalk!$A:$A)</f>
        <v>2</v>
      </c>
      <c r="T122" s="121" t="str">
        <f>IF('summary_EPA Pond'!$O122="","Check Summary EPA POND worksheet Column O",'summary_EPA Pond'!$O122)</f>
        <v xml:space="preserve">19_473920-17256-208_Vegetable fresh or processing market-r16-A_USEPA Pond_0010_median </v>
      </c>
      <c r="U122" s="121" t="str" cm="1">
        <f t="array" ref="U122:Z122">IFERROR(_xlfn.TEXTSPLIT(T122,"_"),"")</f>
        <v>19</v>
      </c>
      <c r="V122" t="str">
        <v>473920-17256-208</v>
      </c>
      <c r="W122" t="str">
        <v>Vegetable fresh or processing market-r16-A</v>
      </c>
      <c r="X122" t="str">
        <v>USEPA Pond</v>
      </c>
      <c r="Y122" t="str">
        <v>0010</v>
      </c>
      <c r="Z122" t="str">
        <v xml:space="preserve">median </v>
      </c>
      <c r="AA122" s="121" t="str" cm="1">
        <f t="array" ref="AA122:AC122">IF(W122="","",(_xlfn.TEXTSPLIT(W122,"-")))</f>
        <v>Vegetable fresh or processing market</v>
      </c>
      <c r="AB122" s="121" t="str">
        <v>r16</v>
      </c>
      <c r="AC122" t="str">
        <v>A</v>
      </c>
      <c r="AD122" s="129" t="str">
        <f>VLOOKUP(VALUE($U122),test_out_xwalk!$C:$L,3,FALSE)</f>
        <v>Broccoli-6-19</v>
      </c>
      <c r="AE122" s="129">
        <f>VLOOKUP(VALUE($U122),test_out_xwalk!$C:$L,5,FALSE)</f>
        <v>0.5</v>
      </c>
      <c r="AF122" s="129">
        <f>VLOOKUP(VALUE($U122),test_out_xwalk!$C:$L,6,FALSE)</f>
        <v>0.5</v>
      </c>
      <c r="AG122" s="129" t="str">
        <f>VLOOKUP(VALUE($U122),test_out_xwalk!$C:$L,8,FALSE)</f>
        <v>None</v>
      </c>
      <c r="AH122" s="129" t="str">
        <f>VLOOKUP(VALUE($U122),test_out_xwalk!$C:$L,7,FALSE)</f>
        <v>Spray</v>
      </c>
      <c r="AI122" s="129" t="str">
        <f>VLOOKUP(VALUE($U122),test_out_xwalk!$C:$L,4,FALSE)</f>
        <v>Pre-emergence</v>
      </c>
      <c r="AJ122" s="129" t="str">
        <f>VLOOKUP(VALUE($U122),test_out_xwalk!$C:$L,9,FALSE)</f>
        <v>Vegetables and Ground Fruit</v>
      </c>
      <c r="AK122">
        <f>_xlfn.XLOOKUP(VALUE(U122),test_out_xwalk!C:C,test_out_xwalk!A:A)</f>
        <v>6</v>
      </c>
    </row>
    <row r="123" spans="1:37" x14ac:dyDescent="0.55000000000000004">
      <c r="A123" s="121" t="str">
        <f>IF('summary_EPA Pond'!$A123="","Check Summary EPA POND worksheet Column A",'summary_EPA Pond'!$A123)</f>
        <v xml:space="preserve">7_144849-26715-5_Soybean-r17-A_USEPA Pond_0076_median                                 </v>
      </c>
      <c r="B123" s="121" t="str" cm="1">
        <f t="array" ref="B123:G123">IFERROR(_xlfn.TEXTSPLIT(A123,"_"),"")</f>
        <v>7</v>
      </c>
      <c r="C123" t="str">
        <v>144849-26715-5</v>
      </c>
      <c r="D123" t="str">
        <v>Soybean-r17-A</v>
      </c>
      <c r="E123" t="str">
        <v>USEPA Pond</v>
      </c>
      <c r="F123" t="str">
        <v>0076</v>
      </c>
      <c r="G123" t="str">
        <v xml:space="preserve">median                                 </v>
      </c>
      <c r="H123" s="121" t="str" cm="1">
        <f t="array" ref="H123:J123">IF(D123="","",(_xlfn.TEXTSPLIT(D123,"-")))</f>
        <v>Soybean</v>
      </c>
      <c r="I123" s="121" t="str">
        <v>r17</v>
      </c>
      <c r="J123" t="str">
        <v>A</v>
      </c>
      <c r="K123" s="129" t="str">
        <f>VLOOKUP(VALUE($B123),test_out_xwalk!$C:$L,3,FALSE)</f>
        <v>Soybean (Glycine max)-2-7</v>
      </c>
      <c r="L123" s="129">
        <f>VLOOKUP(VALUE($B123),test_out_xwalk!$C:$L,5,FALSE)</f>
        <v>1.125</v>
      </c>
      <c r="M123" s="129">
        <f>VLOOKUP(VALUE($B123),test_out_xwalk!$C:$L,6,FALSE)</f>
        <v>3</v>
      </c>
      <c r="N123" s="129" t="str">
        <f>VLOOKUP(VALUE($B123),test_out_xwalk!$C:$L,8,FALSE)</f>
        <v>Ground_VF-F_HB</v>
      </c>
      <c r="O123" s="129" t="str">
        <f>VLOOKUP(VALUE($B123),test_out_xwalk!$C:$L,7,FALSE)</f>
        <v>Spray</v>
      </c>
      <c r="P123" s="129" t="str">
        <f>VLOOKUP(VALUE($B123),test_out_xwalk!$C:$L,4,FALSE)</f>
        <v>Post-emergence</v>
      </c>
      <c r="Q123" s="129" t="str">
        <f>VLOOKUP(VALUE($B123),test_out_xwalk!$C:$L,9,FALSE)</f>
        <v>Soybeans</v>
      </c>
      <c r="R123">
        <f>_xlfn.XLOOKUP(VALUE(B123),test_out_xwalk!$C:$C,test_out_xwalk!$A:$A)</f>
        <v>2</v>
      </c>
      <c r="T123" s="121" t="str">
        <f>IF('summary_EPA Pond'!$O123="","Check Summary EPA POND worksheet Column O",'summary_EPA Pond'!$O123)</f>
        <v xml:space="preserve">19_68754-25749-12_Vegetable fresh or processing market-r17-A_USEPA Pond_0010_median   </v>
      </c>
      <c r="U123" s="121" t="str" cm="1">
        <f t="array" ref="U123:Z123">IFERROR(_xlfn.TEXTSPLIT(T123,"_"),"")</f>
        <v>19</v>
      </c>
      <c r="V123" t="str">
        <v>68754-25749-12</v>
      </c>
      <c r="W123" t="str">
        <v>Vegetable fresh or processing market-r17-A</v>
      </c>
      <c r="X123" t="str">
        <v>USEPA Pond</v>
      </c>
      <c r="Y123" t="str">
        <v>0010</v>
      </c>
      <c r="Z123" t="str">
        <v xml:space="preserve">median   </v>
      </c>
      <c r="AA123" s="121" t="str" cm="1">
        <f t="array" ref="AA123:AC123">IF(W123="","",(_xlfn.TEXTSPLIT(W123,"-")))</f>
        <v>Vegetable fresh or processing market</v>
      </c>
      <c r="AB123" s="121" t="str">
        <v>r17</v>
      </c>
      <c r="AC123" t="str">
        <v>A</v>
      </c>
      <c r="AD123" s="129" t="str">
        <f>VLOOKUP(VALUE($U123),test_out_xwalk!$C:$L,3,FALSE)</f>
        <v>Broccoli-6-19</v>
      </c>
      <c r="AE123" s="129">
        <f>VLOOKUP(VALUE($U123),test_out_xwalk!$C:$L,5,FALSE)</f>
        <v>0.5</v>
      </c>
      <c r="AF123" s="129">
        <f>VLOOKUP(VALUE($U123),test_out_xwalk!$C:$L,6,FALSE)</f>
        <v>0.5</v>
      </c>
      <c r="AG123" s="129" t="str">
        <f>VLOOKUP(VALUE($U123),test_out_xwalk!$C:$L,8,FALSE)</f>
        <v>None</v>
      </c>
      <c r="AH123" s="129" t="str">
        <f>VLOOKUP(VALUE($U123),test_out_xwalk!$C:$L,7,FALSE)</f>
        <v>Spray</v>
      </c>
      <c r="AI123" s="129" t="str">
        <f>VLOOKUP(VALUE($U123),test_out_xwalk!$C:$L,4,FALSE)</f>
        <v>Pre-emergence</v>
      </c>
      <c r="AJ123" s="129" t="str">
        <f>VLOOKUP(VALUE($U123),test_out_xwalk!$C:$L,9,FALSE)</f>
        <v>Vegetables and Ground Fruit</v>
      </c>
      <c r="AK123">
        <f>_xlfn.XLOOKUP(VALUE(U123),test_out_xwalk!C:C,test_out_xwalk!A:A)</f>
        <v>6</v>
      </c>
    </row>
    <row r="124" spans="1:37" x14ac:dyDescent="0.55000000000000004">
      <c r="A124" s="121" t="str">
        <f>IF('summary_EPA Pond'!$A124="","Check Summary EPA POND worksheet Column A",'summary_EPA Pond'!$A124)</f>
        <v xml:space="preserve">9_286087-20273-68_Orchard deciduous-r01-A_USEPA Pond_0089_median                      </v>
      </c>
      <c r="B124" s="121" t="str" cm="1">
        <f t="array" ref="B124:G124">IFERROR(_xlfn.TEXTSPLIT(A124,"_"),"")</f>
        <v>9</v>
      </c>
      <c r="C124" t="str">
        <v>286087-20273-68</v>
      </c>
      <c r="D124" t="str">
        <v>Orchard deciduous-r01-A</v>
      </c>
      <c r="E124" t="str">
        <v>USEPA Pond</v>
      </c>
      <c r="F124" t="str">
        <v>0089</v>
      </c>
      <c r="G124" t="str">
        <v xml:space="preserve">median                      </v>
      </c>
      <c r="H124" s="121" t="str" cm="1">
        <f t="array" ref="H124:J124">IF(D124="","",(_xlfn.TEXTSPLIT(D124,"-")))</f>
        <v>Orchard deciduous</v>
      </c>
      <c r="I124" s="121" t="str">
        <v>r01</v>
      </c>
      <c r="J124" t="str">
        <v>A</v>
      </c>
      <c r="K124" s="129" t="str">
        <f>VLOOKUP(VALUE($B124),test_out_xwalk!$C:$L,3,FALSE)</f>
        <v>Almond-3-9</v>
      </c>
      <c r="L124" s="129">
        <f>VLOOKUP(VALUE($B124),test_out_xwalk!$C:$L,5,FALSE)</f>
        <v>1</v>
      </c>
      <c r="M124" s="129">
        <f>VLOOKUP(VALUE($B124),test_out_xwalk!$C:$L,6,FALSE)</f>
        <v>1</v>
      </c>
      <c r="N124" s="129" t="str">
        <f>VLOOKUP(VALUE($B124),test_out_xwalk!$C:$L,8,FALSE)</f>
        <v>Aerial_Medium</v>
      </c>
      <c r="O124" s="129" t="str">
        <f>VLOOKUP(VALUE($B124),test_out_xwalk!$C:$L,7,FALSE)</f>
        <v>Spray</v>
      </c>
      <c r="P124" s="129" t="str">
        <f>VLOOKUP(VALUE($B124),test_out_xwalk!$C:$L,4,FALSE)</f>
        <v>Pre-emergence</v>
      </c>
      <c r="Q124" s="129" t="str">
        <f>VLOOKUP(VALUE($B124),test_out_xwalk!$C:$L,9,FALSE)</f>
        <v>Other Orchards</v>
      </c>
      <c r="R124">
        <f>_xlfn.XLOOKUP(VALUE(B124),test_out_xwalk!$C:$C,test_out_xwalk!$A:$A)</f>
        <v>3</v>
      </c>
      <c r="T124" s="121" t="str">
        <f>IF('summary_EPA Pond'!$O124="","Check Summary EPA POND worksheet Column O",'summary_EPA Pond'!$O124)</f>
        <v xml:space="preserve">19_455512-12315-12_Vegetable fresh or processing market-r18-A_USEPA Pond_0010_median  </v>
      </c>
      <c r="U124" s="121" t="str" cm="1">
        <f t="array" ref="U124:Z124">IFERROR(_xlfn.TEXTSPLIT(T124,"_"),"")</f>
        <v>19</v>
      </c>
      <c r="V124" t="str">
        <v>455512-12315-12</v>
      </c>
      <c r="W124" t="str">
        <v>Vegetable fresh or processing market-r18-A</v>
      </c>
      <c r="X124" t="str">
        <v>USEPA Pond</v>
      </c>
      <c r="Y124" t="str">
        <v>0010</v>
      </c>
      <c r="Z124" t="str">
        <v xml:space="preserve">median  </v>
      </c>
      <c r="AA124" s="121" t="str" cm="1">
        <f t="array" ref="AA124:AC124">IF(W124="","",(_xlfn.TEXTSPLIT(W124,"-")))</f>
        <v>Vegetable fresh or processing market</v>
      </c>
      <c r="AB124" s="121" t="str">
        <v>r18</v>
      </c>
      <c r="AC124" t="str">
        <v>A</v>
      </c>
      <c r="AD124" s="129" t="str">
        <f>VLOOKUP(VALUE($U124),test_out_xwalk!$C:$L,3,FALSE)</f>
        <v>Broccoli-6-19</v>
      </c>
      <c r="AE124" s="129">
        <f>VLOOKUP(VALUE($U124),test_out_xwalk!$C:$L,5,FALSE)</f>
        <v>0.5</v>
      </c>
      <c r="AF124" s="129">
        <f>VLOOKUP(VALUE($U124),test_out_xwalk!$C:$L,6,FALSE)</f>
        <v>0.5</v>
      </c>
      <c r="AG124" s="129" t="str">
        <f>VLOOKUP(VALUE($U124),test_out_xwalk!$C:$L,8,FALSE)</f>
        <v>None</v>
      </c>
      <c r="AH124" s="129" t="str">
        <f>VLOOKUP(VALUE($U124),test_out_xwalk!$C:$L,7,FALSE)</f>
        <v>Spray</v>
      </c>
      <c r="AI124" s="129" t="str">
        <f>VLOOKUP(VALUE($U124),test_out_xwalk!$C:$L,4,FALSE)</f>
        <v>Pre-emergence</v>
      </c>
      <c r="AJ124" s="129" t="str">
        <f>VLOOKUP(VALUE($U124),test_out_xwalk!$C:$L,9,FALSE)</f>
        <v>Vegetables and Ground Fruit</v>
      </c>
      <c r="AK124">
        <f>_xlfn.XLOOKUP(VALUE(U124),test_out_xwalk!C:C,test_out_xwalk!A:A)</f>
        <v>6</v>
      </c>
    </row>
    <row r="125" spans="1:37" x14ac:dyDescent="0.55000000000000004">
      <c r="A125" s="121" t="str">
        <f>IF('summary_EPA Pond'!$A125="","Check Summary EPA POND worksheet Column A",'summary_EPA Pond'!$A125)</f>
        <v xml:space="preserve">9_295501-20504-68_Orchard deciduous-r02-A_USEPA Pond_0089_median                      </v>
      </c>
      <c r="B125" s="121" t="str" cm="1">
        <f t="array" ref="B125:G125">IFERROR(_xlfn.TEXTSPLIT(A125,"_"),"")</f>
        <v>9</v>
      </c>
      <c r="C125" t="str">
        <v>295501-20504-68</v>
      </c>
      <c r="D125" t="str">
        <v>Orchard deciduous-r02-A</v>
      </c>
      <c r="E125" t="str">
        <v>USEPA Pond</v>
      </c>
      <c r="F125" t="str">
        <v>0089</v>
      </c>
      <c r="G125" t="str">
        <v xml:space="preserve">median                      </v>
      </c>
      <c r="H125" s="121" t="str" cm="1">
        <f t="array" ref="H125:J125">IF(D125="","",(_xlfn.TEXTSPLIT(D125,"-")))</f>
        <v>Orchard deciduous</v>
      </c>
      <c r="I125" s="121" t="str">
        <v>r02</v>
      </c>
      <c r="J125" t="str">
        <v>A</v>
      </c>
      <c r="K125" s="129" t="str">
        <f>VLOOKUP(VALUE($B125),test_out_xwalk!$C:$L,3,FALSE)</f>
        <v>Almond-3-9</v>
      </c>
      <c r="L125" s="129">
        <f>VLOOKUP(VALUE($B125),test_out_xwalk!$C:$L,5,FALSE)</f>
        <v>1</v>
      </c>
      <c r="M125" s="129">
        <f>VLOOKUP(VALUE($B125),test_out_xwalk!$C:$L,6,FALSE)</f>
        <v>1</v>
      </c>
      <c r="N125" s="129" t="str">
        <f>VLOOKUP(VALUE($B125),test_out_xwalk!$C:$L,8,FALSE)</f>
        <v>Aerial_Medium</v>
      </c>
      <c r="O125" s="129" t="str">
        <f>VLOOKUP(VALUE($B125),test_out_xwalk!$C:$L,7,FALSE)</f>
        <v>Spray</v>
      </c>
      <c r="P125" s="129" t="str">
        <f>VLOOKUP(VALUE($B125),test_out_xwalk!$C:$L,4,FALSE)</f>
        <v>Pre-emergence</v>
      </c>
      <c r="Q125" s="129" t="str">
        <f>VLOOKUP(VALUE($B125),test_out_xwalk!$C:$L,9,FALSE)</f>
        <v>Other Orchards</v>
      </c>
      <c r="R125">
        <f>_xlfn.XLOOKUP(VALUE(B125),test_out_xwalk!$C:$C,test_out_xwalk!$A:$A)</f>
        <v>3</v>
      </c>
      <c r="T125" s="121" t="str">
        <f>IF('summary_EPA Pond'!$O125="","Check Summary EPA POND worksheet Column O",'summary_EPA Pond'!$O125)</f>
        <v xml:space="preserve">20_286019-20746-12_Vegetable fresh or processing market-r01-A_USEPA Pond_0010_median  </v>
      </c>
      <c r="U125" s="121" t="str" cm="1">
        <f t="array" ref="U125:Z125">IFERROR(_xlfn.TEXTSPLIT(T125,"_"),"")</f>
        <v>20</v>
      </c>
      <c r="V125" t="str">
        <v>286019-20746-12</v>
      </c>
      <c r="W125" t="str">
        <v>Vegetable fresh or processing market-r01-A</v>
      </c>
      <c r="X125" t="str">
        <v>USEPA Pond</v>
      </c>
      <c r="Y125" t="str">
        <v>0010</v>
      </c>
      <c r="Z125" t="str">
        <v xml:space="preserve">median  </v>
      </c>
      <c r="AA125" s="121" t="str" cm="1">
        <f t="array" ref="AA125:AC125">IF(W125="","",(_xlfn.TEXTSPLIT(W125,"-")))</f>
        <v>Vegetable fresh or processing market</v>
      </c>
      <c r="AB125" s="121" t="str">
        <v>r01</v>
      </c>
      <c r="AC125" t="str">
        <v>A</v>
      </c>
      <c r="AD125" s="129" t="str">
        <f>VLOOKUP(VALUE($U125),test_out_xwalk!$C:$L,3,FALSE)</f>
        <v>Garlic, Bulb-7-20</v>
      </c>
      <c r="AE125" s="129">
        <f>VLOOKUP(VALUE($U125),test_out_xwalk!$C:$L,5,FALSE)</f>
        <v>0.25</v>
      </c>
      <c r="AF125" s="129">
        <f>VLOOKUP(VALUE($U125),test_out_xwalk!$C:$L,6,FALSE)</f>
        <v>0.25</v>
      </c>
      <c r="AG125" s="129" t="str">
        <f>VLOOKUP(VALUE($U125),test_out_xwalk!$C:$L,8,FALSE)</f>
        <v>None</v>
      </c>
      <c r="AH125" s="129" t="str">
        <f>VLOOKUP(VALUE($U125),test_out_xwalk!$C:$L,7,FALSE)</f>
        <v>Granular</v>
      </c>
      <c r="AI125" s="129" t="str">
        <f>VLOOKUP(VALUE($U125),test_out_xwalk!$C:$L,4,FALSE)</f>
        <v>Pre-emergence</v>
      </c>
      <c r="AJ125" s="129" t="str">
        <f>VLOOKUP(VALUE($U125),test_out_xwalk!$C:$L,9,FALSE)</f>
        <v>Vegetables and Ground Fruit</v>
      </c>
      <c r="AK125">
        <f>_xlfn.XLOOKUP(VALUE(U125),test_out_xwalk!C:C,test_out_xwalk!A:A)</f>
        <v>7</v>
      </c>
    </row>
    <row r="126" spans="1:37" x14ac:dyDescent="0.55000000000000004">
      <c r="A126" s="121" t="str">
        <f>IF('summary_EPA Pond'!$A126="","Check Summary EPA POND worksheet Column A",'summary_EPA Pond'!$A126)</f>
        <v xml:space="preserve">9_130628-13873-74_Orchard deciduous-r03N-A_USEPA Pond_0089_median                     </v>
      </c>
      <c r="B126" s="121" t="str" cm="1">
        <f t="array" ref="B126:G126">IFERROR(_xlfn.TEXTSPLIT(A126,"_"),"")</f>
        <v>9</v>
      </c>
      <c r="C126" t="str">
        <v>130628-13873-74</v>
      </c>
      <c r="D126" t="str">
        <v>Orchard deciduous-r03N-A</v>
      </c>
      <c r="E126" t="str">
        <v>USEPA Pond</v>
      </c>
      <c r="F126" t="str">
        <v>0089</v>
      </c>
      <c r="G126" t="str">
        <v xml:space="preserve">median                     </v>
      </c>
      <c r="H126" s="121" t="str" cm="1">
        <f t="array" ref="H126:J126">IF(D126="","",(_xlfn.TEXTSPLIT(D126,"-")))</f>
        <v>Orchard deciduous</v>
      </c>
      <c r="I126" s="121" t="str">
        <v>r03N</v>
      </c>
      <c r="J126" t="str">
        <v>A</v>
      </c>
      <c r="K126" s="129" t="str">
        <f>VLOOKUP(VALUE($B126),test_out_xwalk!$C:$L,3,FALSE)</f>
        <v>Almond-3-9</v>
      </c>
      <c r="L126" s="129">
        <f>VLOOKUP(VALUE($B126),test_out_xwalk!$C:$L,5,FALSE)</f>
        <v>1</v>
      </c>
      <c r="M126" s="129">
        <f>VLOOKUP(VALUE($B126),test_out_xwalk!$C:$L,6,FALSE)</f>
        <v>1</v>
      </c>
      <c r="N126" s="129" t="str">
        <f>VLOOKUP(VALUE($B126),test_out_xwalk!$C:$L,8,FALSE)</f>
        <v>Aerial_Medium</v>
      </c>
      <c r="O126" s="129" t="str">
        <f>VLOOKUP(VALUE($B126),test_out_xwalk!$C:$L,7,FALSE)</f>
        <v>Spray</v>
      </c>
      <c r="P126" s="129" t="str">
        <f>VLOOKUP(VALUE($B126),test_out_xwalk!$C:$L,4,FALSE)</f>
        <v>Pre-emergence</v>
      </c>
      <c r="Q126" s="129" t="str">
        <f>VLOOKUP(VALUE($B126),test_out_xwalk!$C:$L,9,FALSE)</f>
        <v>Other Orchards</v>
      </c>
      <c r="R126">
        <f>_xlfn.XLOOKUP(VALUE(B126),test_out_xwalk!$C:$C,test_out_xwalk!$A:$A)</f>
        <v>3</v>
      </c>
      <c r="T126" s="121" t="str">
        <f>IF('summary_EPA Pond'!$O126="","Check Summary EPA POND worksheet Column O",'summary_EPA Pond'!$O126)</f>
        <v xml:space="preserve">20_2950700-17902-12_Vegetable fresh or processing market-r02-A_USEPA Pond_0010_median </v>
      </c>
      <c r="U126" s="121" t="str" cm="1">
        <f t="array" ref="U126:Z126">IFERROR(_xlfn.TEXTSPLIT(T126,"_"),"")</f>
        <v>20</v>
      </c>
      <c r="V126" t="str">
        <v>2950700-17902-12</v>
      </c>
      <c r="W126" t="str">
        <v>Vegetable fresh or processing market-r02-A</v>
      </c>
      <c r="X126" t="str">
        <v>USEPA Pond</v>
      </c>
      <c r="Y126" t="str">
        <v>0010</v>
      </c>
      <c r="Z126" t="str">
        <v xml:space="preserve">median </v>
      </c>
      <c r="AA126" s="121" t="str" cm="1">
        <f t="array" ref="AA126:AC126">IF(W126="","",(_xlfn.TEXTSPLIT(W126,"-")))</f>
        <v>Vegetable fresh or processing market</v>
      </c>
      <c r="AB126" s="121" t="str">
        <v>r02</v>
      </c>
      <c r="AC126" t="str">
        <v>A</v>
      </c>
      <c r="AD126" s="129" t="str">
        <f>VLOOKUP(VALUE($U126),test_out_xwalk!$C:$L,3,FALSE)</f>
        <v>Garlic, Bulb-7-20</v>
      </c>
      <c r="AE126" s="129">
        <f>VLOOKUP(VALUE($U126),test_out_xwalk!$C:$L,5,FALSE)</f>
        <v>0.25</v>
      </c>
      <c r="AF126" s="129">
        <f>VLOOKUP(VALUE($U126),test_out_xwalk!$C:$L,6,FALSE)</f>
        <v>0.25</v>
      </c>
      <c r="AG126" s="129" t="str">
        <f>VLOOKUP(VALUE($U126),test_out_xwalk!$C:$L,8,FALSE)</f>
        <v>None</v>
      </c>
      <c r="AH126" s="129" t="str">
        <f>VLOOKUP(VALUE($U126),test_out_xwalk!$C:$L,7,FALSE)</f>
        <v>Granular</v>
      </c>
      <c r="AI126" s="129" t="str">
        <f>VLOOKUP(VALUE($U126),test_out_xwalk!$C:$L,4,FALSE)</f>
        <v>Pre-emergence</v>
      </c>
      <c r="AJ126" s="129" t="str">
        <f>VLOOKUP(VALUE($U126),test_out_xwalk!$C:$L,9,FALSE)</f>
        <v>Vegetables and Ground Fruit</v>
      </c>
      <c r="AK126">
        <f>_xlfn.XLOOKUP(VALUE(U126),test_out_xwalk!C:C,test_out_xwalk!A:A)</f>
        <v>7</v>
      </c>
    </row>
    <row r="127" spans="1:37" x14ac:dyDescent="0.55000000000000004">
      <c r="A127" s="121" t="str">
        <f>IF('summary_EPA Pond'!$A127="","Check Summary EPA POND worksheet Column A",'summary_EPA Pond'!$A127)</f>
        <v xml:space="preserve">9_125133-11268-74_Orchard deciduous-r03S-A_USEPA Pond_0089_median                     </v>
      </c>
      <c r="B127" s="121" t="str" cm="1">
        <f t="array" ref="B127:G127">IFERROR(_xlfn.TEXTSPLIT(A127,"_"),"")</f>
        <v>9</v>
      </c>
      <c r="C127" t="str">
        <v>125133-11268-74</v>
      </c>
      <c r="D127" t="str">
        <v>Orchard deciduous-r03S-A</v>
      </c>
      <c r="E127" t="str">
        <v>USEPA Pond</v>
      </c>
      <c r="F127" t="str">
        <v>0089</v>
      </c>
      <c r="G127" t="str">
        <v xml:space="preserve">median                     </v>
      </c>
      <c r="H127" s="121" t="str" cm="1">
        <f t="array" ref="H127:J127">IF(D127="","",(_xlfn.TEXTSPLIT(D127,"-")))</f>
        <v>Orchard deciduous</v>
      </c>
      <c r="I127" s="121" t="str">
        <v>r03S</v>
      </c>
      <c r="J127" t="str">
        <v>A</v>
      </c>
      <c r="K127" s="129" t="str">
        <f>VLOOKUP(VALUE($B127),test_out_xwalk!$C:$L,3,FALSE)</f>
        <v>Almond-3-9</v>
      </c>
      <c r="L127" s="129">
        <f>VLOOKUP(VALUE($B127),test_out_xwalk!$C:$L,5,FALSE)</f>
        <v>1</v>
      </c>
      <c r="M127" s="129">
        <f>VLOOKUP(VALUE($B127),test_out_xwalk!$C:$L,6,FALSE)</f>
        <v>1</v>
      </c>
      <c r="N127" s="129" t="str">
        <f>VLOOKUP(VALUE($B127),test_out_xwalk!$C:$L,8,FALSE)</f>
        <v>Aerial_Medium</v>
      </c>
      <c r="O127" s="129" t="str">
        <f>VLOOKUP(VALUE($B127),test_out_xwalk!$C:$L,7,FALSE)</f>
        <v>Spray</v>
      </c>
      <c r="P127" s="129" t="str">
        <f>VLOOKUP(VALUE($B127),test_out_xwalk!$C:$L,4,FALSE)</f>
        <v>Pre-emergence</v>
      </c>
      <c r="Q127" s="129" t="str">
        <f>VLOOKUP(VALUE($B127),test_out_xwalk!$C:$L,9,FALSE)</f>
        <v>Other Orchards</v>
      </c>
      <c r="R127">
        <f>_xlfn.XLOOKUP(VALUE(B127),test_out_xwalk!$C:$C,test_out_xwalk!$A:$A)</f>
        <v>3</v>
      </c>
      <c r="T127" s="121" t="str">
        <f>IF('summary_EPA Pond'!$O127="","Check Summary EPA POND worksheet Column O",'summary_EPA Pond'!$O127)</f>
        <v xml:space="preserve">20_111389-15064-57_Vegetable fresh or processing market-r03N-A_USEPA Pond_0010_median </v>
      </c>
      <c r="U127" s="121" t="str" cm="1">
        <f t="array" ref="U127:Z127">IFERROR(_xlfn.TEXTSPLIT(T127,"_"),"")</f>
        <v>20</v>
      </c>
      <c r="V127" t="str">
        <v>111389-15064-57</v>
      </c>
      <c r="W127" t="str">
        <v>Vegetable fresh or processing market-r03N-A</v>
      </c>
      <c r="X127" t="str">
        <v>USEPA Pond</v>
      </c>
      <c r="Y127" t="str">
        <v>0010</v>
      </c>
      <c r="Z127" t="str">
        <v xml:space="preserve">median </v>
      </c>
      <c r="AA127" s="121" t="str" cm="1">
        <f t="array" ref="AA127:AC127">IF(W127="","",(_xlfn.TEXTSPLIT(W127,"-")))</f>
        <v>Vegetable fresh or processing market</v>
      </c>
      <c r="AB127" s="121" t="str">
        <v>r03N</v>
      </c>
      <c r="AC127" t="str">
        <v>A</v>
      </c>
      <c r="AD127" s="129" t="str">
        <f>VLOOKUP(VALUE($U127),test_out_xwalk!$C:$L,3,FALSE)</f>
        <v>Garlic, Bulb-7-20</v>
      </c>
      <c r="AE127" s="129">
        <f>VLOOKUP(VALUE($U127),test_out_xwalk!$C:$L,5,FALSE)</f>
        <v>0.25</v>
      </c>
      <c r="AF127" s="129">
        <f>VLOOKUP(VALUE($U127),test_out_xwalk!$C:$L,6,FALSE)</f>
        <v>0.25</v>
      </c>
      <c r="AG127" s="129" t="str">
        <f>VLOOKUP(VALUE($U127),test_out_xwalk!$C:$L,8,FALSE)</f>
        <v>None</v>
      </c>
      <c r="AH127" s="129" t="str">
        <f>VLOOKUP(VALUE($U127),test_out_xwalk!$C:$L,7,FALSE)</f>
        <v>Granular</v>
      </c>
      <c r="AI127" s="129" t="str">
        <f>VLOOKUP(VALUE($U127),test_out_xwalk!$C:$L,4,FALSE)</f>
        <v>Pre-emergence</v>
      </c>
      <c r="AJ127" s="129" t="str">
        <f>VLOOKUP(VALUE($U127),test_out_xwalk!$C:$L,9,FALSE)</f>
        <v>Vegetables and Ground Fruit</v>
      </c>
      <c r="AK127">
        <f>_xlfn.XLOOKUP(VALUE(U127),test_out_xwalk!C:C,test_out_xwalk!A:A)</f>
        <v>7</v>
      </c>
    </row>
    <row r="128" spans="1:37" x14ac:dyDescent="0.55000000000000004">
      <c r="A128" s="121" t="str">
        <f>IF('summary_EPA Pond'!$A128="","Check Summary EPA POND worksheet Column A",'summary_EPA Pond'!$A128)</f>
        <v xml:space="preserve">9_2455410-11258-67_Orchard deciduous-r03W-A_USEPA Pond_0089_median                    </v>
      </c>
      <c r="B128" s="121" t="str" cm="1">
        <f t="array" ref="B128:G128">IFERROR(_xlfn.TEXTSPLIT(A128,"_"),"")</f>
        <v>9</v>
      </c>
      <c r="C128" t="str">
        <v>2455410-11258-67</v>
      </c>
      <c r="D128" t="str">
        <v>Orchard deciduous-r03W-A</v>
      </c>
      <c r="E128" t="str">
        <v>USEPA Pond</v>
      </c>
      <c r="F128" t="str">
        <v>0089</v>
      </c>
      <c r="G128" t="str">
        <v xml:space="preserve">median                    </v>
      </c>
      <c r="H128" s="121" t="str" cm="1">
        <f t="array" ref="H128:J128">IF(D128="","",(_xlfn.TEXTSPLIT(D128,"-")))</f>
        <v>Orchard deciduous</v>
      </c>
      <c r="I128" s="121" t="str">
        <v>r03W</v>
      </c>
      <c r="J128" t="str">
        <v>A</v>
      </c>
      <c r="K128" s="129" t="str">
        <f>VLOOKUP(VALUE($B128),test_out_xwalk!$C:$L,3,FALSE)</f>
        <v>Almond-3-9</v>
      </c>
      <c r="L128" s="129">
        <f>VLOOKUP(VALUE($B128),test_out_xwalk!$C:$L,5,FALSE)</f>
        <v>1</v>
      </c>
      <c r="M128" s="129">
        <f>VLOOKUP(VALUE($B128),test_out_xwalk!$C:$L,6,FALSE)</f>
        <v>1</v>
      </c>
      <c r="N128" s="129" t="str">
        <f>VLOOKUP(VALUE($B128),test_out_xwalk!$C:$L,8,FALSE)</f>
        <v>Aerial_Medium</v>
      </c>
      <c r="O128" s="129" t="str">
        <f>VLOOKUP(VALUE($B128),test_out_xwalk!$C:$L,7,FALSE)</f>
        <v>Spray</v>
      </c>
      <c r="P128" s="129" t="str">
        <f>VLOOKUP(VALUE($B128),test_out_xwalk!$C:$L,4,FALSE)</f>
        <v>Pre-emergence</v>
      </c>
      <c r="Q128" s="129" t="str">
        <f>VLOOKUP(VALUE($B128),test_out_xwalk!$C:$L,9,FALSE)</f>
        <v>Other Orchards</v>
      </c>
      <c r="R128">
        <f>_xlfn.XLOOKUP(VALUE(B128),test_out_xwalk!$C:$C,test_out_xwalk!$A:$A)</f>
        <v>3</v>
      </c>
      <c r="T128" s="121" t="str">
        <f>IF('summary_EPA Pond'!$O128="","Check Summary EPA POND worksheet Column O",'summary_EPA Pond'!$O128)</f>
        <v xml:space="preserve">20_631572-5375-222_Vegetable fresh or processing market-r03S-A_USEPA Pond_0010_median </v>
      </c>
      <c r="U128" s="121" t="str" cm="1">
        <f t="array" ref="U128:Z128">IFERROR(_xlfn.TEXTSPLIT(T128,"_"),"")</f>
        <v>20</v>
      </c>
      <c r="V128" t="str">
        <v>631572-5375-222</v>
      </c>
      <c r="W128" t="str">
        <v>Vegetable fresh or processing market-r03S-A</v>
      </c>
      <c r="X128" t="str">
        <v>USEPA Pond</v>
      </c>
      <c r="Y128" t="str">
        <v>0010</v>
      </c>
      <c r="Z128" t="str">
        <v xml:space="preserve">median </v>
      </c>
      <c r="AA128" s="121" t="str" cm="1">
        <f t="array" ref="AA128:AC128">IF(W128="","",(_xlfn.TEXTSPLIT(W128,"-")))</f>
        <v>Vegetable fresh or processing market</v>
      </c>
      <c r="AB128" s="121" t="str">
        <v>r03S</v>
      </c>
      <c r="AC128" t="str">
        <v>A</v>
      </c>
      <c r="AD128" s="129" t="str">
        <f>VLOOKUP(VALUE($U128),test_out_xwalk!$C:$L,3,FALSE)</f>
        <v>Garlic, Bulb-7-20</v>
      </c>
      <c r="AE128" s="129">
        <f>VLOOKUP(VALUE($U128),test_out_xwalk!$C:$L,5,FALSE)</f>
        <v>0.25</v>
      </c>
      <c r="AF128" s="129">
        <f>VLOOKUP(VALUE($U128),test_out_xwalk!$C:$L,6,FALSE)</f>
        <v>0.25</v>
      </c>
      <c r="AG128" s="129" t="str">
        <f>VLOOKUP(VALUE($U128),test_out_xwalk!$C:$L,8,FALSE)</f>
        <v>None</v>
      </c>
      <c r="AH128" s="129" t="str">
        <f>VLOOKUP(VALUE($U128),test_out_xwalk!$C:$L,7,FALSE)</f>
        <v>Granular</v>
      </c>
      <c r="AI128" s="129" t="str">
        <f>VLOOKUP(VALUE($U128),test_out_xwalk!$C:$L,4,FALSE)</f>
        <v>Pre-emergence</v>
      </c>
      <c r="AJ128" s="129" t="str">
        <f>VLOOKUP(VALUE($U128),test_out_xwalk!$C:$L,9,FALSE)</f>
        <v>Vegetables and Ground Fruit</v>
      </c>
      <c r="AK128">
        <f>_xlfn.XLOOKUP(VALUE(U128),test_out_xwalk!C:C,test_out_xwalk!A:A)</f>
        <v>7</v>
      </c>
    </row>
    <row r="129" spans="1:37" x14ac:dyDescent="0.55000000000000004">
      <c r="A129" s="121" t="str">
        <f>IF('summary_EPA Pond'!$A129="","Check Summary EPA POND worksheet Column A",'summary_EPA Pond'!$A129)</f>
        <v xml:space="preserve">9_292675-21905-68_Orchard deciduous-r04-A_USEPA Pond_0089_median                      </v>
      </c>
      <c r="B129" s="121" t="str" cm="1">
        <f t="array" ref="B129:G129">IFERROR(_xlfn.TEXTSPLIT(A129,"_"),"")</f>
        <v>9</v>
      </c>
      <c r="C129" t="str">
        <v>292675-21905-68</v>
      </c>
      <c r="D129" t="str">
        <v>Orchard deciduous-r04-A</v>
      </c>
      <c r="E129" t="str">
        <v>USEPA Pond</v>
      </c>
      <c r="F129" t="str">
        <v>0089</v>
      </c>
      <c r="G129" t="str">
        <v xml:space="preserve">median                      </v>
      </c>
      <c r="H129" s="121" t="str" cm="1">
        <f t="array" ref="H129:J129">IF(D129="","",(_xlfn.TEXTSPLIT(D129,"-")))</f>
        <v>Orchard deciduous</v>
      </c>
      <c r="I129" s="121" t="str">
        <v>r04</v>
      </c>
      <c r="J129" t="str">
        <v>A</v>
      </c>
      <c r="K129" s="129" t="str">
        <f>VLOOKUP(VALUE($B129),test_out_xwalk!$C:$L,3,FALSE)</f>
        <v>Almond-3-9</v>
      </c>
      <c r="L129" s="129">
        <f>VLOOKUP(VALUE($B129),test_out_xwalk!$C:$L,5,FALSE)</f>
        <v>1</v>
      </c>
      <c r="M129" s="129">
        <f>VLOOKUP(VALUE($B129),test_out_xwalk!$C:$L,6,FALSE)</f>
        <v>1</v>
      </c>
      <c r="N129" s="129" t="str">
        <f>VLOOKUP(VALUE($B129),test_out_xwalk!$C:$L,8,FALSE)</f>
        <v>Aerial_Medium</v>
      </c>
      <c r="O129" s="129" t="str">
        <f>VLOOKUP(VALUE($B129),test_out_xwalk!$C:$L,7,FALSE)</f>
        <v>Spray</v>
      </c>
      <c r="P129" s="129" t="str">
        <f>VLOOKUP(VALUE($B129),test_out_xwalk!$C:$L,4,FALSE)</f>
        <v>Pre-emergence</v>
      </c>
      <c r="Q129" s="129" t="str">
        <f>VLOOKUP(VALUE($B129),test_out_xwalk!$C:$L,9,FALSE)</f>
        <v>Other Orchards</v>
      </c>
      <c r="R129">
        <f>_xlfn.XLOOKUP(VALUE(B129),test_out_xwalk!$C:$C,test_out_xwalk!$A:$A)</f>
        <v>3</v>
      </c>
      <c r="T129" s="121" t="str">
        <f>IF('summary_EPA Pond'!$O129="","Check Summary EPA POND worksheet Column O",'summary_EPA Pond'!$O129)</f>
        <v xml:space="preserve">20_332581-10063-48_Vegetable fresh or processing market-r03W-A_USEPA Pond_0010_median </v>
      </c>
      <c r="U129" s="121" t="str" cm="1">
        <f t="array" ref="U129:Z129">IFERROR(_xlfn.TEXTSPLIT(T129,"_"),"")</f>
        <v>20</v>
      </c>
      <c r="V129" t="str">
        <v>332581-10063-48</v>
      </c>
      <c r="W129" t="str">
        <v>Vegetable fresh or processing market-r03W-A</v>
      </c>
      <c r="X129" t="str">
        <v>USEPA Pond</v>
      </c>
      <c r="Y129" t="str">
        <v>0010</v>
      </c>
      <c r="Z129" t="str">
        <v xml:space="preserve">median </v>
      </c>
      <c r="AA129" s="121" t="str" cm="1">
        <f t="array" ref="AA129:AC129">IF(W129="","",(_xlfn.TEXTSPLIT(W129,"-")))</f>
        <v>Vegetable fresh or processing market</v>
      </c>
      <c r="AB129" s="121" t="str">
        <v>r03W</v>
      </c>
      <c r="AC129" t="str">
        <v>A</v>
      </c>
      <c r="AD129" s="129" t="str">
        <f>VLOOKUP(VALUE($U129),test_out_xwalk!$C:$L,3,FALSE)</f>
        <v>Garlic, Bulb-7-20</v>
      </c>
      <c r="AE129" s="129">
        <f>VLOOKUP(VALUE($U129),test_out_xwalk!$C:$L,5,FALSE)</f>
        <v>0.25</v>
      </c>
      <c r="AF129" s="129">
        <f>VLOOKUP(VALUE($U129),test_out_xwalk!$C:$L,6,FALSE)</f>
        <v>0.25</v>
      </c>
      <c r="AG129" s="129" t="str">
        <f>VLOOKUP(VALUE($U129),test_out_xwalk!$C:$L,8,FALSE)</f>
        <v>None</v>
      </c>
      <c r="AH129" s="129" t="str">
        <f>VLOOKUP(VALUE($U129),test_out_xwalk!$C:$L,7,FALSE)</f>
        <v>Granular</v>
      </c>
      <c r="AI129" s="129" t="str">
        <f>VLOOKUP(VALUE($U129),test_out_xwalk!$C:$L,4,FALSE)</f>
        <v>Pre-emergence</v>
      </c>
      <c r="AJ129" s="129" t="str">
        <f>VLOOKUP(VALUE($U129),test_out_xwalk!$C:$L,9,FALSE)</f>
        <v>Vegetables and Ground Fruit</v>
      </c>
      <c r="AK129">
        <f>_xlfn.XLOOKUP(VALUE(U129),test_out_xwalk!C:C,test_out_xwalk!A:A)</f>
        <v>7</v>
      </c>
    </row>
    <row r="130" spans="1:37" x14ac:dyDescent="0.55000000000000004">
      <c r="A130" s="121" t="str">
        <f>IF('summary_EPA Pond'!$A130="","Check Summary EPA POND worksheet Column A",'summary_EPA Pond'!$A130)</f>
        <v xml:space="preserve">9_298742-19770-68_Orchard deciduous-r05-A_USEPA Pond_0089_median                      </v>
      </c>
      <c r="B130" s="121" t="str" cm="1">
        <f t="array" ref="B130:G130">IFERROR(_xlfn.TEXTSPLIT(A130,"_"),"")</f>
        <v>9</v>
      </c>
      <c r="C130" t="str">
        <v>298742-19770-68</v>
      </c>
      <c r="D130" t="str">
        <v>Orchard deciduous-r05-A</v>
      </c>
      <c r="E130" t="str">
        <v>USEPA Pond</v>
      </c>
      <c r="F130" t="str">
        <v>0089</v>
      </c>
      <c r="G130" t="str">
        <v xml:space="preserve">median                      </v>
      </c>
      <c r="H130" s="121" t="str" cm="1">
        <f t="array" ref="H130:J130">IF(D130="","",(_xlfn.TEXTSPLIT(D130,"-")))</f>
        <v>Orchard deciduous</v>
      </c>
      <c r="I130" s="121" t="str">
        <v>r05</v>
      </c>
      <c r="J130" t="str">
        <v>A</v>
      </c>
      <c r="K130" s="129" t="str">
        <f>VLOOKUP(VALUE($B130),test_out_xwalk!$C:$L,3,FALSE)</f>
        <v>Almond-3-9</v>
      </c>
      <c r="L130" s="129">
        <f>VLOOKUP(VALUE($B130),test_out_xwalk!$C:$L,5,FALSE)</f>
        <v>1</v>
      </c>
      <c r="M130" s="129">
        <f>VLOOKUP(VALUE($B130),test_out_xwalk!$C:$L,6,FALSE)</f>
        <v>1</v>
      </c>
      <c r="N130" s="129" t="str">
        <f>VLOOKUP(VALUE($B130),test_out_xwalk!$C:$L,8,FALSE)</f>
        <v>Aerial_Medium</v>
      </c>
      <c r="O130" s="129" t="str">
        <f>VLOOKUP(VALUE($B130),test_out_xwalk!$C:$L,7,FALSE)</f>
        <v>Spray</v>
      </c>
      <c r="P130" s="129" t="str">
        <f>VLOOKUP(VALUE($B130),test_out_xwalk!$C:$L,4,FALSE)</f>
        <v>Pre-emergence</v>
      </c>
      <c r="Q130" s="129" t="str">
        <f>VLOOKUP(VALUE($B130),test_out_xwalk!$C:$L,9,FALSE)</f>
        <v>Other Orchards</v>
      </c>
      <c r="R130">
        <f>_xlfn.XLOOKUP(VALUE(B130),test_out_xwalk!$C:$C,test_out_xwalk!$A:$A)</f>
        <v>3</v>
      </c>
      <c r="T130" s="121" t="str">
        <f>IF('summary_EPA Pond'!$O130="","Check Summary EPA POND worksheet Column O",'summary_EPA Pond'!$O130)</f>
        <v xml:space="preserve">20_192466-22579-222_Vegetable fresh or processing market-r04-A_USEPA Pond_0010_median </v>
      </c>
      <c r="U130" s="121" t="str" cm="1">
        <f t="array" ref="U130:Z130">IFERROR(_xlfn.TEXTSPLIT(T130,"_"),"")</f>
        <v>20</v>
      </c>
      <c r="V130" t="str">
        <v>192466-22579-222</v>
      </c>
      <c r="W130" t="str">
        <v>Vegetable fresh or processing market-r04-A</v>
      </c>
      <c r="X130" t="str">
        <v>USEPA Pond</v>
      </c>
      <c r="Y130" t="str">
        <v>0010</v>
      </c>
      <c r="Z130" t="str">
        <v xml:space="preserve">median </v>
      </c>
      <c r="AA130" s="121" t="str" cm="1">
        <f t="array" ref="AA130:AC130">IF(W130="","",(_xlfn.TEXTSPLIT(W130,"-")))</f>
        <v>Vegetable fresh or processing market</v>
      </c>
      <c r="AB130" s="121" t="str">
        <v>r04</v>
      </c>
      <c r="AC130" t="str">
        <v>A</v>
      </c>
      <c r="AD130" s="129" t="str">
        <f>VLOOKUP(VALUE($U130),test_out_xwalk!$C:$L,3,FALSE)</f>
        <v>Garlic, Bulb-7-20</v>
      </c>
      <c r="AE130" s="129">
        <f>VLOOKUP(VALUE($U130),test_out_xwalk!$C:$L,5,FALSE)</f>
        <v>0.25</v>
      </c>
      <c r="AF130" s="129">
        <f>VLOOKUP(VALUE($U130),test_out_xwalk!$C:$L,6,FALSE)</f>
        <v>0.25</v>
      </c>
      <c r="AG130" s="129" t="str">
        <f>VLOOKUP(VALUE($U130),test_out_xwalk!$C:$L,8,FALSE)</f>
        <v>None</v>
      </c>
      <c r="AH130" s="129" t="str">
        <f>VLOOKUP(VALUE($U130),test_out_xwalk!$C:$L,7,FALSE)</f>
        <v>Granular</v>
      </c>
      <c r="AI130" s="129" t="str">
        <f>VLOOKUP(VALUE($U130),test_out_xwalk!$C:$L,4,FALSE)</f>
        <v>Pre-emergence</v>
      </c>
      <c r="AJ130" s="129" t="str">
        <f>VLOOKUP(VALUE($U130),test_out_xwalk!$C:$L,9,FALSE)</f>
        <v>Vegetables and Ground Fruit</v>
      </c>
      <c r="AK130">
        <f>_xlfn.XLOOKUP(VALUE(U130),test_out_xwalk!C:C,test_out_xwalk!A:A)</f>
        <v>7</v>
      </c>
    </row>
    <row r="131" spans="1:37" x14ac:dyDescent="0.55000000000000004">
      <c r="A131" s="121" t="str">
        <f>IF('summary_EPA Pond'!$A131="","Check Summary EPA POND worksheet Column A",'summary_EPA Pond'!$A131)</f>
        <v xml:space="preserve">9_546865-14571-68_Orchard deciduous-r06-A_USEPA Pond_0089_median                      </v>
      </c>
      <c r="B131" s="121" t="str" cm="1">
        <f t="array" ref="B131:G131">IFERROR(_xlfn.TEXTSPLIT(A131,"_"),"")</f>
        <v>9</v>
      </c>
      <c r="C131" t="str">
        <v>546865-14571-68</v>
      </c>
      <c r="D131" t="str">
        <v>Orchard deciduous-r06-A</v>
      </c>
      <c r="E131" t="str">
        <v>USEPA Pond</v>
      </c>
      <c r="F131" t="str">
        <v>0089</v>
      </c>
      <c r="G131" t="str">
        <v xml:space="preserve">median                      </v>
      </c>
      <c r="H131" s="121" t="str" cm="1">
        <f t="array" ref="H131:J131">IF(D131="","",(_xlfn.TEXTSPLIT(D131,"-")))</f>
        <v>Orchard deciduous</v>
      </c>
      <c r="I131" s="121" t="str">
        <v>r06</v>
      </c>
      <c r="J131" t="str">
        <v>A</v>
      </c>
      <c r="K131" s="129" t="str">
        <f>VLOOKUP(VALUE($B131),test_out_xwalk!$C:$L,3,FALSE)</f>
        <v>Almond-3-9</v>
      </c>
      <c r="L131" s="129">
        <f>VLOOKUP(VALUE($B131),test_out_xwalk!$C:$L,5,FALSE)</f>
        <v>1</v>
      </c>
      <c r="M131" s="129">
        <f>VLOOKUP(VALUE($B131),test_out_xwalk!$C:$L,6,FALSE)</f>
        <v>1</v>
      </c>
      <c r="N131" s="129" t="str">
        <f>VLOOKUP(VALUE($B131),test_out_xwalk!$C:$L,8,FALSE)</f>
        <v>Aerial_Medium</v>
      </c>
      <c r="O131" s="129" t="str">
        <f>VLOOKUP(VALUE($B131),test_out_xwalk!$C:$L,7,FALSE)</f>
        <v>Spray</v>
      </c>
      <c r="P131" s="129" t="str">
        <f>VLOOKUP(VALUE($B131),test_out_xwalk!$C:$L,4,FALSE)</f>
        <v>Pre-emergence</v>
      </c>
      <c r="Q131" s="129" t="str">
        <f>VLOOKUP(VALUE($B131),test_out_xwalk!$C:$L,9,FALSE)</f>
        <v>Other Orchards</v>
      </c>
      <c r="R131">
        <f>_xlfn.XLOOKUP(VALUE(B131),test_out_xwalk!$C:$C,test_out_xwalk!$A:$A)</f>
        <v>3</v>
      </c>
      <c r="T131" s="121" t="str">
        <f>IF('summary_EPA Pond'!$O131="","Check Summary EPA POND worksheet Column O",'summary_EPA Pond'!$O131)</f>
        <v xml:space="preserve">20_160822-18569-229_Vegetable fresh or processing market-r05-A_USEPA Pond_0010_median </v>
      </c>
      <c r="U131" s="121" t="str" cm="1">
        <f t="array" ref="U131:Z131">IFERROR(_xlfn.TEXTSPLIT(T131,"_"),"")</f>
        <v>20</v>
      </c>
      <c r="V131" t="str">
        <v>160822-18569-229</v>
      </c>
      <c r="W131" t="str">
        <v>Vegetable fresh or processing market-r05-A</v>
      </c>
      <c r="X131" t="str">
        <v>USEPA Pond</v>
      </c>
      <c r="Y131" t="str">
        <v>0010</v>
      </c>
      <c r="Z131" t="str">
        <v xml:space="preserve">median </v>
      </c>
      <c r="AA131" s="121" t="str" cm="1">
        <f t="array" ref="AA131:AC131">IF(W131="","",(_xlfn.TEXTSPLIT(W131,"-")))</f>
        <v>Vegetable fresh or processing market</v>
      </c>
      <c r="AB131" s="121" t="str">
        <v>r05</v>
      </c>
      <c r="AC131" t="str">
        <v>A</v>
      </c>
      <c r="AD131" s="129" t="str">
        <f>VLOOKUP(VALUE($U131),test_out_xwalk!$C:$L,3,FALSE)</f>
        <v>Garlic, Bulb-7-20</v>
      </c>
      <c r="AE131" s="129">
        <f>VLOOKUP(VALUE($U131),test_out_xwalk!$C:$L,5,FALSE)</f>
        <v>0.25</v>
      </c>
      <c r="AF131" s="129">
        <f>VLOOKUP(VALUE($U131),test_out_xwalk!$C:$L,6,FALSE)</f>
        <v>0.25</v>
      </c>
      <c r="AG131" s="129" t="str">
        <f>VLOOKUP(VALUE($U131),test_out_xwalk!$C:$L,8,FALSE)</f>
        <v>None</v>
      </c>
      <c r="AH131" s="129" t="str">
        <f>VLOOKUP(VALUE($U131),test_out_xwalk!$C:$L,7,FALSE)</f>
        <v>Granular</v>
      </c>
      <c r="AI131" s="129" t="str">
        <f>VLOOKUP(VALUE($U131),test_out_xwalk!$C:$L,4,FALSE)</f>
        <v>Pre-emergence</v>
      </c>
      <c r="AJ131" s="129" t="str">
        <f>VLOOKUP(VALUE($U131),test_out_xwalk!$C:$L,9,FALSE)</f>
        <v>Vegetables and Ground Fruit</v>
      </c>
      <c r="AK131">
        <f>_xlfn.XLOOKUP(VALUE(U131),test_out_xwalk!C:C,test_out_xwalk!A:A)</f>
        <v>7</v>
      </c>
    </row>
    <row r="132" spans="1:37" x14ac:dyDescent="0.55000000000000004">
      <c r="A132" s="121" t="str">
        <f>IF('summary_EPA Pond'!$A132="","Check Summary EPA POND worksheet Column A",'summary_EPA Pond'!$A132)</f>
        <v xml:space="preserve">9_396439-23493-68_Orchard deciduous-r07-A_USEPA Pond_0089_median                      </v>
      </c>
      <c r="B132" s="121" t="str" cm="1">
        <f t="array" ref="B132:G132">IFERROR(_xlfn.TEXTSPLIT(A132,"_"),"")</f>
        <v>9</v>
      </c>
      <c r="C132" t="str">
        <v>396439-23493-68</v>
      </c>
      <c r="D132" t="str">
        <v>Orchard deciduous-r07-A</v>
      </c>
      <c r="E132" t="str">
        <v>USEPA Pond</v>
      </c>
      <c r="F132" t="str">
        <v>0089</v>
      </c>
      <c r="G132" t="str">
        <v xml:space="preserve">median                      </v>
      </c>
      <c r="H132" s="121" t="str" cm="1">
        <f t="array" ref="H132:J132">IF(D132="","",(_xlfn.TEXTSPLIT(D132,"-")))</f>
        <v>Orchard deciduous</v>
      </c>
      <c r="I132" s="121" t="str">
        <v>r07</v>
      </c>
      <c r="J132" t="str">
        <v>A</v>
      </c>
      <c r="K132" s="129" t="str">
        <f>VLOOKUP(VALUE($B132),test_out_xwalk!$C:$L,3,FALSE)</f>
        <v>Almond-3-9</v>
      </c>
      <c r="L132" s="129">
        <f>VLOOKUP(VALUE($B132),test_out_xwalk!$C:$L,5,FALSE)</f>
        <v>1</v>
      </c>
      <c r="M132" s="129">
        <f>VLOOKUP(VALUE($B132),test_out_xwalk!$C:$L,6,FALSE)</f>
        <v>1</v>
      </c>
      <c r="N132" s="129" t="str">
        <f>VLOOKUP(VALUE($B132),test_out_xwalk!$C:$L,8,FALSE)</f>
        <v>Aerial_Medium</v>
      </c>
      <c r="O132" s="129" t="str">
        <f>VLOOKUP(VALUE($B132),test_out_xwalk!$C:$L,7,FALSE)</f>
        <v>Spray</v>
      </c>
      <c r="P132" s="129" t="str">
        <f>VLOOKUP(VALUE($B132),test_out_xwalk!$C:$L,4,FALSE)</f>
        <v>Pre-emergence</v>
      </c>
      <c r="Q132" s="129" t="str">
        <f>VLOOKUP(VALUE($B132),test_out_xwalk!$C:$L,9,FALSE)</f>
        <v>Other Orchards</v>
      </c>
      <c r="R132">
        <f>_xlfn.XLOOKUP(VALUE(B132),test_out_xwalk!$C:$C,test_out_xwalk!$A:$A)</f>
        <v>3</v>
      </c>
      <c r="T132" s="121" t="str">
        <f>IF('summary_EPA Pond'!$O132="","Check Summary EPA POND worksheet Column O",'summary_EPA Pond'!$O132)</f>
        <v>20_2423116-14329-219_Vegetable fresh or processing market-r06-A_USEPA Pond_0010_median</v>
      </c>
      <c r="U132" s="121" t="str" cm="1">
        <f t="array" ref="U132:Z132">IFERROR(_xlfn.TEXTSPLIT(T132,"_"),"")</f>
        <v>20</v>
      </c>
      <c r="V132" t="str">
        <v>2423116-14329-219</v>
      </c>
      <c r="W132" t="str">
        <v>Vegetable fresh or processing market-r06-A</v>
      </c>
      <c r="X132" t="str">
        <v>USEPA Pond</v>
      </c>
      <c r="Y132" t="str">
        <v>0010</v>
      </c>
      <c r="Z132" t="str">
        <v>median</v>
      </c>
      <c r="AA132" s="121" t="str" cm="1">
        <f t="array" ref="AA132:AC132">IF(W132="","",(_xlfn.TEXTSPLIT(W132,"-")))</f>
        <v>Vegetable fresh or processing market</v>
      </c>
      <c r="AB132" s="121" t="str">
        <v>r06</v>
      </c>
      <c r="AC132" t="str">
        <v>A</v>
      </c>
      <c r="AD132" s="129" t="str">
        <f>VLOOKUP(VALUE($U132),test_out_xwalk!$C:$L,3,FALSE)</f>
        <v>Garlic, Bulb-7-20</v>
      </c>
      <c r="AE132" s="129">
        <f>VLOOKUP(VALUE($U132),test_out_xwalk!$C:$L,5,FALSE)</f>
        <v>0.25</v>
      </c>
      <c r="AF132" s="129">
        <f>VLOOKUP(VALUE($U132),test_out_xwalk!$C:$L,6,FALSE)</f>
        <v>0.25</v>
      </c>
      <c r="AG132" s="129" t="str">
        <f>VLOOKUP(VALUE($U132),test_out_xwalk!$C:$L,8,FALSE)</f>
        <v>None</v>
      </c>
      <c r="AH132" s="129" t="str">
        <f>VLOOKUP(VALUE($U132),test_out_xwalk!$C:$L,7,FALSE)</f>
        <v>Granular</v>
      </c>
      <c r="AI132" s="129" t="str">
        <f>VLOOKUP(VALUE($U132),test_out_xwalk!$C:$L,4,FALSE)</f>
        <v>Pre-emergence</v>
      </c>
      <c r="AJ132" s="129" t="str">
        <f>VLOOKUP(VALUE($U132),test_out_xwalk!$C:$L,9,FALSE)</f>
        <v>Vegetables and Ground Fruit</v>
      </c>
      <c r="AK132">
        <f>_xlfn.XLOOKUP(VALUE(U132),test_out_xwalk!C:C,test_out_xwalk!A:A)</f>
        <v>7</v>
      </c>
    </row>
    <row r="133" spans="1:37" x14ac:dyDescent="0.55000000000000004">
      <c r="A133" s="121" t="str">
        <f>IF('summary_EPA Pond'!$A133="","Check Summary EPA POND worksheet Column A",'summary_EPA Pond'!$A133)</f>
        <v xml:space="preserve">9_567494-13121-74_Orchard deciduous-r08-A_USEPA Pond_0089_median                      </v>
      </c>
      <c r="B133" s="121" t="str" cm="1">
        <f t="array" ref="B133:G133">IFERROR(_xlfn.TEXTSPLIT(A133,"_"),"")</f>
        <v>9</v>
      </c>
      <c r="C133" t="str">
        <v>567494-13121-74</v>
      </c>
      <c r="D133" t="str">
        <v>Orchard deciduous-r08-A</v>
      </c>
      <c r="E133" t="str">
        <v>USEPA Pond</v>
      </c>
      <c r="F133" t="str">
        <v>0089</v>
      </c>
      <c r="G133" t="str">
        <v xml:space="preserve">median                      </v>
      </c>
      <c r="H133" s="121" t="str" cm="1">
        <f t="array" ref="H133:J133">IF(D133="","",(_xlfn.TEXTSPLIT(D133,"-")))</f>
        <v>Orchard deciduous</v>
      </c>
      <c r="I133" s="121" t="str">
        <v>r08</v>
      </c>
      <c r="J133" t="str">
        <v>A</v>
      </c>
      <c r="K133" s="129" t="str">
        <f>VLOOKUP(VALUE($B133),test_out_xwalk!$C:$L,3,FALSE)</f>
        <v>Almond-3-9</v>
      </c>
      <c r="L133" s="129">
        <f>VLOOKUP(VALUE($B133),test_out_xwalk!$C:$L,5,FALSE)</f>
        <v>1</v>
      </c>
      <c r="M133" s="129">
        <f>VLOOKUP(VALUE($B133),test_out_xwalk!$C:$L,6,FALSE)</f>
        <v>1</v>
      </c>
      <c r="N133" s="129" t="str">
        <f>VLOOKUP(VALUE($B133),test_out_xwalk!$C:$L,8,FALSE)</f>
        <v>Aerial_Medium</v>
      </c>
      <c r="O133" s="129" t="str">
        <f>VLOOKUP(VALUE($B133),test_out_xwalk!$C:$L,7,FALSE)</f>
        <v>Spray</v>
      </c>
      <c r="P133" s="129" t="str">
        <f>VLOOKUP(VALUE($B133),test_out_xwalk!$C:$L,4,FALSE)</f>
        <v>Pre-emergence</v>
      </c>
      <c r="Q133" s="129" t="str">
        <f>VLOOKUP(VALUE($B133),test_out_xwalk!$C:$L,9,FALSE)</f>
        <v>Other Orchards</v>
      </c>
      <c r="R133">
        <f>_xlfn.XLOOKUP(VALUE(B133),test_out_xwalk!$C:$C,test_out_xwalk!$A:$A)</f>
        <v>3</v>
      </c>
      <c r="T133" s="121" t="str">
        <f>IF('summary_EPA Pond'!$O133="","Check Summary EPA POND worksheet Column O",'summary_EPA Pond'!$O133)</f>
        <v xml:space="preserve">20_397808-22314-12_Vegetable fresh or processing market-r07-A_USEPA Pond_0010_median  </v>
      </c>
      <c r="U133" s="121" t="str" cm="1">
        <f t="array" ref="U133:Z133">IFERROR(_xlfn.TEXTSPLIT(T133,"_"),"")</f>
        <v>20</v>
      </c>
      <c r="V133" t="str">
        <v>397808-22314-12</v>
      </c>
      <c r="W133" t="str">
        <v>Vegetable fresh or processing market-r07-A</v>
      </c>
      <c r="X133" t="str">
        <v>USEPA Pond</v>
      </c>
      <c r="Y133" t="str">
        <v>0010</v>
      </c>
      <c r="Z133" t="str">
        <v xml:space="preserve">median  </v>
      </c>
      <c r="AA133" s="121" t="str" cm="1">
        <f t="array" ref="AA133:AC133">IF(W133="","",(_xlfn.TEXTSPLIT(W133,"-")))</f>
        <v>Vegetable fresh or processing market</v>
      </c>
      <c r="AB133" s="121" t="str">
        <v>r07</v>
      </c>
      <c r="AC133" t="str">
        <v>A</v>
      </c>
      <c r="AD133" s="129" t="str">
        <f>VLOOKUP(VALUE($U133),test_out_xwalk!$C:$L,3,FALSE)</f>
        <v>Garlic, Bulb-7-20</v>
      </c>
      <c r="AE133" s="129">
        <f>VLOOKUP(VALUE($U133),test_out_xwalk!$C:$L,5,FALSE)</f>
        <v>0.25</v>
      </c>
      <c r="AF133" s="129">
        <f>VLOOKUP(VALUE($U133),test_out_xwalk!$C:$L,6,FALSE)</f>
        <v>0.25</v>
      </c>
      <c r="AG133" s="129" t="str">
        <f>VLOOKUP(VALUE($U133),test_out_xwalk!$C:$L,8,FALSE)</f>
        <v>None</v>
      </c>
      <c r="AH133" s="129" t="str">
        <f>VLOOKUP(VALUE($U133),test_out_xwalk!$C:$L,7,FALSE)</f>
        <v>Granular</v>
      </c>
      <c r="AI133" s="129" t="str">
        <f>VLOOKUP(VALUE($U133),test_out_xwalk!$C:$L,4,FALSE)</f>
        <v>Pre-emergence</v>
      </c>
      <c r="AJ133" s="129" t="str">
        <f>VLOOKUP(VALUE($U133),test_out_xwalk!$C:$L,9,FALSE)</f>
        <v>Vegetables and Ground Fruit</v>
      </c>
      <c r="AK133">
        <f>_xlfn.XLOOKUP(VALUE(U133),test_out_xwalk!C:C,test_out_xwalk!A:A)</f>
        <v>7</v>
      </c>
    </row>
    <row r="134" spans="1:37" x14ac:dyDescent="0.55000000000000004">
      <c r="A134" s="121" t="str">
        <f>IF('summary_EPA Pond'!$A134="","Check Summary EPA POND worksheet Column A",'summary_EPA Pond'!$A134)</f>
        <v xml:space="preserve">9_2774572-26572-68_Orchard deciduous-r09-A_USEPA Pond_0089_median                     </v>
      </c>
      <c r="B134" s="121" t="str" cm="1">
        <f t="array" ref="B134:G134">IFERROR(_xlfn.TEXTSPLIT(A134,"_"),"")</f>
        <v>9</v>
      </c>
      <c r="C134" t="str">
        <v>2774572-26572-68</v>
      </c>
      <c r="D134" t="str">
        <v>Orchard deciduous-r09-A</v>
      </c>
      <c r="E134" t="str">
        <v>USEPA Pond</v>
      </c>
      <c r="F134" t="str">
        <v>0089</v>
      </c>
      <c r="G134" t="str">
        <v xml:space="preserve">median                     </v>
      </c>
      <c r="H134" s="121" t="str" cm="1">
        <f t="array" ref="H134:J134">IF(D134="","",(_xlfn.TEXTSPLIT(D134,"-")))</f>
        <v>Orchard deciduous</v>
      </c>
      <c r="I134" s="121" t="str">
        <v>r09</v>
      </c>
      <c r="J134" t="str">
        <v>A</v>
      </c>
      <c r="K134" s="129" t="str">
        <f>VLOOKUP(VALUE($B134),test_out_xwalk!$C:$L,3,FALSE)</f>
        <v>Almond-3-9</v>
      </c>
      <c r="L134" s="129">
        <f>VLOOKUP(VALUE($B134),test_out_xwalk!$C:$L,5,FALSE)</f>
        <v>1</v>
      </c>
      <c r="M134" s="129">
        <f>VLOOKUP(VALUE($B134),test_out_xwalk!$C:$L,6,FALSE)</f>
        <v>1</v>
      </c>
      <c r="N134" s="129" t="str">
        <f>VLOOKUP(VALUE($B134),test_out_xwalk!$C:$L,8,FALSE)</f>
        <v>Aerial_Medium</v>
      </c>
      <c r="O134" s="129" t="str">
        <f>VLOOKUP(VALUE($B134),test_out_xwalk!$C:$L,7,FALSE)</f>
        <v>Spray</v>
      </c>
      <c r="P134" s="129" t="str">
        <f>VLOOKUP(VALUE($B134),test_out_xwalk!$C:$L,4,FALSE)</f>
        <v>Pre-emergence</v>
      </c>
      <c r="Q134" s="129" t="str">
        <f>VLOOKUP(VALUE($B134),test_out_xwalk!$C:$L,9,FALSE)</f>
        <v>Other Orchards</v>
      </c>
      <c r="R134">
        <f>_xlfn.XLOOKUP(VALUE(B134),test_out_xwalk!$C:$C,test_out_xwalk!$A:$A)</f>
        <v>3</v>
      </c>
      <c r="T134" s="121" t="str">
        <f>IF('summary_EPA Pond'!$O134="","Check Summary EPA POND worksheet Column O",'summary_EPA Pond'!$O134)</f>
        <v xml:space="preserve">20_1715900-13351-54_Vegetable fresh or processing market-r08-A_USEPA Pond_0010_median </v>
      </c>
      <c r="U134" s="121" t="str" cm="1">
        <f t="array" ref="U134:Z134">IFERROR(_xlfn.TEXTSPLIT(T134,"_"),"")</f>
        <v>20</v>
      </c>
      <c r="V134" t="str">
        <v>1715900-13351-54</v>
      </c>
      <c r="W134" t="str">
        <v>Vegetable fresh or processing market-r08-A</v>
      </c>
      <c r="X134" t="str">
        <v>USEPA Pond</v>
      </c>
      <c r="Y134" t="str">
        <v>0010</v>
      </c>
      <c r="Z134" t="str">
        <v xml:space="preserve">median </v>
      </c>
      <c r="AA134" s="121" t="str" cm="1">
        <f t="array" ref="AA134:AC134">IF(W134="","",(_xlfn.TEXTSPLIT(W134,"-")))</f>
        <v>Vegetable fresh or processing market</v>
      </c>
      <c r="AB134" s="121" t="str">
        <v>r08</v>
      </c>
      <c r="AC134" t="str">
        <v>A</v>
      </c>
      <c r="AD134" s="129" t="str">
        <f>VLOOKUP(VALUE($U134),test_out_xwalk!$C:$L,3,FALSE)</f>
        <v>Garlic, Bulb-7-20</v>
      </c>
      <c r="AE134" s="129">
        <f>VLOOKUP(VALUE($U134),test_out_xwalk!$C:$L,5,FALSE)</f>
        <v>0.25</v>
      </c>
      <c r="AF134" s="129">
        <f>VLOOKUP(VALUE($U134),test_out_xwalk!$C:$L,6,FALSE)</f>
        <v>0.25</v>
      </c>
      <c r="AG134" s="129" t="str">
        <f>VLOOKUP(VALUE($U134),test_out_xwalk!$C:$L,8,FALSE)</f>
        <v>None</v>
      </c>
      <c r="AH134" s="129" t="str">
        <f>VLOOKUP(VALUE($U134),test_out_xwalk!$C:$L,7,FALSE)</f>
        <v>Granular</v>
      </c>
      <c r="AI134" s="129" t="str">
        <f>VLOOKUP(VALUE($U134),test_out_xwalk!$C:$L,4,FALSE)</f>
        <v>Pre-emergence</v>
      </c>
      <c r="AJ134" s="129" t="str">
        <f>VLOOKUP(VALUE($U134),test_out_xwalk!$C:$L,9,FALSE)</f>
        <v>Vegetables and Ground Fruit</v>
      </c>
      <c r="AK134">
        <f>_xlfn.XLOOKUP(VALUE(U134),test_out_xwalk!C:C,test_out_xwalk!A:A)</f>
        <v>7</v>
      </c>
    </row>
    <row r="135" spans="1:37" x14ac:dyDescent="0.55000000000000004">
      <c r="A135" s="121" t="str">
        <f>IF('summary_EPA Pond'!$A135="","Check Summary EPA POND worksheet Column A",'summary_EPA Pond'!$A135)</f>
        <v xml:space="preserve">9_2532369-16882-74_Orchard deciduous-r10L-A_USEPA Pond_0089_median                    </v>
      </c>
      <c r="B135" s="121" t="str" cm="1">
        <f t="array" ref="B135:G135">IFERROR(_xlfn.TEXTSPLIT(A135,"_"),"")</f>
        <v>9</v>
      </c>
      <c r="C135" t="str">
        <v>2532369-16882-74</v>
      </c>
      <c r="D135" t="str">
        <v>Orchard deciduous-r10L-A</v>
      </c>
      <c r="E135" t="str">
        <v>USEPA Pond</v>
      </c>
      <c r="F135" t="str">
        <v>0089</v>
      </c>
      <c r="G135" t="str">
        <v xml:space="preserve">median                    </v>
      </c>
      <c r="H135" s="121" t="str" cm="1">
        <f t="array" ref="H135:J135">IF(D135="","",(_xlfn.TEXTSPLIT(D135,"-")))</f>
        <v>Orchard deciduous</v>
      </c>
      <c r="I135" s="121" t="str">
        <v>r10L</v>
      </c>
      <c r="J135" t="str">
        <v>A</v>
      </c>
      <c r="K135" s="129" t="str">
        <f>VLOOKUP(VALUE($B135),test_out_xwalk!$C:$L,3,FALSE)</f>
        <v>Almond-3-9</v>
      </c>
      <c r="L135" s="129">
        <f>VLOOKUP(VALUE($B135),test_out_xwalk!$C:$L,5,FALSE)</f>
        <v>1</v>
      </c>
      <c r="M135" s="129">
        <f>VLOOKUP(VALUE($B135),test_out_xwalk!$C:$L,6,FALSE)</f>
        <v>1</v>
      </c>
      <c r="N135" s="129" t="str">
        <f>VLOOKUP(VALUE($B135),test_out_xwalk!$C:$L,8,FALSE)</f>
        <v>Aerial_Medium</v>
      </c>
      <c r="O135" s="129" t="str">
        <f>VLOOKUP(VALUE($B135),test_out_xwalk!$C:$L,7,FALSE)</f>
        <v>Spray</v>
      </c>
      <c r="P135" s="129" t="str">
        <f>VLOOKUP(VALUE($B135),test_out_xwalk!$C:$L,4,FALSE)</f>
        <v>Pre-emergence</v>
      </c>
      <c r="Q135" s="129" t="str">
        <f>VLOOKUP(VALUE($B135),test_out_xwalk!$C:$L,9,FALSE)</f>
        <v>Other Orchards</v>
      </c>
      <c r="R135">
        <f>_xlfn.XLOOKUP(VALUE(B135),test_out_xwalk!$C:$C,test_out_xwalk!$A:$A)</f>
        <v>3</v>
      </c>
      <c r="T135" s="121" t="str">
        <f>IF('summary_EPA Pond'!$O135="","Check Summary EPA POND worksheet Column O",'summary_EPA Pond'!$O135)</f>
        <v xml:space="preserve">20_356962-25371-12_Vegetable fresh or processing market-r09-A_USEPA Pond_0010_median  </v>
      </c>
      <c r="U135" s="121" t="str" cm="1">
        <f t="array" ref="U135:Z135">IFERROR(_xlfn.TEXTSPLIT(T135,"_"),"")</f>
        <v>20</v>
      </c>
      <c r="V135" t="str">
        <v>356962-25371-12</v>
      </c>
      <c r="W135" t="str">
        <v>Vegetable fresh or processing market-r09-A</v>
      </c>
      <c r="X135" t="str">
        <v>USEPA Pond</v>
      </c>
      <c r="Y135" t="str">
        <v>0010</v>
      </c>
      <c r="Z135" t="str">
        <v xml:space="preserve">median  </v>
      </c>
      <c r="AA135" s="121" t="str" cm="1">
        <f t="array" ref="AA135:AC135">IF(W135="","",(_xlfn.TEXTSPLIT(W135,"-")))</f>
        <v>Vegetable fresh or processing market</v>
      </c>
      <c r="AB135" s="121" t="str">
        <v>r09</v>
      </c>
      <c r="AC135" t="str">
        <v>A</v>
      </c>
      <c r="AD135" s="129" t="str">
        <f>VLOOKUP(VALUE($U135),test_out_xwalk!$C:$L,3,FALSE)</f>
        <v>Garlic, Bulb-7-20</v>
      </c>
      <c r="AE135" s="129">
        <f>VLOOKUP(VALUE($U135),test_out_xwalk!$C:$L,5,FALSE)</f>
        <v>0.25</v>
      </c>
      <c r="AF135" s="129">
        <f>VLOOKUP(VALUE($U135),test_out_xwalk!$C:$L,6,FALSE)</f>
        <v>0.25</v>
      </c>
      <c r="AG135" s="129" t="str">
        <f>VLOOKUP(VALUE($U135),test_out_xwalk!$C:$L,8,FALSE)</f>
        <v>None</v>
      </c>
      <c r="AH135" s="129" t="str">
        <f>VLOOKUP(VALUE($U135),test_out_xwalk!$C:$L,7,FALSE)</f>
        <v>Granular</v>
      </c>
      <c r="AI135" s="129" t="str">
        <f>VLOOKUP(VALUE($U135),test_out_xwalk!$C:$L,4,FALSE)</f>
        <v>Pre-emergence</v>
      </c>
      <c r="AJ135" s="129" t="str">
        <f>VLOOKUP(VALUE($U135),test_out_xwalk!$C:$L,9,FALSE)</f>
        <v>Vegetables and Ground Fruit</v>
      </c>
      <c r="AK135">
        <f>_xlfn.XLOOKUP(VALUE(U135),test_out_xwalk!C:C,test_out_xwalk!A:A)</f>
        <v>7</v>
      </c>
    </row>
    <row r="136" spans="1:37" x14ac:dyDescent="0.55000000000000004">
      <c r="A136" s="121" t="str">
        <f>IF('summary_EPA Pond'!$A136="","Check Summary EPA POND worksheet Column A",'summary_EPA Pond'!$A136)</f>
        <v xml:space="preserve">9_146775-27192-66_Orchard deciduous-r10U-A_USEPA Pond_0089_median                     </v>
      </c>
      <c r="B136" s="121" t="str" cm="1">
        <f t="array" ref="B136:G136">IFERROR(_xlfn.TEXTSPLIT(A136,"_"),"")</f>
        <v>9</v>
      </c>
      <c r="C136" t="str">
        <v>146775-27192-66</v>
      </c>
      <c r="D136" t="str">
        <v>Orchard deciduous-r10U-A</v>
      </c>
      <c r="E136" t="str">
        <v>USEPA Pond</v>
      </c>
      <c r="F136" t="str">
        <v>0089</v>
      </c>
      <c r="G136" t="str">
        <v xml:space="preserve">median                     </v>
      </c>
      <c r="H136" s="121" t="str" cm="1">
        <f t="array" ref="H136:J136">IF(D136="","",(_xlfn.TEXTSPLIT(D136,"-")))</f>
        <v>Orchard deciduous</v>
      </c>
      <c r="I136" s="121" t="str">
        <v>r10U</v>
      </c>
      <c r="J136" t="str">
        <v>A</v>
      </c>
      <c r="K136" s="129" t="str">
        <f>VLOOKUP(VALUE($B136),test_out_xwalk!$C:$L,3,FALSE)</f>
        <v>Almond-3-9</v>
      </c>
      <c r="L136" s="129">
        <f>VLOOKUP(VALUE($B136),test_out_xwalk!$C:$L,5,FALSE)</f>
        <v>1</v>
      </c>
      <c r="M136" s="129">
        <f>VLOOKUP(VALUE($B136),test_out_xwalk!$C:$L,6,FALSE)</f>
        <v>1</v>
      </c>
      <c r="N136" s="129" t="str">
        <f>VLOOKUP(VALUE($B136),test_out_xwalk!$C:$L,8,FALSE)</f>
        <v>Aerial_Medium</v>
      </c>
      <c r="O136" s="129" t="str">
        <f>VLOOKUP(VALUE($B136),test_out_xwalk!$C:$L,7,FALSE)</f>
        <v>Spray</v>
      </c>
      <c r="P136" s="129" t="str">
        <f>VLOOKUP(VALUE($B136),test_out_xwalk!$C:$L,4,FALSE)</f>
        <v>Pre-emergence</v>
      </c>
      <c r="Q136" s="129" t="str">
        <f>VLOOKUP(VALUE($B136),test_out_xwalk!$C:$L,9,FALSE)</f>
        <v>Other Orchards</v>
      </c>
      <c r="R136">
        <f>_xlfn.XLOOKUP(VALUE(B136),test_out_xwalk!$C:$C,test_out_xwalk!$A:$A)</f>
        <v>3</v>
      </c>
      <c r="T136" s="121" t="str">
        <f>IF('summary_EPA Pond'!$O136="","Check Summary EPA POND worksheet Column O",'summary_EPA Pond'!$O136)</f>
        <v>20_497748-19437-229_Vegetable fresh or processing market-r10L-A_USEPA Pond_0010_median</v>
      </c>
      <c r="U136" s="121" t="str" cm="1">
        <f t="array" ref="U136:Z136">IFERROR(_xlfn.TEXTSPLIT(T136,"_"),"")</f>
        <v>20</v>
      </c>
      <c r="V136" t="str">
        <v>497748-19437-229</v>
      </c>
      <c r="W136" t="str">
        <v>Vegetable fresh or processing market-r10L-A</v>
      </c>
      <c r="X136" t="str">
        <v>USEPA Pond</v>
      </c>
      <c r="Y136" t="str">
        <v>0010</v>
      </c>
      <c r="Z136" t="str">
        <v>median</v>
      </c>
      <c r="AA136" s="121" t="str" cm="1">
        <f t="array" ref="AA136:AC136">IF(W136="","",(_xlfn.TEXTSPLIT(W136,"-")))</f>
        <v>Vegetable fresh or processing market</v>
      </c>
      <c r="AB136" s="121" t="str">
        <v>r10L</v>
      </c>
      <c r="AC136" t="str">
        <v>A</v>
      </c>
      <c r="AD136" s="129" t="str">
        <f>VLOOKUP(VALUE($U136),test_out_xwalk!$C:$L,3,FALSE)</f>
        <v>Garlic, Bulb-7-20</v>
      </c>
      <c r="AE136" s="129">
        <f>VLOOKUP(VALUE($U136),test_out_xwalk!$C:$L,5,FALSE)</f>
        <v>0.25</v>
      </c>
      <c r="AF136" s="129">
        <f>VLOOKUP(VALUE($U136),test_out_xwalk!$C:$L,6,FALSE)</f>
        <v>0.25</v>
      </c>
      <c r="AG136" s="129" t="str">
        <f>VLOOKUP(VALUE($U136),test_out_xwalk!$C:$L,8,FALSE)</f>
        <v>None</v>
      </c>
      <c r="AH136" s="129" t="str">
        <f>VLOOKUP(VALUE($U136),test_out_xwalk!$C:$L,7,FALSE)</f>
        <v>Granular</v>
      </c>
      <c r="AI136" s="129" t="str">
        <f>VLOOKUP(VALUE($U136),test_out_xwalk!$C:$L,4,FALSE)</f>
        <v>Pre-emergence</v>
      </c>
      <c r="AJ136" s="129" t="str">
        <f>VLOOKUP(VALUE($U136),test_out_xwalk!$C:$L,9,FALSE)</f>
        <v>Vegetables and Ground Fruit</v>
      </c>
      <c r="AK136">
        <f>_xlfn.XLOOKUP(VALUE(U136),test_out_xwalk!C:C,test_out_xwalk!A:A)</f>
        <v>7</v>
      </c>
    </row>
    <row r="137" spans="1:37" x14ac:dyDescent="0.55000000000000004">
      <c r="A137" s="121" t="str">
        <f>IF('summary_EPA Pond'!$A137="","Check Summary EPA POND worksheet Column A",'summary_EPA Pond'!$A137)</f>
        <v xml:space="preserve">9_106593-15934-74_Orchard deciduous-r11-A_USEPA Pond_0089_median                      </v>
      </c>
      <c r="B137" s="121" t="str" cm="1">
        <f t="array" ref="B137:G137">IFERROR(_xlfn.TEXTSPLIT(A137,"_"),"")</f>
        <v>9</v>
      </c>
      <c r="C137" t="str">
        <v>106593-15934-74</v>
      </c>
      <c r="D137" t="str">
        <v>Orchard deciduous-r11-A</v>
      </c>
      <c r="E137" t="str">
        <v>USEPA Pond</v>
      </c>
      <c r="F137" t="str">
        <v>0089</v>
      </c>
      <c r="G137" t="str">
        <v xml:space="preserve">median                      </v>
      </c>
      <c r="H137" s="121" t="str" cm="1">
        <f t="array" ref="H137:J137">IF(D137="","",(_xlfn.TEXTSPLIT(D137,"-")))</f>
        <v>Orchard deciduous</v>
      </c>
      <c r="I137" s="121" t="str">
        <v>r11</v>
      </c>
      <c r="J137" t="str">
        <v>A</v>
      </c>
      <c r="K137" s="129" t="str">
        <f>VLOOKUP(VALUE($B137),test_out_xwalk!$C:$L,3,FALSE)</f>
        <v>Almond-3-9</v>
      </c>
      <c r="L137" s="129">
        <f>VLOOKUP(VALUE($B137),test_out_xwalk!$C:$L,5,FALSE)</f>
        <v>1</v>
      </c>
      <c r="M137" s="129">
        <f>VLOOKUP(VALUE($B137),test_out_xwalk!$C:$L,6,FALSE)</f>
        <v>1</v>
      </c>
      <c r="N137" s="129" t="str">
        <f>VLOOKUP(VALUE($B137),test_out_xwalk!$C:$L,8,FALSE)</f>
        <v>Aerial_Medium</v>
      </c>
      <c r="O137" s="129" t="str">
        <f>VLOOKUP(VALUE($B137),test_out_xwalk!$C:$L,7,FALSE)</f>
        <v>Spray</v>
      </c>
      <c r="P137" s="129" t="str">
        <f>VLOOKUP(VALUE($B137),test_out_xwalk!$C:$L,4,FALSE)</f>
        <v>Pre-emergence</v>
      </c>
      <c r="Q137" s="129" t="str">
        <f>VLOOKUP(VALUE($B137),test_out_xwalk!$C:$L,9,FALSE)</f>
        <v>Other Orchards</v>
      </c>
      <c r="R137">
        <f>_xlfn.XLOOKUP(VALUE(B137),test_out_xwalk!$C:$C,test_out_xwalk!$A:$A)</f>
        <v>3</v>
      </c>
      <c r="T137" s="121" t="str">
        <f>IF('summary_EPA Pond'!$O137="","Check Summary EPA POND worksheet Column O",'summary_EPA Pond'!$O137)</f>
        <v>20_2517301-22540-12_Vegetable fresh or processing market-r10U-A_USEPA Pond_0010_median</v>
      </c>
      <c r="U137" s="121" t="str" cm="1">
        <f t="array" ref="U137:Z137">IFERROR(_xlfn.TEXTSPLIT(T137,"_"),"")</f>
        <v>20</v>
      </c>
      <c r="V137" t="str">
        <v>2517301-22540-12</v>
      </c>
      <c r="W137" t="str">
        <v>Vegetable fresh or processing market-r10U-A</v>
      </c>
      <c r="X137" t="str">
        <v>USEPA Pond</v>
      </c>
      <c r="Y137" t="str">
        <v>0010</v>
      </c>
      <c r="Z137" t="str">
        <v>median</v>
      </c>
      <c r="AA137" s="121" t="str" cm="1">
        <f t="array" ref="AA137:AC137">IF(W137="","",(_xlfn.TEXTSPLIT(W137,"-")))</f>
        <v>Vegetable fresh or processing market</v>
      </c>
      <c r="AB137" s="121" t="str">
        <v>r10U</v>
      </c>
      <c r="AC137" t="str">
        <v>A</v>
      </c>
      <c r="AD137" s="129" t="str">
        <f>VLOOKUP(VALUE($U137),test_out_xwalk!$C:$L,3,FALSE)</f>
        <v>Garlic, Bulb-7-20</v>
      </c>
      <c r="AE137" s="129">
        <f>VLOOKUP(VALUE($U137),test_out_xwalk!$C:$L,5,FALSE)</f>
        <v>0.25</v>
      </c>
      <c r="AF137" s="129">
        <f>VLOOKUP(VALUE($U137),test_out_xwalk!$C:$L,6,FALSE)</f>
        <v>0.25</v>
      </c>
      <c r="AG137" s="129" t="str">
        <f>VLOOKUP(VALUE($U137),test_out_xwalk!$C:$L,8,FALSE)</f>
        <v>None</v>
      </c>
      <c r="AH137" s="129" t="str">
        <f>VLOOKUP(VALUE($U137),test_out_xwalk!$C:$L,7,FALSE)</f>
        <v>Granular</v>
      </c>
      <c r="AI137" s="129" t="str">
        <f>VLOOKUP(VALUE($U137),test_out_xwalk!$C:$L,4,FALSE)</f>
        <v>Pre-emergence</v>
      </c>
      <c r="AJ137" s="129" t="str">
        <f>VLOOKUP(VALUE($U137),test_out_xwalk!$C:$L,9,FALSE)</f>
        <v>Vegetables and Ground Fruit</v>
      </c>
      <c r="AK137">
        <f>_xlfn.XLOOKUP(VALUE(U137),test_out_xwalk!C:C,test_out_xwalk!A:A)</f>
        <v>7</v>
      </c>
    </row>
    <row r="138" spans="1:37" x14ac:dyDescent="0.55000000000000004">
      <c r="A138" s="121" t="str">
        <f>IF('summary_EPA Pond'!$A138="","Check Summary EPA POND worksheet Column A",'summary_EPA Pond'!$A138)</f>
        <v xml:space="preserve">9_367880-12156-74_Orchard deciduous-r12-A_USEPA Pond_0089_median                      </v>
      </c>
      <c r="B138" s="121" t="str" cm="1">
        <f t="array" ref="B138:G138">IFERROR(_xlfn.TEXTSPLIT(A138,"_"),"")</f>
        <v>9</v>
      </c>
      <c r="C138" t="str">
        <v>367880-12156-74</v>
      </c>
      <c r="D138" t="str">
        <v>Orchard deciduous-r12-A</v>
      </c>
      <c r="E138" t="str">
        <v>USEPA Pond</v>
      </c>
      <c r="F138" t="str">
        <v>0089</v>
      </c>
      <c r="G138" t="str">
        <v xml:space="preserve">median                      </v>
      </c>
      <c r="H138" s="121" t="str" cm="1">
        <f t="array" ref="H138:J138">IF(D138="","",(_xlfn.TEXTSPLIT(D138,"-")))</f>
        <v>Orchard deciduous</v>
      </c>
      <c r="I138" s="121" t="str">
        <v>r12</v>
      </c>
      <c r="J138" t="str">
        <v>A</v>
      </c>
      <c r="K138" s="129" t="str">
        <f>VLOOKUP(VALUE($B138),test_out_xwalk!$C:$L,3,FALSE)</f>
        <v>Almond-3-9</v>
      </c>
      <c r="L138" s="129">
        <f>VLOOKUP(VALUE($B138),test_out_xwalk!$C:$L,5,FALSE)</f>
        <v>1</v>
      </c>
      <c r="M138" s="129">
        <f>VLOOKUP(VALUE($B138),test_out_xwalk!$C:$L,6,FALSE)</f>
        <v>1</v>
      </c>
      <c r="N138" s="129" t="str">
        <f>VLOOKUP(VALUE($B138),test_out_xwalk!$C:$L,8,FALSE)</f>
        <v>Aerial_Medium</v>
      </c>
      <c r="O138" s="129" t="str">
        <f>VLOOKUP(VALUE($B138),test_out_xwalk!$C:$L,7,FALSE)</f>
        <v>Spray</v>
      </c>
      <c r="P138" s="129" t="str">
        <f>VLOOKUP(VALUE($B138),test_out_xwalk!$C:$L,4,FALSE)</f>
        <v>Pre-emergence</v>
      </c>
      <c r="Q138" s="129" t="str">
        <f>VLOOKUP(VALUE($B138),test_out_xwalk!$C:$L,9,FALSE)</f>
        <v>Other Orchards</v>
      </c>
      <c r="R138">
        <f>_xlfn.XLOOKUP(VALUE(B138),test_out_xwalk!$C:$C,test_out_xwalk!$A:$A)</f>
        <v>3</v>
      </c>
      <c r="T138" s="121" t="str">
        <f>IF('summary_EPA Pond'!$O138="","Check Summary EPA POND worksheet Column O",'summary_EPA Pond'!$O138)</f>
        <v xml:space="preserve">20_382177-13799-57_Vegetable fresh or processing market-r11-A_USEPA Pond_0010_median  </v>
      </c>
      <c r="U138" s="121" t="str" cm="1">
        <f t="array" ref="U138:Z138">IFERROR(_xlfn.TEXTSPLIT(T138,"_"),"")</f>
        <v>20</v>
      </c>
      <c r="V138" t="str">
        <v>382177-13799-57</v>
      </c>
      <c r="W138" t="str">
        <v>Vegetable fresh or processing market-r11-A</v>
      </c>
      <c r="X138" t="str">
        <v>USEPA Pond</v>
      </c>
      <c r="Y138" t="str">
        <v>0010</v>
      </c>
      <c r="Z138" t="str">
        <v xml:space="preserve">median  </v>
      </c>
      <c r="AA138" s="121" t="str" cm="1">
        <f t="array" ref="AA138:AC138">IF(W138="","",(_xlfn.TEXTSPLIT(W138,"-")))</f>
        <v>Vegetable fresh or processing market</v>
      </c>
      <c r="AB138" s="121" t="str">
        <v>r11</v>
      </c>
      <c r="AC138" t="str">
        <v>A</v>
      </c>
      <c r="AD138" s="129" t="str">
        <f>VLOOKUP(VALUE($U138),test_out_xwalk!$C:$L,3,FALSE)</f>
        <v>Garlic, Bulb-7-20</v>
      </c>
      <c r="AE138" s="129">
        <f>VLOOKUP(VALUE($U138),test_out_xwalk!$C:$L,5,FALSE)</f>
        <v>0.25</v>
      </c>
      <c r="AF138" s="129">
        <f>VLOOKUP(VALUE($U138),test_out_xwalk!$C:$L,6,FALSE)</f>
        <v>0.25</v>
      </c>
      <c r="AG138" s="129" t="str">
        <f>VLOOKUP(VALUE($U138),test_out_xwalk!$C:$L,8,FALSE)</f>
        <v>None</v>
      </c>
      <c r="AH138" s="129" t="str">
        <f>VLOOKUP(VALUE($U138),test_out_xwalk!$C:$L,7,FALSE)</f>
        <v>Granular</v>
      </c>
      <c r="AI138" s="129" t="str">
        <f>VLOOKUP(VALUE($U138),test_out_xwalk!$C:$L,4,FALSE)</f>
        <v>Pre-emergence</v>
      </c>
      <c r="AJ138" s="129" t="str">
        <f>VLOOKUP(VALUE($U138),test_out_xwalk!$C:$L,9,FALSE)</f>
        <v>Vegetables and Ground Fruit</v>
      </c>
      <c r="AK138">
        <f>_xlfn.XLOOKUP(VALUE(U138),test_out_xwalk!C:C,test_out_xwalk!A:A)</f>
        <v>7</v>
      </c>
    </row>
    <row r="139" spans="1:37" x14ac:dyDescent="0.55000000000000004">
      <c r="A139" s="121" t="str">
        <f>IF('summary_EPA Pond'!$A139="","Check Summary EPA POND worksheet Column A",'summary_EPA Pond'!$A139)</f>
        <v xml:space="preserve">9_712158-9291-74_Orchard deciduous-r13-A_USEPA Pond_0089_median                       </v>
      </c>
      <c r="B139" s="121" t="str" cm="1">
        <f t="array" ref="B139:G139">IFERROR(_xlfn.TEXTSPLIT(A139,"_"),"")</f>
        <v>9</v>
      </c>
      <c r="C139" t="str">
        <v>712158-9291-74</v>
      </c>
      <c r="D139" t="str">
        <v>Orchard deciduous-r13-A</v>
      </c>
      <c r="E139" t="str">
        <v>USEPA Pond</v>
      </c>
      <c r="F139" t="str">
        <v>0089</v>
      </c>
      <c r="G139" t="str">
        <v xml:space="preserve">median                       </v>
      </c>
      <c r="H139" s="121" t="str" cm="1">
        <f t="array" ref="H139:J139">IF(D139="","",(_xlfn.TEXTSPLIT(D139,"-")))</f>
        <v>Orchard deciduous</v>
      </c>
      <c r="I139" s="121" t="str">
        <v>r13</v>
      </c>
      <c r="J139" t="str">
        <v>A</v>
      </c>
      <c r="K139" s="129" t="str">
        <f>VLOOKUP(VALUE($B139),test_out_xwalk!$C:$L,3,FALSE)</f>
        <v>Almond-3-9</v>
      </c>
      <c r="L139" s="129">
        <f>VLOOKUP(VALUE($B139),test_out_xwalk!$C:$L,5,FALSE)</f>
        <v>1</v>
      </c>
      <c r="M139" s="129">
        <f>VLOOKUP(VALUE($B139),test_out_xwalk!$C:$L,6,FALSE)</f>
        <v>1</v>
      </c>
      <c r="N139" s="129" t="str">
        <f>VLOOKUP(VALUE($B139),test_out_xwalk!$C:$L,8,FALSE)</f>
        <v>Aerial_Medium</v>
      </c>
      <c r="O139" s="129" t="str">
        <f>VLOOKUP(VALUE($B139),test_out_xwalk!$C:$L,7,FALSE)</f>
        <v>Spray</v>
      </c>
      <c r="P139" s="129" t="str">
        <f>VLOOKUP(VALUE($B139),test_out_xwalk!$C:$L,4,FALSE)</f>
        <v>Pre-emergence</v>
      </c>
      <c r="Q139" s="129" t="str">
        <f>VLOOKUP(VALUE($B139),test_out_xwalk!$C:$L,9,FALSE)</f>
        <v>Other Orchards</v>
      </c>
      <c r="R139">
        <f>_xlfn.XLOOKUP(VALUE(B139),test_out_xwalk!$C:$C,test_out_xwalk!$A:$A)</f>
        <v>3</v>
      </c>
      <c r="T139" s="121" t="str">
        <f>IF('summary_EPA Pond'!$O139="","Check Summary EPA POND worksheet Column O",'summary_EPA Pond'!$O139)</f>
        <v xml:space="preserve">20_373519-10262-57_Vegetable fresh or processing market-r12-A_USEPA Pond_0010_median  </v>
      </c>
      <c r="U139" s="121" t="str" cm="1">
        <f t="array" ref="U139:Z139">IFERROR(_xlfn.TEXTSPLIT(T139,"_"),"")</f>
        <v>20</v>
      </c>
      <c r="V139" t="str">
        <v>373519-10262-57</v>
      </c>
      <c r="W139" t="str">
        <v>Vegetable fresh or processing market-r12-A</v>
      </c>
      <c r="X139" t="str">
        <v>USEPA Pond</v>
      </c>
      <c r="Y139" t="str">
        <v>0010</v>
      </c>
      <c r="Z139" t="str">
        <v xml:space="preserve">median  </v>
      </c>
      <c r="AA139" s="121" t="str" cm="1">
        <f t="array" ref="AA139:AC139">IF(W139="","",(_xlfn.TEXTSPLIT(W139,"-")))</f>
        <v>Vegetable fresh or processing market</v>
      </c>
      <c r="AB139" s="121" t="str">
        <v>r12</v>
      </c>
      <c r="AC139" t="str">
        <v>A</v>
      </c>
      <c r="AD139" s="129" t="str">
        <f>VLOOKUP(VALUE($U139),test_out_xwalk!$C:$L,3,FALSE)</f>
        <v>Garlic, Bulb-7-20</v>
      </c>
      <c r="AE139" s="129">
        <f>VLOOKUP(VALUE($U139),test_out_xwalk!$C:$L,5,FALSE)</f>
        <v>0.25</v>
      </c>
      <c r="AF139" s="129">
        <f>VLOOKUP(VALUE($U139),test_out_xwalk!$C:$L,6,FALSE)</f>
        <v>0.25</v>
      </c>
      <c r="AG139" s="129" t="str">
        <f>VLOOKUP(VALUE($U139),test_out_xwalk!$C:$L,8,FALSE)</f>
        <v>None</v>
      </c>
      <c r="AH139" s="129" t="str">
        <f>VLOOKUP(VALUE($U139),test_out_xwalk!$C:$L,7,FALSE)</f>
        <v>Granular</v>
      </c>
      <c r="AI139" s="129" t="str">
        <f>VLOOKUP(VALUE($U139),test_out_xwalk!$C:$L,4,FALSE)</f>
        <v>Pre-emergence</v>
      </c>
      <c r="AJ139" s="129" t="str">
        <f>VLOOKUP(VALUE($U139),test_out_xwalk!$C:$L,9,FALSE)</f>
        <v>Vegetables and Ground Fruit</v>
      </c>
      <c r="AK139">
        <f>_xlfn.XLOOKUP(VALUE(U139),test_out_xwalk!C:C,test_out_xwalk!A:A)</f>
        <v>7</v>
      </c>
    </row>
    <row r="140" spans="1:37" x14ac:dyDescent="0.55000000000000004">
      <c r="A140" s="121" t="str">
        <f>IF('summary_EPA Pond'!$A140="","Check Summary EPA POND worksheet Column A",'summary_EPA Pond'!$A140)</f>
        <v xml:space="preserve">9_496634-17773-67_Orchard deciduous-r14-A_USEPA Pond_0089_median                      </v>
      </c>
      <c r="B140" s="121" t="str" cm="1">
        <f t="array" ref="B140:G140">IFERROR(_xlfn.TEXTSPLIT(A140,"_"),"")</f>
        <v>9</v>
      </c>
      <c r="C140" t="str">
        <v>496634-17773-67</v>
      </c>
      <c r="D140" t="str">
        <v>Orchard deciduous-r14-A</v>
      </c>
      <c r="E140" t="str">
        <v>USEPA Pond</v>
      </c>
      <c r="F140" t="str">
        <v>0089</v>
      </c>
      <c r="G140" t="str">
        <v xml:space="preserve">median                      </v>
      </c>
      <c r="H140" s="121" t="str" cm="1">
        <f t="array" ref="H140:J140">IF(D140="","",(_xlfn.TEXTSPLIT(D140,"-")))</f>
        <v>Orchard deciduous</v>
      </c>
      <c r="I140" s="121" t="str">
        <v>r14</v>
      </c>
      <c r="J140" t="str">
        <v>A</v>
      </c>
      <c r="K140" s="129" t="str">
        <f>VLOOKUP(VALUE($B140),test_out_xwalk!$C:$L,3,FALSE)</f>
        <v>Almond-3-9</v>
      </c>
      <c r="L140" s="129">
        <f>VLOOKUP(VALUE($B140),test_out_xwalk!$C:$L,5,FALSE)</f>
        <v>1</v>
      </c>
      <c r="M140" s="129">
        <f>VLOOKUP(VALUE($B140),test_out_xwalk!$C:$L,6,FALSE)</f>
        <v>1</v>
      </c>
      <c r="N140" s="129" t="str">
        <f>VLOOKUP(VALUE($B140),test_out_xwalk!$C:$L,8,FALSE)</f>
        <v>Aerial_Medium</v>
      </c>
      <c r="O140" s="129" t="str">
        <f>VLOOKUP(VALUE($B140),test_out_xwalk!$C:$L,7,FALSE)</f>
        <v>Spray</v>
      </c>
      <c r="P140" s="129" t="str">
        <f>VLOOKUP(VALUE($B140),test_out_xwalk!$C:$L,4,FALSE)</f>
        <v>Pre-emergence</v>
      </c>
      <c r="Q140" s="129" t="str">
        <f>VLOOKUP(VALUE($B140),test_out_xwalk!$C:$L,9,FALSE)</f>
        <v>Other Orchards</v>
      </c>
      <c r="R140">
        <f>_xlfn.XLOOKUP(VALUE(B140),test_out_xwalk!$C:$C,test_out_xwalk!$A:$A)</f>
        <v>3</v>
      </c>
      <c r="T140" s="121" t="str">
        <f>IF('summary_EPA Pond'!$O140="","Check Summary EPA POND worksheet Column O",'summary_EPA Pond'!$O140)</f>
        <v xml:space="preserve">20_58936-11176-216_Vegetable fresh or processing market-r13-A_USEPA Pond_0010_median  </v>
      </c>
      <c r="U140" s="121" t="str" cm="1">
        <f t="array" ref="U140:Z140">IFERROR(_xlfn.TEXTSPLIT(T140,"_"),"")</f>
        <v>20</v>
      </c>
      <c r="V140" t="str">
        <v>58936-11176-216</v>
      </c>
      <c r="W140" t="str">
        <v>Vegetable fresh or processing market-r13-A</v>
      </c>
      <c r="X140" t="str">
        <v>USEPA Pond</v>
      </c>
      <c r="Y140" t="str">
        <v>0010</v>
      </c>
      <c r="Z140" t="str">
        <v xml:space="preserve">median  </v>
      </c>
      <c r="AA140" s="121" t="str" cm="1">
        <f t="array" ref="AA140:AC140">IF(W140="","",(_xlfn.TEXTSPLIT(W140,"-")))</f>
        <v>Vegetable fresh or processing market</v>
      </c>
      <c r="AB140" s="121" t="str">
        <v>r13</v>
      </c>
      <c r="AC140" t="str">
        <v>A</v>
      </c>
      <c r="AD140" s="129" t="str">
        <f>VLOOKUP(VALUE($U140),test_out_xwalk!$C:$L,3,FALSE)</f>
        <v>Garlic, Bulb-7-20</v>
      </c>
      <c r="AE140" s="129">
        <f>VLOOKUP(VALUE($U140),test_out_xwalk!$C:$L,5,FALSE)</f>
        <v>0.25</v>
      </c>
      <c r="AF140" s="129">
        <f>VLOOKUP(VALUE($U140),test_out_xwalk!$C:$L,6,FALSE)</f>
        <v>0.25</v>
      </c>
      <c r="AG140" s="129" t="str">
        <f>VLOOKUP(VALUE($U140),test_out_xwalk!$C:$L,8,FALSE)</f>
        <v>None</v>
      </c>
      <c r="AH140" s="129" t="str">
        <f>VLOOKUP(VALUE($U140),test_out_xwalk!$C:$L,7,FALSE)</f>
        <v>Granular</v>
      </c>
      <c r="AI140" s="129" t="str">
        <f>VLOOKUP(VALUE($U140),test_out_xwalk!$C:$L,4,FALSE)</f>
        <v>Pre-emergence</v>
      </c>
      <c r="AJ140" s="129" t="str">
        <f>VLOOKUP(VALUE($U140),test_out_xwalk!$C:$L,9,FALSE)</f>
        <v>Vegetables and Ground Fruit</v>
      </c>
      <c r="AK140">
        <f>_xlfn.XLOOKUP(VALUE(U140),test_out_xwalk!C:C,test_out_xwalk!A:A)</f>
        <v>7</v>
      </c>
    </row>
    <row r="141" spans="1:37" x14ac:dyDescent="0.55000000000000004">
      <c r="A141" s="121" t="str">
        <f>IF('summary_EPA Pond'!$A141="","Check Summary EPA POND worksheet Column A",'summary_EPA Pond'!$A141)</f>
        <v xml:space="preserve">9_53675-11396-74_Orchard deciduous-r15-A_USEPA Pond_0089_median                       </v>
      </c>
      <c r="B141" s="121" t="str" cm="1">
        <f t="array" ref="B141:G141">IFERROR(_xlfn.TEXTSPLIT(A141,"_"),"")</f>
        <v>9</v>
      </c>
      <c r="C141" t="str">
        <v>53675-11396-74</v>
      </c>
      <c r="D141" t="str">
        <v>Orchard deciduous-r15-A</v>
      </c>
      <c r="E141" t="str">
        <v>USEPA Pond</v>
      </c>
      <c r="F141" t="str">
        <v>0089</v>
      </c>
      <c r="G141" t="str">
        <v xml:space="preserve">median                       </v>
      </c>
      <c r="H141" s="121" t="str" cm="1">
        <f t="array" ref="H141:J141">IF(D141="","",(_xlfn.TEXTSPLIT(D141,"-")))</f>
        <v>Orchard deciduous</v>
      </c>
      <c r="I141" s="121" t="str">
        <v>r15</v>
      </c>
      <c r="J141" t="str">
        <v>A</v>
      </c>
      <c r="K141" s="129" t="str">
        <f>VLOOKUP(VALUE($B141),test_out_xwalk!$C:$L,3,FALSE)</f>
        <v>Almond-3-9</v>
      </c>
      <c r="L141" s="129">
        <f>VLOOKUP(VALUE($B141),test_out_xwalk!$C:$L,5,FALSE)</f>
        <v>1</v>
      </c>
      <c r="M141" s="129">
        <f>VLOOKUP(VALUE($B141),test_out_xwalk!$C:$L,6,FALSE)</f>
        <v>1</v>
      </c>
      <c r="N141" s="129" t="str">
        <f>VLOOKUP(VALUE($B141),test_out_xwalk!$C:$L,8,FALSE)</f>
        <v>Aerial_Medium</v>
      </c>
      <c r="O141" s="129" t="str">
        <f>VLOOKUP(VALUE($B141),test_out_xwalk!$C:$L,7,FALSE)</f>
        <v>Spray</v>
      </c>
      <c r="P141" s="129" t="str">
        <f>VLOOKUP(VALUE($B141),test_out_xwalk!$C:$L,4,FALSE)</f>
        <v>Pre-emergence</v>
      </c>
      <c r="Q141" s="129" t="str">
        <f>VLOOKUP(VALUE($B141),test_out_xwalk!$C:$L,9,FALSE)</f>
        <v>Other Orchards</v>
      </c>
      <c r="R141">
        <f>_xlfn.XLOOKUP(VALUE(B141),test_out_xwalk!$C:$C,test_out_xwalk!$A:$A)</f>
        <v>3</v>
      </c>
      <c r="T141" s="121" t="str">
        <f>IF('summary_EPA Pond'!$O141="","Check Summary EPA POND worksheet Column O",'summary_EPA Pond'!$O141)</f>
        <v xml:space="preserve">20_508783-17536-12_Vegetable fresh or processing market-r14-A_USEPA Pond_0010_median  </v>
      </c>
      <c r="U141" s="121" t="str" cm="1">
        <f t="array" ref="U141:Z141">IFERROR(_xlfn.TEXTSPLIT(T141,"_"),"")</f>
        <v>20</v>
      </c>
      <c r="V141" t="str">
        <v>508783-17536-12</v>
      </c>
      <c r="W141" t="str">
        <v>Vegetable fresh or processing market-r14-A</v>
      </c>
      <c r="X141" t="str">
        <v>USEPA Pond</v>
      </c>
      <c r="Y141" t="str">
        <v>0010</v>
      </c>
      <c r="Z141" t="str">
        <v xml:space="preserve">median  </v>
      </c>
      <c r="AA141" s="121" t="str" cm="1">
        <f t="array" ref="AA141:AC141">IF(W141="","",(_xlfn.TEXTSPLIT(W141,"-")))</f>
        <v>Vegetable fresh or processing market</v>
      </c>
      <c r="AB141" s="121" t="str">
        <v>r14</v>
      </c>
      <c r="AC141" t="str">
        <v>A</v>
      </c>
      <c r="AD141" s="129" t="str">
        <f>VLOOKUP(VALUE($U141),test_out_xwalk!$C:$L,3,FALSE)</f>
        <v>Garlic, Bulb-7-20</v>
      </c>
      <c r="AE141" s="129">
        <f>VLOOKUP(VALUE($U141),test_out_xwalk!$C:$L,5,FALSE)</f>
        <v>0.25</v>
      </c>
      <c r="AF141" s="129">
        <f>VLOOKUP(VALUE($U141),test_out_xwalk!$C:$L,6,FALSE)</f>
        <v>0.25</v>
      </c>
      <c r="AG141" s="129" t="str">
        <f>VLOOKUP(VALUE($U141),test_out_xwalk!$C:$L,8,FALSE)</f>
        <v>None</v>
      </c>
      <c r="AH141" s="129" t="str">
        <f>VLOOKUP(VALUE($U141),test_out_xwalk!$C:$L,7,FALSE)</f>
        <v>Granular</v>
      </c>
      <c r="AI141" s="129" t="str">
        <f>VLOOKUP(VALUE($U141),test_out_xwalk!$C:$L,4,FALSE)</f>
        <v>Pre-emergence</v>
      </c>
      <c r="AJ141" s="129" t="str">
        <f>VLOOKUP(VALUE($U141),test_out_xwalk!$C:$L,9,FALSE)</f>
        <v>Vegetables and Ground Fruit</v>
      </c>
      <c r="AK141">
        <f>_xlfn.XLOOKUP(VALUE(U141),test_out_xwalk!C:C,test_out_xwalk!A:A)</f>
        <v>7</v>
      </c>
    </row>
    <row r="142" spans="1:37" x14ac:dyDescent="0.55000000000000004">
      <c r="A142" s="121" t="str">
        <f>IF('summary_EPA Pond'!$A142="","Check Summary EPA POND worksheet Column A",'summary_EPA Pond'!$A142)</f>
        <v xml:space="preserve">9_483390-18938-66_Orchard deciduous-r16-A_USEPA Pond_0089_median                      </v>
      </c>
      <c r="B142" s="121" t="str" cm="1">
        <f t="array" ref="B142:G142">IFERROR(_xlfn.TEXTSPLIT(A142,"_"),"")</f>
        <v>9</v>
      </c>
      <c r="C142" t="str">
        <v>483390-18938-66</v>
      </c>
      <c r="D142" t="str">
        <v>Orchard deciduous-r16-A</v>
      </c>
      <c r="E142" t="str">
        <v>USEPA Pond</v>
      </c>
      <c r="F142" t="str">
        <v>0089</v>
      </c>
      <c r="G142" t="str">
        <v xml:space="preserve">median                      </v>
      </c>
      <c r="H142" s="121" t="str" cm="1">
        <f t="array" ref="H142:J142">IF(D142="","",(_xlfn.TEXTSPLIT(D142,"-")))</f>
        <v>Orchard deciduous</v>
      </c>
      <c r="I142" s="121" t="str">
        <v>r16</v>
      </c>
      <c r="J142" t="str">
        <v>A</v>
      </c>
      <c r="K142" s="129" t="str">
        <f>VLOOKUP(VALUE($B142),test_out_xwalk!$C:$L,3,FALSE)</f>
        <v>Almond-3-9</v>
      </c>
      <c r="L142" s="129">
        <f>VLOOKUP(VALUE($B142),test_out_xwalk!$C:$L,5,FALSE)</f>
        <v>1</v>
      </c>
      <c r="M142" s="129">
        <f>VLOOKUP(VALUE($B142),test_out_xwalk!$C:$L,6,FALSE)</f>
        <v>1</v>
      </c>
      <c r="N142" s="129" t="str">
        <f>VLOOKUP(VALUE($B142),test_out_xwalk!$C:$L,8,FALSE)</f>
        <v>Aerial_Medium</v>
      </c>
      <c r="O142" s="129" t="str">
        <f>VLOOKUP(VALUE($B142),test_out_xwalk!$C:$L,7,FALSE)</f>
        <v>Spray</v>
      </c>
      <c r="P142" s="129" t="str">
        <f>VLOOKUP(VALUE($B142),test_out_xwalk!$C:$L,4,FALSE)</f>
        <v>Pre-emergence</v>
      </c>
      <c r="Q142" s="129" t="str">
        <f>VLOOKUP(VALUE($B142),test_out_xwalk!$C:$L,9,FALSE)</f>
        <v>Other Orchards</v>
      </c>
      <c r="R142">
        <f>_xlfn.XLOOKUP(VALUE(B142),test_out_xwalk!$C:$C,test_out_xwalk!$A:$A)</f>
        <v>3</v>
      </c>
      <c r="T142" s="121" t="str">
        <f>IF('summary_EPA Pond'!$O142="","Check Summary EPA POND worksheet Column O",'summary_EPA Pond'!$O142)</f>
        <v xml:space="preserve">20_53259-11846-227_Vegetable fresh or processing market-r15-A_USEPA Pond_0010_median  </v>
      </c>
      <c r="U142" s="121" t="str" cm="1">
        <f t="array" ref="U142:Z142">IFERROR(_xlfn.TEXTSPLIT(T142,"_"),"")</f>
        <v>20</v>
      </c>
      <c r="V142" t="str">
        <v>53259-11846-227</v>
      </c>
      <c r="W142" t="str">
        <v>Vegetable fresh or processing market-r15-A</v>
      </c>
      <c r="X142" t="str">
        <v>USEPA Pond</v>
      </c>
      <c r="Y142" t="str">
        <v>0010</v>
      </c>
      <c r="Z142" t="str">
        <v xml:space="preserve">median  </v>
      </c>
      <c r="AA142" s="121" t="str" cm="1">
        <f t="array" ref="AA142:AC142">IF(W142="","",(_xlfn.TEXTSPLIT(W142,"-")))</f>
        <v>Vegetable fresh or processing market</v>
      </c>
      <c r="AB142" s="121" t="str">
        <v>r15</v>
      </c>
      <c r="AC142" t="str">
        <v>A</v>
      </c>
      <c r="AD142" s="129" t="str">
        <f>VLOOKUP(VALUE($U142),test_out_xwalk!$C:$L,3,FALSE)</f>
        <v>Garlic, Bulb-7-20</v>
      </c>
      <c r="AE142" s="129">
        <f>VLOOKUP(VALUE($U142),test_out_xwalk!$C:$L,5,FALSE)</f>
        <v>0.25</v>
      </c>
      <c r="AF142" s="129">
        <f>VLOOKUP(VALUE($U142),test_out_xwalk!$C:$L,6,FALSE)</f>
        <v>0.25</v>
      </c>
      <c r="AG142" s="129" t="str">
        <f>VLOOKUP(VALUE($U142),test_out_xwalk!$C:$L,8,FALSE)</f>
        <v>None</v>
      </c>
      <c r="AH142" s="129" t="str">
        <f>VLOOKUP(VALUE($U142),test_out_xwalk!$C:$L,7,FALSE)</f>
        <v>Granular</v>
      </c>
      <c r="AI142" s="129" t="str">
        <f>VLOOKUP(VALUE($U142),test_out_xwalk!$C:$L,4,FALSE)</f>
        <v>Pre-emergence</v>
      </c>
      <c r="AJ142" s="129" t="str">
        <f>VLOOKUP(VALUE($U142),test_out_xwalk!$C:$L,9,FALSE)</f>
        <v>Vegetables and Ground Fruit</v>
      </c>
      <c r="AK142">
        <f>_xlfn.XLOOKUP(VALUE(U142),test_out_xwalk!C:C,test_out_xwalk!A:A)</f>
        <v>7</v>
      </c>
    </row>
    <row r="143" spans="1:37" x14ac:dyDescent="0.55000000000000004">
      <c r="A143" s="121" t="str">
        <f>IF('summary_EPA Pond'!$A143="","Check Summary EPA POND worksheet Column A",'summary_EPA Pond'!$A143)</f>
        <v xml:space="preserve">9_62699-22668-71_Orchard deciduous-r17-A_USEPA Pond_0089_median                       </v>
      </c>
      <c r="B143" s="121" t="str" cm="1">
        <f t="array" ref="B143:G143">IFERROR(_xlfn.TEXTSPLIT(A143,"_"),"")</f>
        <v>9</v>
      </c>
      <c r="C143" t="str">
        <v>62699-22668-71</v>
      </c>
      <c r="D143" t="str">
        <v>Orchard deciduous-r17-A</v>
      </c>
      <c r="E143" t="str">
        <v>USEPA Pond</v>
      </c>
      <c r="F143" t="str">
        <v>0089</v>
      </c>
      <c r="G143" t="str">
        <v xml:space="preserve">median                       </v>
      </c>
      <c r="H143" s="121" t="str" cm="1">
        <f t="array" ref="H143:J143">IF(D143="","",(_xlfn.TEXTSPLIT(D143,"-")))</f>
        <v>Orchard deciduous</v>
      </c>
      <c r="I143" s="121" t="str">
        <v>r17</v>
      </c>
      <c r="J143" t="str">
        <v>A</v>
      </c>
      <c r="K143" s="129" t="str">
        <f>VLOOKUP(VALUE($B143),test_out_xwalk!$C:$L,3,FALSE)</f>
        <v>Almond-3-9</v>
      </c>
      <c r="L143" s="129">
        <f>VLOOKUP(VALUE($B143),test_out_xwalk!$C:$L,5,FALSE)</f>
        <v>1</v>
      </c>
      <c r="M143" s="129">
        <f>VLOOKUP(VALUE($B143),test_out_xwalk!$C:$L,6,FALSE)</f>
        <v>1</v>
      </c>
      <c r="N143" s="129" t="str">
        <f>VLOOKUP(VALUE($B143),test_out_xwalk!$C:$L,8,FALSE)</f>
        <v>Aerial_Medium</v>
      </c>
      <c r="O143" s="129" t="str">
        <f>VLOOKUP(VALUE($B143),test_out_xwalk!$C:$L,7,FALSE)</f>
        <v>Spray</v>
      </c>
      <c r="P143" s="129" t="str">
        <f>VLOOKUP(VALUE($B143),test_out_xwalk!$C:$L,4,FALSE)</f>
        <v>Pre-emergence</v>
      </c>
      <c r="Q143" s="129" t="str">
        <f>VLOOKUP(VALUE($B143),test_out_xwalk!$C:$L,9,FALSE)</f>
        <v>Other Orchards</v>
      </c>
      <c r="R143">
        <f>_xlfn.XLOOKUP(VALUE(B143),test_out_xwalk!$C:$C,test_out_xwalk!$A:$A)</f>
        <v>3</v>
      </c>
      <c r="T143" s="121" t="str">
        <f>IF('summary_EPA Pond'!$O143="","Check Summary EPA POND worksheet Column O",'summary_EPA Pond'!$O143)</f>
        <v xml:space="preserve">20_473920-17256-208_Vegetable fresh or processing market-r16-A_USEPA Pond_0010_median </v>
      </c>
      <c r="U143" s="121" t="str" cm="1">
        <f t="array" ref="U143:Z143">IFERROR(_xlfn.TEXTSPLIT(T143,"_"),"")</f>
        <v>20</v>
      </c>
      <c r="V143" t="str">
        <v>473920-17256-208</v>
      </c>
      <c r="W143" t="str">
        <v>Vegetable fresh or processing market-r16-A</v>
      </c>
      <c r="X143" t="str">
        <v>USEPA Pond</v>
      </c>
      <c r="Y143" t="str">
        <v>0010</v>
      </c>
      <c r="Z143" t="str">
        <v xml:space="preserve">median </v>
      </c>
      <c r="AA143" s="121" t="str" cm="1">
        <f t="array" ref="AA143:AC143">IF(W143="","",(_xlfn.TEXTSPLIT(W143,"-")))</f>
        <v>Vegetable fresh or processing market</v>
      </c>
      <c r="AB143" s="121" t="str">
        <v>r16</v>
      </c>
      <c r="AC143" t="str">
        <v>A</v>
      </c>
      <c r="AD143" s="129" t="str">
        <f>VLOOKUP(VALUE($U143),test_out_xwalk!$C:$L,3,FALSE)</f>
        <v>Garlic, Bulb-7-20</v>
      </c>
      <c r="AE143" s="129">
        <f>VLOOKUP(VALUE($U143),test_out_xwalk!$C:$L,5,FALSE)</f>
        <v>0.25</v>
      </c>
      <c r="AF143" s="129">
        <f>VLOOKUP(VALUE($U143),test_out_xwalk!$C:$L,6,FALSE)</f>
        <v>0.25</v>
      </c>
      <c r="AG143" s="129" t="str">
        <f>VLOOKUP(VALUE($U143),test_out_xwalk!$C:$L,8,FALSE)</f>
        <v>None</v>
      </c>
      <c r="AH143" s="129" t="str">
        <f>VLOOKUP(VALUE($U143),test_out_xwalk!$C:$L,7,FALSE)</f>
        <v>Granular</v>
      </c>
      <c r="AI143" s="129" t="str">
        <f>VLOOKUP(VALUE($U143),test_out_xwalk!$C:$L,4,FALSE)</f>
        <v>Pre-emergence</v>
      </c>
      <c r="AJ143" s="129" t="str">
        <f>VLOOKUP(VALUE($U143),test_out_xwalk!$C:$L,9,FALSE)</f>
        <v>Vegetables and Ground Fruit</v>
      </c>
      <c r="AK143">
        <f>_xlfn.XLOOKUP(VALUE(U143),test_out_xwalk!C:C,test_out_xwalk!A:A)</f>
        <v>7</v>
      </c>
    </row>
    <row r="144" spans="1:37" x14ac:dyDescent="0.55000000000000004">
      <c r="A144" s="121" t="str">
        <f>IF('summary_EPA Pond'!$A144="","Check Summary EPA POND worksheet Column A",'summary_EPA Pond'!$A144)</f>
        <v xml:space="preserve">9_462066-17012-75_Orchard deciduous-r18-A_USEPA Pond_0089_median                      </v>
      </c>
      <c r="B144" s="121" t="str" cm="1">
        <f t="array" ref="B144:G144">IFERROR(_xlfn.TEXTSPLIT(A144,"_"),"")</f>
        <v>9</v>
      </c>
      <c r="C144" t="str">
        <v>462066-17012-75</v>
      </c>
      <c r="D144" t="str">
        <v>Orchard deciduous-r18-A</v>
      </c>
      <c r="E144" t="str">
        <v>USEPA Pond</v>
      </c>
      <c r="F144" t="str">
        <v>0089</v>
      </c>
      <c r="G144" t="str">
        <v xml:space="preserve">median                      </v>
      </c>
      <c r="H144" s="121" t="str" cm="1">
        <f t="array" ref="H144:J144">IF(D144="","",(_xlfn.TEXTSPLIT(D144,"-")))</f>
        <v>Orchard deciduous</v>
      </c>
      <c r="I144" s="121" t="str">
        <v>r18</v>
      </c>
      <c r="J144" t="str">
        <v>A</v>
      </c>
      <c r="K144" s="129" t="str">
        <f>VLOOKUP(VALUE($B144),test_out_xwalk!$C:$L,3,FALSE)</f>
        <v>Almond-3-9</v>
      </c>
      <c r="L144" s="129">
        <f>VLOOKUP(VALUE($B144),test_out_xwalk!$C:$L,5,FALSE)</f>
        <v>1</v>
      </c>
      <c r="M144" s="129">
        <f>VLOOKUP(VALUE($B144),test_out_xwalk!$C:$L,6,FALSE)</f>
        <v>1</v>
      </c>
      <c r="N144" s="129" t="str">
        <f>VLOOKUP(VALUE($B144),test_out_xwalk!$C:$L,8,FALSE)</f>
        <v>Aerial_Medium</v>
      </c>
      <c r="O144" s="129" t="str">
        <f>VLOOKUP(VALUE($B144),test_out_xwalk!$C:$L,7,FALSE)</f>
        <v>Spray</v>
      </c>
      <c r="P144" s="129" t="str">
        <f>VLOOKUP(VALUE($B144),test_out_xwalk!$C:$L,4,FALSE)</f>
        <v>Pre-emergence</v>
      </c>
      <c r="Q144" s="129" t="str">
        <f>VLOOKUP(VALUE($B144),test_out_xwalk!$C:$L,9,FALSE)</f>
        <v>Other Orchards</v>
      </c>
      <c r="R144">
        <f>_xlfn.XLOOKUP(VALUE(B144),test_out_xwalk!$C:$C,test_out_xwalk!$A:$A)</f>
        <v>3</v>
      </c>
      <c r="T144" s="121" t="str">
        <f>IF('summary_EPA Pond'!$O144="","Check Summary EPA POND worksheet Column O",'summary_EPA Pond'!$O144)</f>
        <v xml:space="preserve">20_68754-25749-12_Vegetable fresh or processing market-r17-A_USEPA Pond_0010_median   </v>
      </c>
      <c r="U144" s="121" t="str" cm="1">
        <f t="array" ref="U144:Z144">IFERROR(_xlfn.TEXTSPLIT(T144,"_"),"")</f>
        <v>20</v>
      </c>
      <c r="V144" t="str">
        <v>68754-25749-12</v>
      </c>
      <c r="W144" t="str">
        <v>Vegetable fresh or processing market-r17-A</v>
      </c>
      <c r="X144" t="str">
        <v>USEPA Pond</v>
      </c>
      <c r="Y144" t="str">
        <v>0010</v>
      </c>
      <c r="Z144" t="str">
        <v xml:space="preserve">median   </v>
      </c>
      <c r="AA144" s="121" t="str" cm="1">
        <f t="array" ref="AA144:AC144">IF(W144="","",(_xlfn.TEXTSPLIT(W144,"-")))</f>
        <v>Vegetable fresh or processing market</v>
      </c>
      <c r="AB144" s="121" t="str">
        <v>r17</v>
      </c>
      <c r="AC144" t="str">
        <v>A</v>
      </c>
      <c r="AD144" s="129" t="str">
        <f>VLOOKUP(VALUE($U144),test_out_xwalk!$C:$L,3,FALSE)</f>
        <v>Garlic, Bulb-7-20</v>
      </c>
      <c r="AE144" s="129">
        <f>VLOOKUP(VALUE($U144),test_out_xwalk!$C:$L,5,FALSE)</f>
        <v>0.25</v>
      </c>
      <c r="AF144" s="129">
        <f>VLOOKUP(VALUE($U144),test_out_xwalk!$C:$L,6,FALSE)</f>
        <v>0.25</v>
      </c>
      <c r="AG144" s="129" t="str">
        <f>VLOOKUP(VALUE($U144),test_out_xwalk!$C:$L,8,FALSE)</f>
        <v>None</v>
      </c>
      <c r="AH144" s="129" t="str">
        <f>VLOOKUP(VALUE($U144),test_out_xwalk!$C:$L,7,FALSE)</f>
        <v>Granular</v>
      </c>
      <c r="AI144" s="129" t="str">
        <f>VLOOKUP(VALUE($U144),test_out_xwalk!$C:$L,4,FALSE)</f>
        <v>Pre-emergence</v>
      </c>
      <c r="AJ144" s="129" t="str">
        <f>VLOOKUP(VALUE($U144),test_out_xwalk!$C:$L,9,FALSE)</f>
        <v>Vegetables and Ground Fruit</v>
      </c>
      <c r="AK144">
        <f>_xlfn.XLOOKUP(VALUE(U144),test_out_xwalk!C:C,test_out_xwalk!A:A)</f>
        <v>7</v>
      </c>
    </row>
    <row r="145" spans="1:37" x14ac:dyDescent="0.55000000000000004">
      <c r="A145" s="121" t="str">
        <f>IF('summary_EPA Pond'!$A145="","Check Summary EPA POND worksheet Column A",'summary_EPA Pond'!$A145)</f>
        <v xml:space="preserve">10_286087-20273-68_Orchard deciduous-r01-A_USEPA Pond_0089_median                     </v>
      </c>
      <c r="B145" s="121" t="str" cm="1">
        <f t="array" ref="B145:G145">IFERROR(_xlfn.TEXTSPLIT(A145,"_"),"")</f>
        <v>10</v>
      </c>
      <c r="C145" t="str">
        <v>286087-20273-68</v>
      </c>
      <c r="D145" t="str">
        <v>Orchard deciduous-r01-A</v>
      </c>
      <c r="E145" t="str">
        <v>USEPA Pond</v>
      </c>
      <c r="F145" t="str">
        <v>0089</v>
      </c>
      <c r="G145" t="str">
        <v xml:space="preserve">median                     </v>
      </c>
      <c r="H145" s="121" t="str" cm="1">
        <f t="array" ref="H145:J145">IF(D145="","",(_xlfn.TEXTSPLIT(D145,"-")))</f>
        <v>Orchard deciduous</v>
      </c>
      <c r="I145" s="121" t="str">
        <v>r01</v>
      </c>
      <c r="J145" t="str">
        <v>A</v>
      </c>
      <c r="K145" s="129" t="str">
        <f>VLOOKUP(VALUE($B145),test_out_xwalk!$C:$L,3,FALSE)</f>
        <v>Almond-3-10</v>
      </c>
      <c r="L145" s="129">
        <f>VLOOKUP(VALUE($B145),test_out_xwalk!$C:$L,5,FALSE)</f>
        <v>1</v>
      </c>
      <c r="M145" s="129">
        <f>VLOOKUP(VALUE($B145),test_out_xwalk!$C:$L,6,FALSE)</f>
        <v>1</v>
      </c>
      <c r="N145" s="129" t="str">
        <f>VLOOKUP(VALUE($B145),test_out_xwalk!$C:$L,8,FALSE)</f>
        <v>Ground_VF-F_LB</v>
      </c>
      <c r="O145" s="129" t="str">
        <f>VLOOKUP(VALUE($B145),test_out_xwalk!$C:$L,7,FALSE)</f>
        <v>Spray</v>
      </c>
      <c r="P145" s="129" t="str">
        <f>VLOOKUP(VALUE($B145),test_out_xwalk!$C:$L,4,FALSE)</f>
        <v>Pre-emergence</v>
      </c>
      <c r="Q145" s="129" t="str">
        <f>VLOOKUP(VALUE($B145),test_out_xwalk!$C:$L,9,FALSE)</f>
        <v>Other Orchards</v>
      </c>
      <c r="R145">
        <f>_xlfn.XLOOKUP(VALUE(B145),test_out_xwalk!$C:$C,test_out_xwalk!$A:$A)</f>
        <v>3</v>
      </c>
      <c r="T145" s="121" t="str">
        <f>IF('summary_EPA Pond'!$O145="","Check Summary EPA POND worksheet Column O",'summary_EPA Pond'!$O145)</f>
        <v xml:space="preserve">20_455512-12315-12_Vegetable fresh or processing market-r18-A_USEPA Pond_0010_median  </v>
      </c>
      <c r="U145" s="121" t="str" cm="1">
        <f t="array" ref="U145:Z145">IFERROR(_xlfn.TEXTSPLIT(T145,"_"),"")</f>
        <v>20</v>
      </c>
      <c r="V145" t="str">
        <v>455512-12315-12</v>
      </c>
      <c r="W145" t="str">
        <v>Vegetable fresh or processing market-r18-A</v>
      </c>
      <c r="X145" t="str">
        <v>USEPA Pond</v>
      </c>
      <c r="Y145" t="str">
        <v>0010</v>
      </c>
      <c r="Z145" t="str">
        <v xml:space="preserve">median  </v>
      </c>
      <c r="AA145" s="121" t="str" cm="1">
        <f t="array" ref="AA145:AC145">IF(W145="","",(_xlfn.TEXTSPLIT(W145,"-")))</f>
        <v>Vegetable fresh or processing market</v>
      </c>
      <c r="AB145" s="121" t="str">
        <v>r18</v>
      </c>
      <c r="AC145" t="str">
        <v>A</v>
      </c>
      <c r="AD145" s="129" t="str">
        <f>VLOOKUP(VALUE($U145),test_out_xwalk!$C:$L,3,FALSE)</f>
        <v>Garlic, Bulb-7-20</v>
      </c>
      <c r="AE145" s="129">
        <f>VLOOKUP(VALUE($U145),test_out_xwalk!$C:$L,5,FALSE)</f>
        <v>0.25</v>
      </c>
      <c r="AF145" s="129">
        <f>VLOOKUP(VALUE($U145),test_out_xwalk!$C:$L,6,FALSE)</f>
        <v>0.25</v>
      </c>
      <c r="AG145" s="129" t="str">
        <f>VLOOKUP(VALUE($U145),test_out_xwalk!$C:$L,8,FALSE)</f>
        <v>None</v>
      </c>
      <c r="AH145" s="129" t="str">
        <f>VLOOKUP(VALUE($U145),test_out_xwalk!$C:$L,7,FALSE)</f>
        <v>Granular</v>
      </c>
      <c r="AI145" s="129" t="str">
        <f>VLOOKUP(VALUE($U145),test_out_xwalk!$C:$L,4,FALSE)</f>
        <v>Pre-emergence</v>
      </c>
      <c r="AJ145" s="129" t="str">
        <f>VLOOKUP(VALUE($U145),test_out_xwalk!$C:$L,9,FALSE)</f>
        <v>Vegetables and Ground Fruit</v>
      </c>
      <c r="AK145">
        <f>_xlfn.XLOOKUP(VALUE(U145),test_out_xwalk!C:C,test_out_xwalk!A:A)</f>
        <v>7</v>
      </c>
    </row>
    <row r="146" spans="1:37" x14ac:dyDescent="0.55000000000000004">
      <c r="A146" s="121" t="str">
        <f>IF('summary_EPA Pond'!$A146="","Check Summary EPA POND worksheet Column A",'summary_EPA Pond'!$A146)</f>
        <v xml:space="preserve">10_295501-20504-68_Orchard deciduous-r02-A_USEPA Pond_0089_median                     </v>
      </c>
      <c r="B146" s="121" t="str" cm="1">
        <f t="array" ref="B146:G146">IFERROR(_xlfn.TEXTSPLIT(A146,"_"),"")</f>
        <v>10</v>
      </c>
      <c r="C146" t="str">
        <v>295501-20504-68</v>
      </c>
      <c r="D146" t="str">
        <v>Orchard deciduous-r02-A</v>
      </c>
      <c r="E146" t="str">
        <v>USEPA Pond</v>
      </c>
      <c r="F146" t="str">
        <v>0089</v>
      </c>
      <c r="G146" t="str">
        <v xml:space="preserve">median                     </v>
      </c>
      <c r="H146" s="121" t="str" cm="1">
        <f t="array" ref="H146:J146">IF(D146="","",(_xlfn.TEXTSPLIT(D146,"-")))</f>
        <v>Orchard deciduous</v>
      </c>
      <c r="I146" s="121" t="str">
        <v>r02</v>
      </c>
      <c r="J146" t="str">
        <v>A</v>
      </c>
      <c r="K146" s="129" t="str">
        <f>VLOOKUP(VALUE($B146),test_out_xwalk!$C:$L,3,FALSE)</f>
        <v>Almond-3-10</v>
      </c>
      <c r="L146" s="129">
        <f>VLOOKUP(VALUE($B146),test_out_xwalk!$C:$L,5,FALSE)</f>
        <v>1</v>
      </c>
      <c r="M146" s="129">
        <f>VLOOKUP(VALUE($B146),test_out_xwalk!$C:$L,6,FALSE)</f>
        <v>1</v>
      </c>
      <c r="N146" s="129" t="str">
        <f>VLOOKUP(VALUE($B146),test_out_xwalk!$C:$L,8,FALSE)</f>
        <v>Ground_VF-F_LB</v>
      </c>
      <c r="O146" s="129" t="str">
        <f>VLOOKUP(VALUE($B146),test_out_xwalk!$C:$L,7,FALSE)</f>
        <v>Spray</v>
      </c>
      <c r="P146" s="129" t="str">
        <f>VLOOKUP(VALUE($B146),test_out_xwalk!$C:$L,4,FALSE)</f>
        <v>Pre-emergence</v>
      </c>
      <c r="Q146" s="129" t="str">
        <f>VLOOKUP(VALUE($B146),test_out_xwalk!$C:$L,9,FALSE)</f>
        <v>Other Orchards</v>
      </c>
      <c r="R146">
        <f>_xlfn.XLOOKUP(VALUE(B146),test_out_xwalk!$C:$C,test_out_xwalk!$A:$A)</f>
        <v>3</v>
      </c>
      <c r="T146" s="121" t="str">
        <f>IF('summary_EPA Pond'!$O146="","Check Summary EPA POND worksheet Column O",'summary_EPA Pond'!$O146)</f>
        <v xml:space="preserve">21_614189-25013-23_Wheat spring-r01-A_USEPA Pond_0010_median                          </v>
      </c>
      <c r="U146" s="121" t="str" cm="1">
        <f t="array" ref="U146:Z146">IFERROR(_xlfn.TEXTSPLIT(T146,"_"),"")</f>
        <v>21</v>
      </c>
      <c r="V146" t="str">
        <v>614189-25013-23</v>
      </c>
      <c r="W146" t="str">
        <v>Wheat spring-r01-A</v>
      </c>
      <c r="X146" t="str">
        <v>USEPA Pond</v>
      </c>
      <c r="Y146" t="str">
        <v>0010</v>
      </c>
      <c r="Z146" t="str">
        <v xml:space="preserve">median                          </v>
      </c>
      <c r="AA146" s="121" t="str" cm="1">
        <f t="array" ref="AA146:AC146">IF(W146="","",(_xlfn.TEXTSPLIT(W146,"-")))</f>
        <v>Wheat spring</v>
      </c>
      <c r="AB146" s="121" t="str">
        <v>r01</v>
      </c>
      <c r="AC146" t="str">
        <v>A</v>
      </c>
      <c r="AD146" s="129" t="str">
        <f>VLOOKUP(VALUE($U146),test_out_xwalk!$C:$L,3,FALSE)</f>
        <v>Wheat,Â TriticumÂ spp-8-21</v>
      </c>
      <c r="AE146" s="129">
        <f>VLOOKUP(VALUE($U146),test_out_xwalk!$C:$L,5,FALSE)</f>
        <v>1</v>
      </c>
      <c r="AF146" s="129">
        <f>VLOOKUP(VALUE($U146),test_out_xwalk!$C:$L,6,FALSE)</f>
        <v>1</v>
      </c>
      <c r="AG146" s="129" t="str">
        <f>VLOOKUP(VALUE($U146),test_out_xwalk!$C:$L,8,FALSE)</f>
        <v>None</v>
      </c>
      <c r="AH146" s="129" t="str">
        <f>VLOOKUP(VALUE($U146),test_out_xwalk!$C:$L,7,FALSE)</f>
        <v>Seed</v>
      </c>
      <c r="AI146" s="129" t="str">
        <f>VLOOKUP(VALUE($U146),test_out_xwalk!$C:$L,4,FALSE)</f>
        <v>Pre-emergence</v>
      </c>
      <c r="AJ146" s="129" t="str">
        <f>VLOOKUP(VALUE($U146),test_out_xwalk!$C:$L,9,FALSE)</f>
        <v>Spring wheat</v>
      </c>
      <c r="AK146">
        <f>_xlfn.XLOOKUP(VALUE(U146),test_out_xwalk!C:C,test_out_xwalk!A:A)</f>
        <v>8</v>
      </c>
    </row>
    <row r="147" spans="1:37" x14ac:dyDescent="0.55000000000000004">
      <c r="A147" s="121" t="str">
        <f>IF('summary_EPA Pond'!$A147="","Check Summary EPA POND worksheet Column A",'summary_EPA Pond'!$A147)</f>
        <v xml:space="preserve">10_130628-13873-74_Orchard deciduous-r03N-A_USEPA Pond_0089_median                    </v>
      </c>
      <c r="B147" s="121" t="str" cm="1">
        <f t="array" ref="B147:G147">IFERROR(_xlfn.TEXTSPLIT(A147,"_"),"")</f>
        <v>10</v>
      </c>
      <c r="C147" t="str">
        <v>130628-13873-74</v>
      </c>
      <c r="D147" t="str">
        <v>Orchard deciduous-r03N-A</v>
      </c>
      <c r="E147" t="str">
        <v>USEPA Pond</v>
      </c>
      <c r="F147" t="str">
        <v>0089</v>
      </c>
      <c r="G147" t="str">
        <v xml:space="preserve">median                    </v>
      </c>
      <c r="H147" s="121" t="str" cm="1">
        <f t="array" ref="H147:J147">IF(D147="","",(_xlfn.TEXTSPLIT(D147,"-")))</f>
        <v>Orchard deciduous</v>
      </c>
      <c r="I147" s="121" t="str">
        <v>r03N</v>
      </c>
      <c r="J147" t="str">
        <v>A</v>
      </c>
      <c r="K147" s="129" t="str">
        <f>VLOOKUP(VALUE($B147),test_out_xwalk!$C:$L,3,FALSE)</f>
        <v>Almond-3-10</v>
      </c>
      <c r="L147" s="129">
        <f>VLOOKUP(VALUE($B147),test_out_xwalk!$C:$L,5,FALSE)</f>
        <v>1</v>
      </c>
      <c r="M147" s="129">
        <f>VLOOKUP(VALUE($B147),test_out_xwalk!$C:$L,6,FALSE)</f>
        <v>1</v>
      </c>
      <c r="N147" s="129" t="str">
        <f>VLOOKUP(VALUE($B147),test_out_xwalk!$C:$L,8,FALSE)</f>
        <v>Ground_VF-F_LB</v>
      </c>
      <c r="O147" s="129" t="str">
        <f>VLOOKUP(VALUE($B147),test_out_xwalk!$C:$L,7,FALSE)</f>
        <v>Spray</v>
      </c>
      <c r="P147" s="129" t="str">
        <f>VLOOKUP(VALUE($B147),test_out_xwalk!$C:$L,4,FALSE)</f>
        <v>Pre-emergence</v>
      </c>
      <c r="Q147" s="129" t="str">
        <f>VLOOKUP(VALUE($B147),test_out_xwalk!$C:$L,9,FALSE)</f>
        <v>Other Orchards</v>
      </c>
      <c r="R147">
        <f>_xlfn.XLOOKUP(VALUE(B147),test_out_xwalk!$C:$C,test_out_xwalk!$A:$A)</f>
        <v>3</v>
      </c>
      <c r="T147" s="121" t="str">
        <f>IF('summary_EPA Pond'!$O147="","Check Summary EPA POND worksheet Column O",'summary_EPA Pond'!$O147)</f>
        <v xml:space="preserve">21_416182-25639-23_Wheat spring-r04-A_USEPA Pond_0010_median                          </v>
      </c>
      <c r="U147" s="121" t="str" cm="1">
        <f t="array" ref="U147:Z147">IFERROR(_xlfn.TEXTSPLIT(T147,"_"),"")</f>
        <v>21</v>
      </c>
      <c r="V147" t="str">
        <v>416182-25639-23</v>
      </c>
      <c r="W147" t="str">
        <v>Wheat spring-r04-A</v>
      </c>
      <c r="X147" t="str">
        <v>USEPA Pond</v>
      </c>
      <c r="Y147" t="str">
        <v>0010</v>
      </c>
      <c r="Z147" t="str">
        <v xml:space="preserve">median                          </v>
      </c>
      <c r="AA147" s="121" t="str" cm="1">
        <f t="array" ref="AA147:AC147">IF(W147="","",(_xlfn.TEXTSPLIT(W147,"-")))</f>
        <v>Wheat spring</v>
      </c>
      <c r="AB147" s="121" t="str">
        <v>r04</v>
      </c>
      <c r="AC147" t="str">
        <v>A</v>
      </c>
      <c r="AD147" s="129" t="str">
        <f>VLOOKUP(VALUE($U147),test_out_xwalk!$C:$L,3,FALSE)</f>
        <v>Wheat,Â TriticumÂ spp-8-21</v>
      </c>
      <c r="AE147" s="129">
        <f>VLOOKUP(VALUE($U147),test_out_xwalk!$C:$L,5,FALSE)</f>
        <v>1</v>
      </c>
      <c r="AF147" s="129">
        <f>VLOOKUP(VALUE($U147),test_out_xwalk!$C:$L,6,FALSE)</f>
        <v>1</v>
      </c>
      <c r="AG147" s="129" t="str">
        <f>VLOOKUP(VALUE($U147),test_out_xwalk!$C:$L,8,FALSE)</f>
        <v>None</v>
      </c>
      <c r="AH147" s="129" t="str">
        <f>VLOOKUP(VALUE($U147),test_out_xwalk!$C:$L,7,FALSE)</f>
        <v>Seed</v>
      </c>
      <c r="AI147" s="129" t="str">
        <f>VLOOKUP(VALUE($U147),test_out_xwalk!$C:$L,4,FALSE)</f>
        <v>Pre-emergence</v>
      </c>
      <c r="AJ147" s="129" t="str">
        <f>VLOOKUP(VALUE($U147),test_out_xwalk!$C:$L,9,FALSE)</f>
        <v>Spring wheat</v>
      </c>
      <c r="AK147">
        <f>_xlfn.XLOOKUP(VALUE(U147),test_out_xwalk!C:C,test_out_xwalk!A:A)</f>
        <v>8</v>
      </c>
    </row>
    <row r="148" spans="1:37" x14ac:dyDescent="0.55000000000000004">
      <c r="A148" s="121" t="str">
        <f>IF('summary_EPA Pond'!$A148="","Check Summary EPA POND worksheet Column A",'summary_EPA Pond'!$A148)</f>
        <v xml:space="preserve">10_125133-11268-74_Orchard deciduous-r03S-A_USEPA Pond_0089_median                    </v>
      </c>
      <c r="B148" s="121" t="str" cm="1">
        <f t="array" ref="B148:G148">IFERROR(_xlfn.TEXTSPLIT(A148,"_"),"")</f>
        <v>10</v>
      </c>
      <c r="C148" t="str">
        <v>125133-11268-74</v>
      </c>
      <c r="D148" t="str">
        <v>Orchard deciduous-r03S-A</v>
      </c>
      <c r="E148" t="str">
        <v>USEPA Pond</v>
      </c>
      <c r="F148" t="str">
        <v>0089</v>
      </c>
      <c r="G148" t="str">
        <v xml:space="preserve">median                    </v>
      </c>
      <c r="H148" s="121" t="str" cm="1">
        <f t="array" ref="H148:J148">IF(D148="","",(_xlfn.TEXTSPLIT(D148,"-")))</f>
        <v>Orchard deciduous</v>
      </c>
      <c r="I148" s="121" t="str">
        <v>r03S</v>
      </c>
      <c r="J148" t="str">
        <v>A</v>
      </c>
      <c r="K148" s="129" t="str">
        <f>VLOOKUP(VALUE($B148),test_out_xwalk!$C:$L,3,FALSE)</f>
        <v>Almond-3-10</v>
      </c>
      <c r="L148" s="129">
        <f>VLOOKUP(VALUE($B148),test_out_xwalk!$C:$L,5,FALSE)</f>
        <v>1</v>
      </c>
      <c r="M148" s="129">
        <f>VLOOKUP(VALUE($B148),test_out_xwalk!$C:$L,6,FALSE)</f>
        <v>1</v>
      </c>
      <c r="N148" s="129" t="str">
        <f>VLOOKUP(VALUE($B148),test_out_xwalk!$C:$L,8,FALSE)</f>
        <v>Ground_VF-F_LB</v>
      </c>
      <c r="O148" s="129" t="str">
        <f>VLOOKUP(VALUE($B148),test_out_xwalk!$C:$L,7,FALSE)</f>
        <v>Spray</v>
      </c>
      <c r="P148" s="129" t="str">
        <f>VLOOKUP(VALUE($B148),test_out_xwalk!$C:$L,4,FALSE)</f>
        <v>Pre-emergence</v>
      </c>
      <c r="Q148" s="129" t="str">
        <f>VLOOKUP(VALUE($B148),test_out_xwalk!$C:$L,9,FALSE)</f>
        <v>Other Orchards</v>
      </c>
      <c r="R148">
        <f>_xlfn.XLOOKUP(VALUE(B148),test_out_xwalk!$C:$C,test_out_xwalk!$A:$A)</f>
        <v>3</v>
      </c>
      <c r="T148" s="121" t="str">
        <f>IF('summary_EPA Pond'!$O148="","Check Summary EPA POND worksheet Column O",'summary_EPA Pond'!$O148)</f>
        <v xml:space="preserve">21_436172-23727-23_Wheat spring-r07-A_USEPA Pond_0010_median                          </v>
      </c>
      <c r="U148" s="121" t="str" cm="1">
        <f t="array" ref="U148:Z148">IFERROR(_xlfn.TEXTSPLIT(T148,"_"),"")</f>
        <v>21</v>
      </c>
      <c r="V148" t="str">
        <v>436172-23727-23</v>
      </c>
      <c r="W148" t="str">
        <v>Wheat spring-r07-A</v>
      </c>
      <c r="X148" t="str">
        <v>USEPA Pond</v>
      </c>
      <c r="Y148" t="str">
        <v>0010</v>
      </c>
      <c r="Z148" t="str">
        <v xml:space="preserve">median                          </v>
      </c>
      <c r="AA148" s="121" t="str" cm="1">
        <f t="array" ref="AA148:AC148">IF(W148="","",(_xlfn.TEXTSPLIT(W148,"-")))</f>
        <v>Wheat spring</v>
      </c>
      <c r="AB148" s="121" t="str">
        <v>r07</v>
      </c>
      <c r="AC148" t="str">
        <v>A</v>
      </c>
      <c r="AD148" s="129" t="str">
        <f>VLOOKUP(VALUE($U148),test_out_xwalk!$C:$L,3,FALSE)</f>
        <v>Wheat,Â TriticumÂ spp-8-21</v>
      </c>
      <c r="AE148" s="129">
        <f>VLOOKUP(VALUE($U148),test_out_xwalk!$C:$L,5,FALSE)</f>
        <v>1</v>
      </c>
      <c r="AF148" s="129">
        <f>VLOOKUP(VALUE($U148),test_out_xwalk!$C:$L,6,FALSE)</f>
        <v>1</v>
      </c>
      <c r="AG148" s="129" t="str">
        <f>VLOOKUP(VALUE($U148),test_out_xwalk!$C:$L,8,FALSE)</f>
        <v>None</v>
      </c>
      <c r="AH148" s="129" t="str">
        <f>VLOOKUP(VALUE($U148),test_out_xwalk!$C:$L,7,FALSE)</f>
        <v>Seed</v>
      </c>
      <c r="AI148" s="129" t="str">
        <f>VLOOKUP(VALUE($U148),test_out_xwalk!$C:$L,4,FALSE)</f>
        <v>Pre-emergence</v>
      </c>
      <c r="AJ148" s="129" t="str">
        <f>VLOOKUP(VALUE($U148),test_out_xwalk!$C:$L,9,FALSE)</f>
        <v>Spring wheat</v>
      </c>
      <c r="AK148">
        <f>_xlfn.XLOOKUP(VALUE(U148),test_out_xwalk!C:C,test_out_xwalk!A:A)</f>
        <v>8</v>
      </c>
    </row>
    <row r="149" spans="1:37" x14ac:dyDescent="0.55000000000000004">
      <c r="A149" s="121" t="str">
        <f>IF('summary_EPA Pond'!$A149="","Check Summary EPA POND worksheet Column A",'summary_EPA Pond'!$A149)</f>
        <v xml:space="preserve">10_2455410-11258-67_Orchard deciduous-r03W-A_USEPA Pond_0089_median                   </v>
      </c>
      <c r="B149" s="121" t="str" cm="1">
        <f t="array" ref="B149:G149">IFERROR(_xlfn.TEXTSPLIT(A149,"_"),"")</f>
        <v>10</v>
      </c>
      <c r="C149" t="str">
        <v>2455410-11258-67</v>
      </c>
      <c r="D149" t="str">
        <v>Orchard deciduous-r03W-A</v>
      </c>
      <c r="E149" t="str">
        <v>USEPA Pond</v>
      </c>
      <c r="F149" t="str">
        <v>0089</v>
      </c>
      <c r="G149" t="str">
        <v xml:space="preserve">median                   </v>
      </c>
      <c r="H149" s="121" t="str" cm="1">
        <f t="array" ref="H149:J149">IF(D149="","",(_xlfn.TEXTSPLIT(D149,"-")))</f>
        <v>Orchard deciduous</v>
      </c>
      <c r="I149" s="121" t="str">
        <v>r03W</v>
      </c>
      <c r="J149" t="str">
        <v>A</v>
      </c>
      <c r="K149" s="129" t="str">
        <f>VLOOKUP(VALUE($B149),test_out_xwalk!$C:$L,3,FALSE)</f>
        <v>Almond-3-10</v>
      </c>
      <c r="L149" s="129">
        <f>VLOOKUP(VALUE($B149),test_out_xwalk!$C:$L,5,FALSE)</f>
        <v>1</v>
      </c>
      <c r="M149" s="129">
        <f>VLOOKUP(VALUE($B149),test_out_xwalk!$C:$L,6,FALSE)</f>
        <v>1</v>
      </c>
      <c r="N149" s="129" t="str">
        <f>VLOOKUP(VALUE($B149),test_out_xwalk!$C:$L,8,FALSE)</f>
        <v>Ground_VF-F_LB</v>
      </c>
      <c r="O149" s="129" t="str">
        <f>VLOOKUP(VALUE($B149),test_out_xwalk!$C:$L,7,FALSE)</f>
        <v>Spray</v>
      </c>
      <c r="P149" s="129" t="str">
        <f>VLOOKUP(VALUE($B149),test_out_xwalk!$C:$L,4,FALSE)</f>
        <v>Pre-emergence</v>
      </c>
      <c r="Q149" s="129" t="str">
        <f>VLOOKUP(VALUE($B149),test_out_xwalk!$C:$L,9,FALSE)</f>
        <v>Other Orchards</v>
      </c>
      <c r="R149">
        <f>_xlfn.XLOOKUP(VALUE(B149),test_out_xwalk!$C:$C,test_out_xwalk!$A:$A)</f>
        <v>3</v>
      </c>
      <c r="T149" s="121" t="str">
        <f>IF('summary_EPA Pond'!$O149="","Check Summary EPA POND worksheet Column O",'summary_EPA Pond'!$O149)</f>
        <v xml:space="preserve">21_2587263-26537-22_Wheat spring-r09-A_USEPA Pond_0010_median                         </v>
      </c>
      <c r="U149" s="121" t="str" cm="1">
        <f t="array" ref="U149:Z149">IFERROR(_xlfn.TEXTSPLIT(T149,"_"),"")</f>
        <v>21</v>
      </c>
      <c r="V149" t="str">
        <v>2587263-26537-22</v>
      </c>
      <c r="W149" t="str">
        <v>Wheat spring-r09-A</v>
      </c>
      <c r="X149" t="str">
        <v>USEPA Pond</v>
      </c>
      <c r="Y149" t="str">
        <v>0010</v>
      </c>
      <c r="Z149" t="str">
        <v xml:space="preserve">median                         </v>
      </c>
      <c r="AA149" s="121" t="str" cm="1">
        <f t="array" ref="AA149:AC149">IF(W149="","",(_xlfn.TEXTSPLIT(W149,"-")))</f>
        <v>Wheat spring</v>
      </c>
      <c r="AB149" s="121" t="str">
        <v>r09</v>
      </c>
      <c r="AC149" t="str">
        <v>A</v>
      </c>
      <c r="AD149" s="129" t="str">
        <f>VLOOKUP(VALUE($U149),test_out_xwalk!$C:$L,3,FALSE)</f>
        <v>Wheat,Â TriticumÂ spp-8-21</v>
      </c>
      <c r="AE149" s="129">
        <f>VLOOKUP(VALUE($U149),test_out_xwalk!$C:$L,5,FALSE)</f>
        <v>1</v>
      </c>
      <c r="AF149" s="129">
        <f>VLOOKUP(VALUE($U149),test_out_xwalk!$C:$L,6,FALSE)</f>
        <v>1</v>
      </c>
      <c r="AG149" s="129" t="str">
        <f>VLOOKUP(VALUE($U149),test_out_xwalk!$C:$L,8,FALSE)</f>
        <v>None</v>
      </c>
      <c r="AH149" s="129" t="str">
        <f>VLOOKUP(VALUE($U149),test_out_xwalk!$C:$L,7,FALSE)</f>
        <v>Seed</v>
      </c>
      <c r="AI149" s="129" t="str">
        <f>VLOOKUP(VALUE($U149),test_out_xwalk!$C:$L,4,FALSE)</f>
        <v>Pre-emergence</v>
      </c>
      <c r="AJ149" s="129" t="str">
        <f>VLOOKUP(VALUE($U149),test_out_xwalk!$C:$L,9,FALSE)</f>
        <v>Spring wheat</v>
      </c>
      <c r="AK149">
        <f>_xlfn.XLOOKUP(VALUE(U149),test_out_xwalk!C:C,test_out_xwalk!A:A)</f>
        <v>8</v>
      </c>
    </row>
    <row r="150" spans="1:37" x14ac:dyDescent="0.55000000000000004">
      <c r="A150" s="121" t="str">
        <f>IF('summary_EPA Pond'!$A150="","Check Summary EPA POND worksheet Column A",'summary_EPA Pond'!$A150)</f>
        <v xml:space="preserve">10_292675-21905-68_Orchard deciduous-r04-A_USEPA Pond_0089_median                     </v>
      </c>
      <c r="B150" s="121" t="str" cm="1">
        <f t="array" ref="B150:G150">IFERROR(_xlfn.TEXTSPLIT(A150,"_"),"")</f>
        <v>10</v>
      </c>
      <c r="C150" t="str">
        <v>292675-21905-68</v>
      </c>
      <c r="D150" t="str">
        <v>Orchard deciduous-r04-A</v>
      </c>
      <c r="E150" t="str">
        <v>USEPA Pond</v>
      </c>
      <c r="F150" t="str">
        <v>0089</v>
      </c>
      <c r="G150" t="str">
        <v xml:space="preserve">median                     </v>
      </c>
      <c r="H150" s="121" t="str" cm="1">
        <f t="array" ref="H150:J150">IF(D150="","",(_xlfn.TEXTSPLIT(D150,"-")))</f>
        <v>Orchard deciduous</v>
      </c>
      <c r="I150" s="121" t="str">
        <v>r04</v>
      </c>
      <c r="J150" t="str">
        <v>A</v>
      </c>
      <c r="K150" s="129" t="str">
        <f>VLOOKUP(VALUE($B150),test_out_xwalk!$C:$L,3,FALSE)</f>
        <v>Almond-3-10</v>
      </c>
      <c r="L150" s="129">
        <f>VLOOKUP(VALUE($B150),test_out_xwalk!$C:$L,5,FALSE)</f>
        <v>1</v>
      </c>
      <c r="M150" s="129">
        <f>VLOOKUP(VALUE($B150),test_out_xwalk!$C:$L,6,FALSE)</f>
        <v>1</v>
      </c>
      <c r="N150" s="129" t="str">
        <f>VLOOKUP(VALUE($B150),test_out_xwalk!$C:$L,8,FALSE)</f>
        <v>Ground_VF-F_LB</v>
      </c>
      <c r="O150" s="129" t="str">
        <f>VLOOKUP(VALUE($B150),test_out_xwalk!$C:$L,7,FALSE)</f>
        <v>Spray</v>
      </c>
      <c r="P150" s="129" t="str">
        <f>VLOOKUP(VALUE($B150),test_out_xwalk!$C:$L,4,FALSE)</f>
        <v>Pre-emergence</v>
      </c>
      <c r="Q150" s="129" t="str">
        <f>VLOOKUP(VALUE($B150),test_out_xwalk!$C:$L,9,FALSE)</f>
        <v>Other Orchards</v>
      </c>
      <c r="R150">
        <f>_xlfn.XLOOKUP(VALUE(B150),test_out_xwalk!$C:$C,test_out_xwalk!$A:$A)</f>
        <v>3</v>
      </c>
      <c r="T150" s="121" t="str">
        <f>IF('summary_EPA Pond'!$O150="","Check Summary EPA POND worksheet Column O",'summary_EPA Pond'!$O150)</f>
        <v xml:space="preserve">21_94517-19446-23_Wheat spring-r10L-A_USEPA Pond_0010_median                          </v>
      </c>
      <c r="U150" s="121" t="str" cm="1">
        <f t="array" ref="U150:Z150">IFERROR(_xlfn.TEXTSPLIT(T150,"_"),"")</f>
        <v>21</v>
      </c>
      <c r="V150" t="str">
        <v>94517-19446-23</v>
      </c>
      <c r="W150" t="str">
        <v>Wheat spring-r10L-A</v>
      </c>
      <c r="X150" t="str">
        <v>USEPA Pond</v>
      </c>
      <c r="Y150" t="str">
        <v>0010</v>
      </c>
      <c r="Z150" t="str">
        <v xml:space="preserve">median                          </v>
      </c>
      <c r="AA150" s="121" t="str" cm="1">
        <f t="array" ref="AA150:AC150">IF(W150="","",(_xlfn.TEXTSPLIT(W150,"-")))</f>
        <v>Wheat spring</v>
      </c>
      <c r="AB150" s="121" t="str">
        <v>r10L</v>
      </c>
      <c r="AC150" t="str">
        <v>A</v>
      </c>
      <c r="AD150" s="129" t="str">
        <f>VLOOKUP(VALUE($U150),test_out_xwalk!$C:$L,3,FALSE)</f>
        <v>Wheat,Â TriticumÂ spp-8-21</v>
      </c>
      <c r="AE150" s="129">
        <f>VLOOKUP(VALUE($U150),test_out_xwalk!$C:$L,5,FALSE)</f>
        <v>1</v>
      </c>
      <c r="AF150" s="129">
        <f>VLOOKUP(VALUE($U150),test_out_xwalk!$C:$L,6,FALSE)</f>
        <v>1</v>
      </c>
      <c r="AG150" s="129" t="str">
        <f>VLOOKUP(VALUE($U150),test_out_xwalk!$C:$L,8,FALSE)</f>
        <v>None</v>
      </c>
      <c r="AH150" s="129" t="str">
        <f>VLOOKUP(VALUE($U150),test_out_xwalk!$C:$L,7,FALSE)</f>
        <v>Seed</v>
      </c>
      <c r="AI150" s="129" t="str">
        <f>VLOOKUP(VALUE($U150),test_out_xwalk!$C:$L,4,FALSE)</f>
        <v>Pre-emergence</v>
      </c>
      <c r="AJ150" s="129" t="str">
        <f>VLOOKUP(VALUE($U150),test_out_xwalk!$C:$L,9,FALSE)</f>
        <v>Spring wheat</v>
      </c>
      <c r="AK150">
        <f>_xlfn.XLOOKUP(VALUE(U150),test_out_xwalk!C:C,test_out_xwalk!A:A)</f>
        <v>8</v>
      </c>
    </row>
    <row r="151" spans="1:37" x14ac:dyDescent="0.55000000000000004">
      <c r="A151" s="121" t="str">
        <f>IF('summary_EPA Pond'!$A151="","Check Summary EPA POND worksheet Column A",'summary_EPA Pond'!$A151)</f>
        <v xml:space="preserve">10_298742-19770-68_Orchard deciduous-r05-A_USEPA Pond_0089_median                     </v>
      </c>
      <c r="B151" s="121" t="str" cm="1">
        <f t="array" ref="B151:G151">IFERROR(_xlfn.TEXTSPLIT(A151,"_"),"")</f>
        <v>10</v>
      </c>
      <c r="C151" t="str">
        <v>298742-19770-68</v>
      </c>
      <c r="D151" t="str">
        <v>Orchard deciduous-r05-A</v>
      </c>
      <c r="E151" t="str">
        <v>USEPA Pond</v>
      </c>
      <c r="F151" t="str">
        <v>0089</v>
      </c>
      <c r="G151" t="str">
        <v xml:space="preserve">median                     </v>
      </c>
      <c r="H151" s="121" t="str" cm="1">
        <f t="array" ref="H151:J151">IF(D151="","",(_xlfn.TEXTSPLIT(D151,"-")))</f>
        <v>Orchard deciduous</v>
      </c>
      <c r="I151" s="121" t="str">
        <v>r05</v>
      </c>
      <c r="J151" t="str">
        <v>A</v>
      </c>
      <c r="K151" s="129" t="str">
        <f>VLOOKUP(VALUE($B151),test_out_xwalk!$C:$L,3,FALSE)</f>
        <v>Almond-3-10</v>
      </c>
      <c r="L151" s="129">
        <f>VLOOKUP(VALUE($B151),test_out_xwalk!$C:$L,5,FALSE)</f>
        <v>1</v>
      </c>
      <c r="M151" s="129">
        <f>VLOOKUP(VALUE($B151),test_out_xwalk!$C:$L,6,FALSE)</f>
        <v>1</v>
      </c>
      <c r="N151" s="129" t="str">
        <f>VLOOKUP(VALUE($B151),test_out_xwalk!$C:$L,8,FALSE)</f>
        <v>Ground_VF-F_LB</v>
      </c>
      <c r="O151" s="129" t="str">
        <f>VLOOKUP(VALUE($B151),test_out_xwalk!$C:$L,7,FALSE)</f>
        <v>Spray</v>
      </c>
      <c r="P151" s="129" t="str">
        <f>VLOOKUP(VALUE($B151),test_out_xwalk!$C:$L,4,FALSE)</f>
        <v>Pre-emergence</v>
      </c>
      <c r="Q151" s="129" t="str">
        <f>VLOOKUP(VALUE($B151),test_out_xwalk!$C:$L,9,FALSE)</f>
        <v>Other Orchards</v>
      </c>
      <c r="R151">
        <f>_xlfn.XLOOKUP(VALUE(B151),test_out_xwalk!$C:$C,test_out_xwalk!$A:$A)</f>
        <v>3</v>
      </c>
      <c r="T151" s="121" t="str">
        <f>IF('summary_EPA Pond'!$O151="","Check Summary EPA POND worksheet Column O",'summary_EPA Pond'!$O151)</f>
        <v xml:space="preserve">21_2707169-25817-23_Wheat spring-r10U-A_USEPA Pond_0010_median                        </v>
      </c>
      <c r="U151" s="121" t="str" cm="1">
        <f t="array" ref="U151:Z151">IFERROR(_xlfn.TEXTSPLIT(T151,"_"),"")</f>
        <v>21</v>
      </c>
      <c r="V151" t="str">
        <v>2707169-25817-23</v>
      </c>
      <c r="W151" t="str">
        <v>Wheat spring-r10U-A</v>
      </c>
      <c r="X151" t="str">
        <v>USEPA Pond</v>
      </c>
      <c r="Y151" t="str">
        <v>0010</v>
      </c>
      <c r="Z151" t="str">
        <v xml:space="preserve">median                        </v>
      </c>
      <c r="AA151" s="121" t="str" cm="1">
        <f t="array" ref="AA151:AC151">IF(W151="","",(_xlfn.TEXTSPLIT(W151,"-")))</f>
        <v>Wheat spring</v>
      </c>
      <c r="AB151" s="121" t="str">
        <v>r10U</v>
      </c>
      <c r="AC151" t="str">
        <v>A</v>
      </c>
      <c r="AD151" s="129" t="str">
        <f>VLOOKUP(VALUE($U151),test_out_xwalk!$C:$L,3,FALSE)</f>
        <v>Wheat,Â TriticumÂ spp-8-21</v>
      </c>
      <c r="AE151" s="129">
        <f>VLOOKUP(VALUE($U151),test_out_xwalk!$C:$L,5,FALSE)</f>
        <v>1</v>
      </c>
      <c r="AF151" s="129">
        <f>VLOOKUP(VALUE($U151),test_out_xwalk!$C:$L,6,FALSE)</f>
        <v>1</v>
      </c>
      <c r="AG151" s="129" t="str">
        <f>VLOOKUP(VALUE($U151),test_out_xwalk!$C:$L,8,FALSE)</f>
        <v>None</v>
      </c>
      <c r="AH151" s="129" t="str">
        <f>VLOOKUP(VALUE($U151),test_out_xwalk!$C:$L,7,FALSE)</f>
        <v>Seed</v>
      </c>
      <c r="AI151" s="129" t="str">
        <f>VLOOKUP(VALUE($U151),test_out_xwalk!$C:$L,4,FALSE)</f>
        <v>Pre-emergence</v>
      </c>
      <c r="AJ151" s="129" t="str">
        <f>VLOOKUP(VALUE($U151),test_out_xwalk!$C:$L,9,FALSE)</f>
        <v>Spring wheat</v>
      </c>
      <c r="AK151">
        <f>_xlfn.XLOOKUP(VALUE(U151),test_out_xwalk!C:C,test_out_xwalk!A:A)</f>
        <v>8</v>
      </c>
    </row>
    <row r="152" spans="1:37" x14ac:dyDescent="0.55000000000000004">
      <c r="A152" s="121" t="str">
        <f>IF('summary_EPA Pond'!$A152="","Check Summary EPA POND worksheet Column A",'summary_EPA Pond'!$A152)</f>
        <v xml:space="preserve">10_546865-14571-68_Orchard deciduous-r06-A_USEPA Pond_0089_median                     </v>
      </c>
      <c r="B152" s="121" t="str" cm="1">
        <f t="array" ref="B152:G152">IFERROR(_xlfn.TEXTSPLIT(A152,"_"),"")</f>
        <v>10</v>
      </c>
      <c r="C152" t="str">
        <v>546865-14571-68</v>
      </c>
      <c r="D152" t="str">
        <v>Orchard deciduous-r06-A</v>
      </c>
      <c r="E152" t="str">
        <v>USEPA Pond</v>
      </c>
      <c r="F152" t="str">
        <v>0089</v>
      </c>
      <c r="G152" t="str">
        <v xml:space="preserve">median                     </v>
      </c>
      <c r="H152" s="121" t="str" cm="1">
        <f t="array" ref="H152:J152">IF(D152="","",(_xlfn.TEXTSPLIT(D152,"-")))</f>
        <v>Orchard deciduous</v>
      </c>
      <c r="I152" s="121" t="str">
        <v>r06</v>
      </c>
      <c r="J152" t="str">
        <v>A</v>
      </c>
      <c r="K152" s="129" t="str">
        <f>VLOOKUP(VALUE($B152),test_out_xwalk!$C:$L,3,FALSE)</f>
        <v>Almond-3-10</v>
      </c>
      <c r="L152" s="129">
        <f>VLOOKUP(VALUE($B152),test_out_xwalk!$C:$L,5,FALSE)</f>
        <v>1</v>
      </c>
      <c r="M152" s="129">
        <f>VLOOKUP(VALUE($B152),test_out_xwalk!$C:$L,6,FALSE)</f>
        <v>1</v>
      </c>
      <c r="N152" s="129" t="str">
        <f>VLOOKUP(VALUE($B152),test_out_xwalk!$C:$L,8,FALSE)</f>
        <v>Ground_VF-F_LB</v>
      </c>
      <c r="O152" s="129" t="str">
        <f>VLOOKUP(VALUE($B152),test_out_xwalk!$C:$L,7,FALSE)</f>
        <v>Spray</v>
      </c>
      <c r="P152" s="129" t="str">
        <f>VLOOKUP(VALUE($B152),test_out_xwalk!$C:$L,4,FALSE)</f>
        <v>Pre-emergence</v>
      </c>
      <c r="Q152" s="129" t="str">
        <f>VLOOKUP(VALUE($B152),test_out_xwalk!$C:$L,9,FALSE)</f>
        <v>Other Orchards</v>
      </c>
      <c r="R152">
        <f>_xlfn.XLOOKUP(VALUE(B152),test_out_xwalk!$C:$C,test_out_xwalk!$A:$A)</f>
        <v>3</v>
      </c>
      <c r="T152" s="121" t="str">
        <f>IF('summary_EPA Pond'!$O152="","Check Summary EPA POND worksheet Column O",'summary_EPA Pond'!$O152)</f>
        <v xml:space="preserve">21_363890-13328-23_Wheat spring-r11-A_USEPA Pond_0010_median                          </v>
      </c>
      <c r="U152" s="121" t="str" cm="1">
        <f t="array" ref="U152:Z152">IFERROR(_xlfn.TEXTSPLIT(T152,"_"),"")</f>
        <v>21</v>
      </c>
      <c r="V152" t="str">
        <v>363890-13328-23</v>
      </c>
      <c r="W152" t="str">
        <v>Wheat spring-r11-A</v>
      </c>
      <c r="X152" t="str">
        <v>USEPA Pond</v>
      </c>
      <c r="Y152" t="str">
        <v>0010</v>
      </c>
      <c r="Z152" t="str">
        <v xml:space="preserve">median                          </v>
      </c>
      <c r="AA152" s="121" t="str" cm="1">
        <f t="array" ref="AA152:AC152">IF(W152="","",(_xlfn.TEXTSPLIT(W152,"-")))</f>
        <v>Wheat spring</v>
      </c>
      <c r="AB152" s="121" t="str">
        <v>r11</v>
      </c>
      <c r="AC152" t="str">
        <v>A</v>
      </c>
      <c r="AD152" s="129" t="str">
        <f>VLOOKUP(VALUE($U152),test_out_xwalk!$C:$L,3,FALSE)</f>
        <v>Wheat,Â TriticumÂ spp-8-21</v>
      </c>
      <c r="AE152" s="129">
        <f>VLOOKUP(VALUE($U152),test_out_xwalk!$C:$L,5,FALSE)</f>
        <v>1</v>
      </c>
      <c r="AF152" s="129">
        <f>VLOOKUP(VALUE($U152),test_out_xwalk!$C:$L,6,FALSE)</f>
        <v>1</v>
      </c>
      <c r="AG152" s="129" t="str">
        <f>VLOOKUP(VALUE($U152),test_out_xwalk!$C:$L,8,FALSE)</f>
        <v>None</v>
      </c>
      <c r="AH152" s="129" t="str">
        <f>VLOOKUP(VALUE($U152),test_out_xwalk!$C:$L,7,FALSE)</f>
        <v>Seed</v>
      </c>
      <c r="AI152" s="129" t="str">
        <f>VLOOKUP(VALUE($U152),test_out_xwalk!$C:$L,4,FALSE)</f>
        <v>Pre-emergence</v>
      </c>
      <c r="AJ152" s="129" t="str">
        <f>VLOOKUP(VALUE($U152),test_out_xwalk!$C:$L,9,FALSE)</f>
        <v>Spring wheat</v>
      </c>
      <c r="AK152">
        <f>_xlfn.XLOOKUP(VALUE(U152),test_out_xwalk!C:C,test_out_xwalk!A:A)</f>
        <v>8</v>
      </c>
    </row>
    <row r="153" spans="1:37" x14ac:dyDescent="0.55000000000000004">
      <c r="A153" s="121" t="str">
        <f>IF('summary_EPA Pond'!$A153="","Check Summary EPA POND worksheet Column A",'summary_EPA Pond'!$A153)</f>
        <v xml:space="preserve">10_396439-23493-68_Orchard deciduous-r07-A_USEPA Pond_0089_median                     </v>
      </c>
      <c r="B153" s="121" t="str" cm="1">
        <f t="array" ref="B153:G153">IFERROR(_xlfn.TEXTSPLIT(A153,"_"),"")</f>
        <v>10</v>
      </c>
      <c r="C153" t="str">
        <v>396439-23493-68</v>
      </c>
      <c r="D153" t="str">
        <v>Orchard deciduous-r07-A</v>
      </c>
      <c r="E153" t="str">
        <v>USEPA Pond</v>
      </c>
      <c r="F153" t="str">
        <v>0089</v>
      </c>
      <c r="G153" t="str">
        <v xml:space="preserve">median                     </v>
      </c>
      <c r="H153" s="121" t="str" cm="1">
        <f t="array" ref="H153:J153">IF(D153="","",(_xlfn.TEXTSPLIT(D153,"-")))</f>
        <v>Orchard deciduous</v>
      </c>
      <c r="I153" s="121" t="str">
        <v>r07</v>
      </c>
      <c r="J153" t="str">
        <v>A</v>
      </c>
      <c r="K153" s="129" t="str">
        <f>VLOOKUP(VALUE($B153),test_out_xwalk!$C:$L,3,FALSE)</f>
        <v>Almond-3-10</v>
      </c>
      <c r="L153" s="129">
        <f>VLOOKUP(VALUE($B153),test_out_xwalk!$C:$L,5,FALSE)</f>
        <v>1</v>
      </c>
      <c r="M153" s="129">
        <f>VLOOKUP(VALUE($B153),test_out_xwalk!$C:$L,6,FALSE)</f>
        <v>1</v>
      </c>
      <c r="N153" s="129" t="str">
        <f>VLOOKUP(VALUE($B153),test_out_xwalk!$C:$L,8,FALSE)</f>
        <v>Ground_VF-F_LB</v>
      </c>
      <c r="O153" s="129" t="str">
        <f>VLOOKUP(VALUE($B153),test_out_xwalk!$C:$L,7,FALSE)</f>
        <v>Spray</v>
      </c>
      <c r="P153" s="129" t="str">
        <f>VLOOKUP(VALUE($B153),test_out_xwalk!$C:$L,4,FALSE)</f>
        <v>Pre-emergence</v>
      </c>
      <c r="Q153" s="129" t="str">
        <f>VLOOKUP(VALUE($B153),test_out_xwalk!$C:$L,9,FALSE)</f>
        <v>Other Orchards</v>
      </c>
      <c r="R153">
        <f>_xlfn.XLOOKUP(VALUE(B153),test_out_xwalk!$C:$C,test_out_xwalk!$A:$A)</f>
        <v>3</v>
      </c>
      <c r="T153" s="121" t="str">
        <f>IF('summary_EPA Pond'!$O153="","Check Summary EPA POND worksheet Column O",'summary_EPA Pond'!$O153)</f>
        <v xml:space="preserve">21_365994-8605-23_Wheat spring-r12-A_USEPA Pond_0010_median                           </v>
      </c>
      <c r="U153" s="121" t="str" cm="1">
        <f t="array" ref="U153:Z153">IFERROR(_xlfn.TEXTSPLIT(T153,"_"),"")</f>
        <v>21</v>
      </c>
      <c r="V153" t="str">
        <v>365994-8605-23</v>
      </c>
      <c r="W153" t="str">
        <v>Wheat spring-r12-A</v>
      </c>
      <c r="X153" t="str">
        <v>USEPA Pond</v>
      </c>
      <c r="Y153" t="str">
        <v>0010</v>
      </c>
      <c r="Z153" t="str">
        <v xml:space="preserve">median                           </v>
      </c>
      <c r="AA153" s="121" t="str" cm="1">
        <f t="array" ref="AA153:AC153">IF(W153="","",(_xlfn.TEXTSPLIT(W153,"-")))</f>
        <v>Wheat spring</v>
      </c>
      <c r="AB153" s="121" t="str">
        <v>r12</v>
      </c>
      <c r="AC153" t="str">
        <v>A</v>
      </c>
      <c r="AD153" s="129" t="str">
        <f>VLOOKUP(VALUE($U153),test_out_xwalk!$C:$L,3,FALSE)</f>
        <v>Wheat,Â TriticumÂ spp-8-21</v>
      </c>
      <c r="AE153" s="129">
        <f>VLOOKUP(VALUE($U153),test_out_xwalk!$C:$L,5,FALSE)</f>
        <v>1</v>
      </c>
      <c r="AF153" s="129">
        <f>VLOOKUP(VALUE($U153),test_out_xwalk!$C:$L,6,FALSE)</f>
        <v>1</v>
      </c>
      <c r="AG153" s="129" t="str">
        <f>VLOOKUP(VALUE($U153),test_out_xwalk!$C:$L,8,FALSE)</f>
        <v>None</v>
      </c>
      <c r="AH153" s="129" t="str">
        <f>VLOOKUP(VALUE($U153),test_out_xwalk!$C:$L,7,FALSE)</f>
        <v>Seed</v>
      </c>
      <c r="AI153" s="129" t="str">
        <f>VLOOKUP(VALUE($U153),test_out_xwalk!$C:$L,4,FALSE)</f>
        <v>Pre-emergence</v>
      </c>
      <c r="AJ153" s="129" t="str">
        <f>VLOOKUP(VALUE($U153),test_out_xwalk!$C:$L,9,FALSE)</f>
        <v>Spring wheat</v>
      </c>
      <c r="AK153">
        <f>_xlfn.XLOOKUP(VALUE(U153),test_out_xwalk!C:C,test_out_xwalk!A:A)</f>
        <v>8</v>
      </c>
    </row>
    <row r="154" spans="1:37" x14ac:dyDescent="0.55000000000000004">
      <c r="A154" s="121" t="str">
        <f>IF('summary_EPA Pond'!$A154="","Check Summary EPA POND worksheet Column A",'summary_EPA Pond'!$A154)</f>
        <v xml:space="preserve">10_567494-13121-74_Orchard deciduous-r08-A_USEPA Pond_0089_median                     </v>
      </c>
      <c r="B154" s="121" t="str" cm="1">
        <f t="array" ref="B154:G154">IFERROR(_xlfn.TEXTSPLIT(A154,"_"),"")</f>
        <v>10</v>
      </c>
      <c r="C154" t="str">
        <v>567494-13121-74</v>
      </c>
      <c r="D154" t="str">
        <v>Orchard deciduous-r08-A</v>
      </c>
      <c r="E154" t="str">
        <v>USEPA Pond</v>
      </c>
      <c r="F154" t="str">
        <v>0089</v>
      </c>
      <c r="G154" t="str">
        <v xml:space="preserve">median                     </v>
      </c>
      <c r="H154" s="121" t="str" cm="1">
        <f t="array" ref="H154:J154">IF(D154="","",(_xlfn.TEXTSPLIT(D154,"-")))</f>
        <v>Orchard deciduous</v>
      </c>
      <c r="I154" s="121" t="str">
        <v>r08</v>
      </c>
      <c r="J154" t="str">
        <v>A</v>
      </c>
      <c r="K154" s="129" t="str">
        <f>VLOOKUP(VALUE($B154),test_out_xwalk!$C:$L,3,FALSE)</f>
        <v>Almond-3-10</v>
      </c>
      <c r="L154" s="129">
        <f>VLOOKUP(VALUE($B154),test_out_xwalk!$C:$L,5,FALSE)</f>
        <v>1</v>
      </c>
      <c r="M154" s="129">
        <f>VLOOKUP(VALUE($B154),test_out_xwalk!$C:$L,6,FALSE)</f>
        <v>1</v>
      </c>
      <c r="N154" s="129" t="str">
        <f>VLOOKUP(VALUE($B154),test_out_xwalk!$C:$L,8,FALSE)</f>
        <v>Ground_VF-F_LB</v>
      </c>
      <c r="O154" s="129" t="str">
        <f>VLOOKUP(VALUE($B154),test_out_xwalk!$C:$L,7,FALSE)</f>
        <v>Spray</v>
      </c>
      <c r="P154" s="129" t="str">
        <f>VLOOKUP(VALUE($B154),test_out_xwalk!$C:$L,4,FALSE)</f>
        <v>Pre-emergence</v>
      </c>
      <c r="Q154" s="129" t="str">
        <f>VLOOKUP(VALUE($B154),test_out_xwalk!$C:$L,9,FALSE)</f>
        <v>Other Orchards</v>
      </c>
      <c r="R154">
        <f>_xlfn.XLOOKUP(VALUE(B154),test_out_xwalk!$C:$C,test_out_xwalk!$A:$A)</f>
        <v>3</v>
      </c>
      <c r="T154" s="121" t="str">
        <f>IF('summary_EPA Pond'!$O154="","Check Summary EPA POND worksheet Column O",'summary_EPA Pond'!$O154)</f>
        <v xml:space="preserve">21_373212-6953-23_Wheat spring-r13-A_USEPA Pond_0010_median                           </v>
      </c>
      <c r="U154" s="121" t="str" cm="1">
        <f t="array" ref="U154:Z154">IFERROR(_xlfn.TEXTSPLIT(T154,"_"),"")</f>
        <v>21</v>
      </c>
      <c r="V154" t="str">
        <v>373212-6953-23</v>
      </c>
      <c r="W154" t="str">
        <v>Wheat spring-r13-A</v>
      </c>
      <c r="X154" t="str">
        <v>USEPA Pond</v>
      </c>
      <c r="Y154" t="str">
        <v>0010</v>
      </c>
      <c r="Z154" t="str">
        <v xml:space="preserve">median                           </v>
      </c>
      <c r="AA154" s="121" t="str" cm="1">
        <f t="array" ref="AA154:AC154">IF(W154="","",(_xlfn.TEXTSPLIT(W154,"-")))</f>
        <v>Wheat spring</v>
      </c>
      <c r="AB154" s="121" t="str">
        <v>r13</v>
      </c>
      <c r="AC154" t="str">
        <v>A</v>
      </c>
      <c r="AD154" s="129" t="str">
        <f>VLOOKUP(VALUE($U154),test_out_xwalk!$C:$L,3,FALSE)</f>
        <v>Wheat,Â TriticumÂ spp-8-21</v>
      </c>
      <c r="AE154" s="129">
        <f>VLOOKUP(VALUE($U154),test_out_xwalk!$C:$L,5,FALSE)</f>
        <v>1</v>
      </c>
      <c r="AF154" s="129">
        <f>VLOOKUP(VALUE($U154),test_out_xwalk!$C:$L,6,FALSE)</f>
        <v>1</v>
      </c>
      <c r="AG154" s="129" t="str">
        <f>VLOOKUP(VALUE($U154),test_out_xwalk!$C:$L,8,FALSE)</f>
        <v>None</v>
      </c>
      <c r="AH154" s="129" t="str">
        <f>VLOOKUP(VALUE($U154),test_out_xwalk!$C:$L,7,FALSE)</f>
        <v>Seed</v>
      </c>
      <c r="AI154" s="129" t="str">
        <f>VLOOKUP(VALUE($U154),test_out_xwalk!$C:$L,4,FALSE)</f>
        <v>Pre-emergence</v>
      </c>
      <c r="AJ154" s="129" t="str">
        <f>VLOOKUP(VALUE($U154),test_out_xwalk!$C:$L,9,FALSE)</f>
        <v>Spring wheat</v>
      </c>
      <c r="AK154">
        <f>_xlfn.XLOOKUP(VALUE(U154),test_out_xwalk!C:C,test_out_xwalk!A:A)</f>
        <v>8</v>
      </c>
    </row>
    <row r="155" spans="1:37" x14ac:dyDescent="0.55000000000000004">
      <c r="A155" s="121" t="str">
        <f>IF('summary_EPA Pond'!$A155="","Check Summary EPA POND worksheet Column A",'summary_EPA Pond'!$A155)</f>
        <v xml:space="preserve">10_2774572-26572-68_Orchard deciduous-r09-A_USEPA Pond_0089_median                    </v>
      </c>
      <c r="B155" s="121" t="str" cm="1">
        <f t="array" ref="B155:G155">IFERROR(_xlfn.TEXTSPLIT(A155,"_"),"")</f>
        <v>10</v>
      </c>
      <c r="C155" t="str">
        <v>2774572-26572-68</v>
      </c>
      <c r="D155" t="str">
        <v>Orchard deciduous-r09-A</v>
      </c>
      <c r="E155" t="str">
        <v>USEPA Pond</v>
      </c>
      <c r="F155" t="str">
        <v>0089</v>
      </c>
      <c r="G155" t="str">
        <v xml:space="preserve">median                    </v>
      </c>
      <c r="H155" s="121" t="str" cm="1">
        <f t="array" ref="H155:J155">IF(D155="","",(_xlfn.TEXTSPLIT(D155,"-")))</f>
        <v>Orchard deciduous</v>
      </c>
      <c r="I155" s="121" t="str">
        <v>r09</v>
      </c>
      <c r="J155" t="str">
        <v>A</v>
      </c>
      <c r="K155" s="129" t="str">
        <f>VLOOKUP(VALUE($B155),test_out_xwalk!$C:$L,3,FALSE)</f>
        <v>Almond-3-10</v>
      </c>
      <c r="L155" s="129">
        <f>VLOOKUP(VALUE($B155),test_out_xwalk!$C:$L,5,FALSE)</f>
        <v>1</v>
      </c>
      <c r="M155" s="129">
        <f>VLOOKUP(VALUE($B155),test_out_xwalk!$C:$L,6,FALSE)</f>
        <v>1</v>
      </c>
      <c r="N155" s="129" t="str">
        <f>VLOOKUP(VALUE($B155),test_out_xwalk!$C:$L,8,FALSE)</f>
        <v>Ground_VF-F_LB</v>
      </c>
      <c r="O155" s="129" t="str">
        <f>VLOOKUP(VALUE($B155),test_out_xwalk!$C:$L,7,FALSE)</f>
        <v>Spray</v>
      </c>
      <c r="P155" s="129" t="str">
        <f>VLOOKUP(VALUE($B155),test_out_xwalk!$C:$L,4,FALSE)</f>
        <v>Pre-emergence</v>
      </c>
      <c r="Q155" s="129" t="str">
        <f>VLOOKUP(VALUE($B155),test_out_xwalk!$C:$L,9,FALSE)</f>
        <v>Other Orchards</v>
      </c>
      <c r="R155">
        <f>_xlfn.XLOOKUP(VALUE(B155),test_out_xwalk!$C:$C,test_out_xwalk!$A:$A)</f>
        <v>3</v>
      </c>
      <c r="T155" s="121" t="str">
        <f>IF('summary_EPA Pond'!$O155="","Check Summary EPA POND worksheet Column O",'summary_EPA Pond'!$O155)</f>
        <v xml:space="preserve">21_497047-18952-23_Wheat spring-r14-A_USEPA Pond_0010_median                          </v>
      </c>
      <c r="U155" s="121" t="str" cm="1">
        <f t="array" ref="U155:Z155">IFERROR(_xlfn.TEXTSPLIT(T155,"_"),"")</f>
        <v>21</v>
      </c>
      <c r="V155" t="str">
        <v>497047-18952-23</v>
      </c>
      <c r="W155" t="str">
        <v>Wheat spring-r14-A</v>
      </c>
      <c r="X155" t="str">
        <v>USEPA Pond</v>
      </c>
      <c r="Y155" t="str">
        <v>0010</v>
      </c>
      <c r="Z155" t="str">
        <v xml:space="preserve">median                          </v>
      </c>
      <c r="AA155" s="121" t="str" cm="1">
        <f t="array" ref="AA155:AC155">IF(W155="","",(_xlfn.TEXTSPLIT(W155,"-")))</f>
        <v>Wheat spring</v>
      </c>
      <c r="AB155" s="121" t="str">
        <v>r14</v>
      </c>
      <c r="AC155" t="str">
        <v>A</v>
      </c>
      <c r="AD155" s="129" t="str">
        <f>VLOOKUP(VALUE($U155),test_out_xwalk!$C:$L,3,FALSE)</f>
        <v>Wheat,Â TriticumÂ spp-8-21</v>
      </c>
      <c r="AE155" s="129">
        <f>VLOOKUP(VALUE($U155),test_out_xwalk!$C:$L,5,FALSE)</f>
        <v>1</v>
      </c>
      <c r="AF155" s="129">
        <f>VLOOKUP(VALUE($U155),test_out_xwalk!$C:$L,6,FALSE)</f>
        <v>1</v>
      </c>
      <c r="AG155" s="129" t="str">
        <f>VLOOKUP(VALUE($U155),test_out_xwalk!$C:$L,8,FALSE)</f>
        <v>None</v>
      </c>
      <c r="AH155" s="129" t="str">
        <f>VLOOKUP(VALUE($U155),test_out_xwalk!$C:$L,7,FALSE)</f>
        <v>Seed</v>
      </c>
      <c r="AI155" s="129" t="str">
        <f>VLOOKUP(VALUE($U155),test_out_xwalk!$C:$L,4,FALSE)</f>
        <v>Pre-emergence</v>
      </c>
      <c r="AJ155" s="129" t="str">
        <f>VLOOKUP(VALUE($U155),test_out_xwalk!$C:$L,9,FALSE)</f>
        <v>Spring wheat</v>
      </c>
      <c r="AK155">
        <f>_xlfn.XLOOKUP(VALUE(U155),test_out_xwalk!C:C,test_out_xwalk!A:A)</f>
        <v>8</v>
      </c>
    </row>
    <row r="156" spans="1:37" x14ac:dyDescent="0.55000000000000004">
      <c r="A156" s="121" t="str">
        <f>IF('summary_EPA Pond'!$A156="","Check Summary EPA POND worksheet Column A",'summary_EPA Pond'!$A156)</f>
        <v xml:space="preserve">10_2532369-16882-74_Orchard deciduous-r10L-A_USEPA Pond_0089_median                   </v>
      </c>
      <c r="B156" s="121" t="str" cm="1">
        <f t="array" ref="B156:G156">IFERROR(_xlfn.TEXTSPLIT(A156,"_"),"")</f>
        <v>10</v>
      </c>
      <c r="C156" t="str">
        <v>2532369-16882-74</v>
      </c>
      <c r="D156" t="str">
        <v>Orchard deciduous-r10L-A</v>
      </c>
      <c r="E156" t="str">
        <v>USEPA Pond</v>
      </c>
      <c r="F156" t="str">
        <v>0089</v>
      </c>
      <c r="G156" t="str">
        <v xml:space="preserve">median                   </v>
      </c>
      <c r="H156" s="121" t="str" cm="1">
        <f t="array" ref="H156:J156">IF(D156="","",(_xlfn.TEXTSPLIT(D156,"-")))</f>
        <v>Orchard deciduous</v>
      </c>
      <c r="I156" s="121" t="str">
        <v>r10L</v>
      </c>
      <c r="J156" t="str">
        <v>A</v>
      </c>
      <c r="K156" s="129" t="str">
        <f>VLOOKUP(VALUE($B156),test_out_xwalk!$C:$L,3,FALSE)</f>
        <v>Almond-3-10</v>
      </c>
      <c r="L156" s="129">
        <f>VLOOKUP(VALUE($B156),test_out_xwalk!$C:$L,5,FALSE)</f>
        <v>1</v>
      </c>
      <c r="M156" s="129">
        <f>VLOOKUP(VALUE($B156),test_out_xwalk!$C:$L,6,FALSE)</f>
        <v>1</v>
      </c>
      <c r="N156" s="129" t="str">
        <f>VLOOKUP(VALUE($B156),test_out_xwalk!$C:$L,8,FALSE)</f>
        <v>Ground_VF-F_LB</v>
      </c>
      <c r="O156" s="129" t="str">
        <f>VLOOKUP(VALUE($B156),test_out_xwalk!$C:$L,7,FALSE)</f>
        <v>Spray</v>
      </c>
      <c r="P156" s="129" t="str">
        <f>VLOOKUP(VALUE($B156),test_out_xwalk!$C:$L,4,FALSE)</f>
        <v>Pre-emergence</v>
      </c>
      <c r="Q156" s="129" t="str">
        <f>VLOOKUP(VALUE($B156),test_out_xwalk!$C:$L,9,FALSE)</f>
        <v>Other Orchards</v>
      </c>
      <c r="R156">
        <f>_xlfn.XLOOKUP(VALUE(B156),test_out_xwalk!$C:$C,test_out_xwalk!$A:$A)</f>
        <v>3</v>
      </c>
      <c r="T156" s="121" t="str">
        <f>IF('summary_EPA Pond'!$O156="","Check Summary EPA POND worksheet Column O",'summary_EPA Pond'!$O156)</f>
        <v xml:space="preserve">21_53257-12085-23_Wheat spring-r15-A_USEPA Pond_0010_median                           </v>
      </c>
      <c r="U156" s="121" t="str" cm="1">
        <f t="array" ref="U156:Z156">IFERROR(_xlfn.TEXTSPLIT(T156,"_"),"")</f>
        <v>21</v>
      </c>
      <c r="V156" t="str">
        <v>53257-12085-23</v>
      </c>
      <c r="W156" t="str">
        <v>Wheat spring-r15-A</v>
      </c>
      <c r="X156" t="str">
        <v>USEPA Pond</v>
      </c>
      <c r="Y156" t="str">
        <v>0010</v>
      </c>
      <c r="Z156" t="str">
        <v xml:space="preserve">median                           </v>
      </c>
      <c r="AA156" s="121" t="str" cm="1">
        <f t="array" ref="AA156:AC156">IF(W156="","",(_xlfn.TEXTSPLIT(W156,"-")))</f>
        <v>Wheat spring</v>
      </c>
      <c r="AB156" s="121" t="str">
        <v>r15</v>
      </c>
      <c r="AC156" t="str">
        <v>A</v>
      </c>
      <c r="AD156" s="129" t="str">
        <f>VLOOKUP(VALUE($U156),test_out_xwalk!$C:$L,3,FALSE)</f>
        <v>Wheat,Â TriticumÂ spp-8-21</v>
      </c>
      <c r="AE156" s="129">
        <f>VLOOKUP(VALUE($U156),test_out_xwalk!$C:$L,5,FALSE)</f>
        <v>1</v>
      </c>
      <c r="AF156" s="129">
        <f>VLOOKUP(VALUE($U156),test_out_xwalk!$C:$L,6,FALSE)</f>
        <v>1</v>
      </c>
      <c r="AG156" s="129" t="str">
        <f>VLOOKUP(VALUE($U156),test_out_xwalk!$C:$L,8,FALSE)</f>
        <v>None</v>
      </c>
      <c r="AH156" s="129" t="str">
        <f>VLOOKUP(VALUE($U156),test_out_xwalk!$C:$L,7,FALSE)</f>
        <v>Seed</v>
      </c>
      <c r="AI156" s="129" t="str">
        <f>VLOOKUP(VALUE($U156),test_out_xwalk!$C:$L,4,FALSE)</f>
        <v>Pre-emergence</v>
      </c>
      <c r="AJ156" s="129" t="str">
        <f>VLOOKUP(VALUE($U156),test_out_xwalk!$C:$L,9,FALSE)</f>
        <v>Spring wheat</v>
      </c>
      <c r="AK156">
        <f>_xlfn.XLOOKUP(VALUE(U156),test_out_xwalk!C:C,test_out_xwalk!A:A)</f>
        <v>8</v>
      </c>
    </row>
    <row r="157" spans="1:37" x14ac:dyDescent="0.55000000000000004">
      <c r="A157" s="121" t="str">
        <f>IF('summary_EPA Pond'!$A157="","Check Summary EPA POND worksheet Column A",'summary_EPA Pond'!$A157)</f>
        <v xml:space="preserve">10_146775-27192-66_Orchard deciduous-r10U-A_USEPA Pond_0089_median                    </v>
      </c>
      <c r="B157" s="121" t="str" cm="1">
        <f t="array" ref="B157:G157">IFERROR(_xlfn.TEXTSPLIT(A157,"_"),"")</f>
        <v>10</v>
      </c>
      <c r="C157" t="str">
        <v>146775-27192-66</v>
      </c>
      <c r="D157" t="str">
        <v>Orchard deciduous-r10U-A</v>
      </c>
      <c r="E157" t="str">
        <v>USEPA Pond</v>
      </c>
      <c r="F157" t="str">
        <v>0089</v>
      </c>
      <c r="G157" t="str">
        <v xml:space="preserve">median                    </v>
      </c>
      <c r="H157" s="121" t="str" cm="1">
        <f t="array" ref="H157:J157">IF(D157="","",(_xlfn.TEXTSPLIT(D157,"-")))</f>
        <v>Orchard deciduous</v>
      </c>
      <c r="I157" s="121" t="str">
        <v>r10U</v>
      </c>
      <c r="J157" t="str">
        <v>A</v>
      </c>
      <c r="K157" s="129" t="str">
        <f>VLOOKUP(VALUE($B157),test_out_xwalk!$C:$L,3,FALSE)</f>
        <v>Almond-3-10</v>
      </c>
      <c r="L157" s="129">
        <f>VLOOKUP(VALUE($B157),test_out_xwalk!$C:$L,5,FALSE)</f>
        <v>1</v>
      </c>
      <c r="M157" s="129">
        <f>VLOOKUP(VALUE($B157),test_out_xwalk!$C:$L,6,FALSE)</f>
        <v>1</v>
      </c>
      <c r="N157" s="129" t="str">
        <f>VLOOKUP(VALUE($B157),test_out_xwalk!$C:$L,8,FALSE)</f>
        <v>Ground_VF-F_LB</v>
      </c>
      <c r="O157" s="129" t="str">
        <f>VLOOKUP(VALUE($B157),test_out_xwalk!$C:$L,7,FALSE)</f>
        <v>Spray</v>
      </c>
      <c r="P157" s="129" t="str">
        <f>VLOOKUP(VALUE($B157),test_out_xwalk!$C:$L,4,FALSE)</f>
        <v>Pre-emergence</v>
      </c>
      <c r="Q157" s="129" t="str">
        <f>VLOOKUP(VALUE($B157),test_out_xwalk!$C:$L,9,FALSE)</f>
        <v>Other Orchards</v>
      </c>
      <c r="R157">
        <f>_xlfn.XLOOKUP(VALUE(B157),test_out_xwalk!$C:$C,test_out_xwalk!$A:$A)</f>
        <v>3</v>
      </c>
      <c r="T157" s="121" t="str">
        <f>IF('summary_EPA Pond'!$O157="","Check Summary EPA POND worksheet Column O",'summary_EPA Pond'!$O157)</f>
        <v xml:space="preserve">21_154460-20827-23_Wheat spring-r16-A_USEPA Pond_0010_median                          </v>
      </c>
      <c r="U157" s="121" t="str" cm="1">
        <f t="array" ref="U157:Z157">IFERROR(_xlfn.TEXTSPLIT(T157,"_"),"")</f>
        <v>21</v>
      </c>
      <c r="V157" t="str">
        <v>154460-20827-23</v>
      </c>
      <c r="W157" t="str">
        <v>Wheat spring-r16-A</v>
      </c>
      <c r="X157" t="str">
        <v>USEPA Pond</v>
      </c>
      <c r="Y157" t="str">
        <v>0010</v>
      </c>
      <c r="Z157" t="str">
        <v xml:space="preserve">median                          </v>
      </c>
      <c r="AA157" s="121" t="str" cm="1">
        <f t="array" ref="AA157:AC157">IF(W157="","",(_xlfn.TEXTSPLIT(W157,"-")))</f>
        <v>Wheat spring</v>
      </c>
      <c r="AB157" s="121" t="str">
        <v>r16</v>
      </c>
      <c r="AC157" t="str">
        <v>A</v>
      </c>
      <c r="AD157" s="129" t="str">
        <f>VLOOKUP(VALUE($U157),test_out_xwalk!$C:$L,3,FALSE)</f>
        <v>Wheat,Â TriticumÂ spp-8-21</v>
      </c>
      <c r="AE157" s="129">
        <f>VLOOKUP(VALUE($U157),test_out_xwalk!$C:$L,5,FALSE)</f>
        <v>1</v>
      </c>
      <c r="AF157" s="129">
        <f>VLOOKUP(VALUE($U157),test_out_xwalk!$C:$L,6,FALSE)</f>
        <v>1</v>
      </c>
      <c r="AG157" s="129" t="str">
        <f>VLOOKUP(VALUE($U157),test_out_xwalk!$C:$L,8,FALSE)</f>
        <v>None</v>
      </c>
      <c r="AH157" s="129" t="str">
        <f>VLOOKUP(VALUE($U157),test_out_xwalk!$C:$L,7,FALSE)</f>
        <v>Seed</v>
      </c>
      <c r="AI157" s="129" t="str">
        <f>VLOOKUP(VALUE($U157),test_out_xwalk!$C:$L,4,FALSE)</f>
        <v>Pre-emergence</v>
      </c>
      <c r="AJ157" s="129" t="str">
        <f>VLOOKUP(VALUE($U157),test_out_xwalk!$C:$L,9,FALSE)</f>
        <v>Spring wheat</v>
      </c>
      <c r="AK157">
        <f>_xlfn.XLOOKUP(VALUE(U157),test_out_xwalk!C:C,test_out_xwalk!A:A)</f>
        <v>8</v>
      </c>
    </row>
    <row r="158" spans="1:37" x14ac:dyDescent="0.55000000000000004">
      <c r="A158" s="121" t="str">
        <f>IF('summary_EPA Pond'!$A158="","Check Summary EPA POND worksheet Column A",'summary_EPA Pond'!$A158)</f>
        <v xml:space="preserve">10_106593-15934-74_Orchard deciduous-r11-A_USEPA Pond_0089_median                     </v>
      </c>
      <c r="B158" s="121" t="str" cm="1">
        <f t="array" ref="B158:G158">IFERROR(_xlfn.TEXTSPLIT(A158,"_"),"")</f>
        <v>10</v>
      </c>
      <c r="C158" t="str">
        <v>106593-15934-74</v>
      </c>
      <c r="D158" t="str">
        <v>Orchard deciduous-r11-A</v>
      </c>
      <c r="E158" t="str">
        <v>USEPA Pond</v>
      </c>
      <c r="F158" t="str">
        <v>0089</v>
      </c>
      <c r="G158" t="str">
        <v xml:space="preserve">median                     </v>
      </c>
      <c r="H158" s="121" t="str" cm="1">
        <f t="array" ref="H158:J158">IF(D158="","",(_xlfn.TEXTSPLIT(D158,"-")))</f>
        <v>Orchard deciduous</v>
      </c>
      <c r="I158" s="121" t="str">
        <v>r11</v>
      </c>
      <c r="J158" t="str">
        <v>A</v>
      </c>
      <c r="K158" s="129" t="str">
        <f>VLOOKUP(VALUE($B158),test_out_xwalk!$C:$L,3,FALSE)</f>
        <v>Almond-3-10</v>
      </c>
      <c r="L158" s="129">
        <f>VLOOKUP(VALUE($B158),test_out_xwalk!$C:$L,5,FALSE)</f>
        <v>1</v>
      </c>
      <c r="M158" s="129">
        <f>VLOOKUP(VALUE($B158),test_out_xwalk!$C:$L,6,FALSE)</f>
        <v>1</v>
      </c>
      <c r="N158" s="129" t="str">
        <f>VLOOKUP(VALUE($B158),test_out_xwalk!$C:$L,8,FALSE)</f>
        <v>Ground_VF-F_LB</v>
      </c>
      <c r="O158" s="129" t="str">
        <f>VLOOKUP(VALUE($B158),test_out_xwalk!$C:$L,7,FALSE)</f>
        <v>Spray</v>
      </c>
      <c r="P158" s="129" t="str">
        <f>VLOOKUP(VALUE($B158),test_out_xwalk!$C:$L,4,FALSE)</f>
        <v>Pre-emergence</v>
      </c>
      <c r="Q158" s="129" t="str">
        <f>VLOOKUP(VALUE($B158),test_out_xwalk!$C:$L,9,FALSE)</f>
        <v>Other Orchards</v>
      </c>
      <c r="R158">
        <f>_xlfn.XLOOKUP(VALUE(B158),test_out_xwalk!$C:$C,test_out_xwalk!$A:$A)</f>
        <v>3</v>
      </c>
      <c r="T158" s="121" t="str">
        <f>IF('summary_EPA Pond'!$O158="","Check Summary EPA POND worksheet Column O",'summary_EPA Pond'!$O158)</f>
        <v xml:space="preserve">21_84191-22242-23_Wheat spring-r17-A_USEPA Pond_0010_median                           </v>
      </c>
      <c r="U158" s="121" t="str" cm="1">
        <f t="array" ref="U158:Z158">IFERROR(_xlfn.TEXTSPLIT(T158,"_"),"")</f>
        <v>21</v>
      </c>
      <c r="V158" t="str">
        <v>84191-22242-23</v>
      </c>
      <c r="W158" t="str">
        <v>Wheat spring-r17-A</v>
      </c>
      <c r="X158" t="str">
        <v>USEPA Pond</v>
      </c>
      <c r="Y158" t="str">
        <v>0010</v>
      </c>
      <c r="Z158" t="str">
        <v xml:space="preserve">median                           </v>
      </c>
      <c r="AA158" s="121" t="str" cm="1">
        <f t="array" ref="AA158:AC158">IF(W158="","",(_xlfn.TEXTSPLIT(W158,"-")))</f>
        <v>Wheat spring</v>
      </c>
      <c r="AB158" s="121" t="str">
        <v>r17</v>
      </c>
      <c r="AC158" t="str">
        <v>A</v>
      </c>
      <c r="AD158" s="129" t="str">
        <f>VLOOKUP(VALUE($U158),test_out_xwalk!$C:$L,3,FALSE)</f>
        <v>Wheat,Â TriticumÂ spp-8-21</v>
      </c>
      <c r="AE158" s="129">
        <f>VLOOKUP(VALUE($U158),test_out_xwalk!$C:$L,5,FALSE)</f>
        <v>1</v>
      </c>
      <c r="AF158" s="129">
        <f>VLOOKUP(VALUE($U158),test_out_xwalk!$C:$L,6,FALSE)</f>
        <v>1</v>
      </c>
      <c r="AG158" s="129" t="str">
        <f>VLOOKUP(VALUE($U158),test_out_xwalk!$C:$L,8,FALSE)</f>
        <v>None</v>
      </c>
      <c r="AH158" s="129" t="str">
        <f>VLOOKUP(VALUE($U158),test_out_xwalk!$C:$L,7,FALSE)</f>
        <v>Seed</v>
      </c>
      <c r="AI158" s="129" t="str">
        <f>VLOOKUP(VALUE($U158),test_out_xwalk!$C:$L,4,FALSE)</f>
        <v>Pre-emergence</v>
      </c>
      <c r="AJ158" s="129" t="str">
        <f>VLOOKUP(VALUE($U158),test_out_xwalk!$C:$L,9,FALSE)</f>
        <v>Spring wheat</v>
      </c>
      <c r="AK158">
        <f>_xlfn.XLOOKUP(VALUE(U158),test_out_xwalk!C:C,test_out_xwalk!A:A)</f>
        <v>8</v>
      </c>
    </row>
    <row r="159" spans="1:37" x14ac:dyDescent="0.55000000000000004">
      <c r="A159" s="121" t="str">
        <f>IF('summary_EPA Pond'!$A159="","Check Summary EPA POND worksheet Column A",'summary_EPA Pond'!$A159)</f>
        <v xml:space="preserve">10_367880-12156-74_Orchard deciduous-r12-A_USEPA Pond_0089_median                     </v>
      </c>
      <c r="B159" s="121" t="str" cm="1">
        <f t="array" ref="B159:G159">IFERROR(_xlfn.TEXTSPLIT(A159,"_"),"")</f>
        <v>10</v>
      </c>
      <c r="C159" t="str">
        <v>367880-12156-74</v>
      </c>
      <c r="D159" t="str">
        <v>Orchard deciduous-r12-A</v>
      </c>
      <c r="E159" t="str">
        <v>USEPA Pond</v>
      </c>
      <c r="F159" t="str">
        <v>0089</v>
      </c>
      <c r="G159" t="str">
        <v xml:space="preserve">median                     </v>
      </c>
      <c r="H159" s="121" t="str" cm="1">
        <f t="array" ref="H159:J159">IF(D159="","",(_xlfn.TEXTSPLIT(D159,"-")))</f>
        <v>Orchard deciduous</v>
      </c>
      <c r="I159" s="121" t="str">
        <v>r12</v>
      </c>
      <c r="J159" t="str">
        <v>A</v>
      </c>
      <c r="K159" s="129" t="str">
        <f>VLOOKUP(VALUE($B159),test_out_xwalk!$C:$L,3,FALSE)</f>
        <v>Almond-3-10</v>
      </c>
      <c r="L159" s="129">
        <f>VLOOKUP(VALUE($B159),test_out_xwalk!$C:$L,5,FALSE)</f>
        <v>1</v>
      </c>
      <c r="M159" s="129">
        <f>VLOOKUP(VALUE($B159),test_out_xwalk!$C:$L,6,FALSE)</f>
        <v>1</v>
      </c>
      <c r="N159" s="129" t="str">
        <f>VLOOKUP(VALUE($B159),test_out_xwalk!$C:$L,8,FALSE)</f>
        <v>Ground_VF-F_LB</v>
      </c>
      <c r="O159" s="129" t="str">
        <f>VLOOKUP(VALUE($B159),test_out_xwalk!$C:$L,7,FALSE)</f>
        <v>Spray</v>
      </c>
      <c r="P159" s="129" t="str">
        <f>VLOOKUP(VALUE($B159),test_out_xwalk!$C:$L,4,FALSE)</f>
        <v>Pre-emergence</v>
      </c>
      <c r="Q159" s="129" t="str">
        <f>VLOOKUP(VALUE($B159),test_out_xwalk!$C:$L,9,FALSE)</f>
        <v>Other Orchards</v>
      </c>
      <c r="R159">
        <f>_xlfn.XLOOKUP(VALUE(B159),test_out_xwalk!$C:$C,test_out_xwalk!$A:$A)</f>
        <v>3</v>
      </c>
      <c r="T159" s="121" t="str">
        <f>IF('summary_EPA Pond'!$O159="","Check Summary EPA POND worksheet Column O",'summary_EPA Pond'!$O159)</f>
        <v xml:space="preserve">21_455512-12078-22_Wheat spring-r18-A_USEPA Pond_0010_median                          </v>
      </c>
      <c r="U159" s="121" t="str" cm="1">
        <f t="array" ref="U159:Z159">IFERROR(_xlfn.TEXTSPLIT(T159,"_"),"")</f>
        <v>21</v>
      </c>
      <c r="V159" t="str">
        <v>455512-12078-22</v>
      </c>
      <c r="W159" t="str">
        <v>Wheat spring-r18-A</v>
      </c>
      <c r="X159" t="str">
        <v>USEPA Pond</v>
      </c>
      <c r="Y159" t="str">
        <v>0010</v>
      </c>
      <c r="Z159" t="str">
        <v xml:space="preserve">median                          </v>
      </c>
      <c r="AA159" s="121" t="str" cm="1">
        <f t="array" ref="AA159:AC159">IF(W159="","",(_xlfn.TEXTSPLIT(W159,"-")))</f>
        <v>Wheat spring</v>
      </c>
      <c r="AB159" s="121" t="str">
        <v>r18</v>
      </c>
      <c r="AC159" t="str">
        <v>A</v>
      </c>
      <c r="AD159" s="129" t="str">
        <f>VLOOKUP(VALUE($U159),test_out_xwalk!$C:$L,3,FALSE)</f>
        <v>Wheat,Â TriticumÂ spp-8-21</v>
      </c>
      <c r="AE159" s="129">
        <f>VLOOKUP(VALUE($U159),test_out_xwalk!$C:$L,5,FALSE)</f>
        <v>1</v>
      </c>
      <c r="AF159" s="129">
        <f>VLOOKUP(VALUE($U159),test_out_xwalk!$C:$L,6,FALSE)</f>
        <v>1</v>
      </c>
      <c r="AG159" s="129" t="str">
        <f>VLOOKUP(VALUE($U159),test_out_xwalk!$C:$L,8,FALSE)</f>
        <v>None</v>
      </c>
      <c r="AH159" s="129" t="str">
        <f>VLOOKUP(VALUE($U159),test_out_xwalk!$C:$L,7,FALSE)</f>
        <v>Seed</v>
      </c>
      <c r="AI159" s="129" t="str">
        <f>VLOOKUP(VALUE($U159),test_out_xwalk!$C:$L,4,FALSE)</f>
        <v>Pre-emergence</v>
      </c>
      <c r="AJ159" s="129" t="str">
        <f>VLOOKUP(VALUE($U159),test_out_xwalk!$C:$L,9,FALSE)</f>
        <v>Spring wheat</v>
      </c>
      <c r="AK159">
        <f>_xlfn.XLOOKUP(VALUE(U159),test_out_xwalk!C:C,test_out_xwalk!A:A)</f>
        <v>8</v>
      </c>
    </row>
    <row r="160" spans="1:37" x14ac:dyDescent="0.55000000000000004">
      <c r="A160" s="121" t="str">
        <f>IF('summary_EPA Pond'!$A160="","Check Summary EPA POND worksheet Column A",'summary_EPA Pond'!$A160)</f>
        <v xml:space="preserve">10_712158-9291-74_Orchard deciduous-r13-A_USEPA Pond_0089_median                      </v>
      </c>
      <c r="B160" s="121" t="str" cm="1">
        <f t="array" ref="B160:G160">IFERROR(_xlfn.TEXTSPLIT(A160,"_"),"")</f>
        <v>10</v>
      </c>
      <c r="C160" t="str">
        <v>712158-9291-74</v>
      </c>
      <c r="D160" t="str">
        <v>Orchard deciduous-r13-A</v>
      </c>
      <c r="E160" t="str">
        <v>USEPA Pond</v>
      </c>
      <c r="F160" t="str">
        <v>0089</v>
      </c>
      <c r="G160" t="str">
        <v xml:space="preserve">median                      </v>
      </c>
      <c r="H160" s="121" t="str" cm="1">
        <f t="array" ref="H160:J160">IF(D160="","",(_xlfn.TEXTSPLIT(D160,"-")))</f>
        <v>Orchard deciduous</v>
      </c>
      <c r="I160" s="121" t="str">
        <v>r13</v>
      </c>
      <c r="J160" t="str">
        <v>A</v>
      </c>
      <c r="K160" s="129" t="str">
        <f>VLOOKUP(VALUE($B160),test_out_xwalk!$C:$L,3,FALSE)</f>
        <v>Almond-3-10</v>
      </c>
      <c r="L160" s="129">
        <f>VLOOKUP(VALUE($B160),test_out_xwalk!$C:$L,5,FALSE)</f>
        <v>1</v>
      </c>
      <c r="M160" s="129">
        <f>VLOOKUP(VALUE($B160),test_out_xwalk!$C:$L,6,FALSE)</f>
        <v>1</v>
      </c>
      <c r="N160" s="129" t="str">
        <f>VLOOKUP(VALUE($B160),test_out_xwalk!$C:$L,8,FALSE)</f>
        <v>Ground_VF-F_LB</v>
      </c>
      <c r="O160" s="129" t="str">
        <f>VLOOKUP(VALUE($B160),test_out_xwalk!$C:$L,7,FALSE)</f>
        <v>Spray</v>
      </c>
      <c r="P160" s="129" t="str">
        <f>VLOOKUP(VALUE($B160),test_out_xwalk!$C:$L,4,FALSE)</f>
        <v>Pre-emergence</v>
      </c>
      <c r="Q160" s="129" t="str">
        <f>VLOOKUP(VALUE($B160),test_out_xwalk!$C:$L,9,FALSE)</f>
        <v>Other Orchards</v>
      </c>
      <c r="R160">
        <f>_xlfn.XLOOKUP(VALUE(B160),test_out_xwalk!$C:$C,test_out_xwalk!$A:$A)</f>
        <v>3</v>
      </c>
      <c r="T160" s="121" t="str">
        <f>IF('summary_EPA Pond'!$O160="","Check Summary EPA POND worksheet Column O",'summary_EPA Pond'!$O160)</f>
        <v xml:space="preserve">24_279389-22634-37_Hay all-r01-A_USEPA Pond_0055_median                               </v>
      </c>
      <c r="U160" s="121" t="str" cm="1">
        <f t="array" ref="U160:Z160">IFERROR(_xlfn.TEXTSPLIT(T160,"_"),"")</f>
        <v>24</v>
      </c>
      <c r="V160" t="str">
        <v>279389-22634-37</v>
      </c>
      <c r="W160" t="str">
        <v>Hay all-r01-A</v>
      </c>
      <c r="X160" t="str">
        <v>USEPA Pond</v>
      </c>
      <c r="Y160" t="str">
        <v>0055</v>
      </c>
      <c r="Z160" t="str">
        <v xml:space="preserve">median                               </v>
      </c>
      <c r="AA160" s="121" t="str" cm="1">
        <f t="array" ref="AA160:AC160">IF(W160="","",(_xlfn.TEXTSPLIT(W160,"-")))</f>
        <v>Hay all</v>
      </c>
      <c r="AB160" s="121" t="str">
        <v>r01</v>
      </c>
      <c r="AC160" t="str">
        <v>A</v>
      </c>
      <c r="AD160" s="129" t="str">
        <f>VLOOKUP(VALUE($U160),test_out_xwalk!$C:$L,3,FALSE)</f>
        <v>Clover-9-24</v>
      </c>
      <c r="AE160" s="129">
        <f>VLOOKUP(VALUE($U160),test_out_xwalk!$C:$L,5,FALSE)</f>
        <v>1</v>
      </c>
      <c r="AF160" s="129">
        <f>VLOOKUP(VALUE($U160),test_out_xwalk!$C:$L,6,FALSE)</f>
        <v>2</v>
      </c>
      <c r="AG160" s="129" t="str">
        <f>VLOOKUP(VALUE($U160),test_out_xwalk!$C:$L,8,FALSE)</f>
        <v>None</v>
      </c>
      <c r="AH160" s="129" t="str">
        <f>VLOOKUP(VALUE($U160),test_out_xwalk!$C:$L,7,FALSE)</f>
        <v>Spray</v>
      </c>
      <c r="AI160" s="129" t="str">
        <f>VLOOKUP(VALUE($U160),test_out_xwalk!$C:$L,4,FALSE)</f>
        <v>Post-emergence</v>
      </c>
      <c r="AJ160" s="129" t="str">
        <f>VLOOKUP(VALUE($U160),test_out_xwalk!$C:$L,9,FALSE)</f>
        <v>Other crops</v>
      </c>
      <c r="AK160">
        <f>_xlfn.XLOOKUP(VALUE(U160),test_out_xwalk!C:C,test_out_xwalk!A:A)</f>
        <v>9</v>
      </c>
    </row>
    <row r="161" spans="1:37" x14ac:dyDescent="0.55000000000000004">
      <c r="A161" s="121" t="str">
        <f>IF('summary_EPA Pond'!$A161="","Check Summary EPA POND worksheet Column A",'summary_EPA Pond'!$A161)</f>
        <v xml:space="preserve">10_496634-17773-67_Orchard deciduous-r14-A_USEPA Pond_0089_median                     </v>
      </c>
      <c r="B161" s="121" t="str" cm="1">
        <f t="array" ref="B161:G161">IFERROR(_xlfn.TEXTSPLIT(A161,"_"),"")</f>
        <v>10</v>
      </c>
      <c r="C161" t="str">
        <v>496634-17773-67</v>
      </c>
      <c r="D161" t="str">
        <v>Orchard deciduous-r14-A</v>
      </c>
      <c r="E161" t="str">
        <v>USEPA Pond</v>
      </c>
      <c r="F161" t="str">
        <v>0089</v>
      </c>
      <c r="G161" t="str">
        <v xml:space="preserve">median                     </v>
      </c>
      <c r="H161" s="121" t="str" cm="1">
        <f t="array" ref="H161:J161">IF(D161="","",(_xlfn.TEXTSPLIT(D161,"-")))</f>
        <v>Orchard deciduous</v>
      </c>
      <c r="I161" s="121" t="str">
        <v>r14</v>
      </c>
      <c r="J161" t="str">
        <v>A</v>
      </c>
      <c r="K161" s="129" t="str">
        <f>VLOOKUP(VALUE($B161),test_out_xwalk!$C:$L,3,FALSE)</f>
        <v>Almond-3-10</v>
      </c>
      <c r="L161" s="129">
        <f>VLOOKUP(VALUE($B161),test_out_xwalk!$C:$L,5,FALSE)</f>
        <v>1</v>
      </c>
      <c r="M161" s="129">
        <f>VLOOKUP(VALUE($B161),test_out_xwalk!$C:$L,6,FALSE)</f>
        <v>1</v>
      </c>
      <c r="N161" s="129" t="str">
        <f>VLOOKUP(VALUE($B161),test_out_xwalk!$C:$L,8,FALSE)</f>
        <v>Ground_VF-F_LB</v>
      </c>
      <c r="O161" s="129" t="str">
        <f>VLOOKUP(VALUE($B161),test_out_xwalk!$C:$L,7,FALSE)</f>
        <v>Spray</v>
      </c>
      <c r="P161" s="129" t="str">
        <f>VLOOKUP(VALUE($B161),test_out_xwalk!$C:$L,4,FALSE)</f>
        <v>Pre-emergence</v>
      </c>
      <c r="Q161" s="129" t="str">
        <f>VLOOKUP(VALUE($B161),test_out_xwalk!$C:$L,9,FALSE)</f>
        <v>Other Orchards</v>
      </c>
      <c r="R161">
        <f>_xlfn.XLOOKUP(VALUE(B161),test_out_xwalk!$C:$C,test_out_xwalk!$A:$A)</f>
        <v>3</v>
      </c>
      <c r="T161" s="121" t="str">
        <f>IF('summary_EPA Pond'!$O161="","Check Summary EPA POND worksheet Column O",'summary_EPA Pond'!$O161)</f>
        <v xml:space="preserve">24_548594-19557-37_Hay all-r02-A_USEPA Pond_0055_median                               </v>
      </c>
      <c r="U161" s="121" t="str" cm="1">
        <f t="array" ref="U161:Z161">IFERROR(_xlfn.TEXTSPLIT(T161,"_"),"")</f>
        <v>24</v>
      </c>
      <c r="V161" t="str">
        <v>548594-19557-37</v>
      </c>
      <c r="W161" t="str">
        <v>Hay all-r02-A</v>
      </c>
      <c r="X161" t="str">
        <v>USEPA Pond</v>
      </c>
      <c r="Y161" t="str">
        <v>0055</v>
      </c>
      <c r="Z161" t="str">
        <v xml:space="preserve">median                               </v>
      </c>
      <c r="AA161" s="121" t="str" cm="1">
        <f t="array" ref="AA161:AC161">IF(W161="","",(_xlfn.TEXTSPLIT(W161,"-")))</f>
        <v>Hay all</v>
      </c>
      <c r="AB161" s="121" t="str">
        <v>r02</v>
      </c>
      <c r="AC161" t="str">
        <v>A</v>
      </c>
      <c r="AD161" s="129" t="str">
        <f>VLOOKUP(VALUE($U161),test_out_xwalk!$C:$L,3,FALSE)</f>
        <v>Clover-9-24</v>
      </c>
      <c r="AE161" s="129">
        <f>VLOOKUP(VALUE($U161),test_out_xwalk!$C:$L,5,FALSE)</f>
        <v>1</v>
      </c>
      <c r="AF161" s="129">
        <f>VLOOKUP(VALUE($U161),test_out_xwalk!$C:$L,6,FALSE)</f>
        <v>2</v>
      </c>
      <c r="AG161" s="129" t="str">
        <f>VLOOKUP(VALUE($U161),test_out_xwalk!$C:$L,8,FALSE)</f>
        <v>None</v>
      </c>
      <c r="AH161" s="129" t="str">
        <f>VLOOKUP(VALUE($U161),test_out_xwalk!$C:$L,7,FALSE)</f>
        <v>Spray</v>
      </c>
      <c r="AI161" s="129" t="str">
        <f>VLOOKUP(VALUE($U161),test_out_xwalk!$C:$L,4,FALSE)</f>
        <v>Post-emergence</v>
      </c>
      <c r="AJ161" s="129" t="str">
        <f>VLOOKUP(VALUE($U161),test_out_xwalk!$C:$L,9,FALSE)</f>
        <v>Other crops</v>
      </c>
      <c r="AK161">
        <f>_xlfn.XLOOKUP(VALUE(U161),test_out_xwalk!C:C,test_out_xwalk!A:A)</f>
        <v>9</v>
      </c>
    </row>
    <row r="162" spans="1:37" x14ac:dyDescent="0.55000000000000004">
      <c r="A162" s="121" t="str">
        <f>IF('summary_EPA Pond'!$A162="","Check Summary EPA POND worksheet Column A",'summary_EPA Pond'!$A162)</f>
        <v xml:space="preserve">10_53675-11396-74_Orchard deciduous-r15-A_USEPA Pond_0089_median                      </v>
      </c>
      <c r="B162" s="121" t="str" cm="1">
        <f t="array" ref="B162:G162">IFERROR(_xlfn.TEXTSPLIT(A162,"_"),"")</f>
        <v>10</v>
      </c>
      <c r="C162" t="str">
        <v>53675-11396-74</v>
      </c>
      <c r="D162" t="str">
        <v>Orchard deciduous-r15-A</v>
      </c>
      <c r="E162" t="str">
        <v>USEPA Pond</v>
      </c>
      <c r="F162" t="str">
        <v>0089</v>
      </c>
      <c r="G162" t="str">
        <v xml:space="preserve">median                      </v>
      </c>
      <c r="H162" s="121" t="str" cm="1">
        <f t="array" ref="H162:J162">IF(D162="","",(_xlfn.TEXTSPLIT(D162,"-")))</f>
        <v>Orchard deciduous</v>
      </c>
      <c r="I162" s="121" t="str">
        <v>r15</v>
      </c>
      <c r="J162" t="str">
        <v>A</v>
      </c>
      <c r="K162" s="129" t="str">
        <f>VLOOKUP(VALUE($B162),test_out_xwalk!$C:$L,3,FALSE)</f>
        <v>Almond-3-10</v>
      </c>
      <c r="L162" s="129">
        <f>VLOOKUP(VALUE($B162),test_out_xwalk!$C:$L,5,FALSE)</f>
        <v>1</v>
      </c>
      <c r="M162" s="129">
        <f>VLOOKUP(VALUE($B162),test_out_xwalk!$C:$L,6,FALSE)</f>
        <v>1</v>
      </c>
      <c r="N162" s="129" t="str">
        <f>VLOOKUP(VALUE($B162),test_out_xwalk!$C:$L,8,FALSE)</f>
        <v>Ground_VF-F_LB</v>
      </c>
      <c r="O162" s="129" t="str">
        <f>VLOOKUP(VALUE($B162),test_out_xwalk!$C:$L,7,FALSE)</f>
        <v>Spray</v>
      </c>
      <c r="P162" s="129" t="str">
        <f>VLOOKUP(VALUE($B162),test_out_xwalk!$C:$L,4,FALSE)</f>
        <v>Pre-emergence</v>
      </c>
      <c r="Q162" s="129" t="str">
        <f>VLOOKUP(VALUE($B162),test_out_xwalk!$C:$L,9,FALSE)</f>
        <v>Other Orchards</v>
      </c>
      <c r="R162">
        <f>_xlfn.XLOOKUP(VALUE(B162),test_out_xwalk!$C:$C,test_out_xwalk!$A:$A)</f>
        <v>3</v>
      </c>
      <c r="T162" s="121" t="str">
        <f>IF('summary_EPA Pond'!$O162="","Check Summary EPA POND worksheet Column O",'summary_EPA Pond'!$O162)</f>
        <v xml:space="preserve">24_2679272-15047-37_Hay all-r03N-A_USEPA Pond_0055_median                             </v>
      </c>
      <c r="U162" s="121" t="str" cm="1">
        <f t="array" ref="U162:Z162">IFERROR(_xlfn.TEXTSPLIT(T162,"_"),"")</f>
        <v>24</v>
      </c>
      <c r="V162" t="str">
        <v>2679272-15047-37</v>
      </c>
      <c r="W162" t="str">
        <v>Hay all-r03N-A</v>
      </c>
      <c r="X162" t="str">
        <v>USEPA Pond</v>
      </c>
      <c r="Y162" t="str">
        <v>0055</v>
      </c>
      <c r="Z162" t="str">
        <v xml:space="preserve">median                             </v>
      </c>
      <c r="AA162" s="121" t="str" cm="1">
        <f t="array" ref="AA162:AC162">IF(W162="","",(_xlfn.TEXTSPLIT(W162,"-")))</f>
        <v>Hay all</v>
      </c>
      <c r="AB162" s="121" t="str">
        <v>r03N</v>
      </c>
      <c r="AC162" t="str">
        <v>A</v>
      </c>
      <c r="AD162" s="129" t="str">
        <f>VLOOKUP(VALUE($U162),test_out_xwalk!$C:$L,3,FALSE)</f>
        <v>Clover-9-24</v>
      </c>
      <c r="AE162" s="129">
        <f>VLOOKUP(VALUE($U162),test_out_xwalk!$C:$L,5,FALSE)</f>
        <v>1</v>
      </c>
      <c r="AF162" s="129">
        <f>VLOOKUP(VALUE($U162),test_out_xwalk!$C:$L,6,FALSE)</f>
        <v>2</v>
      </c>
      <c r="AG162" s="129" t="str">
        <f>VLOOKUP(VALUE($U162),test_out_xwalk!$C:$L,8,FALSE)</f>
        <v>None</v>
      </c>
      <c r="AH162" s="129" t="str">
        <f>VLOOKUP(VALUE($U162),test_out_xwalk!$C:$L,7,FALSE)</f>
        <v>Spray</v>
      </c>
      <c r="AI162" s="129" t="str">
        <f>VLOOKUP(VALUE($U162),test_out_xwalk!$C:$L,4,FALSE)</f>
        <v>Post-emergence</v>
      </c>
      <c r="AJ162" s="129" t="str">
        <f>VLOOKUP(VALUE($U162),test_out_xwalk!$C:$L,9,FALSE)</f>
        <v>Other crops</v>
      </c>
      <c r="AK162">
        <f>_xlfn.XLOOKUP(VALUE(U162),test_out_xwalk!C:C,test_out_xwalk!A:A)</f>
        <v>9</v>
      </c>
    </row>
    <row r="163" spans="1:37" x14ac:dyDescent="0.55000000000000004">
      <c r="A163" s="121" t="str">
        <f>IF('summary_EPA Pond'!$A163="","Check Summary EPA POND worksheet Column A",'summary_EPA Pond'!$A163)</f>
        <v xml:space="preserve">10_483390-18938-66_Orchard deciduous-r16-A_USEPA Pond_0089_median                     </v>
      </c>
      <c r="B163" s="121" t="str" cm="1">
        <f t="array" ref="B163:G163">IFERROR(_xlfn.TEXTSPLIT(A163,"_"),"")</f>
        <v>10</v>
      </c>
      <c r="C163" t="str">
        <v>483390-18938-66</v>
      </c>
      <c r="D163" t="str">
        <v>Orchard deciduous-r16-A</v>
      </c>
      <c r="E163" t="str">
        <v>USEPA Pond</v>
      </c>
      <c r="F163" t="str">
        <v>0089</v>
      </c>
      <c r="G163" t="str">
        <v xml:space="preserve">median                     </v>
      </c>
      <c r="H163" s="121" t="str" cm="1">
        <f t="array" ref="H163:J163">IF(D163="","",(_xlfn.TEXTSPLIT(D163,"-")))</f>
        <v>Orchard deciduous</v>
      </c>
      <c r="I163" s="121" t="str">
        <v>r16</v>
      </c>
      <c r="J163" t="str">
        <v>A</v>
      </c>
      <c r="K163" s="129" t="str">
        <f>VLOOKUP(VALUE($B163),test_out_xwalk!$C:$L,3,FALSE)</f>
        <v>Almond-3-10</v>
      </c>
      <c r="L163" s="129">
        <f>VLOOKUP(VALUE($B163),test_out_xwalk!$C:$L,5,FALSE)</f>
        <v>1</v>
      </c>
      <c r="M163" s="129">
        <f>VLOOKUP(VALUE($B163),test_out_xwalk!$C:$L,6,FALSE)</f>
        <v>1</v>
      </c>
      <c r="N163" s="129" t="str">
        <f>VLOOKUP(VALUE($B163),test_out_xwalk!$C:$L,8,FALSE)</f>
        <v>Ground_VF-F_LB</v>
      </c>
      <c r="O163" s="129" t="str">
        <f>VLOOKUP(VALUE($B163),test_out_xwalk!$C:$L,7,FALSE)</f>
        <v>Spray</v>
      </c>
      <c r="P163" s="129" t="str">
        <f>VLOOKUP(VALUE($B163),test_out_xwalk!$C:$L,4,FALSE)</f>
        <v>Pre-emergence</v>
      </c>
      <c r="Q163" s="129" t="str">
        <f>VLOOKUP(VALUE($B163),test_out_xwalk!$C:$L,9,FALSE)</f>
        <v>Other Orchards</v>
      </c>
      <c r="R163">
        <f>_xlfn.XLOOKUP(VALUE(B163),test_out_xwalk!$C:$C,test_out_xwalk!$A:$A)</f>
        <v>3</v>
      </c>
      <c r="T163" s="121" t="str">
        <f>IF('summary_EPA Pond'!$O163="","Check Summary EPA POND worksheet Column O",'summary_EPA Pond'!$O163)</f>
        <v xml:space="preserve">24_124141-11970-37_Hay all-r03S-A_USEPA Pond_0055_median                              </v>
      </c>
      <c r="U163" s="121" t="str" cm="1">
        <f t="array" ref="U163:Z163">IFERROR(_xlfn.TEXTSPLIT(T163,"_"),"")</f>
        <v>24</v>
      </c>
      <c r="V163" t="str">
        <v>124141-11970-37</v>
      </c>
      <c r="W163" t="str">
        <v>Hay all-r03S-A</v>
      </c>
      <c r="X163" t="str">
        <v>USEPA Pond</v>
      </c>
      <c r="Y163" t="str">
        <v>0055</v>
      </c>
      <c r="Z163" t="str">
        <v xml:space="preserve">median                              </v>
      </c>
      <c r="AA163" s="121" t="str" cm="1">
        <f t="array" ref="AA163:AC163">IF(W163="","",(_xlfn.TEXTSPLIT(W163,"-")))</f>
        <v>Hay all</v>
      </c>
      <c r="AB163" s="121" t="str">
        <v>r03S</v>
      </c>
      <c r="AC163" t="str">
        <v>A</v>
      </c>
      <c r="AD163" s="129" t="str">
        <f>VLOOKUP(VALUE($U163),test_out_xwalk!$C:$L,3,FALSE)</f>
        <v>Clover-9-24</v>
      </c>
      <c r="AE163" s="129">
        <f>VLOOKUP(VALUE($U163),test_out_xwalk!$C:$L,5,FALSE)</f>
        <v>1</v>
      </c>
      <c r="AF163" s="129">
        <f>VLOOKUP(VALUE($U163),test_out_xwalk!$C:$L,6,FALSE)</f>
        <v>2</v>
      </c>
      <c r="AG163" s="129" t="str">
        <f>VLOOKUP(VALUE($U163),test_out_xwalk!$C:$L,8,FALSE)</f>
        <v>None</v>
      </c>
      <c r="AH163" s="129" t="str">
        <f>VLOOKUP(VALUE($U163),test_out_xwalk!$C:$L,7,FALSE)</f>
        <v>Spray</v>
      </c>
      <c r="AI163" s="129" t="str">
        <f>VLOOKUP(VALUE($U163),test_out_xwalk!$C:$L,4,FALSE)</f>
        <v>Post-emergence</v>
      </c>
      <c r="AJ163" s="129" t="str">
        <f>VLOOKUP(VALUE($U163),test_out_xwalk!$C:$L,9,FALSE)</f>
        <v>Other crops</v>
      </c>
      <c r="AK163">
        <f>_xlfn.XLOOKUP(VALUE(U163),test_out_xwalk!C:C,test_out_xwalk!A:A)</f>
        <v>9</v>
      </c>
    </row>
    <row r="164" spans="1:37" x14ac:dyDescent="0.55000000000000004">
      <c r="A164" s="121" t="str">
        <f>IF('summary_EPA Pond'!$A164="","Check Summary EPA POND worksheet Column A",'summary_EPA Pond'!$A164)</f>
        <v xml:space="preserve">10_62699-22668-71_Orchard deciduous-r17-A_USEPA Pond_0089_median                      </v>
      </c>
      <c r="B164" s="121" t="str" cm="1">
        <f t="array" ref="B164:G164">IFERROR(_xlfn.TEXTSPLIT(A164,"_"),"")</f>
        <v>10</v>
      </c>
      <c r="C164" t="str">
        <v>62699-22668-71</v>
      </c>
      <c r="D164" t="str">
        <v>Orchard deciduous-r17-A</v>
      </c>
      <c r="E164" t="str">
        <v>USEPA Pond</v>
      </c>
      <c r="F164" t="str">
        <v>0089</v>
      </c>
      <c r="G164" t="str">
        <v xml:space="preserve">median                      </v>
      </c>
      <c r="H164" s="121" t="str" cm="1">
        <f t="array" ref="H164:J164">IF(D164="","",(_xlfn.TEXTSPLIT(D164,"-")))</f>
        <v>Orchard deciduous</v>
      </c>
      <c r="I164" s="121" t="str">
        <v>r17</v>
      </c>
      <c r="J164" t="str">
        <v>A</v>
      </c>
      <c r="K164" s="129" t="str">
        <f>VLOOKUP(VALUE($B164),test_out_xwalk!$C:$L,3,FALSE)</f>
        <v>Almond-3-10</v>
      </c>
      <c r="L164" s="129">
        <f>VLOOKUP(VALUE($B164),test_out_xwalk!$C:$L,5,FALSE)</f>
        <v>1</v>
      </c>
      <c r="M164" s="129">
        <f>VLOOKUP(VALUE($B164),test_out_xwalk!$C:$L,6,FALSE)</f>
        <v>1</v>
      </c>
      <c r="N164" s="129" t="str">
        <f>VLOOKUP(VALUE($B164),test_out_xwalk!$C:$L,8,FALSE)</f>
        <v>Ground_VF-F_LB</v>
      </c>
      <c r="O164" s="129" t="str">
        <f>VLOOKUP(VALUE($B164),test_out_xwalk!$C:$L,7,FALSE)</f>
        <v>Spray</v>
      </c>
      <c r="P164" s="129" t="str">
        <f>VLOOKUP(VALUE($B164),test_out_xwalk!$C:$L,4,FALSE)</f>
        <v>Pre-emergence</v>
      </c>
      <c r="Q164" s="129" t="str">
        <f>VLOOKUP(VALUE($B164),test_out_xwalk!$C:$L,9,FALSE)</f>
        <v>Other Orchards</v>
      </c>
      <c r="R164">
        <f>_xlfn.XLOOKUP(VALUE(B164),test_out_xwalk!$C:$C,test_out_xwalk!$A:$A)</f>
        <v>3</v>
      </c>
      <c r="T164" s="121" t="str">
        <f>IF('summary_EPA Pond'!$O164="","Check Summary EPA POND worksheet Column O",'summary_EPA Pond'!$O164)</f>
        <v xml:space="preserve">24_328641-11010-37_Hay all-r03W-A_USEPA Pond_0055_median                              </v>
      </c>
      <c r="U164" s="121" t="str" cm="1">
        <f t="array" ref="U164:Z164">IFERROR(_xlfn.TEXTSPLIT(T164,"_"),"")</f>
        <v>24</v>
      </c>
      <c r="V164" t="str">
        <v>328641-11010-37</v>
      </c>
      <c r="W164" t="str">
        <v>Hay all-r03W-A</v>
      </c>
      <c r="X164" t="str">
        <v>USEPA Pond</v>
      </c>
      <c r="Y164" t="str">
        <v>0055</v>
      </c>
      <c r="Z164" t="str">
        <v xml:space="preserve">median                              </v>
      </c>
      <c r="AA164" s="121" t="str" cm="1">
        <f t="array" ref="AA164:AC164">IF(W164="","",(_xlfn.TEXTSPLIT(W164,"-")))</f>
        <v>Hay all</v>
      </c>
      <c r="AB164" s="121" t="str">
        <v>r03W</v>
      </c>
      <c r="AC164" t="str">
        <v>A</v>
      </c>
      <c r="AD164" s="129" t="str">
        <f>VLOOKUP(VALUE($U164),test_out_xwalk!$C:$L,3,FALSE)</f>
        <v>Clover-9-24</v>
      </c>
      <c r="AE164" s="129">
        <f>VLOOKUP(VALUE($U164),test_out_xwalk!$C:$L,5,FALSE)</f>
        <v>1</v>
      </c>
      <c r="AF164" s="129">
        <f>VLOOKUP(VALUE($U164),test_out_xwalk!$C:$L,6,FALSE)</f>
        <v>2</v>
      </c>
      <c r="AG164" s="129" t="str">
        <f>VLOOKUP(VALUE($U164),test_out_xwalk!$C:$L,8,FALSE)</f>
        <v>None</v>
      </c>
      <c r="AH164" s="129" t="str">
        <f>VLOOKUP(VALUE($U164),test_out_xwalk!$C:$L,7,FALSE)</f>
        <v>Spray</v>
      </c>
      <c r="AI164" s="129" t="str">
        <f>VLOOKUP(VALUE($U164),test_out_xwalk!$C:$L,4,FALSE)</f>
        <v>Post-emergence</v>
      </c>
      <c r="AJ164" s="129" t="str">
        <f>VLOOKUP(VALUE($U164),test_out_xwalk!$C:$L,9,FALSE)</f>
        <v>Other crops</v>
      </c>
      <c r="AK164">
        <f>_xlfn.XLOOKUP(VALUE(U164),test_out_xwalk!C:C,test_out_xwalk!A:A)</f>
        <v>9</v>
      </c>
    </row>
    <row r="165" spans="1:37" x14ac:dyDescent="0.55000000000000004">
      <c r="A165" s="121" t="str">
        <f>IF('summary_EPA Pond'!$A165="","Check Summary EPA POND worksheet Column A",'summary_EPA Pond'!$A165)</f>
        <v xml:space="preserve">10_462066-17012-75_Orchard deciduous-r18-A_USEPA Pond_0089_median                     </v>
      </c>
      <c r="B165" s="121" t="str" cm="1">
        <f t="array" ref="B165:G165">IFERROR(_xlfn.TEXTSPLIT(A165,"_"),"")</f>
        <v>10</v>
      </c>
      <c r="C165" t="str">
        <v>462066-17012-75</v>
      </c>
      <c r="D165" t="str">
        <v>Orchard deciduous-r18-A</v>
      </c>
      <c r="E165" t="str">
        <v>USEPA Pond</v>
      </c>
      <c r="F165" t="str">
        <v>0089</v>
      </c>
      <c r="G165" t="str">
        <v xml:space="preserve">median                     </v>
      </c>
      <c r="H165" s="121" t="str" cm="1">
        <f t="array" ref="H165:J165">IF(D165="","",(_xlfn.TEXTSPLIT(D165,"-")))</f>
        <v>Orchard deciduous</v>
      </c>
      <c r="I165" s="121" t="str">
        <v>r18</v>
      </c>
      <c r="J165" t="str">
        <v>A</v>
      </c>
      <c r="K165" s="129" t="str">
        <f>VLOOKUP(VALUE($B165),test_out_xwalk!$C:$L,3,FALSE)</f>
        <v>Almond-3-10</v>
      </c>
      <c r="L165" s="129">
        <f>VLOOKUP(VALUE($B165),test_out_xwalk!$C:$L,5,FALSE)</f>
        <v>1</v>
      </c>
      <c r="M165" s="129">
        <f>VLOOKUP(VALUE($B165),test_out_xwalk!$C:$L,6,FALSE)</f>
        <v>1</v>
      </c>
      <c r="N165" s="129" t="str">
        <f>VLOOKUP(VALUE($B165),test_out_xwalk!$C:$L,8,FALSE)</f>
        <v>Ground_VF-F_LB</v>
      </c>
      <c r="O165" s="129" t="str">
        <f>VLOOKUP(VALUE($B165),test_out_xwalk!$C:$L,7,FALSE)</f>
        <v>Spray</v>
      </c>
      <c r="P165" s="129" t="str">
        <f>VLOOKUP(VALUE($B165),test_out_xwalk!$C:$L,4,FALSE)</f>
        <v>Pre-emergence</v>
      </c>
      <c r="Q165" s="129" t="str">
        <f>VLOOKUP(VALUE($B165),test_out_xwalk!$C:$L,9,FALSE)</f>
        <v>Other Orchards</v>
      </c>
      <c r="R165">
        <f>_xlfn.XLOOKUP(VALUE(B165),test_out_xwalk!$C:$C,test_out_xwalk!$A:$A)</f>
        <v>3</v>
      </c>
      <c r="T165" s="121" t="str">
        <f>IF('summary_EPA Pond'!$O165="","Check Summary EPA POND worksheet Column O",'summary_EPA Pond'!$O165)</f>
        <v xml:space="preserve">24_186614-22349-37_Hay all-r04-A_USEPA Pond_0055_median                               </v>
      </c>
      <c r="U165" s="121" t="str" cm="1">
        <f t="array" ref="U165:Z165">IFERROR(_xlfn.TEXTSPLIT(T165,"_"),"")</f>
        <v>24</v>
      </c>
      <c r="V165" t="str">
        <v>186614-22349-37</v>
      </c>
      <c r="W165" t="str">
        <v>Hay all-r04-A</v>
      </c>
      <c r="X165" t="str">
        <v>USEPA Pond</v>
      </c>
      <c r="Y165" t="str">
        <v>0055</v>
      </c>
      <c r="Z165" t="str">
        <v xml:space="preserve">median                               </v>
      </c>
      <c r="AA165" s="121" t="str" cm="1">
        <f t="array" ref="AA165:AC165">IF(W165="","",(_xlfn.TEXTSPLIT(W165,"-")))</f>
        <v>Hay all</v>
      </c>
      <c r="AB165" s="121" t="str">
        <v>r04</v>
      </c>
      <c r="AC165" t="str">
        <v>A</v>
      </c>
      <c r="AD165" s="129" t="str">
        <f>VLOOKUP(VALUE($U165),test_out_xwalk!$C:$L,3,FALSE)</f>
        <v>Clover-9-24</v>
      </c>
      <c r="AE165" s="129">
        <f>VLOOKUP(VALUE($U165),test_out_xwalk!$C:$L,5,FALSE)</f>
        <v>1</v>
      </c>
      <c r="AF165" s="129">
        <f>VLOOKUP(VALUE($U165),test_out_xwalk!$C:$L,6,FALSE)</f>
        <v>2</v>
      </c>
      <c r="AG165" s="129" t="str">
        <f>VLOOKUP(VALUE($U165),test_out_xwalk!$C:$L,8,FALSE)</f>
        <v>None</v>
      </c>
      <c r="AH165" s="129" t="str">
        <f>VLOOKUP(VALUE($U165),test_out_xwalk!$C:$L,7,FALSE)</f>
        <v>Spray</v>
      </c>
      <c r="AI165" s="129" t="str">
        <f>VLOOKUP(VALUE($U165),test_out_xwalk!$C:$L,4,FALSE)</f>
        <v>Post-emergence</v>
      </c>
      <c r="AJ165" s="129" t="str">
        <f>VLOOKUP(VALUE($U165),test_out_xwalk!$C:$L,9,FALSE)</f>
        <v>Other crops</v>
      </c>
      <c r="AK165">
        <f>_xlfn.XLOOKUP(VALUE(U165),test_out_xwalk!C:C,test_out_xwalk!A:A)</f>
        <v>9</v>
      </c>
    </row>
    <row r="166" spans="1:37" x14ac:dyDescent="0.55000000000000004">
      <c r="A166" s="121" t="str">
        <f>IF('summary_EPA Pond'!$A166="","Check Summary EPA POND worksheet Column A",'summary_EPA Pond'!$A166)</f>
        <v xml:space="preserve">11_286087-20273-68_Orchard deciduous-r01-A_USEPA Pond_0089_median                     </v>
      </c>
      <c r="B166" s="121" t="str" cm="1">
        <f t="array" ref="B166:G166">IFERROR(_xlfn.TEXTSPLIT(A166,"_"),"")</f>
        <v>11</v>
      </c>
      <c r="C166" t="str">
        <v>286087-20273-68</v>
      </c>
      <c r="D166" t="str">
        <v>Orchard deciduous-r01-A</v>
      </c>
      <c r="E166" t="str">
        <v>USEPA Pond</v>
      </c>
      <c r="F166" t="str">
        <v>0089</v>
      </c>
      <c r="G166" t="str">
        <v xml:space="preserve">median                     </v>
      </c>
      <c r="H166" s="121" t="str" cm="1">
        <f t="array" ref="H166:J166">IF(D166="","",(_xlfn.TEXTSPLIT(D166,"-")))</f>
        <v>Orchard deciduous</v>
      </c>
      <c r="I166" s="121" t="str">
        <v>r01</v>
      </c>
      <c r="J166" t="str">
        <v>A</v>
      </c>
      <c r="K166" s="129" t="str">
        <f>VLOOKUP(VALUE($B166),test_out_xwalk!$C:$L,3,FALSE)</f>
        <v>Almond-3-11</v>
      </c>
      <c r="L166" s="129">
        <f>VLOOKUP(VALUE($B166),test_out_xwalk!$C:$L,5,FALSE)</f>
        <v>1</v>
      </c>
      <c r="M166" s="129">
        <f>VLOOKUP(VALUE($B166),test_out_xwalk!$C:$L,6,FALSE)</f>
        <v>1</v>
      </c>
      <c r="N166" s="129" t="str">
        <f>VLOOKUP(VALUE($B166),test_out_xwalk!$C:$L,8,FALSE)</f>
        <v>Airblast_Sparse</v>
      </c>
      <c r="O166" s="129" t="str">
        <f>VLOOKUP(VALUE($B166),test_out_xwalk!$C:$L,7,FALSE)</f>
        <v>Spray</v>
      </c>
      <c r="P166" s="129" t="str">
        <f>VLOOKUP(VALUE($B166),test_out_xwalk!$C:$L,4,FALSE)</f>
        <v>Pre-emergence</v>
      </c>
      <c r="Q166" s="129" t="str">
        <f>VLOOKUP(VALUE($B166),test_out_xwalk!$C:$L,9,FALSE)</f>
        <v>Other Orchards</v>
      </c>
      <c r="R166">
        <f>_xlfn.XLOOKUP(VALUE(B166),test_out_xwalk!$C:$C,test_out_xwalk!$A:$A)</f>
        <v>3</v>
      </c>
      <c r="T166" s="121" t="str">
        <f>IF('summary_EPA Pond'!$O166="","Check Summary EPA POND worksheet Column O",'summary_EPA Pond'!$O166)</f>
        <v xml:space="preserve">24_549600-16679-37_Hay all-r05-A_USEPA Pond_0055_median                               </v>
      </c>
      <c r="U166" s="121" t="str" cm="1">
        <f t="array" ref="U166:Z166">IFERROR(_xlfn.TEXTSPLIT(T166,"_"),"")</f>
        <v>24</v>
      </c>
      <c r="V166" t="str">
        <v>549600-16679-37</v>
      </c>
      <c r="W166" t="str">
        <v>Hay all-r05-A</v>
      </c>
      <c r="X166" t="str">
        <v>USEPA Pond</v>
      </c>
      <c r="Y166" t="str">
        <v>0055</v>
      </c>
      <c r="Z166" t="str">
        <v xml:space="preserve">median                               </v>
      </c>
      <c r="AA166" s="121" t="str" cm="1">
        <f t="array" ref="AA166:AC166">IF(W166="","",(_xlfn.TEXTSPLIT(W166,"-")))</f>
        <v>Hay all</v>
      </c>
      <c r="AB166" s="121" t="str">
        <v>r05</v>
      </c>
      <c r="AC166" t="str">
        <v>A</v>
      </c>
      <c r="AD166" s="129" t="str">
        <f>VLOOKUP(VALUE($U166),test_out_xwalk!$C:$L,3,FALSE)</f>
        <v>Clover-9-24</v>
      </c>
      <c r="AE166" s="129">
        <f>VLOOKUP(VALUE($U166),test_out_xwalk!$C:$L,5,FALSE)</f>
        <v>1</v>
      </c>
      <c r="AF166" s="129">
        <f>VLOOKUP(VALUE($U166),test_out_xwalk!$C:$L,6,FALSE)</f>
        <v>2</v>
      </c>
      <c r="AG166" s="129" t="str">
        <f>VLOOKUP(VALUE($U166),test_out_xwalk!$C:$L,8,FALSE)</f>
        <v>None</v>
      </c>
      <c r="AH166" s="129" t="str">
        <f>VLOOKUP(VALUE($U166),test_out_xwalk!$C:$L,7,FALSE)</f>
        <v>Spray</v>
      </c>
      <c r="AI166" s="129" t="str">
        <f>VLOOKUP(VALUE($U166),test_out_xwalk!$C:$L,4,FALSE)</f>
        <v>Post-emergence</v>
      </c>
      <c r="AJ166" s="129" t="str">
        <f>VLOOKUP(VALUE($U166),test_out_xwalk!$C:$L,9,FALSE)</f>
        <v>Other crops</v>
      </c>
      <c r="AK166">
        <f>_xlfn.XLOOKUP(VALUE(U166),test_out_xwalk!C:C,test_out_xwalk!A:A)</f>
        <v>9</v>
      </c>
    </row>
    <row r="167" spans="1:37" x14ac:dyDescent="0.55000000000000004">
      <c r="A167" s="121" t="str">
        <f>IF('summary_EPA Pond'!$A167="","Check Summary EPA POND worksheet Column A",'summary_EPA Pond'!$A167)</f>
        <v xml:space="preserve">11_295501-20504-68_Orchard deciduous-r02-A_USEPA Pond_0089_median                     </v>
      </c>
      <c r="B167" s="121" t="str" cm="1">
        <f t="array" ref="B167:G167">IFERROR(_xlfn.TEXTSPLIT(A167,"_"),"")</f>
        <v>11</v>
      </c>
      <c r="C167" t="str">
        <v>295501-20504-68</v>
      </c>
      <c r="D167" t="str">
        <v>Orchard deciduous-r02-A</v>
      </c>
      <c r="E167" t="str">
        <v>USEPA Pond</v>
      </c>
      <c r="F167" t="str">
        <v>0089</v>
      </c>
      <c r="G167" t="str">
        <v xml:space="preserve">median                     </v>
      </c>
      <c r="H167" s="121" t="str" cm="1">
        <f t="array" ref="H167:J167">IF(D167="","",(_xlfn.TEXTSPLIT(D167,"-")))</f>
        <v>Orchard deciduous</v>
      </c>
      <c r="I167" s="121" t="str">
        <v>r02</v>
      </c>
      <c r="J167" t="str">
        <v>A</v>
      </c>
      <c r="K167" s="129" t="str">
        <f>VLOOKUP(VALUE($B167),test_out_xwalk!$C:$L,3,FALSE)</f>
        <v>Almond-3-11</v>
      </c>
      <c r="L167" s="129">
        <f>VLOOKUP(VALUE($B167),test_out_xwalk!$C:$L,5,FALSE)</f>
        <v>1</v>
      </c>
      <c r="M167" s="129">
        <f>VLOOKUP(VALUE($B167),test_out_xwalk!$C:$L,6,FALSE)</f>
        <v>1</v>
      </c>
      <c r="N167" s="129" t="str">
        <f>VLOOKUP(VALUE($B167),test_out_xwalk!$C:$L,8,FALSE)</f>
        <v>Airblast_Sparse</v>
      </c>
      <c r="O167" s="129" t="str">
        <f>VLOOKUP(VALUE($B167),test_out_xwalk!$C:$L,7,FALSE)</f>
        <v>Spray</v>
      </c>
      <c r="P167" s="129" t="str">
        <f>VLOOKUP(VALUE($B167),test_out_xwalk!$C:$L,4,FALSE)</f>
        <v>Pre-emergence</v>
      </c>
      <c r="Q167" s="129" t="str">
        <f>VLOOKUP(VALUE($B167),test_out_xwalk!$C:$L,9,FALSE)</f>
        <v>Other Orchards</v>
      </c>
      <c r="R167">
        <f>_xlfn.XLOOKUP(VALUE(B167),test_out_xwalk!$C:$C,test_out_xwalk!$A:$A)</f>
        <v>3</v>
      </c>
      <c r="T167" s="121" t="str">
        <f>IF('summary_EPA Pond'!$O167="","Check Summary EPA POND worksheet Column O",'summary_EPA Pond'!$O167)</f>
        <v xml:space="preserve">24_527499-15022-37_Hay all-r06-A_USEPA Pond_0055_median                               </v>
      </c>
      <c r="U167" s="121" t="str" cm="1">
        <f t="array" ref="U167:Z167">IFERROR(_xlfn.TEXTSPLIT(T167,"_"),"")</f>
        <v>24</v>
      </c>
      <c r="V167" t="str">
        <v>527499-15022-37</v>
      </c>
      <c r="W167" t="str">
        <v>Hay all-r06-A</v>
      </c>
      <c r="X167" t="str">
        <v>USEPA Pond</v>
      </c>
      <c r="Y167" t="str">
        <v>0055</v>
      </c>
      <c r="Z167" t="str">
        <v xml:space="preserve">median                               </v>
      </c>
      <c r="AA167" s="121" t="str" cm="1">
        <f t="array" ref="AA167:AC167">IF(W167="","",(_xlfn.TEXTSPLIT(W167,"-")))</f>
        <v>Hay all</v>
      </c>
      <c r="AB167" s="121" t="str">
        <v>r06</v>
      </c>
      <c r="AC167" t="str">
        <v>A</v>
      </c>
      <c r="AD167" s="129" t="str">
        <f>VLOOKUP(VALUE($U167),test_out_xwalk!$C:$L,3,FALSE)</f>
        <v>Clover-9-24</v>
      </c>
      <c r="AE167" s="129">
        <f>VLOOKUP(VALUE($U167),test_out_xwalk!$C:$L,5,FALSE)</f>
        <v>1</v>
      </c>
      <c r="AF167" s="129">
        <f>VLOOKUP(VALUE($U167),test_out_xwalk!$C:$L,6,FALSE)</f>
        <v>2</v>
      </c>
      <c r="AG167" s="129" t="str">
        <f>VLOOKUP(VALUE($U167),test_out_xwalk!$C:$L,8,FALSE)</f>
        <v>None</v>
      </c>
      <c r="AH167" s="129" t="str">
        <f>VLOOKUP(VALUE($U167),test_out_xwalk!$C:$L,7,FALSE)</f>
        <v>Spray</v>
      </c>
      <c r="AI167" s="129" t="str">
        <f>VLOOKUP(VALUE($U167),test_out_xwalk!$C:$L,4,FALSE)</f>
        <v>Post-emergence</v>
      </c>
      <c r="AJ167" s="129" t="str">
        <f>VLOOKUP(VALUE($U167),test_out_xwalk!$C:$L,9,FALSE)</f>
        <v>Other crops</v>
      </c>
      <c r="AK167">
        <f>_xlfn.XLOOKUP(VALUE(U167),test_out_xwalk!C:C,test_out_xwalk!A:A)</f>
        <v>9</v>
      </c>
    </row>
    <row r="168" spans="1:37" x14ac:dyDescent="0.55000000000000004">
      <c r="A168" s="121" t="str">
        <f>IF('summary_EPA Pond'!$A168="","Check Summary EPA POND worksheet Column A",'summary_EPA Pond'!$A168)</f>
        <v xml:space="preserve">11_130628-13873-74_Orchard deciduous-r03N-A_USEPA Pond_0089_median                    </v>
      </c>
      <c r="B168" s="121" t="str" cm="1">
        <f t="array" ref="B168:G168">IFERROR(_xlfn.TEXTSPLIT(A168,"_"),"")</f>
        <v>11</v>
      </c>
      <c r="C168" t="str">
        <v>130628-13873-74</v>
      </c>
      <c r="D168" t="str">
        <v>Orchard deciduous-r03N-A</v>
      </c>
      <c r="E168" t="str">
        <v>USEPA Pond</v>
      </c>
      <c r="F168" t="str">
        <v>0089</v>
      </c>
      <c r="G168" t="str">
        <v xml:space="preserve">median                    </v>
      </c>
      <c r="H168" s="121" t="str" cm="1">
        <f t="array" ref="H168:J168">IF(D168="","",(_xlfn.TEXTSPLIT(D168,"-")))</f>
        <v>Orchard deciduous</v>
      </c>
      <c r="I168" s="121" t="str">
        <v>r03N</v>
      </c>
      <c r="J168" t="str">
        <v>A</v>
      </c>
      <c r="K168" s="129" t="str">
        <f>VLOOKUP(VALUE($B168),test_out_xwalk!$C:$L,3,FALSE)</f>
        <v>Almond-3-11</v>
      </c>
      <c r="L168" s="129">
        <f>VLOOKUP(VALUE($B168),test_out_xwalk!$C:$L,5,FALSE)</f>
        <v>1</v>
      </c>
      <c r="M168" s="129">
        <f>VLOOKUP(VALUE($B168),test_out_xwalk!$C:$L,6,FALSE)</f>
        <v>1</v>
      </c>
      <c r="N168" s="129" t="str">
        <f>VLOOKUP(VALUE($B168),test_out_xwalk!$C:$L,8,FALSE)</f>
        <v>Airblast_Sparse</v>
      </c>
      <c r="O168" s="129" t="str">
        <f>VLOOKUP(VALUE($B168),test_out_xwalk!$C:$L,7,FALSE)</f>
        <v>Spray</v>
      </c>
      <c r="P168" s="129" t="str">
        <f>VLOOKUP(VALUE($B168),test_out_xwalk!$C:$L,4,FALSE)</f>
        <v>Pre-emergence</v>
      </c>
      <c r="Q168" s="129" t="str">
        <f>VLOOKUP(VALUE($B168),test_out_xwalk!$C:$L,9,FALSE)</f>
        <v>Other Orchards</v>
      </c>
      <c r="R168">
        <f>_xlfn.XLOOKUP(VALUE(B168),test_out_xwalk!$C:$C,test_out_xwalk!$A:$A)</f>
        <v>3</v>
      </c>
      <c r="T168" s="121" t="str">
        <f>IF('summary_EPA Pond'!$O168="","Check Summary EPA POND worksheet Column O",'summary_EPA Pond'!$O168)</f>
        <v xml:space="preserve">24_397476-25376-37_Hay all-r07-A_USEPA Pond_0055_median                               </v>
      </c>
      <c r="U168" s="121" t="str" cm="1">
        <f t="array" ref="U168:Z168">IFERROR(_xlfn.TEXTSPLIT(T168,"_"),"")</f>
        <v>24</v>
      </c>
      <c r="V168" t="str">
        <v>397476-25376-37</v>
      </c>
      <c r="W168" t="str">
        <v>Hay all-r07-A</v>
      </c>
      <c r="X168" t="str">
        <v>USEPA Pond</v>
      </c>
      <c r="Y168" t="str">
        <v>0055</v>
      </c>
      <c r="Z168" t="str">
        <v xml:space="preserve">median                               </v>
      </c>
      <c r="AA168" s="121" t="str" cm="1">
        <f t="array" ref="AA168:AC168">IF(W168="","",(_xlfn.TEXTSPLIT(W168,"-")))</f>
        <v>Hay all</v>
      </c>
      <c r="AB168" s="121" t="str">
        <v>r07</v>
      </c>
      <c r="AC168" t="str">
        <v>A</v>
      </c>
      <c r="AD168" s="129" t="str">
        <f>VLOOKUP(VALUE($U168),test_out_xwalk!$C:$L,3,FALSE)</f>
        <v>Clover-9-24</v>
      </c>
      <c r="AE168" s="129">
        <f>VLOOKUP(VALUE($U168),test_out_xwalk!$C:$L,5,FALSE)</f>
        <v>1</v>
      </c>
      <c r="AF168" s="129">
        <f>VLOOKUP(VALUE($U168),test_out_xwalk!$C:$L,6,FALSE)</f>
        <v>2</v>
      </c>
      <c r="AG168" s="129" t="str">
        <f>VLOOKUP(VALUE($U168),test_out_xwalk!$C:$L,8,FALSE)</f>
        <v>None</v>
      </c>
      <c r="AH168" s="129" t="str">
        <f>VLOOKUP(VALUE($U168),test_out_xwalk!$C:$L,7,FALSE)</f>
        <v>Spray</v>
      </c>
      <c r="AI168" s="129" t="str">
        <f>VLOOKUP(VALUE($U168),test_out_xwalk!$C:$L,4,FALSE)</f>
        <v>Post-emergence</v>
      </c>
      <c r="AJ168" s="129" t="str">
        <f>VLOOKUP(VALUE($U168),test_out_xwalk!$C:$L,9,FALSE)</f>
        <v>Other crops</v>
      </c>
      <c r="AK168">
        <f>_xlfn.XLOOKUP(VALUE(U168),test_out_xwalk!C:C,test_out_xwalk!A:A)</f>
        <v>9</v>
      </c>
    </row>
    <row r="169" spans="1:37" x14ac:dyDescent="0.55000000000000004">
      <c r="A169" s="121" t="str">
        <f>IF('summary_EPA Pond'!$A169="","Check Summary EPA POND worksheet Column A",'summary_EPA Pond'!$A169)</f>
        <v xml:space="preserve">11_125133-11268-74_Orchard deciduous-r03S-A_USEPA Pond_0089_median                    </v>
      </c>
      <c r="B169" s="121" t="str" cm="1">
        <f t="array" ref="B169:G169">IFERROR(_xlfn.TEXTSPLIT(A169,"_"),"")</f>
        <v>11</v>
      </c>
      <c r="C169" t="str">
        <v>125133-11268-74</v>
      </c>
      <c r="D169" t="str">
        <v>Orchard deciduous-r03S-A</v>
      </c>
      <c r="E169" t="str">
        <v>USEPA Pond</v>
      </c>
      <c r="F169" t="str">
        <v>0089</v>
      </c>
      <c r="G169" t="str">
        <v xml:space="preserve">median                    </v>
      </c>
      <c r="H169" s="121" t="str" cm="1">
        <f t="array" ref="H169:J169">IF(D169="","",(_xlfn.TEXTSPLIT(D169,"-")))</f>
        <v>Orchard deciduous</v>
      </c>
      <c r="I169" s="121" t="str">
        <v>r03S</v>
      </c>
      <c r="J169" t="str">
        <v>A</v>
      </c>
      <c r="K169" s="129" t="str">
        <f>VLOOKUP(VALUE($B169),test_out_xwalk!$C:$L,3,FALSE)</f>
        <v>Almond-3-11</v>
      </c>
      <c r="L169" s="129">
        <f>VLOOKUP(VALUE($B169),test_out_xwalk!$C:$L,5,FALSE)</f>
        <v>1</v>
      </c>
      <c r="M169" s="129">
        <f>VLOOKUP(VALUE($B169),test_out_xwalk!$C:$L,6,FALSE)</f>
        <v>1</v>
      </c>
      <c r="N169" s="129" t="str">
        <f>VLOOKUP(VALUE($B169),test_out_xwalk!$C:$L,8,FALSE)</f>
        <v>Airblast_Sparse</v>
      </c>
      <c r="O169" s="129" t="str">
        <f>VLOOKUP(VALUE($B169),test_out_xwalk!$C:$L,7,FALSE)</f>
        <v>Spray</v>
      </c>
      <c r="P169" s="129" t="str">
        <f>VLOOKUP(VALUE($B169),test_out_xwalk!$C:$L,4,FALSE)</f>
        <v>Pre-emergence</v>
      </c>
      <c r="Q169" s="129" t="str">
        <f>VLOOKUP(VALUE($B169),test_out_xwalk!$C:$L,9,FALSE)</f>
        <v>Other Orchards</v>
      </c>
      <c r="R169">
        <f>_xlfn.XLOOKUP(VALUE(B169),test_out_xwalk!$C:$C,test_out_xwalk!$A:$A)</f>
        <v>3</v>
      </c>
      <c r="T169" s="121" t="str">
        <f>IF('summary_EPA Pond'!$O169="","Check Summary EPA POND worksheet Column O",'summary_EPA Pond'!$O169)</f>
        <v xml:space="preserve">24_2501144-16663-37_Hay all-r08-A_USEPA Pond_0055_median                              </v>
      </c>
      <c r="U169" s="121" t="str" cm="1">
        <f t="array" ref="U169:Z169">IFERROR(_xlfn.TEXTSPLIT(T169,"_"),"")</f>
        <v>24</v>
      </c>
      <c r="V169" t="str">
        <v>2501144-16663-37</v>
      </c>
      <c r="W169" t="str">
        <v>Hay all-r08-A</v>
      </c>
      <c r="X169" t="str">
        <v>USEPA Pond</v>
      </c>
      <c r="Y169" t="str">
        <v>0055</v>
      </c>
      <c r="Z169" t="str">
        <v xml:space="preserve">median                              </v>
      </c>
      <c r="AA169" s="121" t="str" cm="1">
        <f t="array" ref="AA169:AC169">IF(W169="","",(_xlfn.TEXTSPLIT(W169,"-")))</f>
        <v>Hay all</v>
      </c>
      <c r="AB169" s="121" t="str">
        <v>r08</v>
      </c>
      <c r="AC169" t="str">
        <v>A</v>
      </c>
      <c r="AD169" s="129" t="str">
        <f>VLOOKUP(VALUE($U169),test_out_xwalk!$C:$L,3,FALSE)</f>
        <v>Clover-9-24</v>
      </c>
      <c r="AE169" s="129">
        <f>VLOOKUP(VALUE($U169),test_out_xwalk!$C:$L,5,FALSE)</f>
        <v>1</v>
      </c>
      <c r="AF169" s="129">
        <f>VLOOKUP(VALUE($U169),test_out_xwalk!$C:$L,6,FALSE)</f>
        <v>2</v>
      </c>
      <c r="AG169" s="129" t="str">
        <f>VLOOKUP(VALUE($U169),test_out_xwalk!$C:$L,8,FALSE)</f>
        <v>None</v>
      </c>
      <c r="AH169" s="129" t="str">
        <f>VLOOKUP(VALUE($U169),test_out_xwalk!$C:$L,7,FALSE)</f>
        <v>Spray</v>
      </c>
      <c r="AI169" s="129" t="str">
        <f>VLOOKUP(VALUE($U169),test_out_xwalk!$C:$L,4,FALSE)</f>
        <v>Post-emergence</v>
      </c>
      <c r="AJ169" s="129" t="str">
        <f>VLOOKUP(VALUE($U169),test_out_xwalk!$C:$L,9,FALSE)</f>
        <v>Other crops</v>
      </c>
      <c r="AK169">
        <f>_xlfn.XLOOKUP(VALUE(U169),test_out_xwalk!C:C,test_out_xwalk!A:A)</f>
        <v>9</v>
      </c>
    </row>
    <row r="170" spans="1:37" x14ac:dyDescent="0.55000000000000004">
      <c r="A170" s="121" t="str">
        <f>IF('summary_EPA Pond'!$A170="","Check Summary EPA POND worksheet Column A",'summary_EPA Pond'!$A170)</f>
        <v xml:space="preserve">11_2455410-11258-67_Orchard deciduous-r03W-A_USEPA Pond_0089_median                   </v>
      </c>
      <c r="B170" s="121" t="str" cm="1">
        <f t="array" ref="B170:G170">IFERROR(_xlfn.TEXTSPLIT(A170,"_"),"")</f>
        <v>11</v>
      </c>
      <c r="C170" t="str">
        <v>2455410-11258-67</v>
      </c>
      <c r="D170" t="str">
        <v>Orchard deciduous-r03W-A</v>
      </c>
      <c r="E170" t="str">
        <v>USEPA Pond</v>
      </c>
      <c r="F170" t="str">
        <v>0089</v>
      </c>
      <c r="G170" t="str">
        <v xml:space="preserve">median                   </v>
      </c>
      <c r="H170" s="121" t="str" cm="1">
        <f t="array" ref="H170:J170">IF(D170="","",(_xlfn.TEXTSPLIT(D170,"-")))</f>
        <v>Orchard deciduous</v>
      </c>
      <c r="I170" s="121" t="str">
        <v>r03W</v>
      </c>
      <c r="J170" t="str">
        <v>A</v>
      </c>
      <c r="K170" s="129" t="str">
        <f>VLOOKUP(VALUE($B170),test_out_xwalk!$C:$L,3,FALSE)</f>
        <v>Almond-3-11</v>
      </c>
      <c r="L170" s="129">
        <f>VLOOKUP(VALUE($B170),test_out_xwalk!$C:$L,5,FALSE)</f>
        <v>1</v>
      </c>
      <c r="M170" s="129">
        <f>VLOOKUP(VALUE($B170),test_out_xwalk!$C:$L,6,FALSE)</f>
        <v>1</v>
      </c>
      <c r="N170" s="129" t="str">
        <f>VLOOKUP(VALUE($B170),test_out_xwalk!$C:$L,8,FALSE)</f>
        <v>Airblast_Sparse</v>
      </c>
      <c r="O170" s="129" t="str">
        <f>VLOOKUP(VALUE($B170),test_out_xwalk!$C:$L,7,FALSE)</f>
        <v>Spray</v>
      </c>
      <c r="P170" s="129" t="str">
        <f>VLOOKUP(VALUE($B170),test_out_xwalk!$C:$L,4,FALSE)</f>
        <v>Pre-emergence</v>
      </c>
      <c r="Q170" s="129" t="str">
        <f>VLOOKUP(VALUE($B170),test_out_xwalk!$C:$L,9,FALSE)</f>
        <v>Other Orchards</v>
      </c>
      <c r="R170">
        <f>_xlfn.XLOOKUP(VALUE(B170),test_out_xwalk!$C:$C,test_out_xwalk!$A:$A)</f>
        <v>3</v>
      </c>
      <c r="T170" s="121" t="str">
        <f>IF('summary_EPA Pond'!$O170="","Check Summary EPA POND worksheet Column O",'summary_EPA Pond'!$O170)</f>
        <v xml:space="preserve">24_2799668-26078-37_Hay all-r09-A_USEPA Pond_0055_median                              </v>
      </c>
      <c r="U170" s="121" t="str" cm="1">
        <f t="array" ref="U170:Z170">IFERROR(_xlfn.TEXTSPLIT(T170,"_"),"")</f>
        <v>24</v>
      </c>
      <c r="V170" t="str">
        <v>2799668-26078-37</v>
      </c>
      <c r="W170" t="str">
        <v>Hay all-r09-A</v>
      </c>
      <c r="X170" t="str">
        <v>USEPA Pond</v>
      </c>
      <c r="Y170" t="str">
        <v>0055</v>
      </c>
      <c r="Z170" t="str">
        <v xml:space="preserve">median                              </v>
      </c>
      <c r="AA170" s="121" t="str" cm="1">
        <f t="array" ref="AA170:AC170">IF(W170="","",(_xlfn.TEXTSPLIT(W170,"-")))</f>
        <v>Hay all</v>
      </c>
      <c r="AB170" s="121" t="str">
        <v>r09</v>
      </c>
      <c r="AC170" t="str">
        <v>A</v>
      </c>
      <c r="AD170" s="129" t="str">
        <f>VLOOKUP(VALUE($U170),test_out_xwalk!$C:$L,3,FALSE)</f>
        <v>Clover-9-24</v>
      </c>
      <c r="AE170" s="129">
        <f>VLOOKUP(VALUE($U170),test_out_xwalk!$C:$L,5,FALSE)</f>
        <v>1</v>
      </c>
      <c r="AF170" s="129">
        <f>VLOOKUP(VALUE($U170),test_out_xwalk!$C:$L,6,FALSE)</f>
        <v>2</v>
      </c>
      <c r="AG170" s="129" t="str">
        <f>VLOOKUP(VALUE($U170),test_out_xwalk!$C:$L,8,FALSE)</f>
        <v>None</v>
      </c>
      <c r="AH170" s="129" t="str">
        <f>VLOOKUP(VALUE($U170),test_out_xwalk!$C:$L,7,FALSE)</f>
        <v>Spray</v>
      </c>
      <c r="AI170" s="129" t="str">
        <f>VLOOKUP(VALUE($U170),test_out_xwalk!$C:$L,4,FALSE)</f>
        <v>Post-emergence</v>
      </c>
      <c r="AJ170" s="129" t="str">
        <f>VLOOKUP(VALUE($U170),test_out_xwalk!$C:$L,9,FALSE)</f>
        <v>Other crops</v>
      </c>
      <c r="AK170">
        <f>_xlfn.XLOOKUP(VALUE(U170),test_out_xwalk!C:C,test_out_xwalk!A:A)</f>
        <v>9</v>
      </c>
    </row>
    <row r="171" spans="1:37" x14ac:dyDescent="0.55000000000000004">
      <c r="A171" s="121" t="str">
        <f>IF('summary_EPA Pond'!$A171="","Check Summary EPA POND worksheet Column A",'summary_EPA Pond'!$A171)</f>
        <v xml:space="preserve">11_292675-21905-68_Orchard deciduous-r04-A_USEPA Pond_0089_median                     </v>
      </c>
      <c r="B171" s="121" t="str" cm="1">
        <f t="array" ref="B171:G171">IFERROR(_xlfn.TEXTSPLIT(A171,"_"),"")</f>
        <v>11</v>
      </c>
      <c r="C171" t="str">
        <v>292675-21905-68</v>
      </c>
      <c r="D171" t="str">
        <v>Orchard deciduous-r04-A</v>
      </c>
      <c r="E171" t="str">
        <v>USEPA Pond</v>
      </c>
      <c r="F171" t="str">
        <v>0089</v>
      </c>
      <c r="G171" t="str">
        <v xml:space="preserve">median                     </v>
      </c>
      <c r="H171" s="121" t="str" cm="1">
        <f t="array" ref="H171:J171">IF(D171="","",(_xlfn.TEXTSPLIT(D171,"-")))</f>
        <v>Orchard deciduous</v>
      </c>
      <c r="I171" s="121" t="str">
        <v>r04</v>
      </c>
      <c r="J171" t="str">
        <v>A</v>
      </c>
      <c r="K171" s="129" t="str">
        <f>VLOOKUP(VALUE($B171),test_out_xwalk!$C:$L,3,FALSE)</f>
        <v>Almond-3-11</v>
      </c>
      <c r="L171" s="129">
        <f>VLOOKUP(VALUE($B171),test_out_xwalk!$C:$L,5,FALSE)</f>
        <v>1</v>
      </c>
      <c r="M171" s="129">
        <f>VLOOKUP(VALUE($B171),test_out_xwalk!$C:$L,6,FALSE)</f>
        <v>1</v>
      </c>
      <c r="N171" s="129" t="str">
        <f>VLOOKUP(VALUE($B171),test_out_xwalk!$C:$L,8,FALSE)</f>
        <v>Airblast_Sparse</v>
      </c>
      <c r="O171" s="129" t="str">
        <f>VLOOKUP(VALUE($B171),test_out_xwalk!$C:$L,7,FALSE)</f>
        <v>Spray</v>
      </c>
      <c r="P171" s="129" t="str">
        <f>VLOOKUP(VALUE($B171),test_out_xwalk!$C:$L,4,FALSE)</f>
        <v>Pre-emergence</v>
      </c>
      <c r="Q171" s="129" t="str">
        <f>VLOOKUP(VALUE($B171),test_out_xwalk!$C:$L,9,FALSE)</f>
        <v>Other Orchards</v>
      </c>
      <c r="R171">
        <f>_xlfn.XLOOKUP(VALUE(B171),test_out_xwalk!$C:$C,test_out_xwalk!$A:$A)</f>
        <v>3</v>
      </c>
      <c r="T171" s="121" t="str">
        <f>IF('summary_EPA Pond'!$O171="","Check Summary EPA POND worksheet Column O",'summary_EPA Pond'!$O171)</f>
        <v xml:space="preserve">24_104947-20380-37_Hay all-r10L-A_USEPA Pond_0055_median                              </v>
      </c>
      <c r="U171" s="121" t="str" cm="1">
        <f t="array" ref="U171:Z171">IFERROR(_xlfn.TEXTSPLIT(T171,"_"),"")</f>
        <v>24</v>
      </c>
      <c r="V171" t="str">
        <v>104947-20380-37</v>
      </c>
      <c r="W171" t="str">
        <v>Hay all-r10L-A</v>
      </c>
      <c r="X171" t="str">
        <v>USEPA Pond</v>
      </c>
      <c r="Y171" t="str">
        <v>0055</v>
      </c>
      <c r="Z171" t="str">
        <v xml:space="preserve">median                              </v>
      </c>
      <c r="AA171" s="121" t="str" cm="1">
        <f t="array" ref="AA171:AC171">IF(W171="","",(_xlfn.TEXTSPLIT(W171,"-")))</f>
        <v>Hay all</v>
      </c>
      <c r="AB171" s="121" t="str">
        <v>r10L</v>
      </c>
      <c r="AC171" t="str">
        <v>A</v>
      </c>
      <c r="AD171" s="129" t="str">
        <f>VLOOKUP(VALUE($U171),test_out_xwalk!$C:$L,3,FALSE)</f>
        <v>Clover-9-24</v>
      </c>
      <c r="AE171" s="129">
        <f>VLOOKUP(VALUE($U171),test_out_xwalk!$C:$L,5,FALSE)</f>
        <v>1</v>
      </c>
      <c r="AF171" s="129">
        <f>VLOOKUP(VALUE($U171),test_out_xwalk!$C:$L,6,FALSE)</f>
        <v>2</v>
      </c>
      <c r="AG171" s="129" t="str">
        <f>VLOOKUP(VALUE($U171),test_out_xwalk!$C:$L,8,FALSE)</f>
        <v>None</v>
      </c>
      <c r="AH171" s="129" t="str">
        <f>VLOOKUP(VALUE($U171),test_out_xwalk!$C:$L,7,FALSE)</f>
        <v>Spray</v>
      </c>
      <c r="AI171" s="129" t="str">
        <f>VLOOKUP(VALUE($U171),test_out_xwalk!$C:$L,4,FALSE)</f>
        <v>Post-emergence</v>
      </c>
      <c r="AJ171" s="129" t="str">
        <f>VLOOKUP(VALUE($U171),test_out_xwalk!$C:$L,9,FALSE)</f>
        <v>Other crops</v>
      </c>
      <c r="AK171">
        <f>_xlfn.XLOOKUP(VALUE(U171),test_out_xwalk!C:C,test_out_xwalk!A:A)</f>
        <v>9</v>
      </c>
    </row>
    <row r="172" spans="1:37" x14ac:dyDescent="0.55000000000000004">
      <c r="A172" s="121" t="str">
        <f>IF('summary_EPA Pond'!$A172="","Check Summary EPA POND worksheet Column A",'summary_EPA Pond'!$A172)</f>
        <v xml:space="preserve">11_298742-19770-68_Orchard deciduous-r05-A_USEPA Pond_0089_median                     </v>
      </c>
      <c r="B172" s="121" t="str" cm="1">
        <f t="array" ref="B172:G172">IFERROR(_xlfn.TEXTSPLIT(A172,"_"),"")</f>
        <v>11</v>
      </c>
      <c r="C172" t="str">
        <v>298742-19770-68</v>
      </c>
      <c r="D172" t="str">
        <v>Orchard deciduous-r05-A</v>
      </c>
      <c r="E172" t="str">
        <v>USEPA Pond</v>
      </c>
      <c r="F172" t="str">
        <v>0089</v>
      </c>
      <c r="G172" t="str">
        <v xml:space="preserve">median                     </v>
      </c>
      <c r="H172" s="121" t="str" cm="1">
        <f t="array" ref="H172:J172">IF(D172="","",(_xlfn.TEXTSPLIT(D172,"-")))</f>
        <v>Orchard deciduous</v>
      </c>
      <c r="I172" s="121" t="str">
        <v>r05</v>
      </c>
      <c r="J172" t="str">
        <v>A</v>
      </c>
      <c r="K172" s="129" t="str">
        <f>VLOOKUP(VALUE($B172),test_out_xwalk!$C:$L,3,FALSE)</f>
        <v>Almond-3-11</v>
      </c>
      <c r="L172" s="129">
        <f>VLOOKUP(VALUE($B172),test_out_xwalk!$C:$L,5,FALSE)</f>
        <v>1</v>
      </c>
      <c r="M172" s="129">
        <f>VLOOKUP(VALUE($B172),test_out_xwalk!$C:$L,6,FALSE)</f>
        <v>1</v>
      </c>
      <c r="N172" s="129" t="str">
        <f>VLOOKUP(VALUE($B172),test_out_xwalk!$C:$L,8,FALSE)</f>
        <v>Airblast_Sparse</v>
      </c>
      <c r="O172" s="129" t="str">
        <f>VLOOKUP(VALUE($B172),test_out_xwalk!$C:$L,7,FALSE)</f>
        <v>Spray</v>
      </c>
      <c r="P172" s="129" t="str">
        <f>VLOOKUP(VALUE($B172),test_out_xwalk!$C:$L,4,FALSE)</f>
        <v>Pre-emergence</v>
      </c>
      <c r="Q172" s="129" t="str">
        <f>VLOOKUP(VALUE($B172),test_out_xwalk!$C:$L,9,FALSE)</f>
        <v>Other Orchards</v>
      </c>
      <c r="R172">
        <f>_xlfn.XLOOKUP(VALUE(B172),test_out_xwalk!$C:$C,test_out_xwalk!$A:$A)</f>
        <v>3</v>
      </c>
      <c r="T172" s="121" t="str">
        <f>IF('summary_EPA Pond'!$O172="","Check Summary EPA POND worksheet Column O",'summary_EPA Pond'!$O172)</f>
        <v xml:space="preserve">24_2580954-22752-37_Hay all-r10U-A_USEPA Pond_0055_median                             </v>
      </c>
      <c r="U172" s="121" t="str" cm="1">
        <f t="array" ref="U172:Z172">IFERROR(_xlfn.TEXTSPLIT(T172,"_"),"")</f>
        <v>24</v>
      </c>
      <c r="V172" t="str">
        <v>2580954-22752-37</v>
      </c>
      <c r="W172" t="str">
        <v>Hay all-r10U-A</v>
      </c>
      <c r="X172" t="str">
        <v>USEPA Pond</v>
      </c>
      <c r="Y172" t="str">
        <v>0055</v>
      </c>
      <c r="Z172" t="str">
        <v xml:space="preserve">median                             </v>
      </c>
      <c r="AA172" s="121" t="str" cm="1">
        <f t="array" ref="AA172:AC172">IF(W172="","",(_xlfn.TEXTSPLIT(W172,"-")))</f>
        <v>Hay all</v>
      </c>
      <c r="AB172" s="121" t="str">
        <v>r10U</v>
      </c>
      <c r="AC172" t="str">
        <v>A</v>
      </c>
      <c r="AD172" s="129" t="str">
        <f>VLOOKUP(VALUE($U172),test_out_xwalk!$C:$L,3,FALSE)</f>
        <v>Clover-9-24</v>
      </c>
      <c r="AE172" s="129">
        <f>VLOOKUP(VALUE($U172),test_out_xwalk!$C:$L,5,FALSE)</f>
        <v>1</v>
      </c>
      <c r="AF172" s="129">
        <f>VLOOKUP(VALUE($U172),test_out_xwalk!$C:$L,6,FALSE)</f>
        <v>2</v>
      </c>
      <c r="AG172" s="129" t="str">
        <f>VLOOKUP(VALUE($U172),test_out_xwalk!$C:$L,8,FALSE)</f>
        <v>None</v>
      </c>
      <c r="AH172" s="129" t="str">
        <f>VLOOKUP(VALUE($U172),test_out_xwalk!$C:$L,7,FALSE)</f>
        <v>Spray</v>
      </c>
      <c r="AI172" s="129" t="str">
        <f>VLOOKUP(VALUE($U172),test_out_xwalk!$C:$L,4,FALSE)</f>
        <v>Post-emergence</v>
      </c>
      <c r="AJ172" s="129" t="str">
        <f>VLOOKUP(VALUE($U172),test_out_xwalk!$C:$L,9,FALSE)</f>
        <v>Other crops</v>
      </c>
      <c r="AK172">
        <f>_xlfn.XLOOKUP(VALUE(U172),test_out_xwalk!C:C,test_out_xwalk!A:A)</f>
        <v>9</v>
      </c>
    </row>
    <row r="173" spans="1:37" x14ac:dyDescent="0.55000000000000004">
      <c r="A173" s="121" t="str">
        <f>IF('summary_EPA Pond'!$A173="","Check Summary EPA POND worksheet Column A",'summary_EPA Pond'!$A173)</f>
        <v xml:space="preserve">11_546865-14571-68_Orchard deciduous-r06-A_USEPA Pond_0089_median                     </v>
      </c>
      <c r="B173" s="121" t="str" cm="1">
        <f t="array" ref="B173:G173">IFERROR(_xlfn.TEXTSPLIT(A173,"_"),"")</f>
        <v>11</v>
      </c>
      <c r="C173" t="str">
        <v>546865-14571-68</v>
      </c>
      <c r="D173" t="str">
        <v>Orchard deciduous-r06-A</v>
      </c>
      <c r="E173" t="str">
        <v>USEPA Pond</v>
      </c>
      <c r="F173" t="str">
        <v>0089</v>
      </c>
      <c r="G173" t="str">
        <v xml:space="preserve">median                     </v>
      </c>
      <c r="H173" s="121" t="str" cm="1">
        <f t="array" ref="H173:J173">IF(D173="","",(_xlfn.TEXTSPLIT(D173,"-")))</f>
        <v>Orchard deciduous</v>
      </c>
      <c r="I173" s="121" t="str">
        <v>r06</v>
      </c>
      <c r="J173" t="str">
        <v>A</v>
      </c>
      <c r="K173" s="129" t="str">
        <f>VLOOKUP(VALUE($B173),test_out_xwalk!$C:$L,3,FALSE)</f>
        <v>Almond-3-11</v>
      </c>
      <c r="L173" s="129">
        <f>VLOOKUP(VALUE($B173),test_out_xwalk!$C:$L,5,FALSE)</f>
        <v>1</v>
      </c>
      <c r="M173" s="129">
        <f>VLOOKUP(VALUE($B173),test_out_xwalk!$C:$L,6,FALSE)</f>
        <v>1</v>
      </c>
      <c r="N173" s="129" t="str">
        <f>VLOOKUP(VALUE($B173),test_out_xwalk!$C:$L,8,FALSE)</f>
        <v>Airblast_Sparse</v>
      </c>
      <c r="O173" s="129" t="str">
        <f>VLOOKUP(VALUE($B173),test_out_xwalk!$C:$L,7,FALSE)</f>
        <v>Spray</v>
      </c>
      <c r="P173" s="129" t="str">
        <f>VLOOKUP(VALUE($B173),test_out_xwalk!$C:$L,4,FALSE)</f>
        <v>Pre-emergence</v>
      </c>
      <c r="Q173" s="129" t="str">
        <f>VLOOKUP(VALUE($B173),test_out_xwalk!$C:$L,9,FALSE)</f>
        <v>Other Orchards</v>
      </c>
      <c r="R173">
        <f>_xlfn.XLOOKUP(VALUE(B173),test_out_xwalk!$C:$C,test_out_xwalk!$A:$A)</f>
        <v>3</v>
      </c>
      <c r="T173" s="121" t="str">
        <f>IF('summary_EPA Pond'!$O173="","Check Summary EPA POND worksheet Column O",'summary_EPA Pond'!$O173)</f>
        <v xml:space="preserve">24_2605767-16402-36_Hay all-r11-A_USEPA Pond_0055_median                              </v>
      </c>
      <c r="U173" s="121" t="str" cm="1">
        <f t="array" ref="U173:Z173">IFERROR(_xlfn.TEXTSPLIT(T173,"_"),"")</f>
        <v>24</v>
      </c>
      <c r="V173" t="str">
        <v>2605767-16402-36</v>
      </c>
      <c r="W173" t="str">
        <v>Hay all-r11-A</v>
      </c>
      <c r="X173" t="str">
        <v>USEPA Pond</v>
      </c>
      <c r="Y173" t="str">
        <v>0055</v>
      </c>
      <c r="Z173" t="str">
        <v xml:space="preserve">median                              </v>
      </c>
      <c r="AA173" s="121" t="str" cm="1">
        <f t="array" ref="AA173:AC173">IF(W173="","",(_xlfn.TEXTSPLIT(W173,"-")))</f>
        <v>Hay all</v>
      </c>
      <c r="AB173" s="121" t="str">
        <v>r11</v>
      </c>
      <c r="AC173" t="str">
        <v>A</v>
      </c>
      <c r="AD173" s="129" t="str">
        <f>VLOOKUP(VALUE($U173),test_out_xwalk!$C:$L,3,FALSE)</f>
        <v>Clover-9-24</v>
      </c>
      <c r="AE173" s="129">
        <f>VLOOKUP(VALUE($U173),test_out_xwalk!$C:$L,5,FALSE)</f>
        <v>1</v>
      </c>
      <c r="AF173" s="129">
        <f>VLOOKUP(VALUE($U173),test_out_xwalk!$C:$L,6,FALSE)</f>
        <v>2</v>
      </c>
      <c r="AG173" s="129" t="str">
        <f>VLOOKUP(VALUE($U173),test_out_xwalk!$C:$L,8,FALSE)</f>
        <v>None</v>
      </c>
      <c r="AH173" s="129" t="str">
        <f>VLOOKUP(VALUE($U173),test_out_xwalk!$C:$L,7,FALSE)</f>
        <v>Spray</v>
      </c>
      <c r="AI173" s="129" t="str">
        <f>VLOOKUP(VALUE($U173),test_out_xwalk!$C:$L,4,FALSE)</f>
        <v>Post-emergence</v>
      </c>
      <c r="AJ173" s="129" t="str">
        <f>VLOOKUP(VALUE($U173),test_out_xwalk!$C:$L,9,FALSE)</f>
        <v>Other crops</v>
      </c>
      <c r="AK173">
        <f>_xlfn.XLOOKUP(VALUE(U173),test_out_xwalk!C:C,test_out_xwalk!A:A)</f>
        <v>9</v>
      </c>
    </row>
    <row r="174" spans="1:37" x14ac:dyDescent="0.55000000000000004">
      <c r="A174" s="121" t="str">
        <f>IF('summary_EPA Pond'!$A174="","Check Summary EPA POND worksheet Column A",'summary_EPA Pond'!$A174)</f>
        <v xml:space="preserve">11_396439-23493-68_Orchard deciduous-r07-A_USEPA Pond_0089_median                     </v>
      </c>
      <c r="B174" s="121" t="str" cm="1">
        <f t="array" ref="B174:G174">IFERROR(_xlfn.TEXTSPLIT(A174,"_"),"")</f>
        <v>11</v>
      </c>
      <c r="C174" t="str">
        <v>396439-23493-68</v>
      </c>
      <c r="D174" t="str">
        <v>Orchard deciduous-r07-A</v>
      </c>
      <c r="E174" t="str">
        <v>USEPA Pond</v>
      </c>
      <c r="F174" t="str">
        <v>0089</v>
      </c>
      <c r="G174" t="str">
        <v xml:space="preserve">median                     </v>
      </c>
      <c r="H174" s="121" t="str" cm="1">
        <f t="array" ref="H174:J174">IF(D174="","",(_xlfn.TEXTSPLIT(D174,"-")))</f>
        <v>Orchard deciduous</v>
      </c>
      <c r="I174" s="121" t="str">
        <v>r07</v>
      </c>
      <c r="J174" t="str">
        <v>A</v>
      </c>
      <c r="K174" s="129" t="str">
        <f>VLOOKUP(VALUE($B174),test_out_xwalk!$C:$L,3,FALSE)</f>
        <v>Almond-3-11</v>
      </c>
      <c r="L174" s="129">
        <f>VLOOKUP(VALUE($B174),test_out_xwalk!$C:$L,5,FALSE)</f>
        <v>1</v>
      </c>
      <c r="M174" s="129">
        <f>VLOOKUP(VALUE($B174),test_out_xwalk!$C:$L,6,FALSE)</f>
        <v>1</v>
      </c>
      <c r="N174" s="129" t="str">
        <f>VLOOKUP(VALUE($B174),test_out_xwalk!$C:$L,8,FALSE)</f>
        <v>Airblast_Sparse</v>
      </c>
      <c r="O174" s="129" t="str">
        <f>VLOOKUP(VALUE($B174),test_out_xwalk!$C:$L,7,FALSE)</f>
        <v>Spray</v>
      </c>
      <c r="P174" s="129" t="str">
        <f>VLOOKUP(VALUE($B174),test_out_xwalk!$C:$L,4,FALSE)</f>
        <v>Pre-emergence</v>
      </c>
      <c r="Q174" s="129" t="str">
        <f>VLOOKUP(VALUE($B174),test_out_xwalk!$C:$L,9,FALSE)</f>
        <v>Other Orchards</v>
      </c>
      <c r="R174">
        <f>_xlfn.XLOOKUP(VALUE(B174),test_out_xwalk!$C:$C,test_out_xwalk!$A:$A)</f>
        <v>3</v>
      </c>
      <c r="T174" s="121" t="str">
        <f>IF('summary_EPA Pond'!$O174="","Check Summary EPA POND worksheet Column O",'summary_EPA Pond'!$O174)</f>
        <v xml:space="preserve">24_365327-11680-37_Hay all-r12-A_USEPA Pond_0055_median                               </v>
      </c>
      <c r="U174" s="121" t="str" cm="1">
        <f t="array" ref="U174:Z174">IFERROR(_xlfn.TEXTSPLIT(T174,"_"),"")</f>
        <v>24</v>
      </c>
      <c r="V174" t="str">
        <v>365327-11680-37</v>
      </c>
      <c r="W174" t="str">
        <v>Hay all-r12-A</v>
      </c>
      <c r="X174" t="str">
        <v>USEPA Pond</v>
      </c>
      <c r="Y174" t="str">
        <v>0055</v>
      </c>
      <c r="Z174" t="str">
        <v xml:space="preserve">median                               </v>
      </c>
      <c r="AA174" s="121" t="str" cm="1">
        <f t="array" ref="AA174:AC174">IF(W174="","",(_xlfn.TEXTSPLIT(W174,"-")))</f>
        <v>Hay all</v>
      </c>
      <c r="AB174" s="121" t="str">
        <v>r12</v>
      </c>
      <c r="AC174" t="str">
        <v>A</v>
      </c>
      <c r="AD174" s="129" t="str">
        <f>VLOOKUP(VALUE($U174),test_out_xwalk!$C:$L,3,FALSE)</f>
        <v>Clover-9-24</v>
      </c>
      <c r="AE174" s="129">
        <f>VLOOKUP(VALUE($U174),test_out_xwalk!$C:$L,5,FALSE)</f>
        <v>1</v>
      </c>
      <c r="AF174" s="129">
        <f>VLOOKUP(VALUE($U174),test_out_xwalk!$C:$L,6,FALSE)</f>
        <v>2</v>
      </c>
      <c r="AG174" s="129" t="str">
        <f>VLOOKUP(VALUE($U174),test_out_xwalk!$C:$L,8,FALSE)</f>
        <v>None</v>
      </c>
      <c r="AH174" s="129" t="str">
        <f>VLOOKUP(VALUE($U174),test_out_xwalk!$C:$L,7,FALSE)</f>
        <v>Spray</v>
      </c>
      <c r="AI174" s="129" t="str">
        <f>VLOOKUP(VALUE($U174),test_out_xwalk!$C:$L,4,FALSE)</f>
        <v>Post-emergence</v>
      </c>
      <c r="AJ174" s="129" t="str">
        <f>VLOOKUP(VALUE($U174),test_out_xwalk!$C:$L,9,FALSE)</f>
        <v>Other crops</v>
      </c>
      <c r="AK174">
        <f>_xlfn.XLOOKUP(VALUE(U174),test_out_xwalk!C:C,test_out_xwalk!A:A)</f>
        <v>9</v>
      </c>
    </row>
    <row r="175" spans="1:37" x14ac:dyDescent="0.55000000000000004">
      <c r="A175" s="121" t="str">
        <f>IF('summary_EPA Pond'!$A175="","Check Summary EPA POND worksheet Column A",'summary_EPA Pond'!$A175)</f>
        <v xml:space="preserve">11_567494-13121-74_Orchard deciduous-r08-A_USEPA Pond_0089_median                     </v>
      </c>
      <c r="B175" s="121" t="str" cm="1">
        <f t="array" ref="B175:G175">IFERROR(_xlfn.TEXTSPLIT(A175,"_"),"")</f>
        <v>11</v>
      </c>
      <c r="C175" t="str">
        <v>567494-13121-74</v>
      </c>
      <c r="D175" t="str">
        <v>Orchard deciduous-r08-A</v>
      </c>
      <c r="E175" t="str">
        <v>USEPA Pond</v>
      </c>
      <c r="F175" t="str">
        <v>0089</v>
      </c>
      <c r="G175" t="str">
        <v xml:space="preserve">median                     </v>
      </c>
      <c r="H175" s="121" t="str" cm="1">
        <f t="array" ref="H175:J175">IF(D175="","",(_xlfn.TEXTSPLIT(D175,"-")))</f>
        <v>Orchard deciduous</v>
      </c>
      <c r="I175" s="121" t="str">
        <v>r08</v>
      </c>
      <c r="J175" t="str">
        <v>A</v>
      </c>
      <c r="K175" s="129" t="str">
        <f>VLOOKUP(VALUE($B175),test_out_xwalk!$C:$L,3,FALSE)</f>
        <v>Almond-3-11</v>
      </c>
      <c r="L175" s="129">
        <f>VLOOKUP(VALUE($B175),test_out_xwalk!$C:$L,5,FALSE)</f>
        <v>1</v>
      </c>
      <c r="M175" s="129">
        <f>VLOOKUP(VALUE($B175),test_out_xwalk!$C:$L,6,FALSE)</f>
        <v>1</v>
      </c>
      <c r="N175" s="129" t="str">
        <f>VLOOKUP(VALUE($B175),test_out_xwalk!$C:$L,8,FALSE)</f>
        <v>Airblast_Sparse</v>
      </c>
      <c r="O175" s="129" t="str">
        <f>VLOOKUP(VALUE($B175),test_out_xwalk!$C:$L,7,FALSE)</f>
        <v>Spray</v>
      </c>
      <c r="P175" s="129" t="str">
        <f>VLOOKUP(VALUE($B175),test_out_xwalk!$C:$L,4,FALSE)</f>
        <v>Pre-emergence</v>
      </c>
      <c r="Q175" s="129" t="str">
        <f>VLOOKUP(VALUE($B175),test_out_xwalk!$C:$L,9,FALSE)</f>
        <v>Other Orchards</v>
      </c>
      <c r="R175">
        <f>_xlfn.XLOOKUP(VALUE(B175),test_out_xwalk!$C:$C,test_out_xwalk!$A:$A)</f>
        <v>3</v>
      </c>
      <c r="T175" s="121" t="str">
        <f>IF('summary_EPA Pond'!$O175="","Check Summary EPA POND worksheet Column O",'summary_EPA Pond'!$O175)</f>
        <v xml:space="preserve">24_55901-12123-36_Hay all-r13-A_USEPA Pond_0055_median                                </v>
      </c>
      <c r="U175" s="121" t="str" cm="1">
        <f t="array" ref="U175:Z175">IFERROR(_xlfn.TEXTSPLIT(T175,"_"),"")</f>
        <v>24</v>
      </c>
      <c r="V175" t="str">
        <v>55901-12123-36</v>
      </c>
      <c r="W175" t="str">
        <v>Hay all-r13-A</v>
      </c>
      <c r="X175" t="str">
        <v>USEPA Pond</v>
      </c>
      <c r="Y175" t="str">
        <v>0055</v>
      </c>
      <c r="Z175" t="str">
        <v xml:space="preserve">median                                </v>
      </c>
      <c r="AA175" s="121" t="str" cm="1">
        <f t="array" ref="AA175:AC175">IF(W175="","",(_xlfn.TEXTSPLIT(W175,"-")))</f>
        <v>Hay all</v>
      </c>
      <c r="AB175" s="121" t="str">
        <v>r13</v>
      </c>
      <c r="AC175" t="str">
        <v>A</v>
      </c>
      <c r="AD175" s="129" t="str">
        <f>VLOOKUP(VALUE($U175),test_out_xwalk!$C:$L,3,FALSE)</f>
        <v>Clover-9-24</v>
      </c>
      <c r="AE175" s="129">
        <f>VLOOKUP(VALUE($U175),test_out_xwalk!$C:$L,5,FALSE)</f>
        <v>1</v>
      </c>
      <c r="AF175" s="129">
        <f>VLOOKUP(VALUE($U175),test_out_xwalk!$C:$L,6,FALSE)</f>
        <v>2</v>
      </c>
      <c r="AG175" s="129" t="str">
        <f>VLOOKUP(VALUE($U175),test_out_xwalk!$C:$L,8,FALSE)</f>
        <v>None</v>
      </c>
      <c r="AH175" s="129" t="str">
        <f>VLOOKUP(VALUE($U175),test_out_xwalk!$C:$L,7,FALSE)</f>
        <v>Spray</v>
      </c>
      <c r="AI175" s="129" t="str">
        <f>VLOOKUP(VALUE($U175),test_out_xwalk!$C:$L,4,FALSE)</f>
        <v>Post-emergence</v>
      </c>
      <c r="AJ175" s="129" t="str">
        <f>VLOOKUP(VALUE($U175),test_out_xwalk!$C:$L,9,FALSE)</f>
        <v>Other crops</v>
      </c>
      <c r="AK175">
        <f>_xlfn.XLOOKUP(VALUE(U175),test_out_xwalk!C:C,test_out_xwalk!A:A)</f>
        <v>9</v>
      </c>
    </row>
    <row r="176" spans="1:37" x14ac:dyDescent="0.55000000000000004">
      <c r="A176" s="121" t="str">
        <f>IF('summary_EPA Pond'!$A176="","Check Summary EPA POND worksheet Column A",'summary_EPA Pond'!$A176)</f>
        <v xml:space="preserve">11_2774572-26572-68_Orchard deciduous-r09-A_USEPA Pond_0089_median                    </v>
      </c>
      <c r="B176" s="121" t="str" cm="1">
        <f t="array" ref="B176:G176">IFERROR(_xlfn.TEXTSPLIT(A176,"_"),"")</f>
        <v>11</v>
      </c>
      <c r="C176" t="str">
        <v>2774572-26572-68</v>
      </c>
      <c r="D176" t="str">
        <v>Orchard deciduous-r09-A</v>
      </c>
      <c r="E176" t="str">
        <v>USEPA Pond</v>
      </c>
      <c r="F176" t="str">
        <v>0089</v>
      </c>
      <c r="G176" t="str">
        <v xml:space="preserve">median                    </v>
      </c>
      <c r="H176" s="121" t="str" cm="1">
        <f t="array" ref="H176:J176">IF(D176="","",(_xlfn.TEXTSPLIT(D176,"-")))</f>
        <v>Orchard deciduous</v>
      </c>
      <c r="I176" s="121" t="str">
        <v>r09</v>
      </c>
      <c r="J176" t="str">
        <v>A</v>
      </c>
      <c r="K176" s="129" t="str">
        <f>VLOOKUP(VALUE($B176),test_out_xwalk!$C:$L,3,FALSE)</f>
        <v>Almond-3-11</v>
      </c>
      <c r="L176" s="129">
        <f>VLOOKUP(VALUE($B176),test_out_xwalk!$C:$L,5,FALSE)</f>
        <v>1</v>
      </c>
      <c r="M176" s="129">
        <f>VLOOKUP(VALUE($B176),test_out_xwalk!$C:$L,6,FALSE)</f>
        <v>1</v>
      </c>
      <c r="N176" s="129" t="str">
        <f>VLOOKUP(VALUE($B176),test_out_xwalk!$C:$L,8,FALSE)</f>
        <v>Airblast_Sparse</v>
      </c>
      <c r="O176" s="129" t="str">
        <f>VLOOKUP(VALUE($B176),test_out_xwalk!$C:$L,7,FALSE)</f>
        <v>Spray</v>
      </c>
      <c r="P176" s="129" t="str">
        <f>VLOOKUP(VALUE($B176),test_out_xwalk!$C:$L,4,FALSE)</f>
        <v>Pre-emergence</v>
      </c>
      <c r="Q176" s="129" t="str">
        <f>VLOOKUP(VALUE($B176),test_out_xwalk!$C:$L,9,FALSE)</f>
        <v>Other Orchards</v>
      </c>
      <c r="R176">
        <f>_xlfn.XLOOKUP(VALUE(B176),test_out_xwalk!$C:$C,test_out_xwalk!$A:$A)</f>
        <v>3</v>
      </c>
      <c r="T176" s="121" t="str">
        <f>IF('summary_EPA Pond'!$O176="","Check Summary EPA POND worksheet Column O",'summary_EPA Pond'!$O176)</f>
        <v xml:space="preserve">24_508796-17301-36_Hay all-r14-A_USEPA Pond_0055_median                               </v>
      </c>
      <c r="U176" s="121" t="str" cm="1">
        <f t="array" ref="U176:Z176">IFERROR(_xlfn.TEXTSPLIT(T176,"_"),"")</f>
        <v>24</v>
      </c>
      <c r="V176" t="str">
        <v>508796-17301-36</v>
      </c>
      <c r="W176" t="str">
        <v>Hay all-r14-A</v>
      </c>
      <c r="X176" t="str">
        <v>USEPA Pond</v>
      </c>
      <c r="Y176" t="str">
        <v>0055</v>
      </c>
      <c r="Z176" t="str">
        <v xml:space="preserve">median                               </v>
      </c>
      <c r="AA176" s="121" t="str" cm="1">
        <f t="array" ref="AA176:AC176">IF(W176="","",(_xlfn.TEXTSPLIT(W176,"-")))</f>
        <v>Hay all</v>
      </c>
      <c r="AB176" s="121" t="str">
        <v>r14</v>
      </c>
      <c r="AC176" t="str">
        <v>A</v>
      </c>
      <c r="AD176" s="129" t="str">
        <f>VLOOKUP(VALUE($U176),test_out_xwalk!$C:$L,3,FALSE)</f>
        <v>Clover-9-24</v>
      </c>
      <c r="AE176" s="129">
        <f>VLOOKUP(VALUE($U176),test_out_xwalk!$C:$L,5,FALSE)</f>
        <v>1</v>
      </c>
      <c r="AF176" s="129">
        <f>VLOOKUP(VALUE($U176),test_out_xwalk!$C:$L,6,FALSE)</f>
        <v>2</v>
      </c>
      <c r="AG176" s="129" t="str">
        <f>VLOOKUP(VALUE($U176),test_out_xwalk!$C:$L,8,FALSE)</f>
        <v>None</v>
      </c>
      <c r="AH176" s="129" t="str">
        <f>VLOOKUP(VALUE($U176),test_out_xwalk!$C:$L,7,FALSE)</f>
        <v>Spray</v>
      </c>
      <c r="AI176" s="129" t="str">
        <f>VLOOKUP(VALUE($U176),test_out_xwalk!$C:$L,4,FALSE)</f>
        <v>Post-emergence</v>
      </c>
      <c r="AJ176" s="129" t="str">
        <f>VLOOKUP(VALUE($U176),test_out_xwalk!$C:$L,9,FALSE)</f>
        <v>Other crops</v>
      </c>
      <c r="AK176">
        <f>_xlfn.XLOOKUP(VALUE(U176),test_out_xwalk!C:C,test_out_xwalk!A:A)</f>
        <v>9</v>
      </c>
    </row>
    <row r="177" spans="1:37" x14ac:dyDescent="0.55000000000000004">
      <c r="A177" s="121" t="str">
        <f>IF('summary_EPA Pond'!$A177="","Check Summary EPA POND worksheet Column A",'summary_EPA Pond'!$A177)</f>
        <v xml:space="preserve">11_2532369-16882-74_Orchard deciduous-r10L-A_USEPA Pond_0089_median                   </v>
      </c>
      <c r="B177" s="121" t="str" cm="1">
        <f t="array" ref="B177:G177">IFERROR(_xlfn.TEXTSPLIT(A177,"_"),"")</f>
        <v>11</v>
      </c>
      <c r="C177" t="str">
        <v>2532369-16882-74</v>
      </c>
      <c r="D177" t="str">
        <v>Orchard deciduous-r10L-A</v>
      </c>
      <c r="E177" t="str">
        <v>USEPA Pond</v>
      </c>
      <c r="F177" t="str">
        <v>0089</v>
      </c>
      <c r="G177" t="str">
        <v xml:space="preserve">median                   </v>
      </c>
      <c r="H177" s="121" t="str" cm="1">
        <f t="array" ref="H177:J177">IF(D177="","",(_xlfn.TEXTSPLIT(D177,"-")))</f>
        <v>Orchard deciduous</v>
      </c>
      <c r="I177" s="121" t="str">
        <v>r10L</v>
      </c>
      <c r="J177" t="str">
        <v>A</v>
      </c>
      <c r="K177" s="129" t="str">
        <f>VLOOKUP(VALUE($B177),test_out_xwalk!$C:$L,3,FALSE)</f>
        <v>Almond-3-11</v>
      </c>
      <c r="L177" s="129">
        <f>VLOOKUP(VALUE($B177),test_out_xwalk!$C:$L,5,FALSE)</f>
        <v>1</v>
      </c>
      <c r="M177" s="129">
        <f>VLOOKUP(VALUE($B177),test_out_xwalk!$C:$L,6,FALSE)</f>
        <v>1</v>
      </c>
      <c r="N177" s="129" t="str">
        <f>VLOOKUP(VALUE($B177),test_out_xwalk!$C:$L,8,FALSE)</f>
        <v>Airblast_Sparse</v>
      </c>
      <c r="O177" s="129" t="str">
        <f>VLOOKUP(VALUE($B177),test_out_xwalk!$C:$L,7,FALSE)</f>
        <v>Spray</v>
      </c>
      <c r="P177" s="129" t="str">
        <f>VLOOKUP(VALUE($B177),test_out_xwalk!$C:$L,4,FALSE)</f>
        <v>Pre-emergence</v>
      </c>
      <c r="Q177" s="129" t="str">
        <f>VLOOKUP(VALUE($B177),test_out_xwalk!$C:$L,9,FALSE)</f>
        <v>Other Orchards</v>
      </c>
      <c r="R177">
        <f>_xlfn.XLOOKUP(VALUE(B177),test_out_xwalk!$C:$C,test_out_xwalk!$A:$A)</f>
        <v>3</v>
      </c>
      <c r="T177" s="121" t="str">
        <f>IF('summary_EPA Pond'!$O177="","Check Summary EPA POND worksheet Column O",'summary_EPA Pond'!$O177)</f>
        <v xml:space="preserve">24_464078-12554-36_Hay all-r15-A_USEPA Pond_0055_median                               </v>
      </c>
      <c r="U177" s="121" t="str" cm="1">
        <f t="array" ref="U177:Z177">IFERROR(_xlfn.TEXTSPLIT(T177,"_"),"")</f>
        <v>24</v>
      </c>
      <c r="V177" t="str">
        <v>464078-12554-36</v>
      </c>
      <c r="W177" t="str">
        <v>Hay all-r15-A</v>
      </c>
      <c r="X177" t="str">
        <v>USEPA Pond</v>
      </c>
      <c r="Y177" t="str">
        <v>0055</v>
      </c>
      <c r="Z177" t="str">
        <v xml:space="preserve">median                               </v>
      </c>
      <c r="AA177" s="121" t="str" cm="1">
        <f t="array" ref="AA177:AC177">IF(W177="","",(_xlfn.TEXTSPLIT(W177,"-")))</f>
        <v>Hay all</v>
      </c>
      <c r="AB177" s="121" t="str">
        <v>r15</v>
      </c>
      <c r="AC177" t="str">
        <v>A</v>
      </c>
      <c r="AD177" s="129" t="str">
        <f>VLOOKUP(VALUE($U177),test_out_xwalk!$C:$L,3,FALSE)</f>
        <v>Clover-9-24</v>
      </c>
      <c r="AE177" s="129">
        <f>VLOOKUP(VALUE($U177),test_out_xwalk!$C:$L,5,FALSE)</f>
        <v>1</v>
      </c>
      <c r="AF177" s="129">
        <f>VLOOKUP(VALUE($U177),test_out_xwalk!$C:$L,6,FALSE)</f>
        <v>2</v>
      </c>
      <c r="AG177" s="129" t="str">
        <f>VLOOKUP(VALUE($U177),test_out_xwalk!$C:$L,8,FALSE)</f>
        <v>None</v>
      </c>
      <c r="AH177" s="129" t="str">
        <f>VLOOKUP(VALUE($U177),test_out_xwalk!$C:$L,7,FALSE)</f>
        <v>Spray</v>
      </c>
      <c r="AI177" s="129" t="str">
        <f>VLOOKUP(VALUE($U177),test_out_xwalk!$C:$L,4,FALSE)</f>
        <v>Post-emergence</v>
      </c>
      <c r="AJ177" s="129" t="str">
        <f>VLOOKUP(VALUE($U177),test_out_xwalk!$C:$L,9,FALSE)</f>
        <v>Other crops</v>
      </c>
      <c r="AK177">
        <f>_xlfn.XLOOKUP(VALUE(U177),test_out_xwalk!C:C,test_out_xwalk!A:A)</f>
        <v>9</v>
      </c>
    </row>
    <row r="178" spans="1:37" x14ac:dyDescent="0.55000000000000004">
      <c r="A178" s="121" t="str">
        <f>IF('summary_EPA Pond'!$A178="","Check Summary EPA POND worksheet Column A",'summary_EPA Pond'!$A178)</f>
        <v xml:space="preserve">11_146775-27192-66_Orchard deciduous-r10U-A_USEPA Pond_0089_median                    </v>
      </c>
      <c r="B178" s="121" t="str" cm="1">
        <f t="array" ref="B178:G178">IFERROR(_xlfn.TEXTSPLIT(A178,"_"),"")</f>
        <v>11</v>
      </c>
      <c r="C178" t="str">
        <v>146775-27192-66</v>
      </c>
      <c r="D178" t="str">
        <v>Orchard deciduous-r10U-A</v>
      </c>
      <c r="E178" t="str">
        <v>USEPA Pond</v>
      </c>
      <c r="F178" t="str">
        <v>0089</v>
      </c>
      <c r="G178" t="str">
        <v xml:space="preserve">median                    </v>
      </c>
      <c r="H178" s="121" t="str" cm="1">
        <f t="array" ref="H178:J178">IF(D178="","",(_xlfn.TEXTSPLIT(D178,"-")))</f>
        <v>Orchard deciduous</v>
      </c>
      <c r="I178" s="121" t="str">
        <v>r10U</v>
      </c>
      <c r="J178" t="str">
        <v>A</v>
      </c>
      <c r="K178" s="129" t="str">
        <f>VLOOKUP(VALUE($B178),test_out_xwalk!$C:$L,3,FALSE)</f>
        <v>Almond-3-11</v>
      </c>
      <c r="L178" s="129">
        <f>VLOOKUP(VALUE($B178),test_out_xwalk!$C:$L,5,FALSE)</f>
        <v>1</v>
      </c>
      <c r="M178" s="129">
        <f>VLOOKUP(VALUE($B178),test_out_xwalk!$C:$L,6,FALSE)</f>
        <v>1</v>
      </c>
      <c r="N178" s="129" t="str">
        <f>VLOOKUP(VALUE($B178),test_out_xwalk!$C:$L,8,FALSE)</f>
        <v>Airblast_Sparse</v>
      </c>
      <c r="O178" s="129" t="str">
        <f>VLOOKUP(VALUE($B178),test_out_xwalk!$C:$L,7,FALSE)</f>
        <v>Spray</v>
      </c>
      <c r="P178" s="129" t="str">
        <f>VLOOKUP(VALUE($B178),test_out_xwalk!$C:$L,4,FALSE)</f>
        <v>Pre-emergence</v>
      </c>
      <c r="Q178" s="129" t="str">
        <f>VLOOKUP(VALUE($B178),test_out_xwalk!$C:$L,9,FALSE)</f>
        <v>Other Orchards</v>
      </c>
      <c r="R178">
        <f>_xlfn.XLOOKUP(VALUE(B178),test_out_xwalk!$C:$C,test_out_xwalk!$A:$A)</f>
        <v>3</v>
      </c>
      <c r="T178" s="121" t="str">
        <f>IF('summary_EPA Pond'!$O178="","Check Summary EPA POND worksheet Column O",'summary_EPA Pond'!$O178)</f>
        <v xml:space="preserve">24_476104-19392-36_Hay all-r16-A_USEPA Pond_0055_median                               </v>
      </c>
      <c r="U178" s="121" t="str" cm="1">
        <f t="array" ref="U178:Z178">IFERROR(_xlfn.TEXTSPLIT(T178,"_"),"")</f>
        <v>24</v>
      </c>
      <c r="V178" t="str">
        <v>476104-19392-36</v>
      </c>
      <c r="W178" t="str">
        <v>Hay all-r16-A</v>
      </c>
      <c r="X178" t="str">
        <v>USEPA Pond</v>
      </c>
      <c r="Y178" t="str">
        <v>0055</v>
      </c>
      <c r="Z178" t="str">
        <v xml:space="preserve">median                               </v>
      </c>
      <c r="AA178" s="121" t="str" cm="1">
        <f t="array" ref="AA178:AC178">IF(W178="","",(_xlfn.TEXTSPLIT(W178,"-")))</f>
        <v>Hay all</v>
      </c>
      <c r="AB178" s="121" t="str">
        <v>r16</v>
      </c>
      <c r="AC178" t="str">
        <v>A</v>
      </c>
      <c r="AD178" s="129" t="str">
        <f>VLOOKUP(VALUE($U178),test_out_xwalk!$C:$L,3,FALSE)</f>
        <v>Clover-9-24</v>
      </c>
      <c r="AE178" s="129">
        <f>VLOOKUP(VALUE($U178),test_out_xwalk!$C:$L,5,FALSE)</f>
        <v>1</v>
      </c>
      <c r="AF178" s="129">
        <f>VLOOKUP(VALUE($U178),test_out_xwalk!$C:$L,6,FALSE)</f>
        <v>2</v>
      </c>
      <c r="AG178" s="129" t="str">
        <f>VLOOKUP(VALUE($U178),test_out_xwalk!$C:$L,8,FALSE)</f>
        <v>None</v>
      </c>
      <c r="AH178" s="129" t="str">
        <f>VLOOKUP(VALUE($U178),test_out_xwalk!$C:$L,7,FALSE)</f>
        <v>Spray</v>
      </c>
      <c r="AI178" s="129" t="str">
        <f>VLOOKUP(VALUE($U178),test_out_xwalk!$C:$L,4,FALSE)</f>
        <v>Post-emergence</v>
      </c>
      <c r="AJ178" s="129" t="str">
        <f>VLOOKUP(VALUE($U178),test_out_xwalk!$C:$L,9,FALSE)</f>
        <v>Other crops</v>
      </c>
      <c r="AK178">
        <f>_xlfn.XLOOKUP(VALUE(U178),test_out_xwalk!C:C,test_out_xwalk!A:A)</f>
        <v>9</v>
      </c>
    </row>
    <row r="179" spans="1:37" x14ac:dyDescent="0.55000000000000004">
      <c r="A179" s="121" t="str">
        <f>IF('summary_EPA Pond'!$A179="","Check Summary EPA POND worksheet Column A",'summary_EPA Pond'!$A179)</f>
        <v xml:space="preserve">11_106593-15934-74_Orchard deciduous-r11-A_USEPA Pond_0089_median                     </v>
      </c>
      <c r="B179" s="121" t="str" cm="1">
        <f t="array" ref="B179:G179">IFERROR(_xlfn.TEXTSPLIT(A179,"_"),"")</f>
        <v>11</v>
      </c>
      <c r="C179" t="str">
        <v>106593-15934-74</v>
      </c>
      <c r="D179" t="str">
        <v>Orchard deciduous-r11-A</v>
      </c>
      <c r="E179" t="str">
        <v>USEPA Pond</v>
      </c>
      <c r="F179" t="str">
        <v>0089</v>
      </c>
      <c r="G179" t="str">
        <v xml:space="preserve">median                     </v>
      </c>
      <c r="H179" s="121" t="str" cm="1">
        <f t="array" ref="H179:J179">IF(D179="","",(_xlfn.TEXTSPLIT(D179,"-")))</f>
        <v>Orchard deciduous</v>
      </c>
      <c r="I179" s="121" t="str">
        <v>r11</v>
      </c>
      <c r="J179" t="str">
        <v>A</v>
      </c>
      <c r="K179" s="129" t="str">
        <f>VLOOKUP(VALUE($B179),test_out_xwalk!$C:$L,3,FALSE)</f>
        <v>Almond-3-11</v>
      </c>
      <c r="L179" s="129">
        <f>VLOOKUP(VALUE($B179),test_out_xwalk!$C:$L,5,FALSE)</f>
        <v>1</v>
      </c>
      <c r="M179" s="129">
        <f>VLOOKUP(VALUE($B179),test_out_xwalk!$C:$L,6,FALSE)</f>
        <v>1</v>
      </c>
      <c r="N179" s="129" t="str">
        <f>VLOOKUP(VALUE($B179),test_out_xwalk!$C:$L,8,FALSE)</f>
        <v>Airblast_Sparse</v>
      </c>
      <c r="O179" s="129" t="str">
        <f>VLOOKUP(VALUE($B179),test_out_xwalk!$C:$L,7,FALSE)</f>
        <v>Spray</v>
      </c>
      <c r="P179" s="129" t="str">
        <f>VLOOKUP(VALUE($B179),test_out_xwalk!$C:$L,4,FALSE)</f>
        <v>Pre-emergence</v>
      </c>
      <c r="Q179" s="129" t="str">
        <f>VLOOKUP(VALUE($B179),test_out_xwalk!$C:$L,9,FALSE)</f>
        <v>Other Orchards</v>
      </c>
      <c r="R179">
        <f>_xlfn.XLOOKUP(VALUE(B179),test_out_xwalk!$C:$C,test_out_xwalk!$A:$A)</f>
        <v>3</v>
      </c>
      <c r="T179" s="121" t="str">
        <f>IF('summary_EPA Pond'!$O179="","Check Summary EPA POND worksheet Column O",'summary_EPA Pond'!$O179)</f>
        <v xml:space="preserve">24_155797-26007-37_Hay all-r17-A_USEPA Pond_0055_median                               </v>
      </c>
      <c r="U179" s="121" t="str" cm="1">
        <f t="array" ref="U179:Z179">IFERROR(_xlfn.TEXTSPLIT(T179,"_"),"")</f>
        <v>24</v>
      </c>
      <c r="V179" t="str">
        <v>155797-26007-37</v>
      </c>
      <c r="W179" t="str">
        <v>Hay all-r17-A</v>
      </c>
      <c r="X179" t="str">
        <v>USEPA Pond</v>
      </c>
      <c r="Y179" t="str">
        <v>0055</v>
      </c>
      <c r="Z179" t="str">
        <v xml:space="preserve">median                               </v>
      </c>
      <c r="AA179" s="121" t="str" cm="1">
        <f t="array" ref="AA179:AC179">IF(W179="","",(_xlfn.TEXTSPLIT(W179,"-")))</f>
        <v>Hay all</v>
      </c>
      <c r="AB179" s="121" t="str">
        <v>r17</v>
      </c>
      <c r="AC179" t="str">
        <v>A</v>
      </c>
      <c r="AD179" s="129" t="str">
        <f>VLOOKUP(VALUE($U179),test_out_xwalk!$C:$L,3,FALSE)</f>
        <v>Clover-9-24</v>
      </c>
      <c r="AE179" s="129">
        <f>VLOOKUP(VALUE($U179),test_out_xwalk!$C:$L,5,FALSE)</f>
        <v>1</v>
      </c>
      <c r="AF179" s="129">
        <f>VLOOKUP(VALUE($U179),test_out_xwalk!$C:$L,6,FALSE)</f>
        <v>2</v>
      </c>
      <c r="AG179" s="129" t="str">
        <f>VLOOKUP(VALUE($U179),test_out_xwalk!$C:$L,8,FALSE)</f>
        <v>None</v>
      </c>
      <c r="AH179" s="129" t="str">
        <f>VLOOKUP(VALUE($U179),test_out_xwalk!$C:$L,7,FALSE)</f>
        <v>Spray</v>
      </c>
      <c r="AI179" s="129" t="str">
        <f>VLOOKUP(VALUE($U179),test_out_xwalk!$C:$L,4,FALSE)</f>
        <v>Post-emergence</v>
      </c>
      <c r="AJ179" s="129" t="str">
        <f>VLOOKUP(VALUE($U179),test_out_xwalk!$C:$L,9,FALSE)</f>
        <v>Other crops</v>
      </c>
      <c r="AK179">
        <f>_xlfn.XLOOKUP(VALUE(U179),test_out_xwalk!C:C,test_out_xwalk!A:A)</f>
        <v>9</v>
      </c>
    </row>
    <row r="180" spans="1:37" x14ac:dyDescent="0.55000000000000004">
      <c r="A180" s="121" t="str">
        <f>IF('summary_EPA Pond'!$A180="","Check Summary EPA POND worksheet Column A",'summary_EPA Pond'!$A180)</f>
        <v xml:space="preserve">11_367880-12156-74_Orchard deciduous-r12-A_USEPA Pond_0089_median                     </v>
      </c>
      <c r="B180" s="121" t="str" cm="1">
        <f t="array" ref="B180:G180">IFERROR(_xlfn.TEXTSPLIT(A180,"_"),"")</f>
        <v>11</v>
      </c>
      <c r="C180" t="str">
        <v>367880-12156-74</v>
      </c>
      <c r="D180" t="str">
        <v>Orchard deciduous-r12-A</v>
      </c>
      <c r="E180" t="str">
        <v>USEPA Pond</v>
      </c>
      <c r="F180" t="str">
        <v>0089</v>
      </c>
      <c r="G180" t="str">
        <v xml:space="preserve">median                     </v>
      </c>
      <c r="H180" s="121" t="str" cm="1">
        <f t="array" ref="H180:J180">IF(D180="","",(_xlfn.TEXTSPLIT(D180,"-")))</f>
        <v>Orchard deciduous</v>
      </c>
      <c r="I180" s="121" t="str">
        <v>r12</v>
      </c>
      <c r="J180" t="str">
        <v>A</v>
      </c>
      <c r="K180" s="129" t="str">
        <f>VLOOKUP(VALUE($B180),test_out_xwalk!$C:$L,3,FALSE)</f>
        <v>Almond-3-11</v>
      </c>
      <c r="L180" s="129">
        <f>VLOOKUP(VALUE($B180),test_out_xwalk!$C:$L,5,FALSE)</f>
        <v>1</v>
      </c>
      <c r="M180" s="129">
        <f>VLOOKUP(VALUE($B180),test_out_xwalk!$C:$L,6,FALSE)</f>
        <v>1</v>
      </c>
      <c r="N180" s="129" t="str">
        <f>VLOOKUP(VALUE($B180),test_out_xwalk!$C:$L,8,FALSE)</f>
        <v>Airblast_Sparse</v>
      </c>
      <c r="O180" s="129" t="str">
        <f>VLOOKUP(VALUE($B180),test_out_xwalk!$C:$L,7,FALSE)</f>
        <v>Spray</v>
      </c>
      <c r="P180" s="129" t="str">
        <f>VLOOKUP(VALUE($B180),test_out_xwalk!$C:$L,4,FALSE)</f>
        <v>Pre-emergence</v>
      </c>
      <c r="Q180" s="129" t="str">
        <f>VLOOKUP(VALUE($B180),test_out_xwalk!$C:$L,9,FALSE)</f>
        <v>Other Orchards</v>
      </c>
      <c r="R180">
        <f>_xlfn.XLOOKUP(VALUE(B180),test_out_xwalk!$C:$C,test_out_xwalk!$A:$A)</f>
        <v>3</v>
      </c>
      <c r="T180" s="121" t="str">
        <f>IF('summary_EPA Pond'!$O180="","Check Summary EPA POND worksheet Column O",'summary_EPA Pond'!$O180)</f>
        <v xml:space="preserve">24_488792-20788-37_Hay all-r18-A_USEPA Pond_0055_median                               </v>
      </c>
      <c r="U180" s="121" t="str" cm="1">
        <f t="array" ref="U180:Z180">IFERROR(_xlfn.TEXTSPLIT(T180,"_"),"")</f>
        <v>24</v>
      </c>
      <c r="V180" t="str">
        <v>488792-20788-37</v>
      </c>
      <c r="W180" t="str">
        <v>Hay all-r18-A</v>
      </c>
      <c r="X180" t="str">
        <v>USEPA Pond</v>
      </c>
      <c r="Y180" t="str">
        <v>0055</v>
      </c>
      <c r="Z180" t="str">
        <v xml:space="preserve">median                               </v>
      </c>
      <c r="AA180" s="121" t="str" cm="1">
        <f t="array" ref="AA180:AC180">IF(W180="","",(_xlfn.TEXTSPLIT(W180,"-")))</f>
        <v>Hay all</v>
      </c>
      <c r="AB180" s="121" t="str">
        <v>r18</v>
      </c>
      <c r="AC180" t="str">
        <v>A</v>
      </c>
      <c r="AD180" s="129" t="str">
        <f>VLOOKUP(VALUE($U180),test_out_xwalk!$C:$L,3,FALSE)</f>
        <v>Clover-9-24</v>
      </c>
      <c r="AE180" s="129">
        <f>VLOOKUP(VALUE($U180),test_out_xwalk!$C:$L,5,FALSE)</f>
        <v>1</v>
      </c>
      <c r="AF180" s="129">
        <f>VLOOKUP(VALUE($U180),test_out_xwalk!$C:$L,6,FALSE)</f>
        <v>2</v>
      </c>
      <c r="AG180" s="129" t="str">
        <f>VLOOKUP(VALUE($U180),test_out_xwalk!$C:$L,8,FALSE)</f>
        <v>None</v>
      </c>
      <c r="AH180" s="129" t="str">
        <f>VLOOKUP(VALUE($U180),test_out_xwalk!$C:$L,7,FALSE)</f>
        <v>Spray</v>
      </c>
      <c r="AI180" s="129" t="str">
        <f>VLOOKUP(VALUE($U180),test_out_xwalk!$C:$L,4,FALSE)</f>
        <v>Post-emergence</v>
      </c>
      <c r="AJ180" s="129" t="str">
        <f>VLOOKUP(VALUE($U180),test_out_xwalk!$C:$L,9,FALSE)</f>
        <v>Other crops</v>
      </c>
      <c r="AK180">
        <f>_xlfn.XLOOKUP(VALUE(U180),test_out_xwalk!C:C,test_out_xwalk!A:A)</f>
        <v>9</v>
      </c>
    </row>
    <row r="181" spans="1:37" x14ac:dyDescent="0.55000000000000004">
      <c r="A181" s="121" t="str">
        <f>IF('summary_EPA Pond'!$A181="","Check Summary EPA POND worksheet Column A",'summary_EPA Pond'!$A181)</f>
        <v xml:space="preserve">11_712158-9291-74_Orchard deciduous-r13-A_USEPA Pond_0089_median                      </v>
      </c>
      <c r="B181" s="121" t="str" cm="1">
        <f t="array" ref="B181:G181">IFERROR(_xlfn.TEXTSPLIT(A181,"_"),"")</f>
        <v>11</v>
      </c>
      <c r="C181" t="str">
        <v>712158-9291-74</v>
      </c>
      <c r="D181" t="str">
        <v>Orchard deciduous-r13-A</v>
      </c>
      <c r="E181" t="str">
        <v>USEPA Pond</v>
      </c>
      <c r="F181" t="str">
        <v>0089</v>
      </c>
      <c r="G181" t="str">
        <v xml:space="preserve">median                      </v>
      </c>
      <c r="H181" s="121" t="str" cm="1">
        <f t="array" ref="H181:J181">IF(D181="","",(_xlfn.TEXTSPLIT(D181,"-")))</f>
        <v>Orchard deciduous</v>
      </c>
      <c r="I181" s="121" t="str">
        <v>r13</v>
      </c>
      <c r="J181" t="str">
        <v>A</v>
      </c>
      <c r="K181" s="129" t="str">
        <f>VLOOKUP(VALUE($B181),test_out_xwalk!$C:$L,3,FALSE)</f>
        <v>Almond-3-11</v>
      </c>
      <c r="L181" s="129">
        <f>VLOOKUP(VALUE($B181),test_out_xwalk!$C:$L,5,FALSE)</f>
        <v>1</v>
      </c>
      <c r="M181" s="129">
        <f>VLOOKUP(VALUE($B181),test_out_xwalk!$C:$L,6,FALSE)</f>
        <v>1</v>
      </c>
      <c r="N181" s="129" t="str">
        <f>VLOOKUP(VALUE($B181),test_out_xwalk!$C:$L,8,FALSE)</f>
        <v>Airblast_Sparse</v>
      </c>
      <c r="O181" s="129" t="str">
        <f>VLOOKUP(VALUE($B181),test_out_xwalk!$C:$L,7,FALSE)</f>
        <v>Spray</v>
      </c>
      <c r="P181" s="129" t="str">
        <f>VLOOKUP(VALUE($B181),test_out_xwalk!$C:$L,4,FALSE)</f>
        <v>Pre-emergence</v>
      </c>
      <c r="Q181" s="129" t="str">
        <f>VLOOKUP(VALUE($B181),test_out_xwalk!$C:$L,9,FALSE)</f>
        <v>Other Orchards</v>
      </c>
      <c r="R181">
        <f>_xlfn.XLOOKUP(VALUE(B181),test_out_xwalk!$C:$C,test_out_xwalk!$A:$A)</f>
        <v>3</v>
      </c>
      <c r="T181" s="121" t="str">
        <f>IF('summary_EPA Pond'!$O181="","Check Summary EPA POND worksheet Column O",'summary_EPA Pond'!$O181)</f>
        <v xml:space="preserve">28_286087-20273-68_Orchard deciduous-r01-A_USEPA Pond_0080_median                     </v>
      </c>
      <c r="U181" s="121" t="str" cm="1">
        <f t="array" ref="U181:Z181">IFERROR(_xlfn.TEXTSPLIT(T181,"_"),"")</f>
        <v>28</v>
      </c>
      <c r="V181" t="str">
        <v>286087-20273-68</v>
      </c>
      <c r="W181" t="str">
        <v>Orchard deciduous-r01-A</v>
      </c>
      <c r="X181" t="str">
        <v>USEPA Pond</v>
      </c>
      <c r="Y181" t="str">
        <v>0080</v>
      </c>
      <c r="Z181" t="str">
        <v xml:space="preserve">median                     </v>
      </c>
      <c r="AA181" s="121" t="str" cm="1">
        <f t="array" ref="AA181:AC181">IF(W181="","",(_xlfn.TEXTSPLIT(W181,"-")))</f>
        <v>Orchard deciduous</v>
      </c>
      <c r="AB181" s="121" t="str">
        <v>r01</v>
      </c>
      <c r="AC181" t="str">
        <v>A</v>
      </c>
      <c r="AD181" s="129" t="str">
        <f>VLOOKUP(VALUE($U181),test_out_xwalk!$C:$L,3,FALSE)</f>
        <v>Apple-10-28</v>
      </c>
      <c r="AE181" s="129">
        <f>VLOOKUP(VALUE($U181),test_out_xwalk!$C:$L,5,FALSE)</f>
        <v>2</v>
      </c>
      <c r="AF181" s="129">
        <f>VLOOKUP(VALUE($U181),test_out_xwalk!$C:$L,6,FALSE)</f>
        <v>4</v>
      </c>
      <c r="AG181" s="129" t="str">
        <f>VLOOKUP(VALUE($U181),test_out_xwalk!$C:$L,8,FALSE)</f>
        <v>None</v>
      </c>
      <c r="AH181" s="129" t="str">
        <f>VLOOKUP(VALUE($U181),test_out_xwalk!$C:$L,7,FALSE)</f>
        <v>Spray</v>
      </c>
      <c r="AI181" s="129" t="str">
        <f>VLOOKUP(VALUE($U181),test_out_xwalk!$C:$L,4,FALSE)</f>
        <v>Post-emergence</v>
      </c>
      <c r="AJ181" s="129" t="str">
        <f>VLOOKUP(VALUE($U181),test_out_xwalk!$C:$L,9,FALSE)</f>
        <v>Other Orchards</v>
      </c>
      <c r="AK181">
        <f>_xlfn.XLOOKUP(VALUE(U181),test_out_xwalk!C:C,test_out_xwalk!A:A)</f>
        <v>10</v>
      </c>
    </row>
    <row r="182" spans="1:37" x14ac:dyDescent="0.55000000000000004">
      <c r="A182" s="121" t="str">
        <f>IF('summary_EPA Pond'!$A182="","Check Summary EPA POND worksheet Column A",'summary_EPA Pond'!$A182)</f>
        <v xml:space="preserve">11_496634-17773-67_Orchard deciduous-r14-A_USEPA Pond_0089_median                     </v>
      </c>
      <c r="B182" s="121" t="str" cm="1">
        <f t="array" ref="B182:G182">IFERROR(_xlfn.TEXTSPLIT(A182,"_"),"")</f>
        <v>11</v>
      </c>
      <c r="C182" t="str">
        <v>496634-17773-67</v>
      </c>
      <c r="D182" t="str">
        <v>Orchard deciduous-r14-A</v>
      </c>
      <c r="E182" t="str">
        <v>USEPA Pond</v>
      </c>
      <c r="F182" t="str">
        <v>0089</v>
      </c>
      <c r="G182" t="str">
        <v xml:space="preserve">median                     </v>
      </c>
      <c r="H182" s="121" t="str" cm="1">
        <f t="array" ref="H182:J182">IF(D182="","",(_xlfn.TEXTSPLIT(D182,"-")))</f>
        <v>Orchard deciduous</v>
      </c>
      <c r="I182" s="121" t="str">
        <v>r14</v>
      </c>
      <c r="J182" t="str">
        <v>A</v>
      </c>
      <c r="K182" s="129" t="str">
        <f>VLOOKUP(VALUE($B182),test_out_xwalk!$C:$L,3,FALSE)</f>
        <v>Almond-3-11</v>
      </c>
      <c r="L182" s="129">
        <f>VLOOKUP(VALUE($B182),test_out_xwalk!$C:$L,5,FALSE)</f>
        <v>1</v>
      </c>
      <c r="M182" s="129">
        <f>VLOOKUP(VALUE($B182),test_out_xwalk!$C:$L,6,FALSE)</f>
        <v>1</v>
      </c>
      <c r="N182" s="129" t="str">
        <f>VLOOKUP(VALUE($B182),test_out_xwalk!$C:$L,8,FALSE)</f>
        <v>Airblast_Sparse</v>
      </c>
      <c r="O182" s="129" t="str">
        <f>VLOOKUP(VALUE($B182),test_out_xwalk!$C:$L,7,FALSE)</f>
        <v>Spray</v>
      </c>
      <c r="P182" s="129" t="str">
        <f>VLOOKUP(VALUE($B182),test_out_xwalk!$C:$L,4,FALSE)</f>
        <v>Pre-emergence</v>
      </c>
      <c r="Q182" s="129" t="str">
        <f>VLOOKUP(VALUE($B182),test_out_xwalk!$C:$L,9,FALSE)</f>
        <v>Other Orchards</v>
      </c>
      <c r="R182">
        <f>_xlfn.XLOOKUP(VALUE(B182),test_out_xwalk!$C:$C,test_out_xwalk!$A:$A)</f>
        <v>3</v>
      </c>
      <c r="T182" s="121" t="str">
        <f>IF('summary_EPA Pond'!$O182="","Check Summary EPA POND worksheet Column O",'summary_EPA Pond'!$O182)</f>
        <v xml:space="preserve">28_295501-20504-68_Orchard deciduous-r02-A_USEPA Pond_0080_median                     </v>
      </c>
      <c r="U182" s="121" t="str" cm="1">
        <f t="array" ref="U182:Z182">IFERROR(_xlfn.TEXTSPLIT(T182,"_"),"")</f>
        <v>28</v>
      </c>
      <c r="V182" t="str">
        <v>295501-20504-68</v>
      </c>
      <c r="W182" t="str">
        <v>Orchard deciduous-r02-A</v>
      </c>
      <c r="X182" t="str">
        <v>USEPA Pond</v>
      </c>
      <c r="Y182" t="str">
        <v>0080</v>
      </c>
      <c r="Z182" t="str">
        <v xml:space="preserve">median                     </v>
      </c>
      <c r="AA182" s="121" t="str" cm="1">
        <f t="array" ref="AA182:AC182">IF(W182="","",(_xlfn.TEXTSPLIT(W182,"-")))</f>
        <v>Orchard deciduous</v>
      </c>
      <c r="AB182" s="121" t="str">
        <v>r02</v>
      </c>
      <c r="AC182" t="str">
        <v>A</v>
      </c>
      <c r="AD182" s="129" t="str">
        <f>VLOOKUP(VALUE($U182),test_out_xwalk!$C:$L,3,FALSE)</f>
        <v>Apple-10-28</v>
      </c>
      <c r="AE182" s="129">
        <f>VLOOKUP(VALUE($U182),test_out_xwalk!$C:$L,5,FALSE)</f>
        <v>2</v>
      </c>
      <c r="AF182" s="129">
        <f>VLOOKUP(VALUE($U182),test_out_xwalk!$C:$L,6,FALSE)</f>
        <v>4</v>
      </c>
      <c r="AG182" s="129" t="str">
        <f>VLOOKUP(VALUE($U182),test_out_xwalk!$C:$L,8,FALSE)</f>
        <v>None</v>
      </c>
      <c r="AH182" s="129" t="str">
        <f>VLOOKUP(VALUE($U182),test_out_xwalk!$C:$L,7,FALSE)</f>
        <v>Spray</v>
      </c>
      <c r="AI182" s="129" t="str">
        <f>VLOOKUP(VALUE($U182),test_out_xwalk!$C:$L,4,FALSE)</f>
        <v>Post-emergence</v>
      </c>
      <c r="AJ182" s="129" t="str">
        <f>VLOOKUP(VALUE($U182),test_out_xwalk!$C:$L,9,FALSE)</f>
        <v>Other Orchards</v>
      </c>
      <c r="AK182">
        <f>_xlfn.XLOOKUP(VALUE(U182),test_out_xwalk!C:C,test_out_xwalk!A:A)</f>
        <v>10</v>
      </c>
    </row>
    <row r="183" spans="1:37" x14ac:dyDescent="0.55000000000000004">
      <c r="A183" s="121" t="str">
        <f>IF('summary_EPA Pond'!$A183="","Check Summary EPA POND worksheet Column A",'summary_EPA Pond'!$A183)</f>
        <v xml:space="preserve">11_53675-11396-74_Orchard deciduous-r15-A_USEPA Pond_0089_median                      </v>
      </c>
      <c r="B183" s="121" t="str" cm="1">
        <f t="array" ref="B183:G183">IFERROR(_xlfn.TEXTSPLIT(A183,"_"),"")</f>
        <v>11</v>
      </c>
      <c r="C183" t="str">
        <v>53675-11396-74</v>
      </c>
      <c r="D183" t="str">
        <v>Orchard deciduous-r15-A</v>
      </c>
      <c r="E183" t="str">
        <v>USEPA Pond</v>
      </c>
      <c r="F183" t="str">
        <v>0089</v>
      </c>
      <c r="G183" t="str">
        <v xml:space="preserve">median                      </v>
      </c>
      <c r="H183" s="121" t="str" cm="1">
        <f t="array" ref="H183:J183">IF(D183="","",(_xlfn.TEXTSPLIT(D183,"-")))</f>
        <v>Orchard deciduous</v>
      </c>
      <c r="I183" s="121" t="str">
        <v>r15</v>
      </c>
      <c r="J183" t="str">
        <v>A</v>
      </c>
      <c r="K183" s="129" t="str">
        <f>VLOOKUP(VALUE($B183),test_out_xwalk!$C:$L,3,FALSE)</f>
        <v>Almond-3-11</v>
      </c>
      <c r="L183" s="129">
        <f>VLOOKUP(VALUE($B183),test_out_xwalk!$C:$L,5,FALSE)</f>
        <v>1</v>
      </c>
      <c r="M183" s="129">
        <f>VLOOKUP(VALUE($B183),test_out_xwalk!$C:$L,6,FALSE)</f>
        <v>1</v>
      </c>
      <c r="N183" s="129" t="str">
        <f>VLOOKUP(VALUE($B183),test_out_xwalk!$C:$L,8,FALSE)</f>
        <v>Airblast_Sparse</v>
      </c>
      <c r="O183" s="129" t="str">
        <f>VLOOKUP(VALUE($B183),test_out_xwalk!$C:$L,7,FALSE)</f>
        <v>Spray</v>
      </c>
      <c r="P183" s="129" t="str">
        <f>VLOOKUP(VALUE($B183),test_out_xwalk!$C:$L,4,FALSE)</f>
        <v>Pre-emergence</v>
      </c>
      <c r="Q183" s="129" t="str">
        <f>VLOOKUP(VALUE($B183),test_out_xwalk!$C:$L,9,FALSE)</f>
        <v>Other Orchards</v>
      </c>
      <c r="R183">
        <f>_xlfn.XLOOKUP(VALUE(B183),test_out_xwalk!$C:$C,test_out_xwalk!$A:$A)</f>
        <v>3</v>
      </c>
      <c r="T183" s="121" t="str">
        <f>IF('summary_EPA Pond'!$O183="","Check Summary EPA POND worksheet Column O",'summary_EPA Pond'!$O183)</f>
        <v xml:space="preserve">28_130628-13873-74_Orchard deciduous-r03N-A_USEPA Pond_0080_median                    </v>
      </c>
      <c r="U183" s="121" t="str" cm="1">
        <f t="array" ref="U183:Z183">IFERROR(_xlfn.TEXTSPLIT(T183,"_"),"")</f>
        <v>28</v>
      </c>
      <c r="V183" t="str">
        <v>130628-13873-74</v>
      </c>
      <c r="W183" t="str">
        <v>Orchard deciduous-r03N-A</v>
      </c>
      <c r="X183" t="str">
        <v>USEPA Pond</v>
      </c>
      <c r="Y183" t="str">
        <v>0080</v>
      </c>
      <c r="Z183" t="str">
        <v xml:space="preserve">median                    </v>
      </c>
      <c r="AA183" s="121" t="str" cm="1">
        <f t="array" ref="AA183:AC183">IF(W183="","",(_xlfn.TEXTSPLIT(W183,"-")))</f>
        <v>Orchard deciduous</v>
      </c>
      <c r="AB183" s="121" t="str">
        <v>r03N</v>
      </c>
      <c r="AC183" t="str">
        <v>A</v>
      </c>
      <c r="AD183" s="129" t="str">
        <f>VLOOKUP(VALUE($U183),test_out_xwalk!$C:$L,3,FALSE)</f>
        <v>Apple-10-28</v>
      </c>
      <c r="AE183" s="129">
        <f>VLOOKUP(VALUE($U183),test_out_xwalk!$C:$L,5,FALSE)</f>
        <v>2</v>
      </c>
      <c r="AF183" s="129">
        <f>VLOOKUP(VALUE($U183),test_out_xwalk!$C:$L,6,FALSE)</f>
        <v>4</v>
      </c>
      <c r="AG183" s="129" t="str">
        <f>VLOOKUP(VALUE($U183),test_out_xwalk!$C:$L,8,FALSE)</f>
        <v>None</v>
      </c>
      <c r="AH183" s="129" t="str">
        <f>VLOOKUP(VALUE($U183),test_out_xwalk!$C:$L,7,FALSE)</f>
        <v>Spray</v>
      </c>
      <c r="AI183" s="129" t="str">
        <f>VLOOKUP(VALUE($U183),test_out_xwalk!$C:$L,4,FALSE)</f>
        <v>Post-emergence</v>
      </c>
      <c r="AJ183" s="129" t="str">
        <f>VLOOKUP(VALUE($U183),test_out_xwalk!$C:$L,9,FALSE)</f>
        <v>Other Orchards</v>
      </c>
      <c r="AK183">
        <f>_xlfn.XLOOKUP(VALUE(U183),test_out_xwalk!C:C,test_out_xwalk!A:A)</f>
        <v>10</v>
      </c>
    </row>
    <row r="184" spans="1:37" x14ac:dyDescent="0.55000000000000004">
      <c r="A184" s="121" t="str">
        <f>IF('summary_EPA Pond'!$A184="","Check Summary EPA POND worksheet Column A",'summary_EPA Pond'!$A184)</f>
        <v xml:space="preserve">11_483390-18938-66_Orchard deciduous-r16-A_USEPA Pond_0089_median                     </v>
      </c>
      <c r="B184" s="121" t="str" cm="1">
        <f t="array" ref="B184:G184">IFERROR(_xlfn.TEXTSPLIT(A184,"_"),"")</f>
        <v>11</v>
      </c>
      <c r="C184" t="str">
        <v>483390-18938-66</v>
      </c>
      <c r="D184" t="str">
        <v>Orchard deciduous-r16-A</v>
      </c>
      <c r="E184" t="str">
        <v>USEPA Pond</v>
      </c>
      <c r="F184" t="str">
        <v>0089</v>
      </c>
      <c r="G184" t="str">
        <v xml:space="preserve">median                     </v>
      </c>
      <c r="H184" s="121" t="str" cm="1">
        <f t="array" ref="H184:J184">IF(D184="","",(_xlfn.TEXTSPLIT(D184,"-")))</f>
        <v>Orchard deciduous</v>
      </c>
      <c r="I184" s="121" t="str">
        <v>r16</v>
      </c>
      <c r="J184" t="str">
        <v>A</v>
      </c>
      <c r="K184" s="129" t="str">
        <f>VLOOKUP(VALUE($B184),test_out_xwalk!$C:$L,3,FALSE)</f>
        <v>Almond-3-11</v>
      </c>
      <c r="L184" s="129">
        <f>VLOOKUP(VALUE($B184),test_out_xwalk!$C:$L,5,FALSE)</f>
        <v>1</v>
      </c>
      <c r="M184" s="129">
        <f>VLOOKUP(VALUE($B184),test_out_xwalk!$C:$L,6,FALSE)</f>
        <v>1</v>
      </c>
      <c r="N184" s="129" t="str">
        <f>VLOOKUP(VALUE($B184),test_out_xwalk!$C:$L,8,FALSE)</f>
        <v>Airblast_Sparse</v>
      </c>
      <c r="O184" s="129" t="str">
        <f>VLOOKUP(VALUE($B184),test_out_xwalk!$C:$L,7,FALSE)</f>
        <v>Spray</v>
      </c>
      <c r="P184" s="129" t="str">
        <f>VLOOKUP(VALUE($B184),test_out_xwalk!$C:$L,4,FALSE)</f>
        <v>Pre-emergence</v>
      </c>
      <c r="Q184" s="129" t="str">
        <f>VLOOKUP(VALUE($B184),test_out_xwalk!$C:$L,9,FALSE)</f>
        <v>Other Orchards</v>
      </c>
      <c r="R184">
        <f>_xlfn.XLOOKUP(VALUE(B184),test_out_xwalk!$C:$C,test_out_xwalk!$A:$A)</f>
        <v>3</v>
      </c>
      <c r="T184" s="121" t="str">
        <f>IF('summary_EPA Pond'!$O184="","Check Summary EPA POND worksheet Column O",'summary_EPA Pond'!$O184)</f>
        <v xml:space="preserve">28_125133-11268-74_Orchard deciduous-r03S-A_USEPA Pond_0080_median                    </v>
      </c>
      <c r="U184" s="121" t="str" cm="1">
        <f t="array" ref="U184:Z184">IFERROR(_xlfn.TEXTSPLIT(T184,"_"),"")</f>
        <v>28</v>
      </c>
      <c r="V184" t="str">
        <v>125133-11268-74</v>
      </c>
      <c r="W184" t="str">
        <v>Orchard deciduous-r03S-A</v>
      </c>
      <c r="X184" t="str">
        <v>USEPA Pond</v>
      </c>
      <c r="Y184" t="str">
        <v>0080</v>
      </c>
      <c r="Z184" t="str">
        <v xml:space="preserve">median                    </v>
      </c>
      <c r="AA184" s="121" t="str" cm="1">
        <f t="array" ref="AA184:AC184">IF(W184="","",(_xlfn.TEXTSPLIT(W184,"-")))</f>
        <v>Orchard deciduous</v>
      </c>
      <c r="AB184" s="121" t="str">
        <v>r03S</v>
      </c>
      <c r="AC184" t="str">
        <v>A</v>
      </c>
      <c r="AD184" s="129" t="str">
        <f>VLOOKUP(VALUE($U184),test_out_xwalk!$C:$L,3,FALSE)</f>
        <v>Apple-10-28</v>
      </c>
      <c r="AE184" s="129">
        <f>VLOOKUP(VALUE($U184),test_out_xwalk!$C:$L,5,FALSE)</f>
        <v>2</v>
      </c>
      <c r="AF184" s="129">
        <f>VLOOKUP(VALUE($U184),test_out_xwalk!$C:$L,6,FALSE)</f>
        <v>4</v>
      </c>
      <c r="AG184" s="129" t="str">
        <f>VLOOKUP(VALUE($U184),test_out_xwalk!$C:$L,8,FALSE)</f>
        <v>None</v>
      </c>
      <c r="AH184" s="129" t="str">
        <f>VLOOKUP(VALUE($U184),test_out_xwalk!$C:$L,7,FALSE)</f>
        <v>Spray</v>
      </c>
      <c r="AI184" s="129" t="str">
        <f>VLOOKUP(VALUE($U184),test_out_xwalk!$C:$L,4,FALSE)</f>
        <v>Post-emergence</v>
      </c>
      <c r="AJ184" s="129" t="str">
        <f>VLOOKUP(VALUE($U184),test_out_xwalk!$C:$L,9,FALSE)</f>
        <v>Other Orchards</v>
      </c>
      <c r="AK184">
        <f>_xlfn.XLOOKUP(VALUE(U184),test_out_xwalk!C:C,test_out_xwalk!A:A)</f>
        <v>10</v>
      </c>
    </row>
    <row r="185" spans="1:37" x14ac:dyDescent="0.55000000000000004">
      <c r="A185" s="121" t="str">
        <f>IF('summary_EPA Pond'!$A185="","Check Summary EPA POND worksheet Column A",'summary_EPA Pond'!$A185)</f>
        <v xml:space="preserve">11_62699-22668-71_Orchard deciduous-r17-A_USEPA Pond_0089_median                      </v>
      </c>
      <c r="B185" s="121" t="str" cm="1">
        <f t="array" ref="B185:G185">IFERROR(_xlfn.TEXTSPLIT(A185,"_"),"")</f>
        <v>11</v>
      </c>
      <c r="C185" t="str">
        <v>62699-22668-71</v>
      </c>
      <c r="D185" t="str">
        <v>Orchard deciduous-r17-A</v>
      </c>
      <c r="E185" t="str">
        <v>USEPA Pond</v>
      </c>
      <c r="F185" t="str">
        <v>0089</v>
      </c>
      <c r="G185" t="str">
        <v xml:space="preserve">median                      </v>
      </c>
      <c r="H185" s="121" t="str" cm="1">
        <f t="array" ref="H185:J185">IF(D185="","",(_xlfn.TEXTSPLIT(D185,"-")))</f>
        <v>Orchard deciduous</v>
      </c>
      <c r="I185" s="121" t="str">
        <v>r17</v>
      </c>
      <c r="J185" t="str">
        <v>A</v>
      </c>
      <c r="K185" s="129" t="str">
        <f>VLOOKUP(VALUE($B185),test_out_xwalk!$C:$L,3,FALSE)</f>
        <v>Almond-3-11</v>
      </c>
      <c r="L185" s="129">
        <f>VLOOKUP(VALUE($B185),test_out_xwalk!$C:$L,5,FALSE)</f>
        <v>1</v>
      </c>
      <c r="M185" s="129">
        <f>VLOOKUP(VALUE($B185),test_out_xwalk!$C:$L,6,FALSE)</f>
        <v>1</v>
      </c>
      <c r="N185" s="129" t="str">
        <f>VLOOKUP(VALUE($B185),test_out_xwalk!$C:$L,8,FALSE)</f>
        <v>Airblast_Sparse</v>
      </c>
      <c r="O185" s="129" t="str">
        <f>VLOOKUP(VALUE($B185),test_out_xwalk!$C:$L,7,FALSE)</f>
        <v>Spray</v>
      </c>
      <c r="P185" s="129" t="str">
        <f>VLOOKUP(VALUE($B185),test_out_xwalk!$C:$L,4,FALSE)</f>
        <v>Pre-emergence</v>
      </c>
      <c r="Q185" s="129" t="str">
        <f>VLOOKUP(VALUE($B185),test_out_xwalk!$C:$L,9,FALSE)</f>
        <v>Other Orchards</v>
      </c>
      <c r="R185">
        <f>_xlfn.XLOOKUP(VALUE(B185),test_out_xwalk!$C:$C,test_out_xwalk!$A:$A)</f>
        <v>3</v>
      </c>
      <c r="T185" s="121" t="str">
        <f>IF('summary_EPA Pond'!$O185="","Check Summary EPA POND worksheet Column O",'summary_EPA Pond'!$O185)</f>
        <v xml:space="preserve">28_2455410-11258-67_Orchard deciduous-r03W-A_USEPA Pond_0080_median                   </v>
      </c>
      <c r="U185" s="121" t="str" cm="1">
        <f t="array" ref="U185:Z185">IFERROR(_xlfn.TEXTSPLIT(T185,"_"),"")</f>
        <v>28</v>
      </c>
      <c r="V185" t="str">
        <v>2455410-11258-67</v>
      </c>
      <c r="W185" t="str">
        <v>Orchard deciduous-r03W-A</v>
      </c>
      <c r="X185" t="str">
        <v>USEPA Pond</v>
      </c>
      <c r="Y185" t="str">
        <v>0080</v>
      </c>
      <c r="Z185" t="str">
        <v xml:space="preserve">median                   </v>
      </c>
      <c r="AA185" s="121" t="str" cm="1">
        <f t="array" ref="AA185:AC185">IF(W185="","",(_xlfn.TEXTSPLIT(W185,"-")))</f>
        <v>Orchard deciduous</v>
      </c>
      <c r="AB185" s="121" t="str">
        <v>r03W</v>
      </c>
      <c r="AC185" t="str">
        <v>A</v>
      </c>
      <c r="AD185" s="129" t="str">
        <f>VLOOKUP(VALUE($U185),test_out_xwalk!$C:$L,3,FALSE)</f>
        <v>Apple-10-28</v>
      </c>
      <c r="AE185" s="129">
        <f>VLOOKUP(VALUE($U185),test_out_xwalk!$C:$L,5,FALSE)</f>
        <v>2</v>
      </c>
      <c r="AF185" s="129">
        <f>VLOOKUP(VALUE($U185),test_out_xwalk!$C:$L,6,FALSE)</f>
        <v>4</v>
      </c>
      <c r="AG185" s="129" t="str">
        <f>VLOOKUP(VALUE($U185),test_out_xwalk!$C:$L,8,FALSE)</f>
        <v>None</v>
      </c>
      <c r="AH185" s="129" t="str">
        <f>VLOOKUP(VALUE($U185),test_out_xwalk!$C:$L,7,FALSE)</f>
        <v>Spray</v>
      </c>
      <c r="AI185" s="129" t="str">
        <f>VLOOKUP(VALUE($U185),test_out_xwalk!$C:$L,4,FALSE)</f>
        <v>Post-emergence</v>
      </c>
      <c r="AJ185" s="129" t="str">
        <f>VLOOKUP(VALUE($U185),test_out_xwalk!$C:$L,9,FALSE)</f>
        <v>Other Orchards</v>
      </c>
      <c r="AK185">
        <f>_xlfn.XLOOKUP(VALUE(U185),test_out_xwalk!C:C,test_out_xwalk!A:A)</f>
        <v>10</v>
      </c>
    </row>
    <row r="186" spans="1:37" x14ac:dyDescent="0.55000000000000004">
      <c r="A186" s="121" t="str">
        <f>IF('summary_EPA Pond'!$A186="","Check Summary EPA POND worksheet Column A",'summary_EPA Pond'!$A186)</f>
        <v xml:space="preserve">11_462066-17012-75_Orchard deciduous-r18-A_USEPA Pond_0089_median                     </v>
      </c>
      <c r="B186" s="121" t="str" cm="1">
        <f t="array" ref="B186:G186">IFERROR(_xlfn.TEXTSPLIT(A186,"_"),"")</f>
        <v>11</v>
      </c>
      <c r="C186" t="str">
        <v>462066-17012-75</v>
      </c>
      <c r="D186" t="str">
        <v>Orchard deciduous-r18-A</v>
      </c>
      <c r="E186" t="str">
        <v>USEPA Pond</v>
      </c>
      <c r="F186" t="str">
        <v>0089</v>
      </c>
      <c r="G186" t="str">
        <v xml:space="preserve">median                     </v>
      </c>
      <c r="H186" s="121" t="str" cm="1">
        <f t="array" ref="H186:J186">IF(D186="","",(_xlfn.TEXTSPLIT(D186,"-")))</f>
        <v>Orchard deciduous</v>
      </c>
      <c r="I186" s="121" t="str">
        <v>r18</v>
      </c>
      <c r="J186" t="str">
        <v>A</v>
      </c>
      <c r="K186" s="129" t="str">
        <f>VLOOKUP(VALUE($B186),test_out_xwalk!$C:$L,3,FALSE)</f>
        <v>Almond-3-11</v>
      </c>
      <c r="L186" s="129">
        <f>VLOOKUP(VALUE($B186),test_out_xwalk!$C:$L,5,FALSE)</f>
        <v>1</v>
      </c>
      <c r="M186" s="129">
        <f>VLOOKUP(VALUE($B186),test_out_xwalk!$C:$L,6,FALSE)</f>
        <v>1</v>
      </c>
      <c r="N186" s="129" t="str">
        <f>VLOOKUP(VALUE($B186),test_out_xwalk!$C:$L,8,FALSE)</f>
        <v>Airblast_Sparse</v>
      </c>
      <c r="O186" s="129" t="str">
        <f>VLOOKUP(VALUE($B186),test_out_xwalk!$C:$L,7,FALSE)</f>
        <v>Spray</v>
      </c>
      <c r="P186" s="129" t="str">
        <f>VLOOKUP(VALUE($B186),test_out_xwalk!$C:$L,4,FALSE)</f>
        <v>Pre-emergence</v>
      </c>
      <c r="Q186" s="129" t="str">
        <f>VLOOKUP(VALUE($B186),test_out_xwalk!$C:$L,9,FALSE)</f>
        <v>Other Orchards</v>
      </c>
      <c r="R186">
        <f>_xlfn.XLOOKUP(VALUE(B186),test_out_xwalk!$C:$C,test_out_xwalk!$A:$A)</f>
        <v>3</v>
      </c>
      <c r="T186" s="121" t="str">
        <f>IF('summary_EPA Pond'!$O186="","Check Summary EPA POND worksheet Column O",'summary_EPA Pond'!$O186)</f>
        <v xml:space="preserve">28_292675-21905-68_Orchard deciduous-r04-A_USEPA Pond_0080_median                     </v>
      </c>
      <c r="U186" s="121" t="str" cm="1">
        <f t="array" ref="U186:Z186">IFERROR(_xlfn.TEXTSPLIT(T186,"_"),"")</f>
        <v>28</v>
      </c>
      <c r="V186" t="str">
        <v>292675-21905-68</v>
      </c>
      <c r="W186" t="str">
        <v>Orchard deciduous-r04-A</v>
      </c>
      <c r="X186" t="str">
        <v>USEPA Pond</v>
      </c>
      <c r="Y186" t="str">
        <v>0080</v>
      </c>
      <c r="Z186" t="str">
        <v xml:space="preserve">median                     </v>
      </c>
      <c r="AA186" s="121" t="str" cm="1">
        <f t="array" ref="AA186:AC186">IF(W186="","",(_xlfn.TEXTSPLIT(W186,"-")))</f>
        <v>Orchard deciduous</v>
      </c>
      <c r="AB186" s="121" t="str">
        <v>r04</v>
      </c>
      <c r="AC186" t="str">
        <v>A</v>
      </c>
      <c r="AD186" s="129" t="str">
        <f>VLOOKUP(VALUE($U186),test_out_xwalk!$C:$L,3,FALSE)</f>
        <v>Apple-10-28</v>
      </c>
      <c r="AE186" s="129">
        <f>VLOOKUP(VALUE($U186),test_out_xwalk!$C:$L,5,FALSE)</f>
        <v>2</v>
      </c>
      <c r="AF186" s="129">
        <f>VLOOKUP(VALUE($U186),test_out_xwalk!$C:$L,6,FALSE)</f>
        <v>4</v>
      </c>
      <c r="AG186" s="129" t="str">
        <f>VLOOKUP(VALUE($U186),test_out_xwalk!$C:$L,8,FALSE)</f>
        <v>None</v>
      </c>
      <c r="AH186" s="129" t="str">
        <f>VLOOKUP(VALUE($U186),test_out_xwalk!$C:$L,7,FALSE)</f>
        <v>Spray</v>
      </c>
      <c r="AI186" s="129" t="str">
        <f>VLOOKUP(VALUE($U186),test_out_xwalk!$C:$L,4,FALSE)</f>
        <v>Post-emergence</v>
      </c>
      <c r="AJ186" s="129" t="str">
        <f>VLOOKUP(VALUE($U186),test_out_xwalk!$C:$L,9,FALSE)</f>
        <v>Other Orchards</v>
      </c>
      <c r="AK186">
        <f>_xlfn.XLOOKUP(VALUE(U186),test_out_xwalk!C:C,test_out_xwalk!A:A)</f>
        <v>10</v>
      </c>
    </row>
    <row r="187" spans="1:37" x14ac:dyDescent="0.55000000000000004">
      <c r="A187" s="121" t="str">
        <f>IF('summary_EPA Pond'!$A187="","Check Summary EPA POND worksheet Column A",'summary_EPA Pond'!$A187)</f>
        <v xml:space="preserve">13_1151415-6314-212_Orchard evergreen-r03S-A_USEPA Pond_0010_median                   </v>
      </c>
      <c r="B187" s="121" t="str" cm="1">
        <f t="array" ref="B187:G187">IFERROR(_xlfn.TEXTSPLIT(A187,"_"),"")</f>
        <v>13</v>
      </c>
      <c r="C187" t="str">
        <v>1151415-6314-212</v>
      </c>
      <c r="D187" t="str">
        <v>Orchard evergreen-r03S-A</v>
      </c>
      <c r="E187" t="str">
        <v>USEPA Pond</v>
      </c>
      <c r="F187" t="str">
        <v>0010</v>
      </c>
      <c r="G187" t="str">
        <v xml:space="preserve">median                   </v>
      </c>
      <c r="H187" s="121" t="str" cm="1">
        <f t="array" ref="H187:J187">IF(D187="","",(_xlfn.TEXTSPLIT(D187,"-")))</f>
        <v>Orchard evergreen</v>
      </c>
      <c r="I187" s="121" t="str">
        <v>r03S</v>
      </c>
      <c r="J187" t="str">
        <v>A</v>
      </c>
      <c r="K187" s="129" t="str">
        <f>VLOOKUP(VALUE($B187),test_out_xwalk!$C:$L,3,FALSE)</f>
        <v>Citrus hybrids,Â Citrus spp.Â EremocitrusÂ spp.,Â FortunellaÂ spp.,Â MicrocitrusÂ spp., andÂ PoncirusÂ spp-4-13</v>
      </c>
      <c r="L187" s="129">
        <f>VLOOKUP(VALUE($B187),test_out_xwalk!$C:$L,5,FALSE)</f>
        <v>1</v>
      </c>
      <c r="M187" s="129">
        <f>VLOOKUP(VALUE($B187),test_out_xwalk!$C:$L,6,FALSE)</f>
        <v>1.5</v>
      </c>
      <c r="N187" s="129" t="str">
        <f>VLOOKUP(VALUE($B187),test_out_xwalk!$C:$L,8,FALSE)</f>
        <v>Aerial_Very_Coarse</v>
      </c>
      <c r="O187" s="129" t="str">
        <f>VLOOKUP(VALUE($B187),test_out_xwalk!$C:$L,7,FALSE)</f>
        <v>Spray</v>
      </c>
      <c r="P187" s="129" t="str">
        <f>VLOOKUP(VALUE($B187),test_out_xwalk!$C:$L,4,FALSE)</f>
        <v>Pre-emergence</v>
      </c>
      <c r="Q187" s="129" t="str">
        <f>VLOOKUP(VALUE($B187),test_out_xwalk!$C:$L,9,FALSE)</f>
        <v>Citrus</v>
      </c>
      <c r="R187">
        <f>_xlfn.XLOOKUP(VALUE(B187),test_out_xwalk!$C:$C,test_out_xwalk!$A:$A)</f>
        <v>4</v>
      </c>
      <c r="T187" s="121" t="str">
        <f>IF('summary_EPA Pond'!$O187="","Check Summary EPA POND worksheet Column O",'summary_EPA Pond'!$O187)</f>
        <v xml:space="preserve">28_298742-19770-68_Orchard deciduous-r05-A_USEPA Pond_0080_median                     </v>
      </c>
      <c r="U187" s="121" t="str" cm="1">
        <f t="array" ref="U187:Z187">IFERROR(_xlfn.TEXTSPLIT(T187,"_"),"")</f>
        <v>28</v>
      </c>
      <c r="V187" t="str">
        <v>298742-19770-68</v>
      </c>
      <c r="W187" t="str">
        <v>Orchard deciduous-r05-A</v>
      </c>
      <c r="X187" t="str">
        <v>USEPA Pond</v>
      </c>
      <c r="Y187" t="str">
        <v>0080</v>
      </c>
      <c r="Z187" t="str">
        <v xml:space="preserve">median                     </v>
      </c>
      <c r="AA187" s="121" t="str" cm="1">
        <f t="array" ref="AA187:AC187">IF(W187="","",(_xlfn.TEXTSPLIT(W187,"-")))</f>
        <v>Orchard deciduous</v>
      </c>
      <c r="AB187" s="121" t="str">
        <v>r05</v>
      </c>
      <c r="AC187" t="str">
        <v>A</v>
      </c>
      <c r="AD187" s="129" t="str">
        <f>VLOOKUP(VALUE($U187),test_out_xwalk!$C:$L,3,FALSE)</f>
        <v>Apple-10-28</v>
      </c>
      <c r="AE187" s="129">
        <f>VLOOKUP(VALUE($U187),test_out_xwalk!$C:$L,5,FALSE)</f>
        <v>2</v>
      </c>
      <c r="AF187" s="129">
        <f>VLOOKUP(VALUE($U187),test_out_xwalk!$C:$L,6,FALSE)</f>
        <v>4</v>
      </c>
      <c r="AG187" s="129" t="str">
        <f>VLOOKUP(VALUE($U187),test_out_xwalk!$C:$L,8,FALSE)</f>
        <v>None</v>
      </c>
      <c r="AH187" s="129" t="str">
        <f>VLOOKUP(VALUE($U187),test_out_xwalk!$C:$L,7,FALSE)</f>
        <v>Spray</v>
      </c>
      <c r="AI187" s="129" t="str">
        <f>VLOOKUP(VALUE($U187),test_out_xwalk!$C:$L,4,FALSE)</f>
        <v>Post-emergence</v>
      </c>
      <c r="AJ187" s="129" t="str">
        <f>VLOOKUP(VALUE($U187),test_out_xwalk!$C:$L,9,FALSE)</f>
        <v>Other Orchards</v>
      </c>
      <c r="AK187">
        <f>_xlfn.XLOOKUP(VALUE(U187),test_out_xwalk!C:C,test_out_xwalk!A:A)</f>
        <v>10</v>
      </c>
    </row>
    <row r="188" spans="1:37" x14ac:dyDescent="0.55000000000000004">
      <c r="A188" s="121" t="str">
        <f>IF('summary_EPA Pond'!$A188="","Check Summary EPA POND worksheet Column A",'summary_EPA Pond'!$A188)</f>
        <v xml:space="preserve">13_1017242-10309-212_Orchard evergreen-r03W-A_USEPA Pond_0010_median                  </v>
      </c>
      <c r="B188" s="121" t="str" cm="1">
        <f t="array" ref="B188:G188">IFERROR(_xlfn.TEXTSPLIT(A188,"_"),"")</f>
        <v>13</v>
      </c>
      <c r="C188" t="str">
        <v>1017242-10309-212</v>
      </c>
      <c r="D188" t="str">
        <v>Orchard evergreen-r03W-A</v>
      </c>
      <c r="E188" t="str">
        <v>USEPA Pond</v>
      </c>
      <c r="F188" t="str">
        <v>0010</v>
      </c>
      <c r="G188" t="str">
        <v xml:space="preserve">median                  </v>
      </c>
      <c r="H188" s="121" t="str" cm="1">
        <f t="array" ref="H188:J188">IF(D188="","",(_xlfn.TEXTSPLIT(D188,"-")))</f>
        <v>Orchard evergreen</v>
      </c>
      <c r="I188" s="121" t="str">
        <v>r03W</v>
      </c>
      <c r="J188" t="str">
        <v>A</v>
      </c>
      <c r="K188" s="129" t="str">
        <f>VLOOKUP(VALUE($B188),test_out_xwalk!$C:$L,3,FALSE)</f>
        <v>Citrus hybrids,Â Citrus spp.Â EremocitrusÂ spp.,Â FortunellaÂ spp.,Â MicrocitrusÂ spp., andÂ PoncirusÂ spp-4-13</v>
      </c>
      <c r="L188" s="129">
        <f>VLOOKUP(VALUE($B188),test_out_xwalk!$C:$L,5,FALSE)</f>
        <v>1</v>
      </c>
      <c r="M188" s="129">
        <f>VLOOKUP(VALUE($B188),test_out_xwalk!$C:$L,6,FALSE)</f>
        <v>1.5</v>
      </c>
      <c r="N188" s="129" t="str">
        <f>VLOOKUP(VALUE($B188),test_out_xwalk!$C:$L,8,FALSE)</f>
        <v>Aerial_Very_Coarse</v>
      </c>
      <c r="O188" s="129" t="str">
        <f>VLOOKUP(VALUE($B188),test_out_xwalk!$C:$L,7,FALSE)</f>
        <v>Spray</v>
      </c>
      <c r="P188" s="129" t="str">
        <f>VLOOKUP(VALUE($B188),test_out_xwalk!$C:$L,4,FALSE)</f>
        <v>Pre-emergence</v>
      </c>
      <c r="Q188" s="129" t="str">
        <f>VLOOKUP(VALUE($B188),test_out_xwalk!$C:$L,9,FALSE)</f>
        <v>Citrus</v>
      </c>
      <c r="R188">
        <f>_xlfn.XLOOKUP(VALUE(B188),test_out_xwalk!$C:$C,test_out_xwalk!$A:$A)</f>
        <v>4</v>
      </c>
      <c r="T188" s="121" t="str">
        <f>IF('summary_EPA Pond'!$O188="","Check Summary EPA POND worksheet Column O",'summary_EPA Pond'!$O188)</f>
        <v xml:space="preserve">28_546865-14571-68_Orchard deciduous-r06-A_USEPA Pond_0080_median                     </v>
      </c>
      <c r="U188" s="121" t="str" cm="1">
        <f t="array" ref="U188:Z188">IFERROR(_xlfn.TEXTSPLIT(T188,"_"),"")</f>
        <v>28</v>
      </c>
      <c r="V188" t="str">
        <v>546865-14571-68</v>
      </c>
      <c r="W188" t="str">
        <v>Orchard deciduous-r06-A</v>
      </c>
      <c r="X188" t="str">
        <v>USEPA Pond</v>
      </c>
      <c r="Y188" t="str">
        <v>0080</v>
      </c>
      <c r="Z188" t="str">
        <v xml:space="preserve">median                     </v>
      </c>
      <c r="AA188" s="121" t="str" cm="1">
        <f t="array" ref="AA188:AC188">IF(W188="","",(_xlfn.TEXTSPLIT(W188,"-")))</f>
        <v>Orchard deciduous</v>
      </c>
      <c r="AB188" s="121" t="str">
        <v>r06</v>
      </c>
      <c r="AC188" t="str">
        <v>A</v>
      </c>
      <c r="AD188" s="129" t="str">
        <f>VLOOKUP(VALUE($U188),test_out_xwalk!$C:$L,3,FALSE)</f>
        <v>Apple-10-28</v>
      </c>
      <c r="AE188" s="129">
        <f>VLOOKUP(VALUE($U188),test_out_xwalk!$C:$L,5,FALSE)</f>
        <v>2</v>
      </c>
      <c r="AF188" s="129">
        <f>VLOOKUP(VALUE($U188),test_out_xwalk!$C:$L,6,FALSE)</f>
        <v>4</v>
      </c>
      <c r="AG188" s="129" t="str">
        <f>VLOOKUP(VALUE($U188),test_out_xwalk!$C:$L,8,FALSE)</f>
        <v>None</v>
      </c>
      <c r="AH188" s="129" t="str">
        <f>VLOOKUP(VALUE($U188),test_out_xwalk!$C:$L,7,FALSE)</f>
        <v>Spray</v>
      </c>
      <c r="AI188" s="129" t="str">
        <f>VLOOKUP(VALUE($U188),test_out_xwalk!$C:$L,4,FALSE)</f>
        <v>Post-emergence</v>
      </c>
      <c r="AJ188" s="129" t="str">
        <f>VLOOKUP(VALUE($U188),test_out_xwalk!$C:$L,9,FALSE)</f>
        <v>Other Orchards</v>
      </c>
      <c r="AK188">
        <f>_xlfn.XLOOKUP(VALUE(U188),test_out_xwalk!C:C,test_out_xwalk!A:A)</f>
        <v>10</v>
      </c>
    </row>
    <row r="189" spans="1:37" x14ac:dyDescent="0.55000000000000004">
      <c r="A189" s="121" t="str">
        <f>IF('summary_EPA Pond'!$A189="","Check Summary EPA POND worksheet Column A",'summary_EPA Pond'!$A189)</f>
        <v xml:space="preserve">13_576089-12632-72_Orchard evergreen-r11-A_USEPA Pond_0010_median                     </v>
      </c>
      <c r="B189" s="121" t="str" cm="1">
        <f t="array" ref="B189:G189">IFERROR(_xlfn.TEXTSPLIT(A189,"_"),"")</f>
        <v>13</v>
      </c>
      <c r="C189" t="str">
        <v>576089-12632-72</v>
      </c>
      <c r="D189" t="str">
        <v>Orchard evergreen-r11-A</v>
      </c>
      <c r="E189" t="str">
        <v>USEPA Pond</v>
      </c>
      <c r="F189" t="str">
        <v>0010</v>
      </c>
      <c r="G189" t="str">
        <v xml:space="preserve">median                     </v>
      </c>
      <c r="H189" s="121" t="str" cm="1">
        <f t="array" ref="H189:J189">IF(D189="","",(_xlfn.TEXTSPLIT(D189,"-")))</f>
        <v>Orchard evergreen</v>
      </c>
      <c r="I189" s="121" t="str">
        <v>r11</v>
      </c>
      <c r="J189" t="str">
        <v>A</v>
      </c>
      <c r="K189" s="129" t="str">
        <f>VLOOKUP(VALUE($B189),test_out_xwalk!$C:$L,3,FALSE)</f>
        <v>Citrus hybrids,Â Citrus spp.Â EremocitrusÂ spp.,Â FortunellaÂ spp.,Â MicrocitrusÂ spp., andÂ PoncirusÂ spp-4-13</v>
      </c>
      <c r="L189" s="129">
        <f>VLOOKUP(VALUE($B189),test_out_xwalk!$C:$L,5,FALSE)</f>
        <v>1</v>
      </c>
      <c r="M189" s="129">
        <f>VLOOKUP(VALUE($B189),test_out_xwalk!$C:$L,6,FALSE)</f>
        <v>1.5</v>
      </c>
      <c r="N189" s="129" t="str">
        <f>VLOOKUP(VALUE($B189),test_out_xwalk!$C:$L,8,FALSE)</f>
        <v>Aerial_Very_Coarse</v>
      </c>
      <c r="O189" s="129" t="str">
        <f>VLOOKUP(VALUE($B189),test_out_xwalk!$C:$L,7,FALSE)</f>
        <v>Spray</v>
      </c>
      <c r="P189" s="129" t="str">
        <f>VLOOKUP(VALUE($B189),test_out_xwalk!$C:$L,4,FALSE)</f>
        <v>Pre-emergence</v>
      </c>
      <c r="Q189" s="129" t="str">
        <f>VLOOKUP(VALUE($B189),test_out_xwalk!$C:$L,9,FALSE)</f>
        <v>Citrus</v>
      </c>
      <c r="R189">
        <f>_xlfn.XLOOKUP(VALUE(B189),test_out_xwalk!$C:$C,test_out_xwalk!$A:$A)</f>
        <v>4</v>
      </c>
      <c r="T189" s="121" t="str">
        <f>IF('summary_EPA Pond'!$O189="","Check Summary EPA POND worksheet Column O",'summary_EPA Pond'!$O189)</f>
        <v xml:space="preserve">28_396439-23493-68_Orchard deciduous-r07-A_USEPA Pond_0080_median                     </v>
      </c>
      <c r="U189" s="121" t="str" cm="1">
        <f t="array" ref="U189:Z189">IFERROR(_xlfn.TEXTSPLIT(T189,"_"),"")</f>
        <v>28</v>
      </c>
      <c r="V189" t="str">
        <v>396439-23493-68</v>
      </c>
      <c r="W189" t="str">
        <v>Orchard deciduous-r07-A</v>
      </c>
      <c r="X189" t="str">
        <v>USEPA Pond</v>
      </c>
      <c r="Y189" t="str">
        <v>0080</v>
      </c>
      <c r="Z189" t="str">
        <v xml:space="preserve">median                     </v>
      </c>
      <c r="AA189" s="121" t="str" cm="1">
        <f t="array" ref="AA189:AC189">IF(W189="","",(_xlfn.TEXTSPLIT(W189,"-")))</f>
        <v>Orchard deciduous</v>
      </c>
      <c r="AB189" s="121" t="str">
        <v>r07</v>
      </c>
      <c r="AC189" t="str">
        <v>A</v>
      </c>
      <c r="AD189" s="129" t="str">
        <f>VLOOKUP(VALUE($U189),test_out_xwalk!$C:$L,3,FALSE)</f>
        <v>Apple-10-28</v>
      </c>
      <c r="AE189" s="129">
        <f>VLOOKUP(VALUE($U189),test_out_xwalk!$C:$L,5,FALSE)</f>
        <v>2</v>
      </c>
      <c r="AF189" s="129">
        <f>VLOOKUP(VALUE($U189),test_out_xwalk!$C:$L,6,FALSE)</f>
        <v>4</v>
      </c>
      <c r="AG189" s="129" t="str">
        <f>VLOOKUP(VALUE($U189),test_out_xwalk!$C:$L,8,FALSE)</f>
        <v>None</v>
      </c>
      <c r="AH189" s="129" t="str">
        <f>VLOOKUP(VALUE($U189),test_out_xwalk!$C:$L,7,FALSE)</f>
        <v>Spray</v>
      </c>
      <c r="AI189" s="129" t="str">
        <f>VLOOKUP(VALUE($U189),test_out_xwalk!$C:$L,4,FALSE)</f>
        <v>Post-emergence</v>
      </c>
      <c r="AJ189" s="129" t="str">
        <f>VLOOKUP(VALUE($U189),test_out_xwalk!$C:$L,9,FALSE)</f>
        <v>Other Orchards</v>
      </c>
      <c r="AK189">
        <f>_xlfn.XLOOKUP(VALUE(U189),test_out_xwalk!C:C,test_out_xwalk!A:A)</f>
        <v>10</v>
      </c>
    </row>
    <row r="190" spans="1:37" x14ac:dyDescent="0.55000000000000004">
      <c r="A190" s="121" t="str">
        <f>IF('summary_EPA Pond'!$A190="","Check Summary EPA POND worksheet Column A",'summary_EPA Pond'!$A190)</f>
        <v xml:space="preserve">13_363322-6720-72_Orchard evergreen-r12-A_USEPA Pond_0010_median                      </v>
      </c>
      <c r="B190" s="121" t="str" cm="1">
        <f t="array" ref="B190:G190">IFERROR(_xlfn.TEXTSPLIT(A190,"_"),"")</f>
        <v>13</v>
      </c>
      <c r="C190" t="str">
        <v>363322-6720-72</v>
      </c>
      <c r="D190" t="str">
        <v>Orchard evergreen-r12-A</v>
      </c>
      <c r="E190" t="str">
        <v>USEPA Pond</v>
      </c>
      <c r="F190" t="str">
        <v>0010</v>
      </c>
      <c r="G190" t="str">
        <v xml:space="preserve">median                      </v>
      </c>
      <c r="H190" s="121" t="str" cm="1">
        <f t="array" ref="H190:J190">IF(D190="","",(_xlfn.TEXTSPLIT(D190,"-")))</f>
        <v>Orchard evergreen</v>
      </c>
      <c r="I190" s="121" t="str">
        <v>r12</v>
      </c>
      <c r="J190" t="str">
        <v>A</v>
      </c>
      <c r="K190" s="129" t="str">
        <f>VLOOKUP(VALUE($B190),test_out_xwalk!$C:$L,3,FALSE)</f>
        <v>Citrus hybrids,Â Citrus spp.Â EremocitrusÂ spp.,Â FortunellaÂ spp.,Â MicrocitrusÂ spp., andÂ PoncirusÂ spp-4-13</v>
      </c>
      <c r="L190" s="129">
        <f>VLOOKUP(VALUE($B190),test_out_xwalk!$C:$L,5,FALSE)</f>
        <v>1</v>
      </c>
      <c r="M190" s="129">
        <f>VLOOKUP(VALUE($B190),test_out_xwalk!$C:$L,6,FALSE)</f>
        <v>1.5</v>
      </c>
      <c r="N190" s="129" t="str">
        <f>VLOOKUP(VALUE($B190),test_out_xwalk!$C:$L,8,FALSE)</f>
        <v>Aerial_Very_Coarse</v>
      </c>
      <c r="O190" s="129" t="str">
        <f>VLOOKUP(VALUE($B190),test_out_xwalk!$C:$L,7,FALSE)</f>
        <v>Spray</v>
      </c>
      <c r="P190" s="129" t="str">
        <f>VLOOKUP(VALUE($B190),test_out_xwalk!$C:$L,4,FALSE)</f>
        <v>Pre-emergence</v>
      </c>
      <c r="Q190" s="129" t="str">
        <f>VLOOKUP(VALUE($B190),test_out_xwalk!$C:$L,9,FALSE)</f>
        <v>Citrus</v>
      </c>
      <c r="R190">
        <f>_xlfn.XLOOKUP(VALUE(B190),test_out_xwalk!$C:$C,test_out_xwalk!$A:$A)</f>
        <v>4</v>
      </c>
      <c r="T190" s="121" t="str">
        <f>IF('summary_EPA Pond'!$O190="","Check Summary EPA POND worksheet Column O",'summary_EPA Pond'!$O190)</f>
        <v xml:space="preserve">28_567494-13121-74_Orchard deciduous-r08-A_USEPA Pond_0080_median                     </v>
      </c>
      <c r="U190" s="121" t="str" cm="1">
        <f t="array" ref="U190:Z190">IFERROR(_xlfn.TEXTSPLIT(T190,"_"),"")</f>
        <v>28</v>
      </c>
      <c r="V190" t="str">
        <v>567494-13121-74</v>
      </c>
      <c r="W190" t="str">
        <v>Orchard deciduous-r08-A</v>
      </c>
      <c r="X190" t="str">
        <v>USEPA Pond</v>
      </c>
      <c r="Y190" t="str">
        <v>0080</v>
      </c>
      <c r="Z190" t="str">
        <v xml:space="preserve">median                     </v>
      </c>
      <c r="AA190" s="121" t="str" cm="1">
        <f t="array" ref="AA190:AC190">IF(W190="","",(_xlfn.TEXTSPLIT(W190,"-")))</f>
        <v>Orchard deciduous</v>
      </c>
      <c r="AB190" s="121" t="str">
        <v>r08</v>
      </c>
      <c r="AC190" t="str">
        <v>A</v>
      </c>
      <c r="AD190" s="129" t="str">
        <f>VLOOKUP(VALUE($U190),test_out_xwalk!$C:$L,3,FALSE)</f>
        <v>Apple-10-28</v>
      </c>
      <c r="AE190" s="129">
        <f>VLOOKUP(VALUE($U190),test_out_xwalk!$C:$L,5,FALSE)</f>
        <v>2</v>
      </c>
      <c r="AF190" s="129">
        <f>VLOOKUP(VALUE($U190),test_out_xwalk!$C:$L,6,FALSE)</f>
        <v>4</v>
      </c>
      <c r="AG190" s="129" t="str">
        <f>VLOOKUP(VALUE($U190),test_out_xwalk!$C:$L,8,FALSE)</f>
        <v>None</v>
      </c>
      <c r="AH190" s="129" t="str">
        <f>VLOOKUP(VALUE($U190),test_out_xwalk!$C:$L,7,FALSE)</f>
        <v>Spray</v>
      </c>
      <c r="AI190" s="129" t="str">
        <f>VLOOKUP(VALUE($U190),test_out_xwalk!$C:$L,4,FALSE)</f>
        <v>Post-emergence</v>
      </c>
      <c r="AJ190" s="129" t="str">
        <f>VLOOKUP(VALUE($U190),test_out_xwalk!$C:$L,9,FALSE)</f>
        <v>Other Orchards</v>
      </c>
      <c r="AK190">
        <f>_xlfn.XLOOKUP(VALUE(U190),test_out_xwalk!C:C,test_out_xwalk!A:A)</f>
        <v>10</v>
      </c>
    </row>
    <row r="191" spans="1:37" x14ac:dyDescent="0.55000000000000004">
      <c r="A191" s="121" t="str">
        <f>IF('summary_EPA Pond'!$A191="","Check Summary EPA POND worksheet Column A",'summary_EPA Pond'!$A191)</f>
        <v xml:space="preserve">13_367672-5777-72_Orchard evergreen-r13-A_USEPA Pond_0010_median                      </v>
      </c>
      <c r="B191" s="121" t="str" cm="1">
        <f t="array" ref="B191:G191">IFERROR(_xlfn.TEXTSPLIT(A191,"_"),"")</f>
        <v>13</v>
      </c>
      <c r="C191" t="str">
        <v>367672-5777-72</v>
      </c>
      <c r="D191" t="str">
        <v>Orchard evergreen-r13-A</v>
      </c>
      <c r="E191" t="str">
        <v>USEPA Pond</v>
      </c>
      <c r="F191" t="str">
        <v>0010</v>
      </c>
      <c r="G191" t="str">
        <v xml:space="preserve">median                      </v>
      </c>
      <c r="H191" s="121" t="str" cm="1">
        <f t="array" ref="H191:J191">IF(D191="","",(_xlfn.TEXTSPLIT(D191,"-")))</f>
        <v>Orchard evergreen</v>
      </c>
      <c r="I191" s="121" t="str">
        <v>r13</v>
      </c>
      <c r="J191" t="str">
        <v>A</v>
      </c>
      <c r="K191" s="129" t="str">
        <f>VLOOKUP(VALUE($B191),test_out_xwalk!$C:$L,3,FALSE)</f>
        <v>Citrus hybrids,Â Citrus spp.Â EremocitrusÂ spp.,Â FortunellaÂ spp.,Â MicrocitrusÂ spp., andÂ PoncirusÂ spp-4-13</v>
      </c>
      <c r="L191" s="129">
        <f>VLOOKUP(VALUE($B191),test_out_xwalk!$C:$L,5,FALSE)</f>
        <v>1</v>
      </c>
      <c r="M191" s="129">
        <f>VLOOKUP(VALUE($B191),test_out_xwalk!$C:$L,6,FALSE)</f>
        <v>1.5</v>
      </c>
      <c r="N191" s="129" t="str">
        <f>VLOOKUP(VALUE($B191),test_out_xwalk!$C:$L,8,FALSE)</f>
        <v>Aerial_Very_Coarse</v>
      </c>
      <c r="O191" s="129" t="str">
        <f>VLOOKUP(VALUE($B191),test_out_xwalk!$C:$L,7,FALSE)</f>
        <v>Spray</v>
      </c>
      <c r="P191" s="129" t="str">
        <f>VLOOKUP(VALUE($B191),test_out_xwalk!$C:$L,4,FALSE)</f>
        <v>Pre-emergence</v>
      </c>
      <c r="Q191" s="129" t="str">
        <f>VLOOKUP(VALUE($B191),test_out_xwalk!$C:$L,9,FALSE)</f>
        <v>Citrus</v>
      </c>
      <c r="R191">
        <f>_xlfn.XLOOKUP(VALUE(B191),test_out_xwalk!$C:$C,test_out_xwalk!$A:$A)</f>
        <v>4</v>
      </c>
      <c r="T191" s="121" t="str">
        <f>IF('summary_EPA Pond'!$O191="","Check Summary EPA POND worksheet Column O",'summary_EPA Pond'!$O191)</f>
        <v xml:space="preserve">28_2774572-26572-68_Orchard deciduous-r09-A_USEPA Pond_0080_median                    </v>
      </c>
      <c r="U191" s="121" t="str" cm="1">
        <f t="array" ref="U191:Z191">IFERROR(_xlfn.TEXTSPLIT(T191,"_"),"")</f>
        <v>28</v>
      </c>
      <c r="V191" t="str">
        <v>2774572-26572-68</v>
      </c>
      <c r="W191" t="str">
        <v>Orchard deciduous-r09-A</v>
      </c>
      <c r="X191" t="str">
        <v>USEPA Pond</v>
      </c>
      <c r="Y191" t="str">
        <v>0080</v>
      </c>
      <c r="Z191" t="str">
        <v xml:space="preserve">median                    </v>
      </c>
      <c r="AA191" s="121" t="str" cm="1">
        <f t="array" ref="AA191:AC191">IF(W191="","",(_xlfn.TEXTSPLIT(W191,"-")))</f>
        <v>Orchard deciduous</v>
      </c>
      <c r="AB191" s="121" t="str">
        <v>r09</v>
      </c>
      <c r="AC191" t="str">
        <v>A</v>
      </c>
      <c r="AD191" s="129" t="str">
        <f>VLOOKUP(VALUE($U191),test_out_xwalk!$C:$L,3,FALSE)</f>
        <v>Apple-10-28</v>
      </c>
      <c r="AE191" s="129">
        <f>VLOOKUP(VALUE($U191),test_out_xwalk!$C:$L,5,FALSE)</f>
        <v>2</v>
      </c>
      <c r="AF191" s="129">
        <f>VLOOKUP(VALUE($U191),test_out_xwalk!$C:$L,6,FALSE)</f>
        <v>4</v>
      </c>
      <c r="AG191" s="129" t="str">
        <f>VLOOKUP(VALUE($U191),test_out_xwalk!$C:$L,8,FALSE)</f>
        <v>None</v>
      </c>
      <c r="AH191" s="129" t="str">
        <f>VLOOKUP(VALUE($U191),test_out_xwalk!$C:$L,7,FALSE)</f>
        <v>Spray</v>
      </c>
      <c r="AI191" s="129" t="str">
        <f>VLOOKUP(VALUE($U191),test_out_xwalk!$C:$L,4,FALSE)</f>
        <v>Post-emergence</v>
      </c>
      <c r="AJ191" s="129" t="str">
        <f>VLOOKUP(VALUE($U191),test_out_xwalk!$C:$L,9,FALSE)</f>
        <v>Other Orchards</v>
      </c>
      <c r="AK191">
        <f>_xlfn.XLOOKUP(VALUE(U191),test_out_xwalk!C:C,test_out_xwalk!A:A)</f>
        <v>10</v>
      </c>
    </row>
    <row r="192" spans="1:37" x14ac:dyDescent="0.55000000000000004">
      <c r="A192" s="121" t="str">
        <f>IF('summary_EPA Pond'!$A192="","Check Summary EPA POND worksheet Column A",'summary_EPA Pond'!$A192)</f>
        <v xml:space="preserve">13_53259-11846-72_Orchard evergreen-r15-A_USEPA Pond_0010_median                      </v>
      </c>
      <c r="B192" s="121" t="str" cm="1">
        <f t="array" ref="B192:G192">IFERROR(_xlfn.TEXTSPLIT(A192,"_"),"")</f>
        <v>13</v>
      </c>
      <c r="C192" t="str">
        <v>53259-11846-72</v>
      </c>
      <c r="D192" t="str">
        <v>Orchard evergreen-r15-A</v>
      </c>
      <c r="E192" t="str">
        <v>USEPA Pond</v>
      </c>
      <c r="F192" t="str">
        <v>0010</v>
      </c>
      <c r="G192" t="str">
        <v xml:space="preserve">median                      </v>
      </c>
      <c r="H192" s="121" t="str" cm="1">
        <f t="array" ref="H192:J192">IF(D192="","",(_xlfn.TEXTSPLIT(D192,"-")))</f>
        <v>Orchard evergreen</v>
      </c>
      <c r="I192" s="121" t="str">
        <v>r15</v>
      </c>
      <c r="J192" t="str">
        <v>A</v>
      </c>
      <c r="K192" s="129" t="str">
        <f>VLOOKUP(VALUE($B192),test_out_xwalk!$C:$L,3,FALSE)</f>
        <v>Citrus hybrids,Â Citrus spp.Â EremocitrusÂ spp.,Â FortunellaÂ spp.,Â MicrocitrusÂ spp., andÂ PoncirusÂ spp-4-13</v>
      </c>
      <c r="L192" s="129">
        <f>VLOOKUP(VALUE($B192),test_out_xwalk!$C:$L,5,FALSE)</f>
        <v>1</v>
      </c>
      <c r="M192" s="129">
        <f>VLOOKUP(VALUE($B192),test_out_xwalk!$C:$L,6,FALSE)</f>
        <v>1.5</v>
      </c>
      <c r="N192" s="129" t="str">
        <f>VLOOKUP(VALUE($B192),test_out_xwalk!$C:$L,8,FALSE)</f>
        <v>Aerial_Very_Coarse</v>
      </c>
      <c r="O192" s="129" t="str">
        <f>VLOOKUP(VALUE($B192),test_out_xwalk!$C:$L,7,FALSE)</f>
        <v>Spray</v>
      </c>
      <c r="P192" s="129" t="str">
        <f>VLOOKUP(VALUE($B192),test_out_xwalk!$C:$L,4,FALSE)</f>
        <v>Pre-emergence</v>
      </c>
      <c r="Q192" s="129" t="str">
        <f>VLOOKUP(VALUE($B192),test_out_xwalk!$C:$L,9,FALSE)</f>
        <v>Citrus</v>
      </c>
      <c r="R192">
        <f>_xlfn.XLOOKUP(VALUE(B192),test_out_xwalk!$C:$C,test_out_xwalk!$A:$A)</f>
        <v>4</v>
      </c>
      <c r="T192" s="121" t="str">
        <f>IF('summary_EPA Pond'!$O192="","Check Summary EPA POND worksheet Column O",'summary_EPA Pond'!$O192)</f>
        <v xml:space="preserve">28_2532369-16882-74_Orchard deciduous-r10L-A_USEPA Pond_0080_median                   </v>
      </c>
      <c r="U192" s="121" t="str" cm="1">
        <f t="array" ref="U192:Z192">IFERROR(_xlfn.TEXTSPLIT(T192,"_"),"")</f>
        <v>28</v>
      </c>
      <c r="V192" t="str">
        <v>2532369-16882-74</v>
      </c>
      <c r="W192" t="str">
        <v>Orchard deciduous-r10L-A</v>
      </c>
      <c r="X192" t="str">
        <v>USEPA Pond</v>
      </c>
      <c r="Y192" t="str">
        <v>0080</v>
      </c>
      <c r="Z192" t="str">
        <v xml:space="preserve">median                   </v>
      </c>
      <c r="AA192" s="121" t="str" cm="1">
        <f t="array" ref="AA192:AC192">IF(W192="","",(_xlfn.TEXTSPLIT(W192,"-")))</f>
        <v>Orchard deciduous</v>
      </c>
      <c r="AB192" s="121" t="str">
        <v>r10L</v>
      </c>
      <c r="AC192" t="str">
        <v>A</v>
      </c>
      <c r="AD192" s="129" t="str">
        <f>VLOOKUP(VALUE($U192),test_out_xwalk!$C:$L,3,FALSE)</f>
        <v>Apple-10-28</v>
      </c>
      <c r="AE192" s="129">
        <f>VLOOKUP(VALUE($U192),test_out_xwalk!$C:$L,5,FALSE)</f>
        <v>2</v>
      </c>
      <c r="AF192" s="129">
        <f>VLOOKUP(VALUE($U192),test_out_xwalk!$C:$L,6,FALSE)</f>
        <v>4</v>
      </c>
      <c r="AG192" s="129" t="str">
        <f>VLOOKUP(VALUE($U192),test_out_xwalk!$C:$L,8,FALSE)</f>
        <v>None</v>
      </c>
      <c r="AH192" s="129" t="str">
        <f>VLOOKUP(VALUE($U192),test_out_xwalk!$C:$L,7,FALSE)</f>
        <v>Spray</v>
      </c>
      <c r="AI192" s="129" t="str">
        <f>VLOOKUP(VALUE($U192),test_out_xwalk!$C:$L,4,FALSE)</f>
        <v>Post-emergence</v>
      </c>
      <c r="AJ192" s="129" t="str">
        <f>VLOOKUP(VALUE($U192),test_out_xwalk!$C:$L,9,FALSE)</f>
        <v>Other Orchards</v>
      </c>
      <c r="AK192">
        <f>_xlfn.XLOOKUP(VALUE(U192),test_out_xwalk!C:C,test_out_xwalk!A:A)</f>
        <v>10</v>
      </c>
    </row>
    <row r="193" spans="1:37" x14ac:dyDescent="0.55000000000000004">
      <c r="A193" s="121" t="str">
        <f>IF('summary_EPA Pond'!$A193="","Check Summary EPA POND worksheet Column A",'summary_EPA Pond'!$A193)</f>
        <v xml:space="preserve">13_2424828-17725-212_Orchard evergreen-r16-A_USEPA Pond_0010_median                   </v>
      </c>
      <c r="B193" s="121" t="str" cm="1">
        <f t="array" ref="B193:G193">IFERROR(_xlfn.TEXTSPLIT(A193,"_"),"")</f>
        <v>13</v>
      </c>
      <c r="C193" t="str">
        <v>2424828-17725-212</v>
      </c>
      <c r="D193" t="str">
        <v>Orchard evergreen-r16-A</v>
      </c>
      <c r="E193" t="str">
        <v>USEPA Pond</v>
      </c>
      <c r="F193" t="str">
        <v>0010</v>
      </c>
      <c r="G193" t="str">
        <v xml:space="preserve">median                   </v>
      </c>
      <c r="H193" s="121" t="str" cm="1">
        <f t="array" ref="H193:J193">IF(D193="","",(_xlfn.TEXTSPLIT(D193,"-")))</f>
        <v>Orchard evergreen</v>
      </c>
      <c r="I193" s="121" t="str">
        <v>r16</v>
      </c>
      <c r="J193" t="str">
        <v>A</v>
      </c>
      <c r="K193" s="129" t="str">
        <f>VLOOKUP(VALUE($B193),test_out_xwalk!$C:$L,3,FALSE)</f>
        <v>Citrus hybrids,Â Citrus spp.Â EremocitrusÂ spp.,Â FortunellaÂ spp.,Â MicrocitrusÂ spp., andÂ PoncirusÂ spp-4-13</v>
      </c>
      <c r="L193" s="129">
        <f>VLOOKUP(VALUE($B193),test_out_xwalk!$C:$L,5,FALSE)</f>
        <v>1</v>
      </c>
      <c r="M193" s="129">
        <f>VLOOKUP(VALUE($B193),test_out_xwalk!$C:$L,6,FALSE)</f>
        <v>1.5</v>
      </c>
      <c r="N193" s="129" t="str">
        <f>VLOOKUP(VALUE($B193),test_out_xwalk!$C:$L,8,FALSE)</f>
        <v>Aerial_Very_Coarse</v>
      </c>
      <c r="O193" s="129" t="str">
        <f>VLOOKUP(VALUE($B193),test_out_xwalk!$C:$L,7,FALSE)</f>
        <v>Spray</v>
      </c>
      <c r="P193" s="129" t="str">
        <f>VLOOKUP(VALUE($B193),test_out_xwalk!$C:$L,4,FALSE)</f>
        <v>Pre-emergence</v>
      </c>
      <c r="Q193" s="129" t="str">
        <f>VLOOKUP(VALUE($B193),test_out_xwalk!$C:$L,9,FALSE)</f>
        <v>Citrus</v>
      </c>
      <c r="R193">
        <f>_xlfn.XLOOKUP(VALUE(B193),test_out_xwalk!$C:$C,test_out_xwalk!$A:$A)</f>
        <v>4</v>
      </c>
      <c r="T193" s="121" t="str">
        <f>IF('summary_EPA Pond'!$O193="","Check Summary EPA POND worksheet Column O",'summary_EPA Pond'!$O193)</f>
        <v xml:space="preserve">28_146775-27192-66_Orchard deciduous-r10U-A_USEPA Pond_0080_median                    </v>
      </c>
      <c r="U193" s="121" t="str" cm="1">
        <f t="array" ref="U193:Z193">IFERROR(_xlfn.TEXTSPLIT(T193,"_"),"")</f>
        <v>28</v>
      </c>
      <c r="V193" t="str">
        <v>146775-27192-66</v>
      </c>
      <c r="W193" t="str">
        <v>Orchard deciduous-r10U-A</v>
      </c>
      <c r="X193" t="str">
        <v>USEPA Pond</v>
      </c>
      <c r="Y193" t="str">
        <v>0080</v>
      </c>
      <c r="Z193" t="str">
        <v xml:space="preserve">median                    </v>
      </c>
      <c r="AA193" s="121" t="str" cm="1">
        <f t="array" ref="AA193:AC193">IF(W193="","",(_xlfn.TEXTSPLIT(W193,"-")))</f>
        <v>Orchard deciduous</v>
      </c>
      <c r="AB193" s="121" t="str">
        <v>r10U</v>
      </c>
      <c r="AC193" t="str">
        <v>A</v>
      </c>
      <c r="AD193" s="129" t="str">
        <f>VLOOKUP(VALUE($U193),test_out_xwalk!$C:$L,3,FALSE)</f>
        <v>Apple-10-28</v>
      </c>
      <c r="AE193" s="129">
        <f>VLOOKUP(VALUE($U193),test_out_xwalk!$C:$L,5,FALSE)</f>
        <v>2</v>
      </c>
      <c r="AF193" s="129">
        <f>VLOOKUP(VALUE($U193),test_out_xwalk!$C:$L,6,FALSE)</f>
        <v>4</v>
      </c>
      <c r="AG193" s="129" t="str">
        <f>VLOOKUP(VALUE($U193),test_out_xwalk!$C:$L,8,FALSE)</f>
        <v>None</v>
      </c>
      <c r="AH193" s="129" t="str">
        <f>VLOOKUP(VALUE($U193),test_out_xwalk!$C:$L,7,FALSE)</f>
        <v>Spray</v>
      </c>
      <c r="AI193" s="129" t="str">
        <f>VLOOKUP(VALUE($U193),test_out_xwalk!$C:$L,4,FALSE)</f>
        <v>Post-emergence</v>
      </c>
      <c r="AJ193" s="129" t="str">
        <f>VLOOKUP(VALUE($U193),test_out_xwalk!$C:$L,9,FALSE)</f>
        <v>Other Orchards</v>
      </c>
      <c r="AK193">
        <f>_xlfn.XLOOKUP(VALUE(U193),test_out_xwalk!C:C,test_out_xwalk!A:A)</f>
        <v>10</v>
      </c>
    </row>
    <row r="194" spans="1:37" x14ac:dyDescent="0.55000000000000004">
      <c r="A194" s="121" t="str">
        <f>IF('summary_EPA Pond'!$A194="","Check Summary EPA POND worksheet Column A",'summary_EPA Pond'!$A194)</f>
        <v xml:space="preserve">13_2766125-18423-211_Orchard evergreen-r18-A_USEPA Pond_0010_median                   </v>
      </c>
      <c r="B194" s="121" t="str" cm="1">
        <f t="array" ref="B194:G194">IFERROR(_xlfn.TEXTSPLIT(A194,"_"),"")</f>
        <v>13</v>
      </c>
      <c r="C194" t="str">
        <v>2766125-18423-211</v>
      </c>
      <c r="D194" t="str">
        <v>Orchard evergreen-r18-A</v>
      </c>
      <c r="E194" t="str">
        <v>USEPA Pond</v>
      </c>
      <c r="F194" t="str">
        <v>0010</v>
      </c>
      <c r="G194" t="str">
        <v xml:space="preserve">median                   </v>
      </c>
      <c r="H194" s="121" t="str" cm="1">
        <f t="array" ref="H194:J194">IF(D194="","",(_xlfn.TEXTSPLIT(D194,"-")))</f>
        <v>Orchard evergreen</v>
      </c>
      <c r="I194" s="121" t="str">
        <v>r18</v>
      </c>
      <c r="J194" t="str">
        <v>A</v>
      </c>
      <c r="K194" s="129" t="str">
        <f>VLOOKUP(VALUE($B194),test_out_xwalk!$C:$L,3,FALSE)</f>
        <v>Citrus hybrids,Â Citrus spp.Â EremocitrusÂ spp.,Â FortunellaÂ spp.,Â MicrocitrusÂ spp., andÂ PoncirusÂ spp-4-13</v>
      </c>
      <c r="L194" s="129">
        <f>VLOOKUP(VALUE($B194),test_out_xwalk!$C:$L,5,FALSE)</f>
        <v>1</v>
      </c>
      <c r="M194" s="129">
        <f>VLOOKUP(VALUE($B194),test_out_xwalk!$C:$L,6,FALSE)</f>
        <v>1.5</v>
      </c>
      <c r="N194" s="129" t="str">
        <f>VLOOKUP(VALUE($B194),test_out_xwalk!$C:$L,8,FALSE)</f>
        <v>Aerial_Very_Coarse</v>
      </c>
      <c r="O194" s="129" t="str">
        <f>VLOOKUP(VALUE($B194),test_out_xwalk!$C:$L,7,FALSE)</f>
        <v>Spray</v>
      </c>
      <c r="P194" s="129" t="str">
        <f>VLOOKUP(VALUE($B194),test_out_xwalk!$C:$L,4,FALSE)</f>
        <v>Pre-emergence</v>
      </c>
      <c r="Q194" s="129" t="str">
        <f>VLOOKUP(VALUE($B194),test_out_xwalk!$C:$L,9,FALSE)</f>
        <v>Citrus</v>
      </c>
      <c r="R194">
        <f>_xlfn.XLOOKUP(VALUE(B194),test_out_xwalk!$C:$C,test_out_xwalk!$A:$A)</f>
        <v>4</v>
      </c>
      <c r="T194" s="121" t="str">
        <f>IF('summary_EPA Pond'!$O194="","Check Summary EPA POND worksheet Column O",'summary_EPA Pond'!$O194)</f>
        <v xml:space="preserve">28_106593-15934-74_Orchard deciduous-r11-A_USEPA Pond_0080_median                     </v>
      </c>
      <c r="U194" s="121" t="str" cm="1">
        <f t="array" ref="U194:Z194">IFERROR(_xlfn.TEXTSPLIT(T194,"_"),"")</f>
        <v>28</v>
      </c>
      <c r="V194" t="str">
        <v>106593-15934-74</v>
      </c>
      <c r="W194" t="str">
        <v>Orchard deciduous-r11-A</v>
      </c>
      <c r="X194" t="str">
        <v>USEPA Pond</v>
      </c>
      <c r="Y194" t="str">
        <v>0080</v>
      </c>
      <c r="Z194" t="str">
        <v xml:space="preserve">median                     </v>
      </c>
      <c r="AA194" s="121" t="str" cm="1">
        <f t="array" ref="AA194:AC194">IF(W194="","",(_xlfn.TEXTSPLIT(W194,"-")))</f>
        <v>Orchard deciduous</v>
      </c>
      <c r="AB194" s="121" t="str">
        <v>r11</v>
      </c>
      <c r="AC194" t="str">
        <v>A</v>
      </c>
      <c r="AD194" s="129" t="str">
        <f>VLOOKUP(VALUE($U194),test_out_xwalk!$C:$L,3,FALSE)</f>
        <v>Apple-10-28</v>
      </c>
      <c r="AE194" s="129">
        <f>VLOOKUP(VALUE($U194),test_out_xwalk!$C:$L,5,FALSE)</f>
        <v>2</v>
      </c>
      <c r="AF194" s="129">
        <f>VLOOKUP(VALUE($U194),test_out_xwalk!$C:$L,6,FALSE)</f>
        <v>4</v>
      </c>
      <c r="AG194" s="129" t="str">
        <f>VLOOKUP(VALUE($U194),test_out_xwalk!$C:$L,8,FALSE)</f>
        <v>None</v>
      </c>
      <c r="AH194" s="129" t="str">
        <f>VLOOKUP(VALUE($U194),test_out_xwalk!$C:$L,7,FALSE)</f>
        <v>Spray</v>
      </c>
      <c r="AI194" s="129" t="str">
        <f>VLOOKUP(VALUE($U194),test_out_xwalk!$C:$L,4,FALSE)</f>
        <v>Post-emergence</v>
      </c>
      <c r="AJ194" s="129" t="str">
        <f>VLOOKUP(VALUE($U194),test_out_xwalk!$C:$L,9,FALSE)</f>
        <v>Other Orchards</v>
      </c>
      <c r="AK194">
        <f>_xlfn.XLOOKUP(VALUE(U194),test_out_xwalk!C:C,test_out_xwalk!A:A)</f>
        <v>10</v>
      </c>
    </row>
    <row r="195" spans="1:37" x14ac:dyDescent="0.55000000000000004">
      <c r="A195" s="121" t="str">
        <f>IF('summary_EPA Pond'!$A195="","Check Summary EPA POND worksheet Column A",'summary_EPA Pond'!$A195)</f>
        <v xml:space="preserve">14_1151415-6314-212_Orchard evergreen-r03S-A_USEPA Pond_0010_median                   </v>
      </c>
      <c r="B195" s="121" t="str" cm="1">
        <f t="array" ref="B195:G195">IFERROR(_xlfn.TEXTSPLIT(A195,"_"),"")</f>
        <v>14</v>
      </c>
      <c r="C195" t="str">
        <v>1151415-6314-212</v>
      </c>
      <c r="D195" t="str">
        <v>Orchard evergreen-r03S-A</v>
      </c>
      <c r="E195" t="str">
        <v>USEPA Pond</v>
      </c>
      <c r="F195" t="str">
        <v>0010</v>
      </c>
      <c r="G195" t="str">
        <v xml:space="preserve">median                   </v>
      </c>
      <c r="H195" s="121" t="str" cm="1">
        <f t="array" ref="H195:J195">IF(D195="","",(_xlfn.TEXTSPLIT(D195,"-")))</f>
        <v>Orchard evergreen</v>
      </c>
      <c r="I195" s="121" t="str">
        <v>r03S</v>
      </c>
      <c r="J195" t="str">
        <v>A</v>
      </c>
      <c r="K195" s="129" t="str">
        <f>VLOOKUP(VALUE($B195),test_out_xwalk!$C:$L,3,FALSE)</f>
        <v>Citrus hybrids,Â Citrus spp.Â EremocitrusÂ spp.,Â FortunellaÂ spp.,Â MicrocitrusÂ spp., andÂ PoncirusÂ spp-4-14</v>
      </c>
      <c r="L195" s="129">
        <f>VLOOKUP(VALUE($B195),test_out_xwalk!$C:$L,5,FALSE)</f>
        <v>1</v>
      </c>
      <c r="M195" s="129">
        <f>VLOOKUP(VALUE($B195),test_out_xwalk!$C:$L,6,FALSE)</f>
        <v>1.5</v>
      </c>
      <c r="N195" s="129" t="str">
        <f>VLOOKUP(VALUE($B195),test_out_xwalk!$C:$L,8,FALSE)</f>
        <v>Ground_F-MC_LB</v>
      </c>
      <c r="O195" s="129" t="str">
        <f>VLOOKUP(VALUE($B195),test_out_xwalk!$C:$L,7,FALSE)</f>
        <v>Spray</v>
      </c>
      <c r="P195" s="129" t="str">
        <f>VLOOKUP(VALUE($B195),test_out_xwalk!$C:$L,4,FALSE)</f>
        <v>Pre-emergence</v>
      </c>
      <c r="Q195" s="129" t="str">
        <f>VLOOKUP(VALUE($B195),test_out_xwalk!$C:$L,9,FALSE)</f>
        <v>Citrus</v>
      </c>
      <c r="R195">
        <f>_xlfn.XLOOKUP(VALUE(B195),test_out_xwalk!$C:$C,test_out_xwalk!$A:$A)</f>
        <v>4</v>
      </c>
      <c r="T195" s="121" t="str">
        <f>IF('summary_EPA Pond'!$O195="","Check Summary EPA POND worksheet Column O",'summary_EPA Pond'!$O195)</f>
        <v xml:space="preserve">28_367880-12156-74_Orchard deciduous-r12-A_USEPA Pond_0080_median                     </v>
      </c>
      <c r="U195" s="121" t="str" cm="1">
        <f t="array" ref="U195:Z195">IFERROR(_xlfn.TEXTSPLIT(T195,"_"),"")</f>
        <v>28</v>
      </c>
      <c r="V195" t="str">
        <v>367880-12156-74</v>
      </c>
      <c r="W195" t="str">
        <v>Orchard deciduous-r12-A</v>
      </c>
      <c r="X195" t="str">
        <v>USEPA Pond</v>
      </c>
      <c r="Y195" t="str">
        <v>0080</v>
      </c>
      <c r="Z195" t="str">
        <v xml:space="preserve">median                     </v>
      </c>
      <c r="AA195" s="121" t="str" cm="1">
        <f t="array" ref="AA195:AC195">IF(W195="","",(_xlfn.TEXTSPLIT(W195,"-")))</f>
        <v>Orchard deciduous</v>
      </c>
      <c r="AB195" s="121" t="str">
        <v>r12</v>
      </c>
      <c r="AC195" t="str">
        <v>A</v>
      </c>
      <c r="AD195" s="129" t="str">
        <f>VLOOKUP(VALUE($U195),test_out_xwalk!$C:$L,3,FALSE)</f>
        <v>Apple-10-28</v>
      </c>
      <c r="AE195" s="129">
        <f>VLOOKUP(VALUE($U195),test_out_xwalk!$C:$L,5,FALSE)</f>
        <v>2</v>
      </c>
      <c r="AF195" s="129">
        <f>VLOOKUP(VALUE($U195),test_out_xwalk!$C:$L,6,FALSE)</f>
        <v>4</v>
      </c>
      <c r="AG195" s="129" t="str">
        <f>VLOOKUP(VALUE($U195),test_out_xwalk!$C:$L,8,FALSE)</f>
        <v>None</v>
      </c>
      <c r="AH195" s="129" t="str">
        <f>VLOOKUP(VALUE($U195),test_out_xwalk!$C:$L,7,FALSE)</f>
        <v>Spray</v>
      </c>
      <c r="AI195" s="129" t="str">
        <f>VLOOKUP(VALUE($U195),test_out_xwalk!$C:$L,4,FALSE)</f>
        <v>Post-emergence</v>
      </c>
      <c r="AJ195" s="129" t="str">
        <f>VLOOKUP(VALUE($U195),test_out_xwalk!$C:$L,9,FALSE)</f>
        <v>Other Orchards</v>
      </c>
      <c r="AK195">
        <f>_xlfn.XLOOKUP(VALUE(U195),test_out_xwalk!C:C,test_out_xwalk!A:A)</f>
        <v>10</v>
      </c>
    </row>
    <row r="196" spans="1:37" x14ac:dyDescent="0.55000000000000004">
      <c r="A196" s="121" t="str">
        <f>IF('summary_EPA Pond'!$A196="","Check Summary EPA POND worksheet Column A",'summary_EPA Pond'!$A196)</f>
        <v xml:space="preserve">14_1017242-10309-212_Orchard evergreen-r03W-A_USEPA Pond_0010_median                  </v>
      </c>
      <c r="B196" s="121" t="str" cm="1">
        <f t="array" ref="B196:G196">IFERROR(_xlfn.TEXTSPLIT(A196,"_"),"")</f>
        <v>14</v>
      </c>
      <c r="C196" t="str">
        <v>1017242-10309-212</v>
      </c>
      <c r="D196" t="str">
        <v>Orchard evergreen-r03W-A</v>
      </c>
      <c r="E196" t="str">
        <v>USEPA Pond</v>
      </c>
      <c r="F196" t="str">
        <v>0010</v>
      </c>
      <c r="G196" t="str">
        <v xml:space="preserve">median                  </v>
      </c>
      <c r="H196" s="121" t="str" cm="1">
        <f t="array" ref="H196:J196">IF(D196="","",(_xlfn.TEXTSPLIT(D196,"-")))</f>
        <v>Orchard evergreen</v>
      </c>
      <c r="I196" s="121" t="str">
        <v>r03W</v>
      </c>
      <c r="J196" t="str">
        <v>A</v>
      </c>
      <c r="K196" s="129" t="str">
        <f>VLOOKUP(VALUE($B196),test_out_xwalk!$C:$L,3,FALSE)</f>
        <v>Citrus hybrids,Â Citrus spp.Â EremocitrusÂ spp.,Â FortunellaÂ spp.,Â MicrocitrusÂ spp., andÂ PoncirusÂ spp-4-14</v>
      </c>
      <c r="L196" s="129">
        <f>VLOOKUP(VALUE($B196),test_out_xwalk!$C:$L,5,FALSE)</f>
        <v>1</v>
      </c>
      <c r="M196" s="129">
        <f>VLOOKUP(VALUE($B196),test_out_xwalk!$C:$L,6,FALSE)</f>
        <v>1.5</v>
      </c>
      <c r="N196" s="129" t="str">
        <f>VLOOKUP(VALUE($B196),test_out_xwalk!$C:$L,8,FALSE)</f>
        <v>Ground_F-MC_LB</v>
      </c>
      <c r="O196" s="129" t="str">
        <f>VLOOKUP(VALUE($B196),test_out_xwalk!$C:$L,7,FALSE)</f>
        <v>Spray</v>
      </c>
      <c r="P196" s="129" t="str">
        <f>VLOOKUP(VALUE($B196),test_out_xwalk!$C:$L,4,FALSE)</f>
        <v>Pre-emergence</v>
      </c>
      <c r="Q196" s="129" t="str">
        <f>VLOOKUP(VALUE($B196),test_out_xwalk!$C:$L,9,FALSE)</f>
        <v>Citrus</v>
      </c>
      <c r="R196">
        <f>_xlfn.XLOOKUP(VALUE(B196),test_out_xwalk!$C:$C,test_out_xwalk!$A:$A)</f>
        <v>4</v>
      </c>
      <c r="T196" s="121" t="str">
        <f>IF('summary_EPA Pond'!$O196="","Check Summary EPA POND worksheet Column O",'summary_EPA Pond'!$O196)</f>
        <v xml:space="preserve">28_712158-9291-74_Orchard deciduous-r13-A_USEPA Pond_0080_median                      </v>
      </c>
      <c r="U196" s="121" t="str" cm="1">
        <f t="array" ref="U196:Z196">IFERROR(_xlfn.TEXTSPLIT(T196,"_"),"")</f>
        <v>28</v>
      </c>
      <c r="V196" t="str">
        <v>712158-9291-74</v>
      </c>
      <c r="W196" t="str">
        <v>Orchard deciduous-r13-A</v>
      </c>
      <c r="X196" t="str">
        <v>USEPA Pond</v>
      </c>
      <c r="Y196" t="str">
        <v>0080</v>
      </c>
      <c r="Z196" t="str">
        <v xml:space="preserve">median                      </v>
      </c>
      <c r="AA196" s="121" t="str" cm="1">
        <f t="array" ref="AA196:AC196">IF(W196="","",(_xlfn.TEXTSPLIT(W196,"-")))</f>
        <v>Orchard deciduous</v>
      </c>
      <c r="AB196" s="121" t="str">
        <v>r13</v>
      </c>
      <c r="AC196" t="str">
        <v>A</v>
      </c>
      <c r="AD196" s="129" t="str">
        <f>VLOOKUP(VALUE($U196),test_out_xwalk!$C:$L,3,FALSE)</f>
        <v>Apple-10-28</v>
      </c>
      <c r="AE196" s="129">
        <f>VLOOKUP(VALUE($U196),test_out_xwalk!$C:$L,5,FALSE)</f>
        <v>2</v>
      </c>
      <c r="AF196" s="129">
        <f>VLOOKUP(VALUE($U196),test_out_xwalk!$C:$L,6,FALSE)</f>
        <v>4</v>
      </c>
      <c r="AG196" s="129" t="str">
        <f>VLOOKUP(VALUE($U196),test_out_xwalk!$C:$L,8,FALSE)</f>
        <v>None</v>
      </c>
      <c r="AH196" s="129" t="str">
        <f>VLOOKUP(VALUE($U196),test_out_xwalk!$C:$L,7,FALSE)</f>
        <v>Spray</v>
      </c>
      <c r="AI196" s="129" t="str">
        <f>VLOOKUP(VALUE($U196),test_out_xwalk!$C:$L,4,FALSE)</f>
        <v>Post-emergence</v>
      </c>
      <c r="AJ196" s="129" t="str">
        <f>VLOOKUP(VALUE($U196),test_out_xwalk!$C:$L,9,FALSE)</f>
        <v>Other Orchards</v>
      </c>
      <c r="AK196">
        <f>_xlfn.XLOOKUP(VALUE(U196),test_out_xwalk!C:C,test_out_xwalk!A:A)</f>
        <v>10</v>
      </c>
    </row>
    <row r="197" spans="1:37" x14ac:dyDescent="0.55000000000000004">
      <c r="A197" s="121" t="str">
        <f>IF('summary_EPA Pond'!$A197="","Check Summary EPA POND worksheet Column A",'summary_EPA Pond'!$A197)</f>
        <v xml:space="preserve">14_576089-12632-72_Orchard evergreen-r11-A_USEPA Pond_0010_median                     </v>
      </c>
      <c r="B197" s="121" t="str" cm="1">
        <f t="array" ref="B197:G197">IFERROR(_xlfn.TEXTSPLIT(A197,"_"),"")</f>
        <v>14</v>
      </c>
      <c r="C197" t="str">
        <v>576089-12632-72</v>
      </c>
      <c r="D197" t="str">
        <v>Orchard evergreen-r11-A</v>
      </c>
      <c r="E197" t="str">
        <v>USEPA Pond</v>
      </c>
      <c r="F197" t="str">
        <v>0010</v>
      </c>
      <c r="G197" t="str">
        <v xml:space="preserve">median                     </v>
      </c>
      <c r="H197" s="121" t="str" cm="1">
        <f t="array" ref="H197:J197">IF(D197="","",(_xlfn.TEXTSPLIT(D197,"-")))</f>
        <v>Orchard evergreen</v>
      </c>
      <c r="I197" s="121" t="str">
        <v>r11</v>
      </c>
      <c r="J197" t="str">
        <v>A</v>
      </c>
      <c r="K197" s="129" t="str">
        <f>VLOOKUP(VALUE($B197),test_out_xwalk!$C:$L,3,FALSE)</f>
        <v>Citrus hybrids,Â Citrus spp.Â EremocitrusÂ spp.,Â FortunellaÂ spp.,Â MicrocitrusÂ spp., andÂ PoncirusÂ spp-4-14</v>
      </c>
      <c r="L197" s="129">
        <f>VLOOKUP(VALUE($B197),test_out_xwalk!$C:$L,5,FALSE)</f>
        <v>1</v>
      </c>
      <c r="M197" s="129">
        <f>VLOOKUP(VALUE($B197),test_out_xwalk!$C:$L,6,FALSE)</f>
        <v>1.5</v>
      </c>
      <c r="N197" s="129" t="str">
        <f>VLOOKUP(VALUE($B197),test_out_xwalk!$C:$L,8,FALSE)</f>
        <v>Ground_F-MC_LB</v>
      </c>
      <c r="O197" s="129" t="str">
        <f>VLOOKUP(VALUE($B197),test_out_xwalk!$C:$L,7,FALSE)</f>
        <v>Spray</v>
      </c>
      <c r="P197" s="129" t="str">
        <f>VLOOKUP(VALUE($B197),test_out_xwalk!$C:$L,4,FALSE)</f>
        <v>Pre-emergence</v>
      </c>
      <c r="Q197" s="129" t="str">
        <f>VLOOKUP(VALUE($B197),test_out_xwalk!$C:$L,9,FALSE)</f>
        <v>Citrus</v>
      </c>
      <c r="R197">
        <f>_xlfn.XLOOKUP(VALUE(B197),test_out_xwalk!$C:$C,test_out_xwalk!$A:$A)</f>
        <v>4</v>
      </c>
      <c r="T197" s="121" t="str">
        <f>IF('summary_EPA Pond'!$O197="","Check Summary EPA POND worksheet Column O",'summary_EPA Pond'!$O197)</f>
        <v xml:space="preserve">28_496634-17773-67_Orchard deciduous-r14-A_USEPA Pond_0080_median                     </v>
      </c>
      <c r="U197" s="121" t="str" cm="1">
        <f t="array" ref="U197:Z197">IFERROR(_xlfn.TEXTSPLIT(T197,"_"),"")</f>
        <v>28</v>
      </c>
      <c r="V197" t="str">
        <v>496634-17773-67</v>
      </c>
      <c r="W197" t="str">
        <v>Orchard deciduous-r14-A</v>
      </c>
      <c r="X197" t="str">
        <v>USEPA Pond</v>
      </c>
      <c r="Y197" t="str">
        <v>0080</v>
      </c>
      <c r="Z197" t="str">
        <v xml:space="preserve">median                     </v>
      </c>
      <c r="AA197" s="121" t="str" cm="1">
        <f t="array" ref="AA197:AC197">IF(W197="","",(_xlfn.TEXTSPLIT(W197,"-")))</f>
        <v>Orchard deciduous</v>
      </c>
      <c r="AB197" s="121" t="str">
        <v>r14</v>
      </c>
      <c r="AC197" t="str">
        <v>A</v>
      </c>
      <c r="AD197" s="129" t="str">
        <f>VLOOKUP(VALUE($U197),test_out_xwalk!$C:$L,3,FALSE)</f>
        <v>Apple-10-28</v>
      </c>
      <c r="AE197" s="129">
        <f>VLOOKUP(VALUE($U197),test_out_xwalk!$C:$L,5,FALSE)</f>
        <v>2</v>
      </c>
      <c r="AF197" s="129">
        <f>VLOOKUP(VALUE($U197),test_out_xwalk!$C:$L,6,FALSE)</f>
        <v>4</v>
      </c>
      <c r="AG197" s="129" t="str">
        <f>VLOOKUP(VALUE($U197),test_out_xwalk!$C:$L,8,FALSE)</f>
        <v>None</v>
      </c>
      <c r="AH197" s="129" t="str">
        <f>VLOOKUP(VALUE($U197),test_out_xwalk!$C:$L,7,FALSE)</f>
        <v>Spray</v>
      </c>
      <c r="AI197" s="129" t="str">
        <f>VLOOKUP(VALUE($U197),test_out_xwalk!$C:$L,4,FALSE)</f>
        <v>Post-emergence</v>
      </c>
      <c r="AJ197" s="129" t="str">
        <f>VLOOKUP(VALUE($U197),test_out_xwalk!$C:$L,9,FALSE)</f>
        <v>Other Orchards</v>
      </c>
      <c r="AK197">
        <f>_xlfn.XLOOKUP(VALUE(U197),test_out_xwalk!C:C,test_out_xwalk!A:A)</f>
        <v>10</v>
      </c>
    </row>
    <row r="198" spans="1:37" x14ac:dyDescent="0.55000000000000004">
      <c r="A198" s="121" t="str">
        <f>IF('summary_EPA Pond'!$A198="","Check Summary EPA POND worksheet Column A",'summary_EPA Pond'!$A198)</f>
        <v xml:space="preserve">14_363322-6720-72_Orchard evergreen-r12-A_USEPA Pond_0010_median                      </v>
      </c>
      <c r="B198" s="121" t="str" cm="1">
        <f t="array" ref="B198:G198">IFERROR(_xlfn.TEXTSPLIT(A198,"_"),"")</f>
        <v>14</v>
      </c>
      <c r="C198" t="str">
        <v>363322-6720-72</v>
      </c>
      <c r="D198" t="str">
        <v>Orchard evergreen-r12-A</v>
      </c>
      <c r="E198" t="str">
        <v>USEPA Pond</v>
      </c>
      <c r="F198" t="str">
        <v>0010</v>
      </c>
      <c r="G198" t="str">
        <v xml:space="preserve">median                      </v>
      </c>
      <c r="H198" s="121" t="str" cm="1">
        <f t="array" ref="H198:J198">IF(D198="","",(_xlfn.TEXTSPLIT(D198,"-")))</f>
        <v>Orchard evergreen</v>
      </c>
      <c r="I198" s="121" t="str">
        <v>r12</v>
      </c>
      <c r="J198" t="str">
        <v>A</v>
      </c>
      <c r="K198" s="129" t="str">
        <f>VLOOKUP(VALUE($B198),test_out_xwalk!$C:$L,3,FALSE)</f>
        <v>Citrus hybrids,Â Citrus spp.Â EremocitrusÂ spp.,Â FortunellaÂ spp.,Â MicrocitrusÂ spp., andÂ PoncirusÂ spp-4-14</v>
      </c>
      <c r="L198" s="129">
        <f>VLOOKUP(VALUE($B198),test_out_xwalk!$C:$L,5,FALSE)</f>
        <v>1</v>
      </c>
      <c r="M198" s="129">
        <f>VLOOKUP(VALUE($B198),test_out_xwalk!$C:$L,6,FALSE)</f>
        <v>1.5</v>
      </c>
      <c r="N198" s="129" t="str">
        <f>VLOOKUP(VALUE($B198),test_out_xwalk!$C:$L,8,FALSE)</f>
        <v>Ground_F-MC_LB</v>
      </c>
      <c r="O198" s="129" t="str">
        <f>VLOOKUP(VALUE($B198),test_out_xwalk!$C:$L,7,FALSE)</f>
        <v>Spray</v>
      </c>
      <c r="P198" s="129" t="str">
        <f>VLOOKUP(VALUE($B198),test_out_xwalk!$C:$L,4,FALSE)</f>
        <v>Pre-emergence</v>
      </c>
      <c r="Q198" s="129" t="str">
        <f>VLOOKUP(VALUE($B198),test_out_xwalk!$C:$L,9,FALSE)</f>
        <v>Citrus</v>
      </c>
      <c r="R198">
        <f>_xlfn.XLOOKUP(VALUE(B198),test_out_xwalk!$C:$C,test_out_xwalk!$A:$A)</f>
        <v>4</v>
      </c>
      <c r="T198" s="121" t="str">
        <f>IF('summary_EPA Pond'!$O198="","Check Summary EPA POND worksheet Column O",'summary_EPA Pond'!$O198)</f>
        <v xml:space="preserve">28_53675-11396-74_Orchard deciduous-r15-A_USEPA Pond_0080_median                      </v>
      </c>
      <c r="U198" s="121" t="str" cm="1">
        <f t="array" ref="U198:Z198">IFERROR(_xlfn.TEXTSPLIT(T198,"_"),"")</f>
        <v>28</v>
      </c>
      <c r="V198" t="str">
        <v>53675-11396-74</v>
      </c>
      <c r="W198" t="str">
        <v>Orchard deciduous-r15-A</v>
      </c>
      <c r="X198" t="str">
        <v>USEPA Pond</v>
      </c>
      <c r="Y198" t="str">
        <v>0080</v>
      </c>
      <c r="Z198" t="str">
        <v xml:space="preserve">median                      </v>
      </c>
      <c r="AA198" s="121" t="str" cm="1">
        <f t="array" ref="AA198:AC198">IF(W198="","",(_xlfn.TEXTSPLIT(W198,"-")))</f>
        <v>Orchard deciduous</v>
      </c>
      <c r="AB198" s="121" t="str">
        <v>r15</v>
      </c>
      <c r="AC198" t="str">
        <v>A</v>
      </c>
      <c r="AD198" s="129" t="str">
        <f>VLOOKUP(VALUE($U198),test_out_xwalk!$C:$L,3,FALSE)</f>
        <v>Apple-10-28</v>
      </c>
      <c r="AE198" s="129">
        <f>VLOOKUP(VALUE($U198),test_out_xwalk!$C:$L,5,FALSE)</f>
        <v>2</v>
      </c>
      <c r="AF198" s="129">
        <f>VLOOKUP(VALUE($U198),test_out_xwalk!$C:$L,6,FALSE)</f>
        <v>4</v>
      </c>
      <c r="AG198" s="129" t="str">
        <f>VLOOKUP(VALUE($U198),test_out_xwalk!$C:$L,8,FALSE)</f>
        <v>None</v>
      </c>
      <c r="AH198" s="129" t="str">
        <f>VLOOKUP(VALUE($U198),test_out_xwalk!$C:$L,7,FALSE)</f>
        <v>Spray</v>
      </c>
      <c r="AI198" s="129" t="str">
        <f>VLOOKUP(VALUE($U198),test_out_xwalk!$C:$L,4,FALSE)</f>
        <v>Post-emergence</v>
      </c>
      <c r="AJ198" s="129" t="str">
        <f>VLOOKUP(VALUE($U198),test_out_xwalk!$C:$L,9,FALSE)</f>
        <v>Other Orchards</v>
      </c>
      <c r="AK198">
        <f>_xlfn.XLOOKUP(VALUE(U198),test_out_xwalk!C:C,test_out_xwalk!A:A)</f>
        <v>10</v>
      </c>
    </row>
    <row r="199" spans="1:37" x14ac:dyDescent="0.55000000000000004">
      <c r="A199" s="121" t="str">
        <f>IF('summary_EPA Pond'!$A199="","Check Summary EPA POND worksheet Column A",'summary_EPA Pond'!$A199)</f>
        <v xml:space="preserve">14_367672-5777-72_Orchard evergreen-r13-A_USEPA Pond_0010_median                      </v>
      </c>
      <c r="B199" s="121" t="str" cm="1">
        <f t="array" ref="B199:G199">IFERROR(_xlfn.TEXTSPLIT(A199,"_"),"")</f>
        <v>14</v>
      </c>
      <c r="C199" t="str">
        <v>367672-5777-72</v>
      </c>
      <c r="D199" t="str">
        <v>Orchard evergreen-r13-A</v>
      </c>
      <c r="E199" t="str">
        <v>USEPA Pond</v>
      </c>
      <c r="F199" t="str">
        <v>0010</v>
      </c>
      <c r="G199" t="str">
        <v xml:space="preserve">median                      </v>
      </c>
      <c r="H199" s="121" t="str" cm="1">
        <f t="array" ref="H199:J199">IF(D199="","",(_xlfn.TEXTSPLIT(D199,"-")))</f>
        <v>Orchard evergreen</v>
      </c>
      <c r="I199" s="121" t="str">
        <v>r13</v>
      </c>
      <c r="J199" t="str">
        <v>A</v>
      </c>
      <c r="K199" s="129" t="str">
        <f>VLOOKUP(VALUE($B199),test_out_xwalk!$C:$L,3,FALSE)</f>
        <v>Citrus hybrids,Â Citrus spp.Â EremocitrusÂ spp.,Â FortunellaÂ spp.,Â MicrocitrusÂ spp., andÂ PoncirusÂ spp-4-14</v>
      </c>
      <c r="L199" s="129">
        <f>VLOOKUP(VALUE($B199),test_out_xwalk!$C:$L,5,FALSE)</f>
        <v>1</v>
      </c>
      <c r="M199" s="129">
        <f>VLOOKUP(VALUE($B199),test_out_xwalk!$C:$L,6,FALSE)</f>
        <v>1.5</v>
      </c>
      <c r="N199" s="129" t="str">
        <f>VLOOKUP(VALUE($B199),test_out_xwalk!$C:$L,8,FALSE)</f>
        <v>Ground_F-MC_LB</v>
      </c>
      <c r="O199" s="129" t="str">
        <f>VLOOKUP(VALUE($B199),test_out_xwalk!$C:$L,7,FALSE)</f>
        <v>Spray</v>
      </c>
      <c r="P199" s="129" t="str">
        <f>VLOOKUP(VALUE($B199),test_out_xwalk!$C:$L,4,FALSE)</f>
        <v>Pre-emergence</v>
      </c>
      <c r="Q199" s="129" t="str">
        <f>VLOOKUP(VALUE($B199),test_out_xwalk!$C:$L,9,FALSE)</f>
        <v>Citrus</v>
      </c>
      <c r="R199">
        <f>_xlfn.XLOOKUP(VALUE(B199),test_out_xwalk!$C:$C,test_out_xwalk!$A:$A)</f>
        <v>4</v>
      </c>
      <c r="T199" s="121" t="str">
        <f>IF('summary_EPA Pond'!$O199="","Check Summary EPA POND worksheet Column O",'summary_EPA Pond'!$O199)</f>
        <v xml:space="preserve">28_483390-18938-66_Orchard deciduous-r16-A_USEPA Pond_0080_median                     </v>
      </c>
      <c r="U199" s="121" t="str" cm="1">
        <f t="array" ref="U199:Z199">IFERROR(_xlfn.TEXTSPLIT(T199,"_"),"")</f>
        <v>28</v>
      </c>
      <c r="V199" t="str">
        <v>483390-18938-66</v>
      </c>
      <c r="W199" t="str">
        <v>Orchard deciduous-r16-A</v>
      </c>
      <c r="X199" t="str">
        <v>USEPA Pond</v>
      </c>
      <c r="Y199" t="str">
        <v>0080</v>
      </c>
      <c r="Z199" t="str">
        <v xml:space="preserve">median                     </v>
      </c>
      <c r="AA199" s="121" t="str" cm="1">
        <f t="array" ref="AA199:AC199">IF(W199="","",(_xlfn.TEXTSPLIT(W199,"-")))</f>
        <v>Orchard deciduous</v>
      </c>
      <c r="AB199" s="121" t="str">
        <v>r16</v>
      </c>
      <c r="AC199" t="str">
        <v>A</v>
      </c>
      <c r="AD199" s="129" t="str">
        <f>VLOOKUP(VALUE($U199),test_out_xwalk!$C:$L,3,FALSE)</f>
        <v>Apple-10-28</v>
      </c>
      <c r="AE199" s="129">
        <f>VLOOKUP(VALUE($U199),test_out_xwalk!$C:$L,5,FALSE)</f>
        <v>2</v>
      </c>
      <c r="AF199" s="129">
        <f>VLOOKUP(VALUE($U199),test_out_xwalk!$C:$L,6,FALSE)</f>
        <v>4</v>
      </c>
      <c r="AG199" s="129" t="str">
        <f>VLOOKUP(VALUE($U199),test_out_xwalk!$C:$L,8,FALSE)</f>
        <v>None</v>
      </c>
      <c r="AH199" s="129" t="str">
        <f>VLOOKUP(VALUE($U199),test_out_xwalk!$C:$L,7,FALSE)</f>
        <v>Spray</v>
      </c>
      <c r="AI199" s="129" t="str">
        <f>VLOOKUP(VALUE($U199),test_out_xwalk!$C:$L,4,FALSE)</f>
        <v>Post-emergence</v>
      </c>
      <c r="AJ199" s="129" t="str">
        <f>VLOOKUP(VALUE($U199),test_out_xwalk!$C:$L,9,FALSE)</f>
        <v>Other Orchards</v>
      </c>
      <c r="AK199">
        <f>_xlfn.XLOOKUP(VALUE(U199),test_out_xwalk!C:C,test_out_xwalk!A:A)</f>
        <v>10</v>
      </c>
    </row>
    <row r="200" spans="1:37" x14ac:dyDescent="0.55000000000000004">
      <c r="A200" s="121" t="str">
        <f>IF('summary_EPA Pond'!$A200="","Check Summary EPA POND worksheet Column A",'summary_EPA Pond'!$A200)</f>
        <v xml:space="preserve">14_53259-11846-72_Orchard evergreen-r15-A_USEPA Pond_0010_median                      </v>
      </c>
      <c r="B200" s="121" t="str" cm="1">
        <f t="array" ref="B200:G200">IFERROR(_xlfn.TEXTSPLIT(A200,"_"),"")</f>
        <v>14</v>
      </c>
      <c r="C200" t="str">
        <v>53259-11846-72</v>
      </c>
      <c r="D200" t="str">
        <v>Orchard evergreen-r15-A</v>
      </c>
      <c r="E200" t="str">
        <v>USEPA Pond</v>
      </c>
      <c r="F200" t="str">
        <v>0010</v>
      </c>
      <c r="G200" t="str">
        <v xml:space="preserve">median                      </v>
      </c>
      <c r="H200" s="121" t="str" cm="1">
        <f t="array" ref="H200:J200">IF(D200="","",(_xlfn.TEXTSPLIT(D200,"-")))</f>
        <v>Orchard evergreen</v>
      </c>
      <c r="I200" s="121" t="str">
        <v>r15</v>
      </c>
      <c r="J200" t="str">
        <v>A</v>
      </c>
      <c r="K200" s="129" t="str">
        <f>VLOOKUP(VALUE($B200),test_out_xwalk!$C:$L,3,FALSE)</f>
        <v>Citrus hybrids,Â Citrus spp.Â EremocitrusÂ spp.,Â FortunellaÂ spp.,Â MicrocitrusÂ spp., andÂ PoncirusÂ spp-4-14</v>
      </c>
      <c r="L200" s="129">
        <f>VLOOKUP(VALUE($B200),test_out_xwalk!$C:$L,5,FALSE)</f>
        <v>1</v>
      </c>
      <c r="M200" s="129">
        <f>VLOOKUP(VALUE($B200),test_out_xwalk!$C:$L,6,FALSE)</f>
        <v>1.5</v>
      </c>
      <c r="N200" s="129" t="str">
        <f>VLOOKUP(VALUE($B200),test_out_xwalk!$C:$L,8,FALSE)</f>
        <v>Ground_F-MC_LB</v>
      </c>
      <c r="O200" s="129" t="str">
        <f>VLOOKUP(VALUE($B200),test_out_xwalk!$C:$L,7,FALSE)</f>
        <v>Spray</v>
      </c>
      <c r="P200" s="129" t="str">
        <f>VLOOKUP(VALUE($B200),test_out_xwalk!$C:$L,4,FALSE)</f>
        <v>Pre-emergence</v>
      </c>
      <c r="Q200" s="129" t="str">
        <f>VLOOKUP(VALUE($B200),test_out_xwalk!$C:$L,9,FALSE)</f>
        <v>Citrus</v>
      </c>
      <c r="R200">
        <f>_xlfn.XLOOKUP(VALUE(B200),test_out_xwalk!$C:$C,test_out_xwalk!$A:$A)</f>
        <v>4</v>
      </c>
      <c r="T200" s="121" t="str">
        <f>IF('summary_EPA Pond'!$O200="","Check Summary EPA POND worksheet Column O",'summary_EPA Pond'!$O200)</f>
        <v xml:space="preserve">28_62699-22668-71_Orchard deciduous-r17-A_USEPA Pond_0080_median                      </v>
      </c>
      <c r="U200" s="121" t="str" cm="1">
        <f t="array" ref="U200:Z200">IFERROR(_xlfn.TEXTSPLIT(T200,"_"),"")</f>
        <v>28</v>
      </c>
      <c r="V200" t="str">
        <v>62699-22668-71</v>
      </c>
      <c r="W200" t="str">
        <v>Orchard deciduous-r17-A</v>
      </c>
      <c r="X200" t="str">
        <v>USEPA Pond</v>
      </c>
      <c r="Y200" t="str">
        <v>0080</v>
      </c>
      <c r="Z200" t="str">
        <v xml:space="preserve">median                      </v>
      </c>
      <c r="AA200" s="121" t="str" cm="1">
        <f t="array" ref="AA200:AC200">IF(W200="","",(_xlfn.TEXTSPLIT(W200,"-")))</f>
        <v>Orchard deciduous</v>
      </c>
      <c r="AB200" s="121" t="str">
        <v>r17</v>
      </c>
      <c r="AC200" t="str">
        <v>A</v>
      </c>
      <c r="AD200" s="129" t="str">
        <f>VLOOKUP(VALUE($U200),test_out_xwalk!$C:$L,3,FALSE)</f>
        <v>Apple-10-28</v>
      </c>
      <c r="AE200" s="129">
        <f>VLOOKUP(VALUE($U200),test_out_xwalk!$C:$L,5,FALSE)</f>
        <v>2</v>
      </c>
      <c r="AF200" s="129">
        <f>VLOOKUP(VALUE($U200),test_out_xwalk!$C:$L,6,FALSE)</f>
        <v>4</v>
      </c>
      <c r="AG200" s="129" t="str">
        <f>VLOOKUP(VALUE($U200),test_out_xwalk!$C:$L,8,FALSE)</f>
        <v>None</v>
      </c>
      <c r="AH200" s="129" t="str">
        <f>VLOOKUP(VALUE($U200),test_out_xwalk!$C:$L,7,FALSE)</f>
        <v>Spray</v>
      </c>
      <c r="AI200" s="129" t="str">
        <f>VLOOKUP(VALUE($U200),test_out_xwalk!$C:$L,4,FALSE)</f>
        <v>Post-emergence</v>
      </c>
      <c r="AJ200" s="129" t="str">
        <f>VLOOKUP(VALUE($U200),test_out_xwalk!$C:$L,9,FALSE)</f>
        <v>Other Orchards</v>
      </c>
      <c r="AK200">
        <f>_xlfn.XLOOKUP(VALUE(U200),test_out_xwalk!C:C,test_out_xwalk!A:A)</f>
        <v>10</v>
      </c>
    </row>
    <row r="201" spans="1:37" x14ac:dyDescent="0.55000000000000004">
      <c r="A201" s="121" t="str">
        <f>IF('summary_EPA Pond'!$A201="","Check Summary EPA POND worksheet Column A",'summary_EPA Pond'!$A201)</f>
        <v xml:space="preserve">14_2424828-17725-212_Orchard evergreen-r16-A_USEPA Pond_0010_median                   </v>
      </c>
      <c r="B201" s="121" t="str" cm="1">
        <f t="array" ref="B201:G201">IFERROR(_xlfn.TEXTSPLIT(A201,"_"),"")</f>
        <v>14</v>
      </c>
      <c r="C201" t="str">
        <v>2424828-17725-212</v>
      </c>
      <c r="D201" t="str">
        <v>Orchard evergreen-r16-A</v>
      </c>
      <c r="E201" t="str">
        <v>USEPA Pond</v>
      </c>
      <c r="F201" t="str">
        <v>0010</v>
      </c>
      <c r="G201" t="str">
        <v xml:space="preserve">median                   </v>
      </c>
      <c r="H201" s="121" t="str" cm="1">
        <f t="array" ref="H201:J201">IF(D201="","",(_xlfn.TEXTSPLIT(D201,"-")))</f>
        <v>Orchard evergreen</v>
      </c>
      <c r="I201" s="121" t="str">
        <v>r16</v>
      </c>
      <c r="J201" t="str">
        <v>A</v>
      </c>
      <c r="K201" s="129" t="str">
        <f>VLOOKUP(VALUE($B201),test_out_xwalk!$C:$L,3,FALSE)</f>
        <v>Citrus hybrids,Â Citrus spp.Â EremocitrusÂ spp.,Â FortunellaÂ spp.,Â MicrocitrusÂ spp., andÂ PoncirusÂ spp-4-14</v>
      </c>
      <c r="L201" s="129">
        <f>VLOOKUP(VALUE($B201),test_out_xwalk!$C:$L,5,FALSE)</f>
        <v>1</v>
      </c>
      <c r="M201" s="129">
        <f>VLOOKUP(VALUE($B201),test_out_xwalk!$C:$L,6,FALSE)</f>
        <v>1.5</v>
      </c>
      <c r="N201" s="129" t="str">
        <f>VLOOKUP(VALUE($B201),test_out_xwalk!$C:$L,8,FALSE)</f>
        <v>Ground_F-MC_LB</v>
      </c>
      <c r="O201" s="129" t="str">
        <f>VLOOKUP(VALUE($B201),test_out_xwalk!$C:$L,7,FALSE)</f>
        <v>Spray</v>
      </c>
      <c r="P201" s="129" t="str">
        <f>VLOOKUP(VALUE($B201),test_out_xwalk!$C:$L,4,FALSE)</f>
        <v>Pre-emergence</v>
      </c>
      <c r="Q201" s="129" t="str">
        <f>VLOOKUP(VALUE($B201),test_out_xwalk!$C:$L,9,FALSE)</f>
        <v>Citrus</v>
      </c>
      <c r="R201">
        <f>_xlfn.XLOOKUP(VALUE(B201),test_out_xwalk!$C:$C,test_out_xwalk!$A:$A)</f>
        <v>4</v>
      </c>
      <c r="T201" s="121" t="str">
        <f>IF('summary_EPA Pond'!$O201="","Check Summary EPA POND worksheet Column O",'summary_EPA Pond'!$O201)</f>
        <v xml:space="preserve">28_462066-17012-75_Orchard deciduous-r18-A_USEPA Pond_0080_median                     </v>
      </c>
      <c r="U201" s="121" t="str" cm="1">
        <f t="array" ref="U201:Z201">IFERROR(_xlfn.TEXTSPLIT(T201,"_"),"")</f>
        <v>28</v>
      </c>
      <c r="V201" t="str">
        <v>462066-17012-75</v>
      </c>
      <c r="W201" t="str">
        <v>Orchard deciduous-r18-A</v>
      </c>
      <c r="X201" t="str">
        <v>USEPA Pond</v>
      </c>
      <c r="Y201" t="str">
        <v>0080</v>
      </c>
      <c r="Z201" t="str">
        <v xml:space="preserve">median                     </v>
      </c>
      <c r="AA201" s="121" t="str" cm="1">
        <f t="array" ref="AA201:AC201">IF(W201="","",(_xlfn.TEXTSPLIT(W201,"-")))</f>
        <v>Orchard deciduous</v>
      </c>
      <c r="AB201" s="121" t="str">
        <v>r18</v>
      </c>
      <c r="AC201" t="str">
        <v>A</v>
      </c>
      <c r="AD201" s="129" t="str">
        <f>VLOOKUP(VALUE($U201),test_out_xwalk!$C:$L,3,FALSE)</f>
        <v>Apple-10-28</v>
      </c>
      <c r="AE201" s="129">
        <f>VLOOKUP(VALUE($U201),test_out_xwalk!$C:$L,5,FALSE)</f>
        <v>2</v>
      </c>
      <c r="AF201" s="129">
        <f>VLOOKUP(VALUE($U201),test_out_xwalk!$C:$L,6,FALSE)</f>
        <v>4</v>
      </c>
      <c r="AG201" s="129" t="str">
        <f>VLOOKUP(VALUE($U201),test_out_xwalk!$C:$L,8,FALSE)</f>
        <v>None</v>
      </c>
      <c r="AH201" s="129" t="str">
        <f>VLOOKUP(VALUE($U201),test_out_xwalk!$C:$L,7,FALSE)</f>
        <v>Spray</v>
      </c>
      <c r="AI201" s="129" t="str">
        <f>VLOOKUP(VALUE($U201),test_out_xwalk!$C:$L,4,FALSE)</f>
        <v>Post-emergence</v>
      </c>
      <c r="AJ201" s="129" t="str">
        <f>VLOOKUP(VALUE($U201),test_out_xwalk!$C:$L,9,FALSE)</f>
        <v>Other Orchards</v>
      </c>
      <c r="AK201">
        <f>_xlfn.XLOOKUP(VALUE(U201),test_out_xwalk!C:C,test_out_xwalk!A:A)</f>
        <v>10</v>
      </c>
    </row>
    <row r="202" spans="1:37" x14ac:dyDescent="0.55000000000000004">
      <c r="A202" s="121" t="str">
        <f>IF('summary_EPA Pond'!$A202="","Check Summary EPA POND worksheet Column A",'summary_EPA Pond'!$A202)</f>
        <v xml:space="preserve">14_2766125-18423-211_Orchard evergreen-r18-A_USEPA Pond_0010_median                   </v>
      </c>
      <c r="B202" s="121" t="str" cm="1">
        <f t="array" ref="B202:G202">IFERROR(_xlfn.TEXTSPLIT(A202,"_"),"")</f>
        <v>14</v>
      </c>
      <c r="C202" t="str">
        <v>2766125-18423-211</v>
      </c>
      <c r="D202" t="str">
        <v>Orchard evergreen-r18-A</v>
      </c>
      <c r="E202" t="str">
        <v>USEPA Pond</v>
      </c>
      <c r="F202" t="str">
        <v>0010</v>
      </c>
      <c r="G202" t="str">
        <v xml:space="preserve">median                   </v>
      </c>
      <c r="H202" s="121" t="str" cm="1">
        <f t="array" ref="H202:J202">IF(D202="","",(_xlfn.TEXTSPLIT(D202,"-")))</f>
        <v>Orchard evergreen</v>
      </c>
      <c r="I202" s="121" t="str">
        <v>r18</v>
      </c>
      <c r="J202" t="str">
        <v>A</v>
      </c>
      <c r="K202" s="129" t="str">
        <f>VLOOKUP(VALUE($B202),test_out_xwalk!$C:$L,3,FALSE)</f>
        <v>Citrus hybrids,Â Citrus spp.Â EremocitrusÂ spp.,Â FortunellaÂ spp.,Â MicrocitrusÂ spp., andÂ PoncirusÂ spp-4-14</v>
      </c>
      <c r="L202" s="129">
        <f>VLOOKUP(VALUE($B202),test_out_xwalk!$C:$L,5,FALSE)</f>
        <v>1</v>
      </c>
      <c r="M202" s="129">
        <f>VLOOKUP(VALUE($B202),test_out_xwalk!$C:$L,6,FALSE)</f>
        <v>1.5</v>
      </c>
      <c r="N202" s="129" t="str">
        <f>VLOOKUP(VALUE($B202),test_out_xwalk!$C:$L,8,FALSE)</f>
        <v>Ground_F-MC_LB</v>
      </c>
      <c r="O202" s="129" t="str">
        <f>VLOOKUP(VALUE($B202),test_out_xwalk!$C:$L,7,FALSE)</f>
        <v>Spray</v>
      </c>
      <c r="P202" s="129" t="str">
        <f>VLOOKUP(VALUE($B202),test_out_xwalk!$C:$L,4,FALSE)</f>
        <v>Pre-emergence</v>
      </c>
      <c r="Q202" s="129" t="str">
        <f>VLOOKUP(VALUE($B202),test_out_xwalk!$C:$L,9,FALSE)</f>
        <v>Citrus</v>
      </c>
      <c r="R202">
        <f>_xlfn.XLOOKUP(VALUE(B202),test_out_xwalk!$C:$C,test_out_xwalk!$A:$A)</f>
        <v>4</v>
      </c>
      <c r="T202" s="121" t="str">
        <f>IF('summary_EPA Pond'!$O202="","Check Summary EPA POND worksheet Column O",'summary_EPA Pond'!$O202)</f>
        <v xml:space="preserve">31_301823-25720-176_Pasture or forage-r01-A_USEPA Pond_0030_median                    </v>
      </c>
      <c r="U202" s="121" t="str" cm="1">
        <f t="array" ref="U202:Z202">IFERROR(_xlfn.TEXTSPLIT(T202,"_"),"")</f>
        <v>31</v>
      </c>
      <c r="V202" t="str">
        <v>301823-25720-176</v>
      </c>
      <c r="W202" t="str">
        <v>Pasture or forage-r01-A</v>
      </c>
      <c r="X202" t="str">
        <v>USEPA Pond</v>
      </c>
      <c r="Y202" t="str">
        <v>0030</v>
      </c>
      <c r="Z202" t="str">
        <v xml:space="preserve">median                    </v>
      </c>
      <c r="AA202" s="121" t="str" cm="1">
        <f t="array" ref="AA202:AC202">IF(W202="","",(_xlfn.TEXTSPLIT(W202,"-")))</f>
        <v>Pasture or forage</v>
      </c>
      <c r="AB202" s="121" t="str">
        <v>r01</v>
      </c>
      <c r="AC202" t="str">
        <v>A</v>
      </c>
      <c r="AD202" s="129" t="str">
        <f>VLOOKUP(VALUE($U202),test_out_xwalk!$C:$L,3,FALSE)</f>
        <v>Grass, Pasture-11-31</v>
      </c>
      <c r="AE202" s="129">
        <f>VLOOKUP(VALUE($U202),test_out_xwalk!$C:$L,5,FALSE)</f>
        <v>1</v>
      </c>
      <c r="AF202" s="129">
        <f>VLOOKUP(VALUE($U202),test_out_xwalk!$C:$L,6,FALSE)</f>
        <v>1</v>
      </c>
      <c r="AG202" s="129" t="str">
        <f>VLOOKUP(VALUE($U202),test_out_xwalk!$C:$L,8,FALSE)</f>
        <v>None</v>
      </c>
      <c r="AH202" s="129" t="str">
        <f>VLOOKUP(VALUE($U202),test_out_xwalk!$C:$L,7,FALSE)</f>
        <v>Spray</v>
      </c>
      <c r="AI202" s="129" t="str">
        <f>VLOOKUP(VALUE($U202),test_out_xwalk!$C:$L,4,FALSE)</f>
        <v>Post-emergence</v>
      </c>
      <c r="AJ202" s="129" t="str">
        <f>VLOOKUP(VALUE($U202),test_out_xwalk!$C:$L,9,FALSE)</f>
        <v>Range</v>
      </c>
      <c r="AK202">
        <f>_xlfn.XLOOKUP(VALUE(U202),test_out_xwalk!C:C,test_out_xwalk!A:A)</f>
        <v>11</v>
      </c>
    </row>
    <row r="203" spans="1:37" x14ac:dyDescent="0.55000000000000004">
      <c r="A203" s="121" t="str">
        <f>IF('summary_EPA Pond'!$A203="","Check Summary EPA POND worksheet Column A",'summary_EPA Pond'!$A203)</f>
        <v xml:space="preserve">16_315670-22645-242_Small fruit trellised-r01-A_USEPA Pond_0089_median                </v>
      </c>
      <c r="B203" s="121" t="str" cm="1">
        <f t="array" ref="B203:G203">IFERROR(_xlfn.TEXTSPLIT(A203,"_"),"")</f>
        <v>16</v>
      </c>
      <c r="C203" t="str">
        <v>315670-22645-242</v>
      </c>
      <c r="D203" t="str">
        <v>Small fruit trellised-r01-A</v>
      </c>
      <c r="E203" t="str">
        <v>USEPA Pond</v>
      </c>
      <c r="F203" t="str">
        <v>0089</v>
      </c>
      <c r="G203" t="str">
        <v xml:space="preserve">median                </v>
      </c>
      <c r="H203" s="121" t="str" cm="1">
        <f t="array" ref="H203:J203">IF(D203="","",(_xlfn.TEXTSPLIT(D203,"-")))</f>
        <v>Small fruit trellised</v>
      </c>
      <c r="I203" s="121" t="str">
        <v>r01</v>
      </c>
      <c r="J203" t="str">
        <v>A</v>
      </c>
      <c r="K203" s="129" t="str">
        <f>VLOOKUP(VALUE($B203),test_out_xwalk!$C:$L,3,FALSE)</f>
        <v>Blackberry-5-16</v>
      </c>
      <c r="L203" s="129">
        <f>VLOOKUP(VALUE($B203),test_out_xwalk!$C:$L,5,FALSE)</f>
        <v>1</v>
      </c>
      <c r="M203" s="129">
        <f>VLOOKUP(VALUE($B203),test_out_xwalk!$C:$L,6,FALSE)</f>
        <v>1</v>
      </c>
      <c r="N203" s="129" t="str">
        <f>VLOOKUP(VALUE($B203),test_out_xwalk!$C:$L,8,FALSE)</f>
        <v>Ground_F-MC_HB</v>
      </c>
      <c r="O203" s="129" t="str">
        <f>VLOOKUP(VALUE($B203),test_out_xwalk!$C:$L,7,FALSE)</f>
        <v>Spray</v>
      </c>
      <c r="P203" s="129" t="str">
        <f>VLOOKUP(VALUE($B203),test_out_xwalk!$C:$L,4,FALSE)</f>
        <v>Post-emergence</v>
      </c>
      <c r="Q203" s="129" t="str">
        <f>VLOOKUP(VALUE($B203),test_out_xwalk!$C:$L,9,FALSE)</f>
        <v>Vegetables and Ground Fruit</v>
      </c>
      <c r="R203">
        <f>_xlfn.XLOOKUP(VALUE(B203),test_out_xwalk!$C:$C,test_out_xwalk!$A:$A)</f>
        <v>5</v>
      </c>
      <c r="T203" s="121" t="str">
        <f>IF('summary_EPA Pond'!$O203="","Check Summary EPA POND worksheet Column O",'summary_EPA Pond'!$O203)</f>
        <v xml:space="preserve">31_299355-20498-176_Pasture or forage-r02-A_USEPA Pond_0030_median                    </v>
      </c>
      <c r="U203" s="121" t="str" cm="1">
        <f t="array" ref="U203:Z203">IFERROR(_xlfn.TEXTSPLIT(T203,"_"),"")</f>
        <v>31</v>
      </c>
      <c r="V203" t="str">
        <v>299355-20498-176</v>
      </c>
      <c r="W203" t="str">
        <v>Pasture or forage-r02-A</v>
      </c>
      <c r="X203" t="str">
        <v>USEPA Pond</v>
      </c>
      <c r="Y203" t="str">
        <v>0030</v>
      </c>
      <c r="Z203" t="str">
        <v xml:space="preserve">median                    </v>
      </c>
      <c r="AA203" s="121" t="str" cm="1">
        <f t="array" ref="AA203:AC203">IF(W203="","",(_xlfn.TEXTSPLIT(W203,"-")))</f>
        <v>Pasture or forage</v>
      </c>
      <c r="AB203" s="121" t="str">
        <v>r02</v>
      </c>
      <c r="AC203" t="str">
        <v>A</v>
      </c>
      <c r="AD203" s="129" t="str">
        <f>VLOOKUP(VALUE($U203),test_out_xwalk!$C:$L,3,FALSE)</f>
        <v>Grass, Pasture-11-31</v>
      </c>
      <c r="AE203" s="129">
        <f>VLOOKUP(VALUE($U203),test_out_xwalk!$C:$L,5,FALSE)</f>
        <v>1</v>
      </c>
      <c r="AF203" s="129">
        <f>VLOOKUP(VALUE($U203),test_out_xwalk!$C:$L,6,FALSE)</f>
        <v>1</v>
      </c>
      <c r="AG203" s="129" t="str">
        <f>VLOOKUP(VALUE($U203),test_out_xwalk!$C:$L,8,FALSE)</f>
        <v>None</v>
      </c>
      <c r="AH203" s="129" t="str">
        <f>VLOOKUP(VALUE($U203),test_out_xwalk!$C:$L,7,FALSE)</f>
        <v>Spray</v>
      </c>
      <c r="AI203" s="129" t="str">
        <f>VLOOKUP(VALUE($U203),test_out_xwalk!$C:$L,4,FALSE)</f>
        <v>Post-emergence</v>
      </c>
      <c r="AJ203" s="129" t="str">
        <f>VLOOKUP(VALUE($U203),test_out_xwalk!$C:$L,9,FALSE)</f>
        <v>Range</v>
      </c>
      <c r="AK203">
        <f>_xlfn.XLOOKUP(VALUE(U203),test_out_xwalk!C:C,test_out_xwalk!A:A)</f>
        <v>11</v>
      </c>
    </row>
    <row r="204" spans="1:37" x14ac:dyDescent="0.55000000000000004">
      <c r="A204" s="121" t="str">
        <f>IF('summary_EPA Pond'!$A204="","Check Summary EPA POND worksheet Column A",'summary_EPA Pond'!$A204)</f>
        <v xml:space="preserve">16_545148-18838-69_Small fruit trellised-r02-A_USEPA Pond_0089_median                 </v>
      </c>
      <c r="B204" s="121" t="str" cm="1">
        <f t="array" ref="B204:G204">IFERROR(_xlfn.TEXTSPLIT(A204,"_"),"")</f>
        <v>16</v>
      </c>
      <c r="C204" t="str">
        <v>545148-18838-69</v>
      </c>
      <c r="D204" t="str">
        <v>Small fruit trellised-r02-A</v>
      </c>
      <c r="E204" t="str">
        <v>USEPA Pond</v>
      </c>
      <c r="F204" t="str">
        <v>0089</v>
      </c>
      <c r="G204" t="str">
        <v xml:space="preserve">median                 </v>
      </c>
      <c r="H204" s="121" t="str" cm="1">
        <f t="array" ref="H204:J204">IF(D204="","",(_xlfn.TEXTSPLIT(D204,"-")))</f>
        <v>Small fruit trellised</v>
      </c>
      <c r="I204" s="121" t="str">
        <v>r02</v>
      </c>
      <c r="J204" t="str">
        <v>A</v>
      </c>
      <c r="K204" s="129" t="str">
        <f>VLOOKUP(VALUE($B204),test_out_xwalk!$C:$L,3,FALSE)</f>
        <v>Blackberry-5-16</v>
      </c>
      <c r="L204" s="129">
        <f>VLOOKUP(VALUE($B204),test_out_xwalk!$C:$L,5,FALSE)</f>
        <v>1</v>
      </c>
      <c r="M204" s="129">
        <f>VLOOKUP(VALUE($B204),test_out_xwalk!$C:$L,6,FALSE)</f>
        <v>1</v>
      </c>
      <c r="N204" s="129" t="str">
        <f>VLOOKUP(VALUE($B204),test_out_xwalk!$C:$L,8,FALSE)</f>
        <v>Ground_F-MC_HB</v>
      </c>
      <c r="O204" s="129" t="str">
        <f>VLOOKUP(VALUE($B204),test_out_xwalk!$C:$L,7,FALSE)</f>
        <v>Spray</v>
      </c>
      <c r="P204" s="129" t="str">
        <f>VLOOKUP(VALUE($B204),test_out_xwalk!$C:$L,4,FALSE)</f>
        <v>Post-emergence</v>
      </c>
      <c r="Q204" s="129" t="str">
        <f>VLOOKUP(VALUE($B204),test_out_xwalk!$C:$L,9,FALSE)</f>
        <v>Vegetables and Ground Fruit</v>
      </c>
      <c r="R204">
        <f>_xlfn.XLOOKUP(VALUE(B204),test_out_xwalk!$C:$C,test_out_xwalk!$A:$A)</f>
        <v>5</v>
      </c>
      <c r="T204" s="121" t="str">
        <f>IF('summary_EPA Pond'!$O204="","Check Summary EPA POND worksheet Column O",'summary_EPA Pond'!$O204)</f>
        <v xml:space="preserve">31_120164-16000-176_Pasture or forage-r03N-A_USEPA Pond_0030_median                   </v>
      </c>
      <c r="U204" s="121" t="str" cm="1">
        <f t="array" ref="U204:Z204">IFERROR(_xlfn.TEXTSPLIT(T204,"_"),"")</f>
        <v>31</v>
      </c>
      <c r="V204" t="str">
        <v>120164-16000-176</v>
      </c>
      <c r="W204" t="str">
        <v>Pasture or forage-r03N-A</v>
      </c>
      <c r="X204" t="str">
        <v>USEPA Pond</v>
      </c>
      <c r="Y204" t="str">
        <v>0030</v>
      </c>
      <c r="Z204" t="str">
        <v xml:space="preserve">median                   </v>
      </c>
      <c r="AA204" s="121" t="str" cm="1">
        <f t="array" ref="AA204:AC204">IF(W204="","",(_xlfn.TEXTSPLIT(W204,"-")))</f>
        <v>Pasture or forage</v>
      </c>
      <c r="AB204" s="121" t="str">
        <v>r03N</v>
      </c>
      <c r="AC204" t="str">
        <v>A</v>
      </c>
      <c r="AD204" s="129" t="str">
        <f>VLOOKUP(VALUE($U204),test_out_xwalk!$C:$L,3,FALSE)</f>
        <v>Grass, Pasture-11-31</v>
      </c>
      <c r="AE204" s="129">
        <f>VLOOKUP(VALUE($U204),test_out_xwalk!$C:$L,5,FALSE)</f>
        <v>1</v>
      </c>
      <c r="AF204" s="129">
        <f>VLOOKUP(VALUE($U204),test_out_xwalk!$C:$L,6,FALSE)</f>
        <v>1</v>
      </c>
      <c r="AG204" s="129" t="str">
        <f>VLOOKUP(VALUE($U204),test_out_xwalk!$C:$L,8,FALSE)</f>
        <v>None</v>
      </c>
      <c r="AH204" s="129" t="str">
        <f>VLOOKUP(VALUE($U204),test_out_xwalk!$C:$L,7,FALSE)</f>
        <v>Spray</v>
      </c>
      <c r="AI204" s="129" t="str">
        <f>VLOOKUP(VALUE($U204),test_out_xwalk!$C:$L,4,FALSE)</f>
        <v>Post-emergence</v>
      </c>
      <c r="AJ204" s="129" t="str">
        <f>VLOOKUP(VALUE($U204),test_out_xwalk!$C:$L,9,FALSE)</f>
        <v>Range</v>
      </c>
      <c r="AK204">
        <f>_xlfn.XLOOKUP(VALUE(U204),test_out_xwalk!C:C,test_out_xwalk!A:A)</f>
        <v>11</v>
      </c>
    </row>
    <row r="205" spans="1:37" x14ac:dyDescent="0.55000000000000004">
      <c r="A205" s="121" t="str">
        <f>IF('summary_EPA Pond'!$A205="","Check Summary EPA POND worksheet Column A",'summary_EPA Pond'!$A205)</f>
        <v xml:space="preserve">16_130135-13170-242_Small fruit trellised-r03N-A_USEPA Pond_0089_median               </v>
      </c>
      <c r="B205" s="121" t="str" cm="1">
        <f t="array" ref="B205:G205">IFERROR(_xlfn.TEXTSPLIT(A205,"_"),"")</f>
        <v>16</v>
      </c>
      <c r="C205" t="str">
        <v>130135-13170-242</v>
      </c>
      <c r="D205" t="str">
        <v>Small fruit trellised-r03N-A</v>
      </c>
      <c r="E205" t="str">
        <v>USEPA Pond</v>
      </c>
      <c r="F205" t="str">
        <v>0089</v>
      </c>
      <c r="G205" t="str">
        <v xml:space="preserve">median               </v>
      </c>
      <c r="H205" s="121" t="str" cm="1">
        <f t="array" ref="H205:J205">IF(D205="","",(_xlfn.TEXTSPLIT(D205,"-")))</f>
        <v>Small fruit trellised</v>
      </c>
      <c r="I205" s="121" t="str">
        <v>r03N</v>
      </c>
      <c r="J205" t="str">
        <v>A</v>
      </c>
      <c r="K205" s="129" t="str">
        <f>VLOOKUP(VALUE($B205),test_out_xwalk!$C:$L,3,FALSE)</f>
        <v>Blackberry-5-16</v>
      </c>
      <c r="L205" s="129">
        <f>VLOOKUP(VALUE($B205),test_out_xwalk!$C:$L,5,FALSE)</f>
        <v>1</v>
      </c>
      <c r="M205" s="129">
        <f>VLOOKUP(VALUE($B205),test_out_xwalk!$C:$L,6,FALSE)</f>
        <v>1</v>
      </c>
      <c r="N205" s="129" t="str">
        <f>VLOOKUP(VALUE($B205),test_out_xwalk!$C:$L,8,FALSE)</f>
        <v>Ground_F-MC_HB</v>
      </c>
      <c r="O205" s="129" t="str">
        <f>VLOOKUP(VALUE($B205),test_out_xwalk!$C:$L,7,FALSE)</f>
        <v>Spray</v>
      </c>
      <c r="P205" s="129" t="str">
        <f>VLOOKUP(VALUE($B205),test_out_xwalk!$C:$L,4,FALSE)</f>
        <v>Post-emergence</v>
      </c>
      <c r="Q205" s="129" t="str">
        <f>VLOOKUP(VALUE($B205),test_out_xwalk!$C:$L,9,FALSE)</f>
        <v>Vegetables and Ground Fruit</v>
      </c>
      <c r="R205">
        <f>_xlfn.XLOOKUP(VALUE(B205),test_out_xwalk!$C:$C,test_out_xwalk!$A:$A)</f>
        <v>5</v>
      </c>
      <c r="T205" s="121" t="str">
        <f>IF('summary_EPA Pond'!$O205="","Check Summary EPA POND worksheet Column O",'summary_EPA Pond'!$O205)</f>
        <v xml:space="preserve">31_1712910-8907-176_Pasture or forage-r03S-A_USEPA Pond_0030_median                   </v>
      </c>
      <c r="U205" s="121" t="str" cm="1">
        <f t="array" ref="U205:Z205">IFERROR(_xlfn.TEXTSPLIT(T205,"_"),"")</f>
        <v>31</v>
      </c>
      <c r="V205" t="str">
        <v>1712910-8907-176</v>
      </c>
      <c r="W205" t="str">
        <v>Pasture or forage-r03S-A</v>
      </c>
      <c r="X205" t="str">
        <v>USEPA Pond</v>
      </c>
      <c r="Y205" t="str">
        <v>0030</v>
      </c>
      <c r="Z205" t="str">
        <v xml:space="preserve">median                   </v>
      </c>
      <c r="AA205" s="121" t="str" cm="1">
        <f t="array" ref="AA205:AC205">IF(W205="","",(_xlfn.TEXTSPLIT(W205,"-")))</f>
        <v>Pasture or forage</v>
      </c>
      <c r="AB205" s="121" t="str">
        <v>r03S</v>
      </c>
      <c r="AC205" t="str">
        <v>A</v>
      </c>
      <c r="AD205" s="129" t="str">
        <f>VLOOKUP(VALUE($U205),test_out_xwalk!$C:$L,3,FALSE)</f>
        <v>Grass, Pasture-11-31</v>
      </c>
      <c r="AE205" s="129">
        <f>VLOOKUP(VALUE($U205),test_out_xwalk!$C:$L,5,FALSE)</f>
        <v>1</v>
      </c>
      <c r="AF205" s="129">
        <f>VLOOKUP(VALUE($U205),test_out_xwalk!$C:$L,6,FALSE)</f>
        <v>1</v>
      </c>
      <c r="AG205" s="129" t="str">
        <f>VLOOKUP(VALUE($U205),test_out_xwalk!$C:$L,8,FALSE)</f>
        <v>None</v>
      </c>
      <c r="AH205" s="129" t="str">
        <f>VLOOKUP(VALUE($U205),test_out_xwalk!$C:$L,7,FALSE)</f>
        <v>Spray</v>
      </c>
      <c r="AI205" s="129" t="str">
        <f>VLOOKUP(VALUE($U205),test_out_xwalk!$C:$L,4,FALSE)</f>
        <v>Post-emergence</v>
      </c>
      <c r="AJ205" s="129" t="str">
        <f>VLOOKUP(VALUE($U205),test_out_xwalk!$C:$L,9,FALSE)</f>
        <v>Range</v>
      </c>
      <c r="AK205">
        <f>_xlfn.XLOOKUP(VALUE(U205),test_out_xwalk!C:C,test_out_xwalk!A:A)</f>
        <v>11</v>
      </c>
    </row>
    <row r="206" spans="1:37" x14ac:dyDescent="0.55000000000000004">
      <c r="A206" s="121" t="str">
        <f>IF('summary_EPA Pond'!$A206="","Check Summary EPA POND worksheet Column A",'summary_EPA Pond'!$A206)</f>
        <v xml:space="preserve">16_125182-11031-242_Small fruit trellised-r03S-A_USEPA Pond_0089_median               </v>
      </c>
      <c r="B206" s="121" t="str" cm="1">
        <f t="array" ref="B206:G206">IFERROR(_xlfn.TEXTSPLIT(A206,"_"),"")</f>
        <v>16</v>
      </c>
      <c r="C206" t="str">
        <v>125182-11031-242</v>
      </c>
      <c r="D206" t="str">
        <v>Small fruit trellised-r03S-A</v>
      </c>
      <c r="E206" t="str">
        <v>USEPA Pond</v>
      </c>
      <c r="F206" t="str">
        <v>0089</v>
      </c>
      <c r="G206" t="str">
        <v xml:space="preserve">median               </v>
      </c>
      <c r="H206" s="121" t="str" cm="1">
        <f t="array" ref="H206:J206">IF(D206="","",(_xlfn.TEXTSPLIT(D206,"-")))</f>
        <v>Small fruit trellised</v>
      </c>
      <c r="I206" s="121" t="str">
        <v>r03S</v>
      </c>
      <c r="J206" t="str">
        <v>A</v>
      </c>
      <c r="K206" s="129" t="str">
        <f>VLOOKUP(VALUE($B206),test_out_xwalk!$C:$L,3,FALSE)</f>
        <v>Blackberry-5-16</v>
      </c>
      <c r="L206" s="129">
        <f>VLOOKUP(VALUE($B206),test_out_xwalk!$C:$L,5,FALSE)</f>
        <v>1</v>
      </c>
      <c r="M206" s="129">
        <f>VLOOKUP(VALUE($B206),test_out_xwalk!$C:$L,6,FALSE)</f>
        <v>1</v>
      </c>
      <c r="N206" s="129" t="str">
        <f>VLOOKUP(VALUE($B206),test_out_xwalk!$C:$L,8,FALSE)</f>
        <v>Ground_F-MC_HB</v>
      </c>
      <c r="O206" s="129" t="str">
        <f>VLOOKUP(VALUE($B206),test_out_xwalk!$C:$L,7,FALSE)</f>
        <v>Spray</v>
      </c>
      <c r="P206" s="129" t="str">
        <f>VLOOKUP(VALUE($B206),test_out_xwalk!$C:$L,4,FALSE)</f>
        <v>Post-emergence</v>
      </c>
      <c r="Q206" s="129" t="str">
        <f>VLOOKUP(VALUE($B206),test_out_xwalk!$C:$L,9,FALSE)</f>
        <v>Vegetables and Ground Fruit</v>
      </c>
      <c r="R206">
        <f>_xlfn.XLOOKUP(VALUE(B206),test_out_xwalk!$C:$C,test_out_xwalk!$A:$A)</f>
        <v>5</v>
      </c>
      <c r="T206" s="121" t="str">
        <f>IF('summary_EPA Pond'!$O206="","Check Summary EPA POND worksheet Column O",'summary_EPA Pond'!$O206)</f>
        <v xml:space="preserve">31_333408-12658-176_Pasture or forage-r03W-A_USEPA Pond_0030_median                   </v>
      </c>
      <c r="U206" s="121" t="str" cm="1">
        <f t="array" ref="U206:Z206">IFERROR(_xlfn.TEXTSPLIT(T206,"_"),"")</f>
        <v>31</v>
      </c>
      <c r="V206" t="str">
        <v>333408-12658-176</v>
      </c>
      <c r="W206" t="str">
        <v>Pasture or forage-r03W-A</v>
      </c>
      <c r="X206" t="str">
        <v>USEPA Pond</v>
      </c>
      <c r="Y206" t="str">
        <v>0030</v>
      </c>
      <c r="Z206" t="str">
        <v xml:space="preserve">median                   </v>
      </c>
      <c r="AA206" s="121" t="str" cm="1">
        <f t="array" ref="AA206:AC206">IF(W206="","",(_xlfn.TEXTSPLIT(W206,"-")))</f>
        <v>Pasture or forage</v>
      </c>
      <c r="AB206" s="121" t="str">
        <v>r03W</v>
      </c>
      <c r="AC206" t="str">
        <v>A</v>
      </c>
      <c r="AD206" s="129" t="str">
        <f>VLOOKUP(VALUE($U206),test_out_xwalk!$C:$L,3,FALSE)</f>
        <v>Grass, Pasture-11-31</v>
      </c>
      <c r="AE206" s="129">
        <f>VLOOKUP(VALUE($U206),test_out_xwalk!$C:$L,5,FALSE)</f>
        <v>1</v>
      </c>
      <c r="AF206" s="129">
        <f>VLOOKUP(VALUE($U206),test_out_xwalk!$C:$L,6,FALSE)</f>
        <v>1</v>
      </c>
      <c r="AG206" s="129" t="str">
        <f>VLOOKUP(VALUE($U206),test_out_xwalk!$C:$L,8,FALSE)</f>
        <v>None</v>
      </c>
      <c r="AH206" s="129" t="str">
        <f>VLOOKUP(VALUE($U206),test_out_xwalk!$C:$L,7,FALSE)</f>
        <v>Spray</v>
      </c>
      <c r="AI206" s="129" t="str">
        <f>VLOOKUP(VALUE($U206),test_out_xwalk!$C:$L,4,FALSE)</f>
        <v>Post-emergence</v>
      </c>
      <c r="AJ206" s="129" t="str">
        <f>VLOOKUP(VALUE($U206),test_out_xwalk!$C:$L,9,FALSE)</f>
        <v>Range</v>
      </c>
      <c r="AK206">
        <f>_xlfn.XLOOKUP(VALUE(U206),test_out_xwalk!C:C,test_out_xwalk!A:A)</f>
        <v>11</v>
      </c>
    </row>
    <row r="207" spans="1:37" x14ac:dyDescent="0.55000000000000004">
      <c r="A207" s="121" t="str">
        <f>IF('summary_EPA Pond'!$A207="","Check Summary EPA POND worksheet Column A",'summary_EPA Pond'!$A207)</f>
        <v xml:space="preserve">16_325764-11732-242_Small fruit trellised-r03W-A_USEPA Pond_0089_median               </v>
      </c>
      <c r="B207" s="121" t="str" cm="1">
        <f t="array" ref="B207:G207">IFERROR(_xlfn.TEXTSPLIT(A207,"_"),"")</f>
        <v>16</v>
      </c>
      <c r="C207" t="str">
        <v>325764-11732-242</v>
      </c>
      <c r="D207" t="str">
        <v>Small fruit trellised-r03W-A</v>
      </c>
      <c r="E207" t="str">
        <v>USEPA Pond</v>
      </c>
      <c r="F207" t="str">
        <v>0089</v>
      </c>
      <c r="G207" t="str">
        <v xml:space="preserve">median               </v>
      </c>
      <c r="H207" s="121" t="str" cm="1">
        <f t="array" ref="H207:J207">IF(D207="","",(_xlfn.TEXTSPLIT(D207,"-")))</f>
        <v>Small fruit trellised</v>
      </c>
      <c r="I207" s="121" t="str">
        <v>r03W</v>
      </c>
      <c r="J207" t="str">
        <v>A</v>
      </c>
      <c r="K207" s="129" t="str">
        <f>VLOOKUP(VALUE($B207),test_out_xwalk!$C:$L,3,FALSE)</f>
        <v>Blackberry-5-16</v>
      </c>
      <c r="L207" s="129">
        <f>VLOOKUP(VALUE($B207),test_out_xwalk!$C:$L,5,FALSE)</f>
        <v>1</v>
      </c>
      <c r="M207" s="129">
        <f>VLOOKUP(VALUE($B207),test_out_xwalk!$C:$L,6,FALSE)</f>
        <v>1</v>
      </c>
      <c r="N207" s="129" t="str">
        <f>VLOOKUP(VALUE($B207),test_out_xwalk!$C:$L,8,FALSE)</f>
        <v>Ground_F-MC_HB</v>
      </c>
      <c r="O207" s="129" t="str">
        <f>VLOOKUP(VALUE($B207),test_out_xwalk!$C:$L,7,FALSE)</f>
        <v>Spray</v>
      </c>
      <c r="P207" s="129" t="str">
        <f>VLOOKUP(VALUE($B207),test_out_xwalk!$C:$L,4,FALSE)</f>
        <v>Post-emergence</v>
      </c>
      <c r="Q207" s="129" t="str">
        <f>VLOOKUP(VALUE($B207),test_out_xwalk!$C:$L,9,FALSE)</f>
        <v>Vegetables and Ground Fruit</v>
      </c>
      <c r="R207">
        <f>_xlfn.XLOOKUP(VALUE(B207),test_out_xwalk!$C:$C,test_out_xwalk!$A:$A)</f>
        <v>5</v>
      </c>
      <c r="T207" s="121" t="str">
        <f>IF('summary_EPA Pond'!$O207="","Check Summary EPA POND worksheet Column O",'summary_EPA Pond'!$O207)</f>
        <v xml:space="preserve">31_294979-23094-176_Pasture or forage-r04-A_USEPA Pond_0030_median                    </v>
      </c>
      <c r="U207" s="121" t="str" cm="1">
        <f t="array" ref="U207:Z207">IFERROR(_xlfn.TEXTSPLIT(T207,"_"),"")</f>
        <v>31</v>
      </c>
      <c r="V207" t="str">
        <v>294979-23094-176</v>
      </c>
      <c r="W207" t="str">
        <v>Pasture or forage-r04-A</v>
      </c>
      <c r="X207" t="str">
        <v>USEPA Pond</v>
      </c>
      <c r="Y207" t="str">
        <v>0030</v>
      </c>
      <c r="Z207" t="str">
        <v xml:space="preserve">median                    </v>
      </c>
      <c r="AA207" s="121" t="str" cm="1">
        <f t="array" ref="AA207:AC207">IF(W207="","",(_xlfn.TEXTSPLIT(W207,"-")))</f>
        <v>Pasture or forage</v>
      </c>
      <c r="AB207" s="121" t="str">
        <v>r04</v>
      </c>
      <c r="AC207" t="str">
        <v>A</v>
      </c>
      <c r="AD207" s="129" t="str">
        <f>VLOOKUP(VALUE($U207),test_out_xwalk!$C:$L,3,FALSE)</f>
        <v>Grass, Pasture-11-31</v>
      </c>
      <c r="AE207" s="129">
        <f>VLOOKUP(VALUE($U207),test_out_xwalk!$C:$L,5,FALSE)</f>
        <v>1</v>
      </c>
      <c r="AF207" s="129">
        <f>VLOOKUP(VALUE($U207),test_out_xwalk!$C:$L,6,FALSE)</f>
        <v>1</v>
      </c>
      <c r="AG207" s="129" t="str">
        <f>VLOOKUP(VALUE($U207),test_out_xwalk!$C:$L,8,FALSE)</f>
        <v>None</v>
      </c>
      <c r="AH207" s="129" t="str">
        <f>VLOOKUP(VALUE($U207),test_out_xwalk!$C:$L,7,FALSE)</f>
        <v>Spray</v>
      </c>
      <c r="AI207" s="129" t="str">
        <f>VLOOKUP(VALUE($U207),test_out_xwalk!$C:$L,4,FALSE)</f>
        <v>Post-emergence</v>
      </c>
      <c r="AJ207" s="129" t="str">
        <f>VLOOKUP(VALUE($U207),test_out_xwalk!$C:$L,9,FALSE)</f>
        <v>Range</v>
      </c>
      <c r="AK207">
        <f>_xlfn.XLOOKUP(VALUE(U207),test_out_xwalk!C:C,test_out_xwalk!A:A)</f>
        <v>11</v>
      </c>
    </row>
    <row r="208" spans="1:37" x14ac:dyDescent="0.55000000000000004">
      <c r="A208" s="121" t="str">
        <f>IF('summary_EPA Pond'!$A208="","Check Summary EPA POND worksheet Column A",'summary_EPA Pond'!$A208)</f>
        <v xml:space="preserve">16_289866-21191-69_Small fruit trellised-r04-A_USEPA Pond_0089_median                 </v>
      </c>
      <c r="B208" s="121" t="str" cm="1">
        <f t="array" ref="B208:G208">IFERROR(_xlfn.TEXTSPLIT(A208,"_"),"")</f>
        <v>16</v>
      </c>
      <c r="C208" t="str">
        <v>289866-21191-69</v>
      </c>
      <c r="D208" t="str">
        <v>Small fruit trellised-r04-A</v>
      </c>
      <c r="E208" t="str">
        <v>USEPA Pond</v>
      </c>
      <c r="F208" t="str">
        <v>0089</v>
      </c>
      <c r="G208" t="str">
        <v xml:space="preserve">median                 </v>
      </c>
      <c r="H208" s="121" t="str" cm="1">
        <f t="array" ref="H208:J208">IF(D208="","",(_xlfn.TEXTSPLIT(D208,"-")))</f>
        <v>Small fruit trellised</v>
      </c>
      <c r="I208" s="121" t="str">
        <v>r04</v>
      </c>
      <c r="J208" t="str">
        <v>A</v>
      </c>
      <c r="K208" s="129" t="str">
        <f>VLOOKUP(VALUE($B208),test_out_xwalk!$C:$L,3,FALSE)</f>
        <v>Blackberry-5-16</v>
      </c>
      <c r="L208" s="129">
        <f>VLOOKUP(VALUE($B208),test_out_xwalk!$C:$L,5,FALSE)</f>
        <v>1</v>
      </c>
      <c r="M208" s="129">
        <f>VLOOKUP(VALUE($B208),test_out_xwalk!$C:$L,6,FALSE)</f>
        <v>1</v>
      </c>
      <c r="N208" s="129" t="str">
        <f>VLOOKUP(VALUE($B208),test_out_xwalk!$C:$L,8,FALSE)</f>
        <v>Ground_F-MC_HB</v>
      </c>
      <c r="O208" s="129" t="str">
        <f>VLOOKUP(VALUE($B208),test_out_xwalk!$C:$L,7,FALSE)</f>
        <v>Spray</v>
      </c>
      <c r="P208" s="129" t="str">
        <f>VLOOKUP(VALUE($B208),test_out_xwalk!$C:$L,4,FALSE)</f>
        <v>Post-emergence</v>
      </c>
      <c r="Q208" s="129" t="str">
        <f>VLOOKUP(VALUE($B208),test_out_xwalk!$C:$L,9,FALSE)</f>
        <v>Vegetables and Ground Fruit</v>
      </c>
      <c r="R208">
        <f>_xlfn.XLOOKUP(VALUE(B208),test_out_xwalk!$C:$C,test_out_xwalk!$A:$A)</f>
        <v>5</v>
      </c>
      <c r="T208" s="121" t="str">
        <f>IF('summary_EPA Pond'!$O208="","Check Summary EPA POND worksheet Column O",'summary_EPA Pond'!$O208)</f>
        <v xml:space="preserve">31_519298-15994-176_Pasture or forage-r05-A_USEPA Pond_0030_median                    </v>
      </c>
      <c r="U208" s="121" t="str" cm="1">
        <f t="array" ref="U208:Z208">IFERROR(_xlfn.TEXTSPLIT(T208,"_"),"")</f>
        <v>31</v>
      </c>
      <c r="V208" t="str">
        <v>519298-15994-176</v>
      </c>
      <c r="W208" t="str">
        <v>Pasture or forage-r05-A</v>
      </c>
      <c r="X208" t="str">
        <v>USEPA Pond</v>
      </c>
      <c r="Y208" t="str">
        <v>0030</v>
      </c>
      <c r="Z208" t="str">
        <v xml:space="preserve">median                    </v>
      </c>
      <c r="AA208" s="121" t="str" cm="1">
        <f t="array" ref="AA208:AC208">IF(W208="","",(_xlfn.TEXTSPLIT(W208,"-")))</f>
        <v>Pasture or forage</v>
      </c>
      <c r="AB208" s="121" t="str">
        <v>r05</v>
      </c>
      <c r="AC208" t="str">
        <v>A</v>
      </c>
      <c r="AD208" s="129" t="str">
        <f>VLOOKUP(VALUE($U208),test_out_xwalk!$C:$L,3,FALSE)</f>
        <v>Grass, Pasture-11-31</v>
      </c>
      <c r="AE208" s="129">
        <f>VLOOKUP(VALUE($U208),test_out_xwalk!$C:$L,5,FALSE)</f>
        <v>1</v>
      </c>
      <c r="AF208" s="129">
        <f>VLOOKUP(VALUE($U208),test_out_xwalk!$C:$L,6,FALSE)</f>
        <v>1</v>
      </c>
      <c r="AG208" s="129" t="str">
        <f>VLOOKUP(VALUE($U208),test_out_xwalk!$C:$L,8,FALSE)</f>
        <v>None</v>
      </c>
      <c r="AH208" s="129" t="str">
        <f>VLOOKUP(VALUE($U208),test_out_xwalk!$C:$L,7,FALSE)</f>
        <v>Spray</v>
      </c>
      <c r="AI208" s="129" t="str">
        <f>VLOOKUP(VALUE($U208),test_out_xwalk!$C:$L,4,FALSE)</f>
        <v>Post-emergence</v>
      </c>
      <c r="AJ208" s="129" t="str">
        <f>VLOOKUP(VALUE($U208),test_out_xwalk!$C:$L,9,FALSE)</f>
        <v>Range</v>
      </c>
      <c r="AK208">
        <f>_xlfn.XLOOKUP(VALUE(U208),test_out_xwalk!C:C,test_out_xwalk!A:A)</f>
        <v>11</v>
      </c>
    </row>
    <row r="209" spans="1:37" x14ac:dyDescent="0.55000000000000004">
      <c r="A209" s="121" t="str">
        <f>IF('summary_EPA Pond'!$A209="","Check Summary EPA POND worksheet Column A",'summary_EPA Pond'!$A209)</f>
        <v xml:space="preserve">16_2633044-20953-69_Small fruit trellised-r05-A_USEPA Pond_0089_median                </v>
      </c>
      <c r="B209" s="121" t="str" cm="1">
        <f t="array" ref="B209:G209">IFERROR(_xlfn.TEXTSPLIT(A209,"_"),"")</f>
        <v>16</v>
      </c>
      <c r="C209" t="str">
        <v>2633044-20953-69</v>
      </c>
      <c r="D209" t="str">
        <v>Small fruit trellised-r05-A</v>
      </c>
      <c r="E209" t="str">
        <v>USEPA Pond</v>
      </c>
      <c r="F209" t="str">
        <v>0089</v>
      </c>
      <c r="G209" t="str">
        <v xml:space="preserve">median                </v>
      </c>
      <c r="H209" s="121" t="str" cm="1">
        <f t="array" ref="H209:J209">IF(D209="","",(_xlfn.TEXTSPLIT(D209,"-")))</f>
        <v>Small fruit trellised</v>
      </c>
      <c r="I209" s="121" t="str">
        <v>r05</v>
      </c>
      <c r="J209" t="str">
        <v>A</v>
      </c>
      <c r="K209" s="129" t="str">
        <f>VLOOKUP(VALUE($B209),test_out_xwalk!$C:$L,3,FALSE)</f>
        <v>Blackberry-5-16</v>
      </c>
      <c r="L209" s="129">
        <f>VLOOKUP(VALUE($B209),test_out_xwalk!$C:$L,5,FALSE)</f>
        <v>1</v>
      </c>
      <c r="M209" s="129">
        <f>VLOOKUP(VALUE($B209),test_out_xwalk!$C:$L,6,FALSE)</f>
        <v>1</v>
      </c>
      <c r="N209" s="129" t="str">
        <f>VLOOKUP(VALUE($B209),test_out_xwalk!$C:$L,8,FALSE)</f>
        <v>Ground_F-MC_HB</v>
      </c>
      <c r="O209" s="129" t="str">
        <f>VLOOKUP(VALUE($B209),test_out_xwalk!$C:$L,7,FALSE)</f>
        <v>Spray</v>
      </c>
      <c r="P209" s="129" t="str">
        <f>VLOOKUP(VALUE($B209),test_out_xwalk!$C:$L,4,FALSE)</f>
        <v>Post-emergence</v>
      </c>
      <c r="Q209" s="129" t="str">
        <f>VLOOKUP(VALUE($B209),test_out_xwalk!$C:$L,9,FALSE)</f>
        <v>Vegetables and Ground Fruit</v>
      </c>
      <c r="R209">
        <f>_xlfn.XLOOKUP(VALUE(B209),test_out_xwalk!$C:$C,test_out_xwalk!$A:$A)</f>
        <v>5</v>
      </c>
      <c r="T209" s="121" t="str">
        <f>IF('summary_EPA Pond'!$O209="","Check Summary EPA POND worksheet Column O",'summary_EPA Pond'!$O209)</f>
        <v xml:space="preserve">31_549483-15964-176_Pasture or forage-r06-A_USEPA Pond_0030_median                    </v>
      </c>
      <c r="U209" s="121" t="str" cm="1">
        <f t="array" ref="U209:Z209">IFERROR(_xlfn.TEXTSPLIT(T209,"_"),"")</f>
        <v>31</v>
      </c>
      <c r="V209" t="str">
        <v>549483-15964-176</v>
      </c>
      <c r="W209" t="str">
        <v>Pasture or forage-r06-A</v>
      </c>
      <c r="X209" t="str">
        <v>USEPA Pond</v>
      </c>
      <c r="Y209" t="str">
        <v>0030</v>
      </c>
      <c r="Z209" t="str">
        <v xml:space="preserve">median                    </v>
      </c>
      <c r="AA209" s="121" t="str" cm="1">
        <f t="array" ref="AA209:AC209">IF(W209="","",(_xlfn.TEXTSPLIT(W209,"-")))</f>
        <v>Pasture or forage</v>
      </c>
      <c r="AB209" s="121" t="str">
        <v>r06</v>
      </c>
      <c r="AC209" t="str">
        <v>A</v>
      </c>
      <c r="AD209" s="129" t="str">
        <f>VLOOKUP(VALUE($U209),test_out_xwalk!$C:$L,3,FALSE)</f>
        <v>Grass, Pasture-11-31</v>
      </c>
      <c r="AE209" s="129">
        <f>VLOOKUP(VALUE($U209),test_out_xwalk!$C:$L,5,FALSE)</f>
        <v>1</v>
      </c>
      <c r="AF209" s="129">
        <f>VLOOKUP(VALUE($U209),test_out_xwalk!$C:$L,6,FALSE)</f>
        <v>1</v>
      </c>
      <c r="AG209" s="129" t="str">
        <f>VLOOKUP(VALUE($U209),test_out_xwalk!$C:$L,8,FALSE)</f>
        <v>None</v>
      </c>
      <c r="AH209" s="129" t="str">
        <f>VLOOKUP(VALUE($U209),test_out_xwalk!$C:$L,7,FALSE)</f>
        <v>Spray</v>
      </c>
      <c r="AI209" s="129" t="str">
        <f>VLOOKUP(VALUE($U209),test_out_xwalk!$C:$L,4,FALSE)</f>
        <v>Post-emergence</v>
      </c>
      <c r="AJ209" s="129" t="str">
        <f>VLOOKUP(VALUE($U209),test_out_xwalk!$C:$L,9,FALSE)</f>
        <v>Range</v>
      </c>
      <c r="AK209">
        <f>_xlfn.XLOOKUP(VALUE(U209),test_out_xwalk!C:C,test_out_xwalk!A:A)</f>
        <v>11</v>
      </c>
    </row>
    <row r="210" spans="1:37" x14ac:dyDescent="0.55000000000000004">
      <c r="A210" s="121" t="str">
        <f>IF('summary_EPA Pond'!$A210="","Check Summary EPA POND worksheet Column A",'summary_EPA Pond'!$A210)</f>
        <v xml:space="preserve">16_529798-15281-69_Small fruit trellised-r06-A_USEPA Pond_0089_median                 </v>
      </c>
      <c r="B210" s="121" t="str" cm="1">
        <f t="array" ref="B210:G210">IFERROR(_xlfn.TEXTSPLIT(A210,"_"),"")</f>
        <v>16</v>
      </c>
      <c r="C210" t="str">
        <v>529798-15281-69</v>
      </c>
      <c r="D210" t="str">
        <v>Small fruit trellised-r06-A</v>
      </c>
      <c r="E210" t="str">
        <v>USEPA Pond</v>
      </c>
      <c r="F210" t="str">
        <v>0089</v>
      </c>
      <c r="G210" t="str">
        <v xml:space="preserve">median                 </v>
      </c>
      <c r="H210" s="121" t="str" cm="1">
        <f t="array" ref="H210:J210">IF(D210="","",(_xlfn.TEXTSPLIT(D210,"-")))</f>
        <v>Small fruit trellised</v>
      </c>
      <c r="I210" s="121" t="str">
        <v>r06</v>
      </c>
      <c r="J210" t="str">
        <v>A</v>
      </c>
      <c r="K210" s="129" t="str">
        <f>VLOOKUP(VALUE($B210),test_out_xwalk!$C:$L,3,FALSE)</f>
        <v>Blackberry-5-16</v>
      </c>
      <c r="L210" s="129">
        <f>VLOOKUP(VALUE($B210),test_out_xwalk!$C:$L,5,FALSE)</f>
        <v>1</v>
      </c>
      <c r="M210" s="129">
        <f>VLOOKUP(VALUE($B210),test_out_xwalk!$C:$L,6,FALSE)</f>
        <v>1</v>
      </c>
      <c r="N210" s="129" t="str">
        <f>VLOOKUP(VALUE($B210),test_out_xwalk!$C:$L,8,FALSE)</f>
        <v>Ground_F-MC_HB</v>
      </c>
      <c r="O210" s="129" t="str">
        <f>VLOOKUP(VALUE($B210),test_out_xwalk!$C:$L,7,FALSE)</f>
        <v>Spray</v>
      </c>
      <c r="P210" s="129" t="str">
        <f>VLOOKUP(VALUE($B210),test_out_xwalk!$C:$L,4,FALSE)</f>
        <v>Post-emergence</v>
      </c>
      <c r="Q210" s="129" t="str">
        <f>VLOOKUP(VALUE($B210),test_out_xwalk!$C:$L,9,FALSE)</f>
        <v>Vegetables and Ground Fruit</v>
      </c>
      <c r="R210">
        <f>_xlfn.XLOOKUP(VALUE(B210),test_out_xwalk!$C:$C,test_out_xwalk!$A:$A)</f>
        <v>5</v>
      </c>
      <c r="T210" s="121" t="str">
        <f>IF('summary_EPA Pond'!$O210="","Check Summary EPA POND worksheet Column O",'summary_EPA Pond'!$O210)</f>
        <v xml:space="preserve">31_809237-20921-176_Pasture or forage-r07-A_USEPA Pond_0030_median                    </v>
      </c>
      <c r="U210" s="121" t="str" cm="1">
        <f t="array" ref="U210:Z210">IFERROR(_xlfn.TEXTSPLIT(T210,"_"),"")</f>
        <v>31</v>
      </c>
      <c r="V210" t="str">
        <v>809237-20921-176</v>
      </c>
      <c r="W210" t="str">
        <v>Pasture or forage-r07-A</v>
      </c>
      <c r="X210" t="str">
        <v>USEPA Pond</v>
      </c>
      <c r="Y210" t="str">
        <v>0030</v>
      </c>
      <c r="Z210" t="str">
        <v xml:space="preserve">median                    </v>
      </c>
      <c r="AA210" s="121" t="str" cm="1">
        <f t="array" ref="AA210:AC210">IF(W210="","",(_xlfn.TEXTSPLIT(W210,"-")))</f>
        <v>Pasture or forage</v>
      </c>
      <c r="AB210" s="121" t="str">
        <v>r07</v>
      </c>
      <c r="AC210" t="str">
        <v>A</v>
      </c>
      <c r="AD210" s="129" t="str">
        <f>VLOOKUP(VALUE($U210),test_out_xwalk!$C:$L,3,FALSE)</f>
        <v>Grass, Pasture-11-31</v>
      </c>
      <c r="AE210" s="129">
        <f>VLOOKUP(VALUE($U210),test_out_xwalk!$C:$L,5,FALSE)</f>
        <v>1</v>
      </c>
      <c r="AF210" s="129">
        <f>VLOOKUP(VALUE($U210),test_out_xwalk!$C:$L,6,FALSE)</f>
        <v>1</v>
      </c>
      <c r="AG210" s="129" t="str">
        <f>VLOOKUP(VALUE($U210),test_out_xwalk!$C:$L,8,FALSE)</f>
        <v>None</v>
      </c>
      <c r="AH210" s="129" t="str">
        <f>VLOOKUP(VALUE($U210),test_out_xwalk!$C:$L,7,FALSE)</f>
        <v>Spray</v>
      </c>
      <c r="AI210" s="129" t="str">
        <f>VLOOKUP(VALUE($U210),test_out_xwalk!$C:$L,4,FALSE)</f>
        <v>Post-emergence</v>
      </c>
      <c r="AJ210" s="129" t="str">
        <f>VLOOKUP(VALUE($U210),test_out_xwalk!$C:$L,9,FALSE)</f>
        <v>Range</v>
      </c>
      <c r="AK210">
        <f>_xlfn.XLOOKUP(VALUE(U210),test_out_xwalk!C:C,test_out_xwalk!A:A)</f>
        <v>11</v>
      </c>
    </row>
    <row r="211" spans="1:37" x14ac:dyDescent="0.55000000000000004">
      <c r="A211" s="121" t="str">
        <f>IF('summary_EPA Pond'!$A211="","Check Summary EPA POND worksheet Column A",'summary_EPA Pond'!$A211)</f>
        <v xml:space="preserve">16_487692-19376-69_Small fruit trellised-r16-A_USEPA Pond_0089_median                 </v>
      </c>
      <c r="B211" s="121" t="str" cm="1">
        <f t="array" ref="B211:G211">IFERROR(_xlfn.TEXTSPLIT(A211,"_"),"")</f>
        <v>16</v>
      </c>
      <c r="C211" t="str">
        <v>487692-19376-69</v>
      </c>
      <c r="D211" t="str">
        <v>Small fruit trellised-r16-A</v>
      </c>
      <c r="E211" t="str">
        <v>USEPA Pond</v>
      </c>
      <c r="F211" t="str">
        <v>0089</v>
      </c>
      <c r="G211" t="str">
        <v xml:space="preserve">median                 </v>
      </c>
      <c r="H211" s="121" t="str" cm="1">
        <f t="array" ref="H211:J211">IF(D211="","",(_xlfn.TEXTSPLIT(D211,"-")))</f>
        <v>Small fruit trellised</v>
      </c>
      <c r="I211" s="121" t="str">
        <v>r16</v>
      </c>
      <c r="J211" t="str">
        <v>A</v>
      </c>
      <c r="K211" s="129" t="str">
        <f>VLOOKUP(VALUE($B211),test_out_xwalk!$C:$L,3,FALSE)</f>
        <v>Blackberry-5-16</v>
      </c>
      <c r="L211" s="129">
        <f>VLOOKUP(VALUE($B211),test_out_xwalk!$C:$L,5,FALSE)</f>
        <v>1</v>
      </c>
      <c r="M211" s="129">
        <f>VLOOKUP(VALUE($B211),test_out_xwalk!$C:$L,6,FALSE)</f>
        <v>1</v>
      </c>
      <c r="N211" s="129" t="str">
        <f>VLOOKUP(VALUE($B211),test_out_xwalk!$C:$L,8,FALSE)</f>
        <v>Ground_F-MC_HB</v>
      </c>
      <c r="O211" s="129" t="str">
        <f>VLOOKUP(VALUE($B211),test_out_xwalk!$C:$L,7,FALSE)</f>
        <v>Spray</v>
      </c>
      <c r="P211" s="129" t="str">
        <f>VLOOKUP(VALUE($B211),test_out_xwalk!$C:$L,4,FALSE)</f>
        <v>Post-emergence</v>
      </c>
      <c r="Q211" s="129" t="str">
        <f>VLOOKUP(VALUE($B211),test_out_xwalk!$C:$L,9,FALSE)</f>
        <v>Vegetables and Ground Fruit</v>
      </c>
      <c r="R211">
        <f>_xlfn.XLOOKUP(VALUE(B211),test_out_xwalk!$C:$C,test_out_xwalk!$A:$A)</f>
        <v>5</v>
      </c>
      <c r="T211" s="121" t="str">
        <f>IF('summary_EPA Pond'!$O211="","Check Summary EPA POND worksheet Column O",'summary_EPA Pond'!$O211)</f>
        <v xml:space="preserve">31_333640-10527-176_Pasture or forage-r08-A_USEPA Pond_0030_median                    </v>
      </c>
      <c r="U211" s="121" t="str" cm="1">
        <f t="array" ref="U211:Z211">IFERROR(_xlfn.TEXTSPLIT(T211,"_"),"")</f>
        <v>31</v>
      </c>
      <c r="V211" t="str">
        <v>333640-10527-176</v>
      </c>
      <c r="W211" t="str">
        <v>Pasture or forage-r08-A</v>
      </c>
      <c r="X211" t="str">
        <v>USEPA Pond</v>
      </c>
      <c r="Y211" t="str">
        <v>0030</v>
      </c>
      <c r="Z211" t="str">
        <v xml:space="preserve">median                    </v>
      </c>
      <c r="AA211" s="121" t="str" cm="1">
        <f t="array" ref="AA211:AC211">IF(W211="","",(_xlfn.TEXTSPLIT(W211,"-")))</f>
        <v>Pasture or forage</v>
      </c>
      <c r="AB211" s="121" t="str">
        <v>r08</v>
      </c>
      <c r="AC211" t="str">
        <v>A</v>
      </c>
      <c r="AD211" s="129" t="str">
        <f>VLOOKUP(VALUE($U211),test_out_xwalk!$C:$L,3,FALSE)</f>
        <v>Grass, Pasture-11-31</v>
      </c>
      <c r="AE211" s="129">
        <f>VLOOKUP(VALUE($U211),test_out_xwalk!$C:$L,5,FALSE)</f>
        <v>1</v>
      </c>
      <c r="AF211" s="129">
        <f>VLOOKUP(VALUE($U211),test_out_xwalk!$C:$L,6,FALSE)</f>
        <v>1</v>
      </c>
      <c r="AG211" s="129" t="str">
        <f>VLOOKUP(VALUE($U211),test_out_xwalk!$C:$L,8,FALSE)</f>
        <v>None</v>
      </c>
      <c r="AH211" s="129" t="str">
        <f>VLOOKUP(VALUE($U211),test_out_xwalk!$C:$L,7,FALSE)</f>
        <v>Spray</v>
      </c>
      <c r="AI211" s="129" t="str">
        <f>VLOOKUP(VALUE($U211),test_out_xwalk!$C:$L,4,FALSE)</f>
        <v>Post-emergence</v>
      </c>
      <c r="AJ211" s="129" t="str">
        <f>VLOOKUP(VALUE($U211),test_out_xwalk!$C:$L,9,FALSE)</f>
        <v>Range</v>
      </c>
      <c r="AK211">
        <f>_xlfn.XLOOKUP(VALUE(U211),test_out_xwalk!C:C,test_out_xwalk!A:A)</f>
        <v>11</v>
      </c>
    </row>
    <row r="212" spans="1:37" x14ac:dyDescent="0.55000000000000004">
      <c r="A212" s="121" t="str">
        <f>IF('summary_EPA Pond'!$A212="","Check Summary EPA POND worksheet Column A",'summary_EPA Pond'!$A212)</f>
        <v xml:space="preserve">16_68977-25039-56_Small fruit trellised-r17-A_USEPA Pond_0089_median                  </v>
      </c>
      <c r="B212" s="121" t="str" cm="1">
        <f t="array" ref="B212:G212">IFERROR(_xlfn.TEXTSPLIT(A212,"_"),"")</f>
        <v>16</v>
      </c>
      <c r="C212" t="str">
        <v>68977-25039-56</v>
      </c>
      <c r="D212" t="str">
        <v>Small fruit trellised-r17-A</v>
      </c>
      <c r="E212" t="str">
        <v>USEPA Pond</v>
      </c>
      <c r="F212" t="str">
        <v>0089</v>
      </c>
      <c r="G212" t="str">
        <v xml:space="preserve">median                  </v>
      </c>
      <c r="H212" s="121" t="str" cm="1">
        <f t="array" ref="H212:J212">IF(D212="","",(_xlfn.TEXTSPLIT(D212,"-")))</f>
        <v>Small fruit trellised</v>
      </c>
      <c r="I212" s="121" t="str">
        <v>r17</v>
      </c>
      <c r="J212" t="str">
        <v>A</v>
      </c>
      <c r="K212" s="129" t="str">
        <f>VLOOKUP(VALUE($B212),test_out_xwalk!$C:$L,3,FALSE)</f>
        <v>Blackberry-5-16</v>
      </c>
      <c r="L212" s="129">
        <f>VLOOKUP(VALUE($B212),test_out_xwalk!$C:$L,5,FALSE)</f>
        <v>1</v>
      </c>
      <c r="M212" s="129">
        <f>VLOOKUP(VALUE($B212),test_out_xwalk!$C:$L,6,FALSE)</f>
        <v>1</v>
      </c>
      <c r="N212" s="129" t="str">
        <f>VLOOKUP(VALUE($B212),test_out_xwalk!$C:$L,8,FALSE)</f>
        <v>Ground_F-MC_HB</v>
      </c>
      <c r="O212" s="129" t="str">
        <f>VLOOKUP(VALUE($B212),test_out_xwalk!$C:$L,7,FALSE)</f>
        <v>Spray</v>
      </c>
      <c r="P212" s="129" t="str">
        <f>VLOOKUP(VALUE($B212),test_out_xwalk!$C:$L,4,FALSE)</f>
        <v>Post-emergence</v>
      </c>
      <c r="Q212" s="129" t="str">
        <f>VLOOKUP(VALUE($B212),test_out_xwalk!$C:$L,9,FALSE)</f>
        <v>Vegetables and Ground Fruit</v>
      </c>
      <c r="R212">
        <f>_xlfn.XLOOKUP(VALUE(B212),test_out_xwalk!$C:$C,test_out_xwalk!$A:$A)</f>
        <v>5</v>
      </c>
      <c r="T212" s="121" t="str">
        <f>IF('summary_EPA Pond'!$O212="","Check Summary EPA POND worksheet Column O",'summary_EPA Pond'!$O212)</f>
        <v xml:space="preserve">31_2641300-25131-176_Pasture or forage-r09-A_USEPA Pond_0030_median                   </v>
      </c>
      <c r="U212" s="121" t="str" cm="1">
        <f t="array" ref="U212:Z212">IFERROR(_xlfn.TEXTSPLIT(T212,"_"),"")</f>
        <v>31</v>
      </c>
      <c r="V212" t="str">
        <v>2641300-25131-176</v>
      </c>
      <c r="W212" t="str">
        <v>Pasture or forage-r09-A</v>
      </c>
      <c r="X212" t="str">
        <v>USEPA Pond</v>
      </c>
      <c r="Y212" t="str">
        <v>0030</v>
      </c>
      <c r="Z212" t="str">
        <v xml:space="preserve">median                   </v>
      </c>
      <c r="AA212" s="121" t="str" cm="1">
        <f t="array" ref="AA212:AC212">IF(W212="","",(_xlfn.TEXTSPLIT(W212,"-")))</f>
        <v>Pasture or forage</v>
      </c>
      <c r="AB212" s="121" t="str">
        <v>r09</v>
      </c>
      <c r="AC212" t="str">
        <v>A</v>
      </c>
      <c r="AD212" s="129" t="str">
        <f>VLOOKUP(VALUE($U212),test_out_xwalk!$C:$L,3,FALSE)</f>
        <v>Grass, Pasture-11-31</v>
      </c>
      <c r="AE212" s="129">
        <f>VLOOKUP(VALUE($U212),test_out_xwalk!$C:$L,5,FALSE)</f>
        <v>1</v>
      </c>
      <c r="AF212" s="129">
        <f>VLOOKUP(VALUE($U212),test_out_xwalk!$C:$L,6,FALSE)</f>
        <v>1</v>
      </c>
      <c r="AG212" s="129" t="str">
        <f>VLOOKUP(VALUE($U212),test_out_xwalk!$C:$L,8,FALSE)</f>
        <v>None</v>
      </c>
      <c r="AH212" s="129" t="str">
        <f>VLOOKUP(VALUE($U212),test_out_xwalk!$C:$L,7,FALSE)</f>
        <v>Spray</v>
      </c>
      <c r="AI212" s="129" t="str">
        <f>VLOOKUP(VALUE($U212),test_out_xwalk!$C:$L,4,FALSE)</f>
        <v>Post-emergence</v>
      </c>
      <c r="AJ212" s="129" t="str">
        <f>VLOOKUP(VALUE($U212),test_out_xwalk!$C:$L,9,FALSE)</f>
        <v>Range</v>
      </c>
      <c r="AK212">
        <f>_xlfn.XLOOKUP(VALUE(U212),test_out_xwalk!C:C,test_out_xwalk!A:A)</f>
        <v>11</v>
      </c>
    </row>
    <row r="213" spans="1:37" x14ac:dyDescent="0.55000000000000004">
      <c r="A213" s="121" t="str">
        <f>IF('summary_EPA Pond'!$A213="","Check Summary EPA POND worksheet Column A",'summary_EPA Pond'!$A213)</f>
        <v xml:space="preserve">16_463590-15133-69_Small fruit trellised-r18-A_USEPA Pond_0089_median                 </v>
      </c>
      <c r="B213" s="121" t="str" cm="1">
        <f t="array" ref="B213:G213">IFERROR(_xlfn.TEXTSPLIT(A213,"_"),"")</f>
        <v>16</v>
      </c>
      <c r="C213" t="str">
        <v>463590-15133-69</v>
      </c>
      <c r="D213" t="str">
        <v>Small fruit trellised-r18-A</v>
      </c>
      <c r="E213" t="str">
        <v>USEPA Pond</v>
      </c>
      <c r="F213" t="str">
        <v>0089</v>
      </c>
      <c r="G213" t="str">
        <v xml:space="preserve">median                 </v>
      </c>
      <c r="H213" s="121" t="str" cm="1">
        <f t="array" ref="H213:J213">IF(D213="","",(_xlfn.TEXTSPLIT(D213,"-")))</f>
        <v>Small fruit trellised</v>
      </c>
      <c r="I213" s="121" t="str">
        <v>r18</v>
      </c>
      <c r="J213" t="str">
        <v>A</v>
      </c>
      <c r="K213" s="129" t="str">
        <f>VLOOKUP(VALUE($B213),test_out_xwalk!$C:$L,3,FALSE)</f>
        <v>Blackberry-5-16</v>
      </c>
      <c r="L213" s="129">
        <f>VLOOKUP(VALUE($B213),test_out_xwalk!$C:$L,5,FALSE)</f>
        <v>1</v>
      </c>
      <c r="M213" s="129">
        <f>VLOOKUP(VALUE($B213),test_out_xwalk!$C:$L,6,FALSE)</f>
        <v>1</v>
      </c>
      <c r="N213" s="129" t="str">
        <f>VLOOKUP(VALUE($B213),test_out_xwalk!$C:$L,8,FALSE)</f>
        <v>Ground_F-MC_HB</v>
      </c>
      <c r="O213" s="129" t="str">
        <f>VLOOKUP(VALUE($B213),test_out_xwalk!$C:$L,7,FALSE)</f>
        <v>Spray</v>
      </c>
      <c r="P213" s="129" t="str">
        <f>VLOOKUP(VALUE($B213),test_out_xwalk!$C:$L,4,FALSE)</f>
        <v>Post-emergence</v>
      </c>
      <c r="Q213" s="129" t="str">
        <f>VLOOKUP(VALUE($B213),test_out_xwalk!$C:$L,9,FALSE)</f>
        <v>Vegetables and Ground Fruit</v>
      </c>
      <c r="R213">
        <f>_xlfn.XLOOKUP(VALUE(B213),test_out_xwalk!$C:$C,test_out_xwalk!$A:$A)</f>
        <v>5</v>
      </c>
      <c r="T213" s="121" t="str">
        <f>IF('summary_EPA Pond'!$O213="","Check Summary EPA POND worksheet Column O",'summary_EPA Pond'!$O213)</f>
        <v xml:space="preserve">31_2531219-18535-176_Pasture or forage-r10L-A_USEPA Pond_0030_median                  </v>
      </c>
      <c r="U213" s="121" t="str" cm="1">
        <f t="array" ref="U213:Z213">IFERROR(_xlfn.TEXTSPLIT(T213,"_"),"")</f>
        <v>31</v>
      </c>
      <c r="V213" t="str">
        <v>2531219-18535-176</v>
      </c>
      <c r="W213" t="str">
        <v>Pasture or forage-r10L-A</v>
      </c>
      <c r="X213" t="str">
        <v>USEPA Pond</v>
      </c>
      <c r="Y213" t="str">
        <v>0030</v>
      </c>
      <c r="Z213" t="str">
        <v xml:space="preserve">median                  </v>
      </c>
      <c r="AA213" s="121" t="str" cm="1">
        <f t="array" ref="AA213:AC213">IF(W213="","",(_xlfn.TEXTSPLIT(W213,"-")))</f>
        <v>Pasture or forage</v>
      </c>
      <c r="AB213" s="121" t="str">
        <v>r10L</v>
      </c>
      <c r="AC213" t="str">
        <v>A</v>
      </c>
      <c r="AD213" s="129" t="str">
        <f>VLOOKUP(VALUE($U213),test_out_xwalk!$C:$L,3,FALSE)</f>
        <v>Grass, Pasture-11-31</v>
      </c>
      <c r="AE213" s="129">
        <f>VLOOKUP(VALUE($U213),test_out_xwalk!$C:$L,5,FALSE)</f>
        <v>1</v>
      </c>
      <c r="AF213" s="129">
        <f>VLOOKUP(VALUE($U213),test_out_xwalk!$C:$L,6,FALSE)</f>
        <v>1</v>
      </c>
      <c r="AG213" s="129" t="str">
        <f>VLOOKUP(VALUE($U213),test_out_xwalk!$C:$L,8,FALSE)</f>
        <v>None</v>
      </c>
      <c r="AH213" s="129" t="str">
        <f>VLOOKUP(VALUE($U213),test_out_xwalk!$C:$L,7,FALSE)</f>
        <v>Spray</v>
      </c>
      <c r="AI213" s="129" t="str">
        <f>VLOOKUP(VALUE($U213),test_out_xwalk!$C:$L,4,FALSE)</f>
        <v>Post-emergence</v>
      </c>
      <c r="AJ213" s="129" t="str">
        <f>VLOOKUP(VALUE($U213),test_out_xwalk!$C:$L,9,FALSE)</f>
        <v>Range</v>
      </c>
      <c r="AK213">
        <f>_xlfn.XLOOKUP(VALUE(U213),test_out_xwalk!C:C,test_out_xwalk!A:A)</f>
        <v>11</v>
      </c>
    </row>
    <row r="214" spans="1:37" x14ac:dyDescent="0.55000000000000004">
      <c r="A214" s="121" t="str">
        <f>IF('summary_EPA Pond'!$A214="","Check Summary EPA POND worksheet Column A",'summary_EPA Pond'!$A214)</f>
        <v xml:space="preserve">18_286019-20746-12_Vegetable fresh or processing market-r01-A_USEPA Pond_0010_median  </v>
      </c>
      <c r="B214" s="121" t="str" cm="1">
        <f t="array" ref="B214:G214">IFERROR(_xlfn.TEXTSPLIT(A214,"_"),"")</f>
        <v>18</v>
      </c>
      <c r="C214" t="str">
        <v>286019-20746-12</v>
      </c>
      <c r="D214" t="str">
        <v>Vegetable fresh or processing market-r01-A</v>
      </c>
      <c r="E214" t="str">
        <v>USEPA Pond</v>
      </c>
      <c r="F214" t="str">
        <v>0010</v>
      </c>
      <c r="G214" t="str">
        <v xml:space="preserve">median  </v>
      </c>
      <c r="H214" s="121" t="str" cm="1">
        <f t="array" ref="H214:J214">IF(D214="","",(_xlfn.TEXTSPLIT(D214,"-")))</f>
        <v>Vegetable fresh or processing market</v>
      </c>
      <c r="I214" s="121" t="str">
        <v>r01</v>
      </c>
      <c r="J214" t="str">
        <v>A</v>
      </c>
      <c r="K214" s="129" t="str">
        <f>VLOOKUP(VALUE($B214),test_out_xwalk!$C:$L,3,FALSE)</f>
        <v>Broccoli-6-18</v>
      </c>
      <c r="L214" s="129">
        <f>VLOOKUP(VALUE($B214),test_out_xwalk!$C:$L,5,FALSE)</f>
        <v>0.5</v>
      </c>
      <c r="M214" s="129">
        <f>VLOOKUP(VALUE($B214),test_out_xwalk!$C:$L,6,FALSE)</f>
        <v>0.5</v>
      </c>
      <c r="N214" s="129" t="str">
        <f>VLOOKUP(VALUE($B214),test_out_xwalk!$C:$L,8,FALSE)</f>
        <v>Ground_F-MC_HB</v>
      </c>
      <c r="O214" s="129" t="str">
        <f>VLOOKUP(VALUE($B214),test_out_xwalk!$C:$L,7,FALSE)</f>
        <v>Spray</v>
      </c>
      <c r="P214" s="129" t="str">
        <f>VLOOKUP(VALUE($B214),test_out_xwalk!$C:$L,4,FALSE)</f>
        <v>Pre-emergence</v>
      </c>
      <c r="Q214" s="129" t="str">
        <f>VLOOKUP(VALUE($B214),test_out_xwalk!$C:$L,9,FALSE)</f>
        <v>Vegetables and Ground Fruit</v>
      </c>
      <c r="R214">
        <f>_xlfn.XLOOKUP(VALUE(B214),test_out_xwalk!$C:$C,test_out_xwalk!$A:$A)</f>
        <v>6</v>
      </c>
      <c r="T214" s="121" t="str">
        <f>IF('summary_EPA Pond'!$O214="","Check Summary EPA POND worksheet Column O",'summary_EPA Pond'!$O214)</f>
        <v xml:space="preserve">31_2525857-24643-176_Pasture or forage-r10U-A_USEPA Pond_0030_median                  </v>
      </c>
      <c r="U214" s="121" t="str" cm="1">
        <f t="array" ref="U214:Z214">IFERROR(_xlfn.TEXTSPLIT(T214,"_"),"")</f>
        <v>31</v>
      </c>
      <c r="V214" t="str">
        <v>2525857-24643-176</v>
      </c>
      <c r="W214" t="str">
        <v>Pasture or forage-r10U-A</v>
      </c>
      <c r="X214" t="str">
        <v>USEPA Pond</v>
      </c>
      <c r="Y214" t="str">
        <v>0030</v>
      </c>
      <c r="Z214" t="str">
        <v xml:space="preserve">median                  </v>
      </c>
      <c r="AA214" s="121" t="str" cm="1">
        <f t="array" ref="AA214:AC214">IF(W214="","",(_xlfn.TEXTSPLIT(W214,"-")))</f>
        <v>Pasture or forage</v>
      </c>
      <c r="AB214" s="121" t="str">
        <v>r10U</v>
      </c>
      <c r="AC214" t="str">
        <v>A</v>
      </c>
      <c r="AD214" s="129" t="str">
        <f>VLOOKUP(VALUE($U214),test_out_xwalk!$C:$L,3,FALSE)</f>
        <v>Grass, Pasture-11-31</v>
      </c>
      <c r="AE214" s="129">
        <f>VLOOKUP(VALUE($U214),test_out_xwalk!$C:$L,5,FALSE)</f>
        <v>1</v>
      </c>
      <c r="AF214" s="129">
        <f>VLOOKUP(VALUE($U214),test_out_xwalk!$C:$L,6,FALSE)</f>
        <v>1</v>
      </c>
      <c r="AG214" s="129" t="str">
        <f>VLOOKUP(VALUE($U214),test_out_xwalk!$C:$L,8,FALSE)</f>
        <v>None</v>
      </c>
      <c r="AH214" s="129" t="str">
        <f>VLOOKUP(VALUE($U214),test_out_xwalk!$C:$L,7,FALSE)</f>
        <v>Spray</v>
      </c>
      <c r="AI214" s="129" t="str">
        <f>VLOOKUP(VALUE($U214),test_out_xwalk!$C:$L,4,FALSE)</f>
        <v>Post-emergence</v>
      </c>
      <c r="AJ214" s="129" t="str">
        <f>VLOOKUP(VALUE($U214),test_out_xwalk!$C:$L,9,FALSE)</f>
        <v>Range</v>
      </c>
      <c r="AK214">
        <f>_xlfn.XLOOKUP(VALUE(U214),test_out_xwalk!C:C,test_out_xwalk!A:A)</f>
        <v>11</v>
      </c>
    </row>
    <row r="215" spans="1:37" x14ac:dyDescent="0.55000000000000004">
      <c r="A215" s="121" t="str">
        <f>IF('summary_EPA Pond'!$A215="","Check Summary EPA POND worksheet Column A",'summary_EPA Pond'!$A215)</f>
        <v xml:space="preserve">18_2950700-17902-12_Vegetable fresh or processing market-r02-A_USEPA Pond_0010_median </v>
      </c>
      <c r="B215" s="121" t="str" cm="1">
        <f t="array" ref="B215:G215">IFERROR(_xlfn.TEXTSPLIT(A215,"_"),"")</f>
        <v>18</v>
      </c>
      <c r="C215" t="str">
        <v>2950700-17902-12</v>
      </c>
      <c r="D215" t="str">
        <v>Vegetable fresh or processing market-r02-A</v>
      </c>
      <c r="E215" t="str">
        <v>USEPA Pond</v>
      </c>
      <c r="F215" t="str">
        <v>0010</v>
      </c>
      <c r="G215" t="str">
        <v xml:space="preserve">median </v>
      </c>
      <c r="H215" s="121" t="str" cm="1">
        <f t="array" ref="H215:J215">IF(D215="","",(_xlfn.TEXTSPLIT(D215,"-")))</f>
        <v>Vegetable fresh or processing market</v>
      </c>
      <c r="I215" s="121" t="str">
        <v>r02</v>
      </c>
      <c r="J215" t="str">
        <v>A</v>
      </c>
      <c r="K215" s="129" t="str">
        <f>VLOOKUP(VALUE($B215),test_out_xwalk!$C:$L,3,FALSE)</f>
        <v>Broccoli-6-18</v>
      </c>
      <c r="L215" s="129">
        <f>VLOOKUP(VALUE($B215),test_out_xwalk!$C:$L,5,FALSE)</f>
        <v>0.5</v>
      </c>
      <c r="M215" s="129">
        <f>VLOOKUP(VALUE($B215),test_out_xwalk!$C:$L,6,FALSE)</f>
        <v>0.5</v>
      </c>
      <c r="N215" s="129" t="str">
        <f>VLOOKUP(VALUE($B215),test_out_xwalk!$C:$L,8,FALSE)</f>
        <v>Ground_F-MC_HB</v>
      </c>
      <c r="O215" s="129" t="str">
        <f>VLOOKUP(VALUE($B215),test_out_xwalk!$C:$L,7,FALSE)</f>
        <v>Spray</v>
      </c>
      <c r="P215" s="129" t="str">
        <f>VLOOKUP(VALUE($B215),test_out_xwalk!$C:$L,4,FALSE)</f>
        <v>Pre-emergence</v>
      </c>
      <c r="Q215" s="129" t="str">
        <f>VLOOKUP(VALUE($B215),test_out_xwalk!$C:$L,9,FALSE)</f>
        <v>Vegetables and Ground Fruit</v>
      </c>
      <c r="R215">
        <f>_xlfn.XLOOKUP(VALUE(B215),test_out_xwalk!$C:$C,test_out_xwalk!$A:$A)</f>
        <v>6</v>
      </c>
      <c r="T215" s="121" t="str">
        <f>IF('summary_EPA Pond'!$O215="","Check Summary EPA POND worksheet Column O",'summary_EPA Pond'!$O215)</f>
        <v xml:space="preserve">31_381879-14271-176_Pasture or forage-r11-A_USEPA Pond_0030_median                    </v>
      </c>
      <c r="U215" s="121" t="str" cm="1">
        <f t="array" ref="U215:Z215">IFERROR(_xlfn.TEXTSPLIT(T215,"_"),"")</f>
        <v>31</v>
      </c>
      <c r="V215" t="str">
        <v>381879-14271-176</v>
      </c>
      <c r="W215" t="str">
        <v>Pasture or forage-r11-A</v>
      </c>
      <c r="X215" t="str">
        <v>USEPA Pond</v>
      </c>
      <c r="Y215" t="str">
        <v>0030</v>
      </c>
      <c r="Z215" t="str">
        <v xml:space="preserve">median                    </v>
      </c>
      <c r="AA215" s="121" t="str" cm="1">
        <f t="array" ref="AA215:AC215">IF(W215="","",(_xlfn.TEXTSPLIT(W215,"-")))</f>
        <v>Pasture or forage</v>
      </c>
      <c r="AB215" s="121" t="str">
        <v>r11</v>
      </c>
      <c r="AC215" t="str">
        <v>A</v>
      </c>
      <c r="AD215" s="129" t="str">
        <f>VLOOKUP(VALUE($U215),test_out_xwalk!$C:$L,3,FALSE)</f>
        <v>Grass, Pasture-11-31</v>
      </c>
      <c r="AE215" s="129">
        <f>VLOOKUP(VALUE($U215),test_out_xwalk!$C:$L,5,FALSE)</f>
        <v>1</v>
      </c>
      <c r="AF215" s="129">
        <f>VLOOKUP(VALUE($U215),test_out_xwalk!$C:$L,6,FALSE)</f>
        <v>1</v>
      </c>
      <c r="AG215" s="129" t="str">
        <f>VLOOKUP(VALUE($U215),test_out_xwalk!$C:$L,8,FALSE)</f>
        <v>None</v>
      </c>
      <c r="AH215" s="129" t="str">
        <f>VLOOKUP(VALUE($U215),test_out_xwalk!$C:$L,7,FALSE)</f>
        <v>Spray</v>
      </c>
      <c r="AI215" s="129" t="str">
        <f>VLOOKUP(VALUE($U215),test_out_xwalk!$C:$L,4,FALSE)</f>
        <v>Post-emergence</v>
      </c>
      <c r="AJ215" s="129" t="str">
        <f>VLOOKUP(VALUE($U215),test_out_xwalk!$C:$L,9,FALSE)</f>
        <v>Range</v>
      </c>
      <c r="AK215">
        <f>_xlfn.XLOOKUP(VALUE(U215),test_out_xwalk!C:C,test_out_xwalk!A:A)</f>
        <v>11</v>
      </c>
    </row>
    <row r="216" spans="1:37" x14ac:dyDescent="0.55000000000000004">
      <c r="A216" s="121" t="str">
        <f>IF('summary_EPA Pond'!$A216="","Check Summary EPA POND worksheet Column A",'summary_EPA Pond'!$A216)</f>
        <v xml:space="preserve">18_111389-15064-57_Vegetable fresh or processing market-r03N-A_USEPA Pond_0010_median </v>
      </c>
      <c r="B216" s="121" t="str" cm="1">
        <f t="array" ref="B216:G216">IFERROR(_xlfn.TEXTSPLIT(A216,"_"),"")</f>
        <v>18</v>
      </c>
      <c r="C216" t="str">
        <v>111389-15064-57</v>
      </c>
      <c r="D216" t="str">
        <v>Vegetable fresh or processing market-r03N-A</v>
      </c>
      <c r="E216" t="str">
        <v>USEPA Pond</v>
      </c>
      <c r="F216" t="str">
        <v>0010</v>
      </c>
      <c r="G216" t="str">
        <v xml:space="preserve">median </v>
      </c>
      <c r="H216" s="121" t="str" cm="1">
        <f t="array" ref="H216:J216">IF(D216="","",(_xlfn.TEXTSPLIT(D216,"-")))</f>
        <v>Vegetable fresh or processing market</v>
      </c>
      <c r="I216" s="121" t="str">
        <v>r03N</v>
      </c>
      <c r="J216" t="str">
        <v>A</v>
      </c>
      <c r="K216" s="129" t="str">
        <f>VLOOKUP(VALUE($B216),test_out_xwalk!$C:$L,3,FALSE)</f>
        <v>Broccoli-6-18</v>
      </c>
      <c r="L216" s="129">
        <f>VLOOKUP(VALUE($B216),test_out_xwalk!$C:$L,5,FALSE)</f>
        <v>0.5</v>
      </c>
      <c r="M216" s="129">
        <f>VLOOKUP(VALUE($B216),test_out_xwalk!$C:$L,6,FALSE)</f>
        <v>0.5</v>
      </c>
      <c r="N216" s="129" t="str">
        <f>VLOOKUP(VALUE($B216),test_out_xwalk!$C:$L,8,FALSE)</f>
        <v>Ground_F-MC_HB</v>
      </c>
      <c r="O216" s="129" t="str">
        <f>VLOOKUP(VALUE($B216),test_out_xwalk!$C:$L,7,FALSE)</f>
        <v>Spray</v>
      </c>
      <c r="P216" s="129" t="str">
        <f>VLOOKUP(VALUE($B216),test_out_xwalk!$C:$L,4,FALSE)</f>
        <v>Pre-emergence</v>
      </c>
      <c r="Q216" s="129" t="str">
        <f>VLOOKUP(VALUE($B216),test_out_xwalk!$C:$L,9,FALSE)</f>
        <v>Vegetables and Ground Fruit</v>
      </c>
      <c r="R216">
        <f>_xlfn.XLOOKUP(VALUE(B216),test_out_xwalk!$C:$C,test_out_xwalk!$A:$A)</f>
        <v>6</v>
      </c>
      <c r="T216" s="121" t="str">
        <f>IF('summary_EPA Pond'!$O216="","Check Summary EPA POND worksheet Column O",'summary_EPA Pond'!$O216)</f>
        <v xml:space="preserve">31_368179-11680-176_Pasture or forage-r12-A_USEPA Pond_0030_median                    </v>
      </c>
      <c r="U216" s="121" t="str" cm="1">
        <f t="array" ref="U216:Z216">IFERROR(_xlfn.TEXTSPLIT(T216,"_"),"")</f>
        <v>31</v>
      </c>
      <c r="V216" t="str">
        <v>368179-11680-176</v>
      </c>
      <c r="W216" t="str">
        <v>Pasture or forage-r12-A</v>
      </c>
      <c r="X216" t="str">
        <v>USEPA Pond</v>
      </c>
      <c r="Y216" t="str">
        <v>0030</v>
      </c>
      <c r="Z216" t="str">
        <v xml:space="preserve">median                    </v>
      </c>
      <c r="AA216" s="121" t="str" cm="1">
        <f t="array" ref="AA216:AC216">IF(W216="","",(_xlfn.TEXTSPLIT(W216,"-")))</f>
        <v>Pasture or forage</v>
      </c>
      <c r="AB216" s="121" t="str">
        <v>r12</v>
      </c>
      <c r="AC216" t="str">
        <v>A</v>
      </c>
      <c r="AD216" s="129" t="str">
        <f>VLOOKUP(VALUE($U216),test_out_xwalk!$C:$L,3,FALSE)</f>
        <v>Grass, Pasture-11-31</v>
      </c>
      <c r="AE216" s="129">
        <f>VLOOKUP(VALUE($U216),test_out_xwalk!$C:$L,5,FALSE)</f>
        <v>1</v>
      </c>
      <c r="AF216" s="129">
        <f>VLOOKUP(VALUE($U216),test_out_xwalk!$C:$L,6,FALSE)</f>
        <v>1</v>
      </c>
      <c r="AG216" s="129" t="str">
        <f>VLOOKUP(VALUE($U216),test_out_xwalk!$C:$L,8,FALSE)</f>
        <v>None</v>
      </c>
      <c r="AH216" s="129" t="str">
        <f>VLOOKUP(VALUE($U216),test_out_xwalk!$C:$L,7,FALSE)</f>
        <v>Spray</v>
      </c>
      <c r="AI216" s="129" t="str">
        <f>VLOOKUP(VALUE($U216),test_out_xwalk!$C:$L,4,FALSE)</f>
        <v>Post-emergence</v>
      </c>
      <c r="AJ216" s="129" t="str">
        <f>VLOOKUP(VALUE($U216),test_out_xwalk!$C:$L,9,FALSE)</f>
        <v>Range</v>
      </c>
      <c r="AK216">
        <f>_xlfn.XLOOKUP(VALUE(U216),test_out_xwalk!C:C,test_out_xwalk!A:A)</f>
        <v>11</v>
      </c>
    </row>
    <row r="217" spans="1:37" x14ac:dyDescent="0.55000000000000004">
      <c r="A217" s="121" t="str">
        <f>IF('summary_EPA Pond'!$A217="","Check Summary EPA POND worksheet Column A",'summary_EPA Pond'!$A217)</f>
        <v xml:space="preserve">18_631572-5375-222_Vegetable fresh or processing market-r03S-A_USEPA Pond_0010_median </v>
      </c>
      <c r="B217" s="121" t="str" cm="1">
        <f t="array" ref="B217:G217">IFERROR(_xlfn.TEXTSPLIT(A217,"_"),"")</f>
        <v>18</v>
      </c>
      <c r="C217" t="str">
        <v>631572-5375-222</v>
      </c>
      <c r="D217" t="str">
        <v>Vegetable fresh or processing market-r03S-A</v>
      </c>
      <c r="E217" t="str">
        <v>USEPA Pond</v>
      </c>
      <c r="F217" t="str">
        <v>0010</v>
      </c>
      <c r="G217" t="str">
        <v xml:space="preserve">median </v>
      </c>
      <c r="H217" s="121" t="str" cm="1">
        <f t="array" ref="H217:J217">IF(D217="","",(_xlfn.TEXTSPLIT(D217,"-")))</f>
        <v>Vegetable fresh or processing market</v>
      </c>
      <c r="I217" s="121" t="str">
        <v>r03S</v>
      </c>
      <c r="J217" t="str">
        <v>A</v>
      </c>
      <c r="K217" s="129" t="str">
        <f>VLOOKUP(VALUE($B217),test_out_xwalk!$C:$L,3,FALSE)</f>
        <v>Broccoli-6-18</v>
      </c>
      <c r="L217" s="129">
        <f>VLOOKUP(VALUE($B217),test_out_xwalk!$C:$L,5,FALSE)</f>
        <v>0.5</v>
      </c>
      <c r="M217" s="129">
        <f>VLOOKUP(VALUE($B217),test_out_xwalk!$C:$L,6,FALSE)</f>
        <v>0.5</v>
      </c>
      <c r="N217" s="129" t="str">
        <f>VLOOKUP(VALUE($B217),test_out_xwalk!$C:$L,8,FALSE)</f>
        <v>Ground_F-MC_HB</v>
      </c>
      <c r="O217" s="129" t="str">
        <f>VLOOKUP(VALUE($B217),test_out_xwalk!$C:$L,7,FALSE)</f>
        <v>Spray</v>
      </c>
      <c r="P217" s="129" t="str">
        <f>VLOOKUP(VALUE($B217),test_out_xwalk!$C:$L,4,FALSE)</f>
        <v>Pre-emergence</v>
      </c>
      <c r="Q217" s="129" t="str">
        <f>VLOOKUP(VALUE($B217),test_out_xwalk!$C:$L,9,FALSE)</f>
        <v>Vegetables and Ground Fruit</v>
      </c>
      <c r="R217">
        <f>_xlfn.XLOOKUP(VALUE(B217),test_out_xwalk!$C:$C,test_out_xwalk!$A:$A)</f>
        <v>6</v>
      </c>
      <c r="T217" s="121" t="str">
        <f>IF('summary_EPA Pond'!$O217="","Check Summary EPA POND worksheet Column O",'summary_EPA Pond'!$O217)</f>
        <v xml:space="preserve">31_370654-10952-176_Pasture or forage-r13-A_USEPA Pond_0030_median                    </v>
      </c>
      <c r="U217" s="121" t="str" cm="1">
        <f t="array" ref="U217:Z217">IFERROR(_xlfn.TEXTSPLIT(T217,"_"),"")</f>
        <v>31</v>
      </c>
      <c r="V217" t="str">
        <v>370654-10952-176</v>
      </c>
      <c r="W217" t="str">
        <v>Pasture or forage-r13-A</v>
      </c>
      <c r="X217" t="str">
        <v>USEPA Pond</v>
      </c>
      <c r="Y217" t="str">
        <v>0030</v>
      </c>
      <c r="Z217" t="str">
        <v xml:space="preserve">median                    </v>
      </c>
      <c r="AA217" s="121" t="str" cm="1">
        <f t="array" ref="AA217:AC217">IF(W217="","",(_xlfn.TEXTSPLIT(W217,"-")))</f>
        <v>Pasture or forage</v>
      </c>
      <c r="AB217" s="121" t="str">
        <v>r13</v>
      </c>
      <c r="AC217" t="str">
        <v>A</v>
      </c>
      <c r="AD217" s="129" t="str">
        <f>VLOOKUP(VALUE($U217),test_out_xwalk!$C:$L,3,FALSE)</f>
        <v>Grass, Pasture-11-31</v>
      </c>
      <c r="AE217" s="129">
        <f>VLOOKUP(VALUE($U217),test_out_xwalk!$C:$L,5,FALSE)</f>
        <v>1</v>
      </c>
      <c r="AF217" s="129">
        <f>VLOOKUP(VALUE($U217),test_out_xwalk!$C:$L,6,FALSE)</f>
        <v>1</v>
      </c>
      <c r="AG217" s="129" t="str">
        <f>VLOOKUP(VALUE($U217),test_out_xwalk!$C:$L,8,FALSE)</f>
        <v>None</v>
      </c>
      <c r="AH217" s="129" t="str">
        <f>VLOOKUP(VALUE($U217),test_out_xwalk!$C:$L,7,FALSE)</f>
        <v>Spray</v>
      </c>
      <c r="AI217" s="129" t="str">
        <f>VLOOKUP(VALUE($U217),test_out_xwalk!$C:$L,4,FALSE)</f>
        <v>Post-emergence</v>
      </c>
      <c r="AJ217" s="129" t="str">
        <f>VLOOKUP(VALUE($U217),test_out_xwalk!$C:$L,9,FALSE)</f>
        <v>Range</v>
      </c>
      <c r="AK217">
        <f>_xlfn.XLOOKUP(VALUE(U217),test_out_xwalk!C:C,test_out_xwalk!A:A)</f>
        <v>11</v>
      </c>
    </row>
    <row r="218" spans="1:37" x14ac:dyDescent="0.55000000000000004">
      <c r="A218" s="121" t="str">
        <f>IF('summary_EPA Pond'!$A218="","Check Summary EPA POND worksheet Column A",'summary_EPA Pond'!$A218)</f>
        <v xml:space="preserve">18_332581-10063-48_Vegetable fresh or processing market-r03W-A_USEPA Pond_0010_median </v>
      </c>
      <c r="B218" s="121" t="str" cm="1">
        <f t="array" ref="B218:G218">IFERROR(_xlfn.TEXTSPLIT(A218,"_"),"")</f>
        <v>18</v>
      </c>
      <c r="C218" t="str">
        <v>332581-10063-48</v>
      </c>
      <c r="D218" t="str">
        <v>Vegetable fresh or processing market-r03W-A</v>
      </c>
      <c r="E218" t="str">
        <v>USEPA Pond</v>
      </c>
      <c r="F218" t="str">
        <v>0010</v>
      </c>
      <c r="G218" t="str">
        <v xml:space="preserve">median </v>
      </c>
      <c r="H218" s="121" t="str" cm="1">
        <f t="array" ref="H218:J218">IF(D218="","",(_xlfn.TEXTSPLIT(D218,"-")))</f>
        <v>Vegetable fresh or processing market</v>
      </c>
      <c r="I218" s="121" t="str">
        <v>r03W</v>
      </c>
      <c r="J218" t="str">
        <v>A</v>
      </c>
      <c r="K218" s="129" t="str">
        <f>VLOOKUP(VALUE($B218),test_out_xwalk!$C:$L,3,FALSE)</f>
        <v>Broccoli-6-18</v>
      </c>
      <c r="L218" s="129">
        <f>VLOOKUP(VALUE($B218),test_out_xwalk!$C:$L,5,FALSE)</f>
        <v>0.5</v>
      </c>
      <c r="M218" s="129">
        <f>VLOOKUP(VALUE($B218),test_out_xwalk!$C:$L,6,FALSE)</f>
        <v>0.5</v>
      </c>
      <c r="N218" s="129" t="str">
        <f>VLOOKUP(VALUE($B218),test_out_xwalk!$C:$L,8,FALSE)</f>
        <v>Ground_F-MC_HB</v>
      </c>
      <c r="O218" s="129" t="str">
        <f>VLOOKUP(VALUE($B218),test_out_xwalk!$C:$L,7,FALSE)</f>
        <v>Spray</v>
      </c>
      <c r="P218" s="129" t="str">
        <f>VLOOKUP(VALUE($B218),test_out_xwalk!$C:$L,4,FALSE)</f>
        <v>Pre-emergence</v>
      </c>
      <c r="Q218" s="129" t="str">
        <f>VLOOKUP(VALUE($B218),test_out_xwalk!$C:$L,9,FALSE)</f>
        <v>Vegetables and Ground Fruit</v>
      </c>
      <c r="R218">
        <f>_xlfn.XLOOKUP(VALUE(B218),test_out_xwalk!$C:$C,test_out_xwalk!$A:$A)</f>
        <v>6</v>
      </c>
      <c r="T218" s="121" t="str">
        <f>IF('summary_EPA Pond'!$O218="","Check Summary EPA POND worksheet Column O",'summary_EPA Pond'!$O218)</f>
        <v xml:space="preserve">31_2958646-18940-176_Pasture or forage-r14-A_USEPA Pond_0030_median                   </v>
      </c>
      <c r="U218" s="121" t="str" cm="1">
        <f t="array" ref="U218:Z218">IFERROR(_xlfn.TEXTSPLIT(T218,"_"),"")</f>
        <v>31</v>
      </c>
      <c r="V218" t="str">
        <v>2958646-18940-176</v>
      </c>
      <c r="W218" t="str">
        <v>Pasture or forage-r14-A</v>
      </c>
      <c r="X218" t="str">
        <v>USEPA Pond</v>
      </c>
      <c r="Y218" t="str">
        <v>0030</v>
      </c>
      <c r="Z218" t="str">
        <v xml:space="preserve">median                   </v>
      </c>
      <c r="AA218" s="121" t="str" cm="1">
        <f t="array" ref="AA218:AC218">IF(W218="","",(_xlfn.TEXTSPLIT(W218,"-")))</f>
        <v>Pasture or forage</v>
      </c>
      <c r="AB218" s="121" t="str">
        <v>r14</v>
      </c>
      <c r="AC218" t="str">
        <v>A</v>
      </c>
      <c r="AD218" s="129" t="str">
        <f>VLOOKUP(VALUE($U218),test_out_xwalk!$C:$L,3,FALSE)</f>
        <v>Grass, Pasture-11-31</v>
      </c>
      <c r="AE218" s="129">
        <f>VLOOKUP(VALUE($U218),test_out_xwalk!$C:$L,5,FALSE)</f>
        <v>1</v>
      </c>
      <c r="AF218" s="129">
        <f>VLOOKUP(VALUE($U218),test_out_xwalk!$C:$L,6,FALSE)</f>
        <v>1</v>
      </c>
      <c r="AG218" s="129" t="str">
        <f>VLOOKUP(VALUE($U218),test_out_xwalk!$C:$L,8,FALSE)</f>
        <v>None</v>
      </c>
      <c r="AH218" s="129" t="str">
        <f>VLOOKUP(VALUE($U218),test_out_xwalk!$C:$L,7,FALSE)</f>
        <v>Spray</v>
      </c>
      <c r="AI218" s="129" t="str">
        <f>VLOOKUP(VALUE($U218),test_out_xwalk!$C:$L,4,FALSE)</f>
        <v>Post-emergence</v>
      </c>
      <c r="AJ218" s="129" t="str">
        <f>VLOOKUP(VALUE($U218),test_out_xwalk!$C:$L,9,FALSE)</f>
        <v>Range</v>
      </c>
      <c r="AK218">
        <f>_xlfn.XLOOKUP(VALUE(U218),test_out_xwalk!C:C,test_out_xwalk!A:A)</f>
        <v>11</v>
      </c>
    </row>
    <row r="219" spans="1:37" x14ac:dyDescent="0.55000000000000004">
      <c r="A219" s="121" t="str">
        <f>IF('summary_EPA Pond'!$A219="","Check Summary EPA POND worksheet Column A",'summary_EPA Pond'!$A219)</f>
        <v xml:space="preserve">18_192466-22579-222_Vegetable fresh or processing market-r04-A_USEPA Pond_0010_median </v>
      </c>
      <c r="B219" s="121" t="str" cm="1">
        <f t="array" ref="B219:G219">IFERROR(_xlfn.TEXTSPLIT(A219,"_"),"")</f>
        <v>18</v>
      </c>
      <c r="C219" t="str">
        <v>192466-22579-222</v>
      </c>
      <c r="D219" t="str">
        <v>Vegetable fresh or processing market-r04-A</v>
      </c>
      <c r="E219" t="str">
        <v>USEPA Pond</v>
      </c>
      <c r="F219" t="str">
        <v>0010</v>
      </c>
      <c r="G219" t="str">
        <v xml:space="preserve">median </v>
      </c>
      <c r="H219" s="121" t="str" cm="1">
        <f t="array" ref="H219:J219">IF(D219="","",(_xlfn.TEXTSPLIT(D219,"-")))</f>
        <v>Vegetable fresh or processing market</v>
      </c>
      <c r="I219" s="121" t="str">
        <v>r04</v>
      </c>
      <c r="J219" t="str">
        <v>A</v>
      </c>
      <c r="K219" s="129" t="str">
        <f>VLOOKUP(VALUE($B219),test_out_xwalk!$C:$L,3,FALSE)</f>
        <v>Broccoli-6-18</v>
      </c>
      <c r="L219" s="129">
        <f>VLOOKUP(VALUE($B219),test_out_xwalk!$C:$L,5,FALSE)</f>
        <v>0.5</v>
      </c>
      <c r="M219" s="129">
        <f>VLOOKUP(VALUE($B219),test_out_xwalk!$C:$L,6,FALSE)</f>
        <v>0.5</v>
      </c>
      <c r="N219" s="129" t="str">
        <f>VLOOKUP(VALUE($B219),test_out_xwalk!$C:$L,8,FALSE)</f>
        <v>Ground_F-MC_HB</v>
      </c>
      <c r="O219" s="129" t="str">
        <f>VLOOKUP(VALUE($B219),test_out_xwalk!$C:$L,7,FALSE)</f>
        <v>Spray</v>
      </c>
      <c r="P219" s="129" t="str">
        <f>VLOOKUP(VALUE($B219),test_out_xwalk!$C:$L,4,FALSE)</f>
        <v>Pre-emergence</v>
      </c>
      <c r="Q219" s="129" t="str">
        <f>VLOOKUP(VALUE($B219),test_out_xwalk!$C:$L,9,FALSE)</f>
        <v>Vegetables and Ground Fruit</v>
      </c>
      <c r="R219">
        <f>_xlfn.XLOOKUP(VALUE(B219),test_out_xwalk!$C:$C,test_out_xwalk!$A:$A)</f>
        <v>6</v>
      </c>
      <c r="T219" s="121" t="str">
        <f>IF('summary_EPA Pond'!$O219="","Check Summary EPA POND worksheet Column O",'summary_EPA Pond'!$O219)</f>
        <v xml:space="preserve">31_52697-14923-176_Pasture or forage-r15-A_USEPA Pond_0030_median                     </v>
      </c>
      <c r="U219" s="121" t="str" cm="1">
        <f t="array" ref="U219:Z219">IFERROR(_xlfn.TEXTSPLIT(T219,"_"),"")</f>
        <v>31</v>
      </c>
      <c r="V219" t="str">
        <v>52697-14923-176</v>
      </c>
      <c r="W219" t="str">
        <v>Pasture or forage-r15-A</v>
      </c>
      <c r="X219" t="str">
        <v>USEPA Pond</v>
      </c>
      <c r="Y219" t="str">
        <v>0030</v>
      </c>
      <c r="Z219" t="str">
        <v xml:space="preserve">median                     </v>
      </c>
      <c r="AA219" s="121" t="str" cm="1">
        <f t="array" ref="AA219:AC219">IF(W219="","",(_xlfn.TEXTSPLIT(W219,"-")))</f>
        <v>Pasture or forage</v>
      </c>
      <c r="AB219" s="121" t="str">
        <v>r15</v>
      </c>
      <c r="AC219" t="str">
        <v>A</v>
      </c>
      <c r="AD219" s="129" t="str">
        <f>VLOOKUP(VALUE($U219),test_out_xwalk!$C:$L,3,FALSE)</f>
        <v>Grass, Pasture-11-31</v>
      </c>
      <c r="AE219" s="129">
        <f>VLOOKUP(VALUE($U219),test_out_xwalk!$C:$L,5,FALSE)</f>
        <v>1</v>
      </c>
      <c r="AF219" s="129">
        <f>VLOOKUP(VALUE($U219),test_out_xwalk!$C:$L,6,FALSE)</f>
        <v>1</v>
      </c>
      <c r="AG219" s="129" t="str">
        <f>VLOOKUP(VALUE($U219),test_out_xwalk!$C:$L,8,FALSE)</f>
        <v>None</v>
      </c>
      <c r="AH219" s="129" t="str">
        <f>VLOOKUP(VALUE($U219),test_out_xwalk!$C:$L,7,FALSE)</f>
        <v>Spray</v>
      </c>
      <c r="AI219" s="129" t="str">
        <f>VLOOKUP(VALUE($U219),test_out_xwalk!$C:$L,4,FALSE)</f>
        <v>Post-emergence</v>
      </c>
      <c r="AJ219" s="129" t="str">
        <f>VLOOKUP(VALUE($U219),test_out_xwalk!$C:$L,9,FALSE)</f>
        <v>Range</v>
      </c>
      <c r="AK219">
        <f>_xlfn.XLOOKUP(VALUE(U219),test_out_xwalk!C:C,test_out_xwalk!A:A)</f>
        <v>11</v>
      </c>
    </row>
    <row r="220" spans="1:37" x14ac:dyDescent="0.55000000000000004">
      <c r="A220" s="121" t="str">
        <f>IF('summary_EPA Pond'!$A220="","Check Summary EPA POND worksheet Column A",'summary_EPA Pond'!$A220)</f>
        <v xml:space="preserve">18_160822-18569-229_Vegetable fresh or processing market-r05-A_USEPA Pond_0010_median </v>
      </c>
      <c r="B220" s="121" t="str" cm="1">
        <f t="array" ref="B220:G220">IFERROR(_xlfn.TEXTSPLIT(A220,"_"),"")</f>
        <v>18</v>
      </c>
      <c r="C220" t="str">
        <v>160822-18569-229</v>
      </c>
      <c r="D220" t="str">
        <v>Vegetable fresh or processing market-r05-A</v>
      </c>
      <c r="E220" t="str">
        <v>USEPA Pond</v>
      </c>
      <c r="F220" t="str">
        <v>0010</v>
      </c>
      <c r="G220" t="str">
        <v xml:space="preserve">median </v>
      </c>
      <c r="H220" s="121" t="str" cm="1">
        <f t="array" ref="H220:J220">IF(D220="","",(_xlfn.TEXTSPLIT(D220,"-")))</f>
        <v>Vegetable fresh or processing market</v>
      </c>
      <c r="I220" s="121" t="str">
        <v>r05</v>
      </c>
      <c r="J220" t="str">
        <v>A</v>
      </c>
      <c r="K220" s="129" t="str">
        <f>VLOOKUP(VALUE($B220),test_out_xwalk!$C:$L,3,FALSE)</f>
        <v>Broccoli-6-18</v>
      </c>
      <c r="L220" s="129">
        <f>VLOOKUP(VALUE($B220),test_out_xwalk!$C:$L,5,FALSE)</f>
        <v>0.5</v>
      </c>
      <c r="M220" s="129">
        <f>VLOOKUP(VALUE($B220),test_out_xwalk!$C:$L,6,FALSE)</f>
        <v>0.5</v>
      </c>
      <c r="N220" s="129" t="str">
        <f>VLOOKUP(VALUE($B220),test_out_xwalk!$C:$L,8,FALSE)</f>
        <v>Ground_F-MC_HB</v>
      </c>
      <c r="O220" s="129" t="str">
        <f>VLOOKUP(VALUE($B220),test_out_xwalk!$C:$L,7,FALSE)</f>
        <v>Spray</v>
      </c>
      <c r="P220" s="129" t="str">
        <f>VLOOKUP(VALUE($B220),test_out_xwalk!$C:$L,4,FALSE)</f>
        <v>Pre-emergence</v>
      </c>
      <c r="Q220" s="129" t="str">
        <f>VLOOKUP(VALUE($B220),test_out_xwalk!$C:$L,9,FALSE)</f>
        <v>Vegetables and Ground Fruit</v>
      </c>
      <c r="R220">
        <f>_xlfn.XLOOKUP(VALUE(B220),test_out_xwalk!$C:$C,test_out_xwalk!$A:$A)</f>
        <v>6</v>
      </c>
      <c r="T220" s="121" t="str">
        <f>IF('summary_EPA Pond'!$O220="","Check Summary EPA POND worksheet Column O",'summary_EPA Pond'!$O220)</f>
        <v xml:space="preserve">31_475297-19385-176_Pasture or forage-r16-A_USEPA Pond_0030_median                    </v>
      </c>
      <c r="U220" s="121" t="str" cm="1">
        <f t="array" ref="U220:Z220">IFERROR(_xlfn.TEXTSPLIT(T220,"_"),"")</f>
        <v>31</v>
      </c>
      <c r="V220" t="str">
        <v>475297-19385-176</v>
      </c>
      <c r="W220" t="str">
        <v>Pasture or forage-r16-A</v>
      </c>
      <c r="X220" t="str">
        <v>USEPA Pond</v>
      </c>
      <c r="Y220" t="str">
        <v>0030</v>
      </c>
      <c r="Z220" t="str">
        <v xml:space="preserve">median                    </v>
      </c>
      <c r="AA220" s="121" t="str" cm="1">
        <f t="array" ref="AA220:AC220">IF(W220="","",(_xlfn.TEXTSPLIT(W220,"-")))</f>
        <v>Pasture or forage</v>
      </c>
      <c r="AB220" s="121" t="str">
        <v>r16</v>
      </c>
      <c r="AC220" t="str">
        <v>A</v>
      </c>
      <c r="AD220" s="129" t="str">
        <f>VLOOKUP(VALUE($U220),test_out_xwalk!$C:$L,3,FALSE)</f>
        <v>Grass, Pasture-11-31</v>
      </c>
      <c r="AE220" s="129">
        <f>VLOOKUP(VALUE($U220),test_out_xwalk!$C:$L,5,FALSE)</f>
        <v>1</v>
      </c>
      <c r="AF220" s="129">
        <f>VLOOKUP(VALUE($U220),test_out_xwalk!$C:$L,6,FALSE)</f>
        <v>1</v>
      </c>
      <c r="AG220" s="129" t="str">
        <f>VLOOKUP(VALUE($U220),test_out_xwalk!$C:$L,8,FALSE)</f>
        <v>None</v>
      </c>
      <c r="AH220" s="129" t="str">
        <f>VLOOKUP(VALUE($U220),test_out_xwalk!$C:$L,7,FALSE)</f>
        <v>Spray</v>
      </c>
      <c r="AI220" s="129" t="str">
        <f>VLOOKUP(VALUE($U220),test_out_xwalk!$C:$L,4,FALSE)</f>
        <v>Post-emergence</v>
      </c>
      <c r="AJ220" s="129" t="str">
        <f>VLOOKUP(VALUE($U220),test_out_xwalk!$C:$L,9,FALSE)</f>
        <v>Range</v>
      </c>
      <c r="AK220">
        <f>_xlfn.XLOOKUP(VALUE(U220),test_out_xwalk!C:C,test_out_xwalk!A:A)</f>
        <v>11</v>
      </c>
    </row>
    <row r="221" spans="1:37" x14ac:dyDescent="0.55000000000000004">
      <c r="A221" s="121" t="str">
        <f>IF('summary_EPA Pond'!$A221="","Check Summary EPA POND worksheet Column A",'summary_EPA Pond'!$A221)</f>
        <v>18_2423116-14329-219_Vegetable fresh or processing market-r06-A_USEPA Pond_0010_median</v>
      </c>
      <c r="B221" s="121" t="str" cm="1">
        <f t="array" ref="B221:G221">IFERROR(_xlfn.TEXTSPLIT(A221,"_"),"")</f>
        <v>18</v>
      </c>
      <c r="C221" t="str">
        <v>2423116-14329-219</v>
      </c>
      <c r="D221" t="str">
        <v>Vegetable fresh or processing market-r06-A</v>
      </c>
      <c r="E221" t="str">
        <v>USEPA Pond</v>
      </c>
      <c r="F221" t="str">
        <v>0010</v>
      </c>
      <c r="G221" t="str">
        <v>median</v>
      </c>
      <c r="H221" s="121" t="str" cm="1">
        <f t="array" ref="H221:J221">IF(D221="","",(_xlfn.TEXTSPLIT(D221,"-")))</f>
        <v>Vegetable fresh or processing market</v>
      </c>
      <c r="I221" s="121" t="str">
        <v>r06</v>
      </c>
      <c r="J221" t="str">
        <v>A</v>
      </c>
      <c r="K221" s="129" t="str">
        <f>VLOOKUP(VALUE($B221),test_out_xwalk!$C:$L,3,FALSE)</f>
        <v>Broccoli-6-18</v>
      </c>
      <c r="L221" s="129">
        <f>VLOOKUP(VALUE($B221),test_out_xwalk!$C:$L,5,FALSE)</f>
        <v>0.5</v>
      </c>
      <c r="M221" s="129">
        <f>VLOOKUP(VALUE($B221),test_out_xwalk!$C:$L,6,FALSE)</f>
        <v>0.5</v>
      </c>
      <c r="N221" s="129" t="str">
        <f>VLOOKUP(VALUE($B221),test_out_xwalk!$C:$L,8,FALSE)</f>
        <v>Ground_F-MC_HB</v>
      </c>
      <c r="O221" s="129" t="str">
        <f>VLOOKUP(VALUE($B221),test_out_xwalk!$C:$L,7,FALSE)</f>
        <v>Spray</v>
      </c>
      <c r="P221" s="129" t="str">
        <f>VLOOKUP(VALUE($B221),test_out_xwalk!$C:$L,4,FALSE)</f>
        <v>Pre-emergence</v>
      </c>
      <c r="Q221" s="129" t="str">
        <f>VLOOKUP(VALUE($B221),test_out_xwalk!$C:$L,9,FALSE)</f>
        <v>Vegetables and Ground Fruit</v>
      </c>
      <c r="R221">
        <f>_xlfn.XLOOKUP(VALUE(B221),test_out_xwalk!$C:$C,test_out_xwalk!$A:$A)</f>
        <v>6</v>
      </c>
      <c r="T221" s="121" t="str">
        <f>IF('summary_EPA Pond'!$O221="","Check Summary EPA POND worksheet Column O",'summary_EPA Pond'!$O221)</f>
        <v xml:space="preserve">31_68546-25521-176_Pasture or forage-r17-A_USEPA Pond_0030_median                     </v>
      </c>
      <c r="U221" s="121" t="str" cm="1">
        <f t="array" ref="U221:Z221">IFERROR(_xlfn.TEXTSPLIT(T221,"_"),"")</f>
        <v>31</v>
      </c>
      <c r="V221" t="str">
        <v>68546-25521-176</v>
      </c>
      <c r="W221" t="str">
        <v>Pasture or forage-r17-A</v>
      </c>
      <c r="X221" t="str">
        <v>USEPA Pond</v>
      </c>
      <c r="Y221" t="str">
        <v>0030</v>
      </c>
      <c r="Z221" t="str">
        <v xml:space="preserve">median                     </v>
      </c>
      <c r="AA221" s="121" t="str" cm="1">
        <f t="array" ref="AA221:AC221">IF(W221="","",(_xlfn.TEXTSPLIT(W221,"-")))</f>
        <v>Pasture or forage</v>
      </c>
      <c r="AB221" s="121" t="str">
        <v>r17</v>
      </c>
      <c r="AC221" t="str">
        <v>A</v>
      </c>
      <c r="AD221" s="129" t="str">
        <f>VLOOKUP(VALUE($U221),test_out_xwalk!$C:$L,3,FALSE)</f>
        <v>Grass, Pasture-11-31</v>
      </c>
      <c r="AE221" s="129">
        <f>VLOOKUP(VALUE($U221),test_out_xwalk!$C:$L,5,FALSE)</f>
        <v>1</v>
      </c>
      <c r="AF221" s="129">
        <f>VLOOKUP(VALUE($U221),test_out_xwalk!$C:$L,6,FALSE)</f>
        <v>1</v>
      </c>
      <c r="AG221" s="129" t="str">
        <f>VLOOKUP(VALUE($U221),test_out_xwalk!$C:$L,8,FALSE)</f>
        <v>None</v>
      </c>
      <c r="AH221" s="129" t="str">
        <f>VLOOKUP(VALUE($U221),test_out_xwalk!$C:$L,7,FALSE)</f>
        <v>Spray</v>
      </c>
      <c r="AI221" s="129" t="str">
        <f>VLOOKUP(VALUE($U221),test_out_xwalk!$C:$L,4,FALSE)</f>
        <v>Post-emergence</v>
      </c>
      <c r="AJ221" s="129" t="str">
        <f>VLOOKUP(VALUE($U221),test_out_xwalk!$C:$L,9,FALSE)</f>
        <v>Range</v>
      </c>
      <c r="AK221">
        <f>_xlfn.XLOOKUP(VALUE(U221),test_out_xwalk!C:C,test_out_xwalk!A:A)</f>
        <v>11</v>
      </c>
    </row>
    <row r="222" spans="1:37" x14ac:dyDescent="0.55000000000000004">
      <c r="A222" s="121" t="str">
        <f>IF('summary_EPA Pond'!$A222="","Check Summary EPA POND worksheet Column A",'summary_EPA Pond'!$A222)</f>
        <v xml:space="preserve">18_397808-22314-12_Vegetable fresh or processing market-r07-A_USEPA Pond_0010_median  </v>
      </c>
      <c r="B222" s="121" t="str" cm="1">
        <f t="array" ref="B222:G222">IFERROR(_xlfn.TEXTSPLIT(A222,"_"),"")</f>
        <v>18</v>
      </c>
      <c r="C222" t="str">
        <v>397808-22314-12</v>
      </c>
      <c r="D222" t="str">
        <v>Vegetable fresh or processing market-r07-A</v>
      </c>
      <c r="E222" t="str">
        <v>USEPA Pond</v>
      </c>
      <c r="F222" t="str">
        <v>0010</v>
      </c>
      <c r="G222" t="str">
        <v xml:space="preserve">median  </v>
      </c>
      <c r="H222" s="121" t="str" cm="1">
        <f t="array" ref="H222:J222">IF(D222="","",(_xlfn.TEXTSPLIT(D222,"-")))</f>
        <v>Vegetable fresh or processing market</v>
      </c>
      <c r="I222" s="121" t="str">
        <v>r07</v>
      </c>
      <c r="J222" t="str">
        <v>A</v>
      </c>
      <c r="K222" s="129" t="str">
        <f>VLOOKUP(VALUE($B222),test_out_xwalk!$C:$L,3,FALSE)</f>
        <v>Broccoli-6-18</v>
      </c>
      <c r="L222" s="129">
        <f>VLOOKUP(VALUE($B222),test_out_xwalk!$C:$L,5,FALSE)</f>
        <v>0.5</v>
      </c>
      <c r="M222" s="129">
        <f>VLOOKUP(VALUE($B222),test_out_xwalk!$C:$L,6,FALSE)</f>
        <v>0.5</v>
      </c>
      <c r="N222" s="129" t="str">
        <f>VLOOKUP(VALUE($B222),test_out_xwalk!$C:$L,8,FALSE)</f>
        <v>Ground_F-MC_HB</v>
      </c>
      <c r="O222" s="129" t="str">
        <f>VLOOKUP(VALUE($B222),test_out_xwalk!$C:$L,7,FALSE)</f>
        <v>Spray</v>
      </c>
      <c r="P222" s="129" t="str">
        <f>VLOOKUP(VALUE($B222),test_out_xwalk!$C:$L,4,FALSE)</f>
        <v>Pre-emergence</v>
      </c>
      <c r="Q222" s="129" t="str">
        <f>VLOOKUP(VALUE($B222),test_out_xwalk!$C:$L,9,FALSE)</f>
        <v>Vegetables and Ground Fruit</v>
      </c>
      <c r="R222">
        <f>_xlfn.XLOOKUP(VALUE(B222),test_out_xwalk!$C:$C,test_out_xwalk!$A:$A)</f>
        <v>6</v>
      </c>
      <c r="T222" s="121" t="str">
        <f>IF('summary_EPA Pond'!$O222="","Check Summary EPA POND worksheet Column O",'summary_EPA Pond'!$O222)</f>
        <v xml:space="preserve">31_463577-14897-176_Pasture or forage-r18-A_USEPA Pond_0030_median                    </v>
      </c>
      <c r="U222" s="121" t="str" cm="1">
        <f t="array" ref="U222:Z222">IFERROR(_xlfn.TEXTSPLIT(T222,"_"),"")</f>
        <v>31</v>
      </c>
      <c r="V222" t="str">
        <v>463577-14897-176</v>
      </c>
      <c r="W222" t="str">
        <v>Pasture or forage-r18-A</v>
      </c>
      <c r="X222" t="str">
        <v>USEPA Pond</v>
      </c>
      <c r="Y222" t="str">
        <v>0030</v>
      </c>
      <c r="Z222" t="str">
        <v xml:space="preserve">median                    </v>
      </c>
      <c r="AA222" s="121" t="str" cm="1">
        <f t="array" ref="AA222:AC222">IF(W222="","",(_xlfn.TEXTSPLIT(W222,"-")))</f>
        <v>Pasture or forage</v>
      </c>
      <c r="AB222" s="121" t="str">
        <v>r18</v>
      </c>
      <c r="AC222" t="str">
        <v>A</v>
      </c>
      <c r="AD222" s="129" t="str">
        <f>VLOOKUP(VALUE($U222),test_out_xwalk!$C:$L,3,FALSE)</f>
        <v>Grass, Pasture-11-31</v>
      </c>
      <c r="AE222" s="129">
        <f>VLOOKUP(VALUE($U222),test_out_xwalk!$C:$L,5,FALSE)</f>
        <v>1</v>
      </c>
      <c r="AF222" s="129">
        <f>VLOOKUP(VALUE($U222),test_out_xwalk!$C:$L,6,FALSE)</f>
        <v>1</v>
      </c>
      <c r="AG222" s="129" t="str">
        <f>VLOOKUP(VALUE($U222),test_out_xwalk!$C:$L,8,FALSE)</f>
        <v>None</v>
      </c>
      <c r="AH222" s="129" t="str">
        <f>VLOOKUP(VALUE($U222),test_out_xwalk!$C:$L,7,FALSE)</f>
        <v>Spray</v>
      </c>
      <c r="AI222" s="129" t="str">
        <f>VLOOKUP(VALUE($U222),test_out_xwalk!$C:$L,4,FALSE)</f>
        <v>Post-emergence</v>
      </c>
      <c r="AJ222" s="129" t="str">
        <f>VLOOKUP(VALUE($U222),test_out_xwalk!$C:$L,9,FALSE)</f>
        <v>Range</v>
      </c>
      <c r="AK222">
        <f>_xlfn.XLOOKUP(VALUE(U222),test_out_xwalk!C:C,test_out_xwalk!A:A)</f>
        <v>11</v>
      </c>
    </row>
    <row r="223" spans="1:37" x14ac:dyDescent="0.55000000000000004">
      <c r="A223" s="121" t="str">
        <f>IF('summary_EPA Pond'!$A223="","Check Summary EPA POND worksheet Column A",'summary_EPA Pond'!$A223)</f>
        <v xml:space="preserve">18_1715900-13351-54_Vegetable fresh or processing market-r08-A_USEPA Pond_0010_median </v>
      </c>
      <c r="B223" s="121" t="str" cm="1">
        <f t="array" ref="B223:G223">IFERROR(_xlfn.TEXTSPLIT(A223,"_"),"")</f>
        <v>18</v>
      </c>
      <c r="C223" t="str">
        <v>1715900-13351-54</v>
      </c>
      <c r="D223" t="str">
        <v>Vegetable fresh or processing market-r08-A</v>
      </c>
      <c r="E223" t="str">
        <v>USEPA Pond</v>
      </c>
      <c r="F223" t="str">
        <v>0010</v>
      </c>
      <c r="G223" t="str">
        <v xml:space="preserve">median </v>
      </c>
      <c r="H223" s="121" t="str" cm="1">
        <f t="array" ref="H223:J223">IF(D223="","",(_xlfn.TEXTSPLIT(D223,"-")))</f>
        <v>Vegetable fresh or processing market</v>
      </c>
      <c r="I223" s="121" t="str">
        <v>r08</v>
      </c>
      <c r="J223" t="str">
        <v>A</v>
      </c>
      <c r="K223" s="129" t="str">
        <f>VLOOKUP(VALUE($B223),test_out_xwalk!$C:$L,3,FALSE)</f>
        <v>Broccoli-6-18</v>
      </c>
      <c r="L223" s="129">
        <f>VLOOKUP(VALUE($B223),test_out_xwalk!$C:$L,5,FALSE)</f>
        <v>0.5</v>
      </c>
      <c r="M223" s="129">
        <f>VLOOKUP(VALUE($B223),test_out_xwalk!$C:$L,6,FALSE)</f>
        <v>0.5</v>
      </c>
      <c r="N223" s="129" t="str">
        <f>VLOOKUP(VALUE($B223),test_out_xwalk!$C:$L,8,FALSE)</f>
        <v>Ground_F-MC_HB</v>
      </c>
      <c r="O223" s="129" t="str">
        <f>VLOOKUP(VALUE($B223),test_out_xwalk!$C:$L,7,FALSE)</f>
        <v>Spray</v>
      </c>
      <c r="P223" s="129" t="str">
        <f>VLOOKUP(VALUE($B223),test_out_xwalk!$C:$L,4,FALSE)</f>
        <v>Pre-emergence</v>
      </c>
      <c r="Q223" s="129" t="str">
        <f>VLOOKUP(VALUE($B223),test_out_xwalk!$C:$L,9,FALSE)</f>
        <v>Vegetables and Ground Fruit</v>
      </c>
      <c r="R223">
        <f>_xlfn.XLOOKUP(VALUE(B223),test_out_xwalk!$C:$C,test_out_xwalk!$A:$A)</f>
        <v>6</v>
      </c>
      <c r="T223" s="121" t="str">
        <f>IF('summary_EPA Pond'!$O223="","Check Summary EPA POND worksheet Column O",'summary_EPA Pond'!$O223)</f>
        <v>Check Summary EPA POND worksheet Column O</v>
      </c>
      <c r="U223" s="121" t="str" cm="1">
        <f t="array" ref="U223">IFERROR(_xlfn.TEXTSPLIT(T223,"_"),"")</f>
        <v>Check Summary EPA POND worksheet Column O</v>
      </c>
      <c r="AA223" s="121" t="str" cm="1">
        <f t="array" ref="AA223">IF(W223="","",(_xlfn.TEXTSPLIT(W223,"-")))</f>
        <v/>
      </c>
      <c r="AD223" s="129" t="e">
        <f>VLOOKUP(VALUE($U223),test_out_xwalk!$C:$L,3,FALSE)</f>
        <v>#VALUE!</v>
      </c>
      <c r="AE223" s="129" t="e">
        <f>VLOOKUP(VALUE($U223),test_out_xwalk!$C:$L,5,FALSE)</f>
        <v>#VALUE!</v>
      </c>
      <c r="AF223" s="129" t="e">
        <f>VLOOKUP(VALUE($U223),test_out_xwalk!$C:$L,6,FALSE)</f>
        <v>#VALUE!</v>
      </c>
      <c r="AG223" s="129" t="e">
        <f>VLOOKUP(VALUE($U223),test_out_xwalk!$C:$L,8,FALSE)</f>
        <v>#VALUE!</v>
      </c>
      <c r="AH223" s="129" t="e">
        <f>VLOOKUP(VALUE($U223),test_out_xwalk!$C:$L,7,FALSE)</f>
        <v>#VALUE!</v>
      </c>
      <c r="AI223" s="129" t="e">
        <f>VLOOKUP(VALUE($U223),test_out_xwalk!$C:$L,4,FALSE)</f>
        <v>#VALUE!</v>
      </c>
      <c r="AJ223" s="129" t="e">
        <f>VLOOKUP(VALUE($U223),test_out_xwalk!$C:$L,9,FALSE)</f>
        <v>#VALUE!</v>
      </c>
      <c r="AK223" t="e">
        <f>_xlfn.XLOOKUP(VALUE(U223),test_out_xwalk!C:C,test_out_xwalk!A:A)</f>
        <v>#VALUE!</v>
      </c>
    </row>
    <row r="224" spans="1:37" x14ac:dyDescent="0.55000000000000004">
      <c r="A224" s="121" t="str">
        <f>IF('summary_EPA Pond'!$A224="","Check Summary EPA POND worksheet Column A",'summary_EPA Pond'!$A224)</f>
        <v xml:space="preserve">18_356962-25371-12_Vegetable fresh or processing market-r09-A_USEPA Pond_0010_median  </v>
      </c>
      <c r="B224" s="121" t="str" cm="1">
        <f t="array" ref="B224:G224">IFERROR(_xlfn.TEXTSPLIT(A224,"_"),"")</f>
        <v>18</v>
      </c>
      <c r="C224" t="str">
        <v>356962-25371-12</v>
      </c>
      <c r="D224" t="str">
        <v>Vegetable fresh or processing market-r09-A</v>
      </c>
      <c r="E224" t="str">
        <v>USEPA Pond</v>
      </c>
      <c r="F224" t="str">
        <v>0010</v>
      </c>
      <c r="G224" t="str">
        <v xml:space="preserve">median  </v>
      </c>
      <c r="H224" s="121" t="str" cm="1">
        <f t="array" ref="H224:J224">IF(D224="","",(_xlfn.TEXTSPLIT(D224,"-")))</f>
        <v>Vegetable fresh or processing market</v>
      </c>
      <c r="I224" s="121" t="str">
        <v>r09</v>
      </c>
      <c r="J224" t="str">
        <v>A</v>
      </c>
      <c r="K224" s="129" t="str">
        <f>VLOOKUP(VALUE($B224),test_out_xwalk!$C:$L,3,FALSE)</f>
        <v>Broccoli-6-18</v>
      </c>
      <c r="L224" s="129">
        <f>VLOOKUP(VALUE($B224),test_out_xwalk!$C:$L,5,FALSE)</f>
        <v>0.5</v>
      </c>
      <c r="M224" s="129">
        <f>VLOOKUP(VALUE($B224),test_out_xwalk!$C:$L,6,FALSE)</f>
        <v>0.5</v>
      </c>
      <c r="N224" s="129" t="str">
        <f>VLOOKUP(VALUE($B224),test_out_xwalk!$C:$L,8,FALSE)</f>
        <v>Ground_F-MC_HB</v>
      </c>
      <c r="O224" s="129" t="str">
        <f>VLOOKUP(VALUE($B224),test_out_xwalk!$C:$L,7,FALSE)</f>
        <v>Spray</v>
      </c>
      <c r="P224" s="129" t="str">
        <f>VLOOKUP(VALUE($B224),test_out_xwalk!$C:$L,4,FALSE)</f>
        <v>Pre-emergence</v>
      </c>
      <c r="Q224" s="129" t="str">
        <f>VLOOKUP(VALUE($B224),test_out_xwalk!$C:$L,9,FALSE)</f>
        <v>Vegetables and Ground Fruit</v>
      </c>
      <c r="R224">
        <f>_xlfn.XLOOKUP(VALUE(B224),test_out_xwalk!$C:$C,test_out_xwalk!$A:$A)</f>
        <v>6</v>
      </c>
      <c r="T224" s="121" t="str">
        <f>IF('summary_EPA Pond'!$O224="","Check Summary EPA POND worksheet Column O",'summary_EPA Pond'!$O224)</f>
        <v>Check Summary EPA POND worksheet Column O</v>
      </c>
      <c r="U224" s="121" t="str" cm="1">
        <f t="array" ref="U224">IFERROR(_xlfn.TEXTSPLIT(T224,"_"),"")</f>
        <v>Check Summary EPA POND worksheet Column O</v>
      </c>
      <c r="AA224" s="121" t="str" cm="1">
        <f t="array" ref="AA224">IF(W224="","",(_xlfn.TEXTSPLIT(W224,"-")))</f>
        <v/>
      </c>
      <c r="AD224" s="129" t="e">
        <f>VLOOKUP(VALUE($U224),test_out_xwalk!$C:$L,3,FALSE)</f>
        <v>#VALUE!</v>
      </c>
      <c r="AE224" s="129" t="e">
        <f>VLOOKUP(VALUE($U224),test_out_xwalk!$C:$L,5,FALSE)</f>
        <v>#VALUE!</v>
      </c>
      <c r="AF224" s="129" t="e">
        <f>VLOOKUP(VALUE($U224),test_out_xwalk!$C:$L,6,FALSE)</f>
        <v>#VALUE!</v>
      </c>
      <c r="AG224" s="129" t="e">
        <f>VLOOKUP(VALUE($U224),test_out_xwalk!$C:$L,8,FALSE)</f>
        <v>#VALUE!</v>
      </c>
      <c r="AH224" s="129" t="e">
        <f>VLOOKUP(VALUE($U224),test_out_xwalk!$C:$L,7,FALSE)</f>
        <v>#VALUE!</v>
      </c>
      <c r="AI224" s="129" t="e">
        <f>VLOOKUP(VALUE($U224),test_out_xwalk!$C:$L,4,FALSE)</f>
        <v>#VALUE!</v>
      </c>
      <c r="AJ224" s="129" t="e">
        <f>VLOOKUP(VALUE($U224),test_out_xwalk!$C:$L,9,FALSE)</f>
        <v>#VALUE!</v>
      </c>
      <c r="AK224" t="e">
        <f>_xlfn.XLOOKUP(VALUE(U224),test_out_xwalk!C:C,test_out_xwalk!A:A)</f>
        <v>#VALUE!</v>
      </c>
    </row>
    <row r="225" spans="1:37" x14ac:dyDescent="0.55000000000000004">
      <c r="A225" s="121" t="str">
        <f>IF('summary_EPA Pond'!$A225="","Check Summary EPA POND worksheet Column A",'summary_EPA Pond'!$A225)</f>
        <v>18_497748-19437-229_Vegetable fresh or processing market-r10L-A_USEPA Pond_0010_median</v>
      </c>
      <c r="B225" s="121" t="str" cm="1">
        <f t="array" ref="B225:G225">IFERROR(_xlfn.TEXTSPLIT(A225,"_"),"")</f>
        <v>18</v>
      </c>
      <c r="C225" t="str">
        <v>497748-19437-229</v>
      </c>
      <c r="D225" t="str">
        <v>Vegetable fresh or processing market-r10L-A</v>
      </c>
      <c r="E225" t="str">
        <v>USEPA Pond</v>
      </c>
      <c r="F225" t="str">
        <v>0010</v>
      </c>
      <c r="G225" t="str">
        <v>median</v>
      </c>
      <c r="H225" s="121" t="str" cm="1">
        <f t="array" ref="H225:J225">IF(D225="","",(_xlfn.TEXTSPLIT(D225,"-")))</f>
        <v>Vegetable fresh or processing market</v>
      </c>
      <c r="I225" s="121" t="str">
        <v>r10L</v>
      </c>
      <c r="J225" t="str">
        <v>A</v>
      </c>
      <c r="K225" s="129" t="str">
        <f>VLOOKUP(VALUE($B225),test_out_xwalk!$C:$L,3,FALSE)</f>
        <v>Broccoli-6-18</v>
      </c>
      <c r="L225" s="129">
        <f>VLOOKUP(VALUE($B225),test_out_xwalk!$C:$L,5,FALSE)</f>
        <v>0.5</v>
      </c>
      <c r="M225" s="129">
        <f>VLOOKUP(VALUE($B225),test_out_xwalk!$C:$L,6,FALSE)</f>
        <v>0.5</v>
      </c>
      <c r="N225" s="129" t="str">
        <f>VLOOKUP(VALUE($B225),test_out_xwalk!$C:$L,8,FALSE)</f>
        <v>Ground_F-MC_HB</v>
      </c>
      <c r="O225" s="129" t="str">
        <f>VLOOKUP(VALUE($B225),test_out_xwalk!$C:$L,7,FALSE)</f>
        <v>Spray</v>
      </c>
      <c r="P225" s="129" t="str">
        <f>VLOOKUP(VALUE($B225),test_out_xwalk!$C:$L,4,FALSE)</f>
        <v>Pre-emergence</v>
      </c>
      <c r="Q225" s="129" t="str">
        <f>VLOOKUP(VALUE($B225),test_out_xwalk!$C:$L,9,FALSE)</f>
        <v>Vegetables and Ground Fruit</v>
      </c>
      <c r="R225">
        <f>_xlfn.XLOOKUP(VALUE(B225),test_out_xwalk!$C:$C,test_out_xwalk!$A:$A)</f>
        <v>6</v>
      </c>
      <c r="T225" s="121" t="str">
        <f>IF('summary_EPA Pond'!$O225="","Check Summary EPA POND worksheet Column O",'summary_EPA Pond'!$O225)</f>
        <v>Check Summary EPA POND worksheet Column O</v>
      </c>
      <c r="U225" s="121" t="str" cm="1">
        <f t="array" ref="U225">IFERROR(_xlfn.TEXTSPLIT(T225,"_"),"")</f>
        <v>Check Summary EPA POND worksheet Column O</v>
      </c>
      <c r="AA225" s="121" t="str" cm="1">
        <f t="array" ref="AA225">IF(W225="","",(_xlfn.TEXTSPLIT(W225,"-")))</f>
        <v/>
      </c>
      <c r="AD225" s="129" t="e">
        <f>VLOOKUP(VALUE($U225),test_out_xwalk!$C:$L,3,FALSE)</f>
        <v>#VALUE!</v>
      </c>
      <c r="AE225" s="129" t="e">
        <f>VLOOKUP(VALUE($U225),test_out_xwalk!$C:$L,5,FALSE)</f>
        <v>#VALUE!</v>
      </c>
      <c r="AF225" s="129" t="e">
        <f>VLOOKUP(VALUE($U225),test_out_xwalk!$C:$L,6,FALSE)</f>
        <v>#VALUE!</v>
      </c>
      <c r="AG225" s="129" t="e">
        <f>VLOOKUP(VALUE($U225),test_out_xwalk!$C:$L,8,FALSE)</f>
        <v>#VALUE!</v>
      </c>
      <c r="AH225" s="129" t="e">
        <f>VLOOKUP(VALUE($U225),test_out_xwalk!$C:$L,7,FALSE)</f>
        <v>#VALUE!</v>
      </c>
      <c r="AI225" s="129" t="e">
        <f>VLOOKUP(VALUE($U225),test_out_xwalk!$C:$L,4,FALSE)</f>
        <v>#VALUE!</v>
      </c>
      <c r="AJ225" s="129" t="e">
        <f>VLOOKUP(VALUE($U225),test_out_xwalk!$C:$L,9,FALSE)</f>
        <v>#VALUE!</v>
      </c>
      <c r="AK225" t="e">
        <f>_xlfn.XLOOKUP(VALUE(U225),test_out_xwalk!C:C,test_out_xwalk!A:A)</f>
        <v>#VALUE!</v>
      </c>
    </row>
    <row r="226" spans="1:37" x14ac:dyDescent="0.55000000000000004">
      <c r="A226" s="121" t="str">
        <f>IF('summary_EPA Pond'!$A226="","Check Summary EPA POND worksheet Column A",'summary_EPA Pond'!$A226)</f>
        <v>18_2517301-22540-12_Vegetable fresh or processing market-r10U-A_USEPA Pond_0010_median</v>
      </c>
      <c r="B226" s="121" t="str" cm="1">
        <f t="array" ref="B226:G226">IFERROR(_xlfn.TEXTSPLIT(A226,"_"),"")</f>
        <v>18</v>
      </c>
      <c r="C226" t="str">
        <v>2517301-22540-12</v>
      </c>
      <c r="D226" t="str">
        <v>Vegetable fresh or processing market-r10U-A</v>
      </c>
      <c r="E226" t="str">
        <v>USEPA Pond</v>
      </c>
      <c r="F226" t="str">
        <v>0010</v>
      </c>
      <c r="G226" t="str">
        <v>median</v>
      </c>
      <c r="H226" s="121" t="str" cm="1">
        <f t="array" ref="H226:J226">IF(D226="","",(_xlfn.TEXTSPLIT(D226,"-")))</f>
        <v>Vegetable fresh or processing market</v>
      </c>
      <c r="I226" s="121" t="str">
        <v>r10U</v>
      </c>
      <c r="J226" t="str">
        <v>A</v>
      </c>
      <c r="K226" s="129" t="str">
        <f>VLOOKUP(VALUE($B226),test_out_xwalk!$C:$L,3,FALSE)</f>
        <v>Broccoli-6-18</v>
      </c>
      <c r="L226" s="129">
        <f>VLOOKUP(VALUE($B226),test_out_xwalk!$C:$L,5,FALSE)</f>
        <v>0.5</v>
      </c>
      <c r="M226" s="129">
        <f>VLOOKUP(VALUE($B226),test_out_xwalk!$C:$L,6,FALSE)</f>
        <v>0.5</v>
      </c>
      <c r="N226" s="129" t="str">
        <f>VLOOKUP(VALUE($B226),test_out_xwalk!$C:$L,8,FALSE)</f>
        <v>Ground_F-MC_HB</v>
      </c>
      <c r="O226" s="129" t="str">
        <f>VLOOKUP(VALUE($B226),test_out_xwalk!$C:$L,7,FALSE)</f>
        <v>Spray</v>
      </c>
      <c r="P226" s="129" t="str">
        <f>VLOOKUP(VALUE($B226),test_out_xwalk!$C:$L,4,FALSE)</f>
        <v>Pre-emergence</v>
      </c>
      <c r="Q226" s="129" t="str">
        <f>VLOOKUP(VALUE($B226),test_out_xwalk!$C:$L,9,FALSE)</f>
        <v>Vegetables and Ground Fruit</v>
      </c>
      <c r="R226">
        <f>_xlfn.XLOOKUP(VALUE(B226),test_out_xwalk!$C:$C,test_out_xwalk!$A:$A)</f>
        <v>6</v>
      </c>
      <c r="T226" s="121" t="str">
        <f>IF('summary_EPA Pond'!$O226="","Check Summary EPA POND worksheet Column O",'summary_EPA Pond'!$O226)</f>
        <v>Check Summary EPA POND worksheet Column O</v>
      </c>
      <c r="U226" s="121" t="str" cm="1">
        <f t="array" ref="U226">IFERROR(_xlfn.TEXTSPLIT(T226,"_"),"")</f>
        <v>Check Summary EPA POND worksheet Column O</v>
      </c>
      <c r="AA226" s="121" t="str" cm="1">
        <f t="array" ref="AA226">IF(W226="","",(_xlfn.TEXTSPLIT(W226,"-")))</f>
        <v/>
      </c>
      <c r="AD226" s="129" t="e">
        <f>VLOOKUP(VALUE($U226),test_out_xwalk!$C:$L,3,FALSE)</f>
        <v>#VALUE!</v>
      </c>
      <c r="AE226" s="129" t="e">
        <f>VLOOKUP(VALUE($U226),test_out_xwalk!$C:$L,5,FALSE)</f>
        <v>#VALUE!</v>
      </c>
      <c r="AF226" s="129" t="e">
        <f>VLOOKUP(VALUE($U226),test_out_xwalk!$C:$L,6,FALSE)</f>
        <v>#VALUE!</v>
      </c>
      <c r="AG226" s="129" t="e">
        <f>VLOOKUP(VALUE($U226),test_out_xwalk!$C:$L,8,FALSE)</f>
        <v>#VALUE!</v>
      </c>
      <c r="AH226" s="129" t="e">
        <f>VLOOKUP(VALUE($U226),test_out_xwalk!$C:$L,7,FALSE)</f>
        <v>#VALUE!</v>
      </c>
      <c r="AI226" s="129" t="e">
        <f>VLOOKUP(VALUE($U226),test_out_xwalk!$C:$L,4,FALSE)</f>
        <v>#VALUE!</v>
      </c>
      <c r="AJ226" s="129" t="e">
        <f>VLOOKUP(VALUE($U226),test_out_xwalk!$C:$L,9,FALSE)</f>
        <v>#VALUE!</v>
      </c>
      <c r="AK226" t="e">
        <f>_xlfn.XLOOKUP(VALUE(U226),test_out_xwalk!C:C,test_out_xwalk!A:A)</f>
        <v>#VALUE!</v>
      </c>
    </row>
    <row r="227" spans="1:37" x14ac:dyDescent="0.55000000000000004">
      <c r="A227" s="121" t="str">
        <f>IF('summary_EPA Pond'!$A227="","Check Summary EPA POND worksheet Column A",'summary_EPA Pond'!$A227)</f>
        <v xml:space="preserve">18_382177-13799-57_Vegetable fresh or processing market-r11-A_USEPA Pond_0010_median  </v>
      </c>
      <c r="B227" s="121" t="str" cm="1">
        <f t="array" ref="B227:G227">IFERROR(_xlfn.TEXTSPLIT(A227,"_"),"")</f>
        <v>18</v>
      </c>
      <c r="C227" t="str">
        <v>382177-13799-57</v>
      </c>
      <c r="D227" t="str">
        <v>Vegetable fresh or processing market-r11-A</v>
      </c>
      <c r="E227" t="str">
        <v>USEPA Pond</v>
      </c>
      <c r="F227" t="str">
        <v>0010</v>
      </c>
      <c r="G227" t="str">
        <v xml:space="preserve">median  </v>
      </c>
      <c r="H227" s="121" t="str" cm="1">
        <f t="array" ref="H227:J227">IF(D227="","",(_xlfn.TEXTSPLIT(D227,"-")))</f>
        <v>Vegetable fresh or processing market</v>
      </c>
      <c r="I227" s="121" t="str">
        <v>r11</v>
      </c>
      <c r="J227" t="str">
        <v>A</v>
      </c>
      <c r="K227" s="129" t="str">
        <f>VLOOKUP(VALUE($B227),test_out_xwalk!$C:$L,3,FALSE)</f>
        <v>Broccoli-6-18</v>
      </c>
      <c r="L227" s="129">
        <f>VLOOKUP(VALUE($B227),test_out_xwalk!$C:$L,5,FALSE)</f>
        <v>0.5</v>
      </c>
      <c r="M227" s="129">
        <f>VLOOKUP(VALUE($B227),test_out_xwalk!$C:$L,6,FALSE)</f>
        <v>0.5</v>
      </c>
      <c r="N227" s="129" t="str">
        <f>VLOOKUP(VALUE($B227),test_out_xwalk!$C:$L,8,FALSE)</f>
        <v>Ground_F-MC_HB</v>
      </c>
      <c r="O227" s="129" t="str">
        <f>VLOOKUP(VALUE($B227),test_out_xwalk!$C:$L,7,FALSE)</f>
        <v>Spray</v>
      </c>
      <c r="P227" s="129" t="str">
        <f>VLOOKUP(VALUE($B227),test_out_xwalk!$C:$L,4,FALSE)</f>
        <v>Pre-emergence</v>
      </c>
      <c r="Q227" s="129" t="str">
        <f>VLOOKUP(VALUE($B227),test_out_xwalk!$C:$L,9,FALSE)</f>
        <v>Vegetables and Ground Fruit</v>
      </c>
      <c r="R227">
        <f>_xlfn.XLOOKUP(VALUE(B227),test_out_xwalk!$C:$C,test_out_xwalk!$A:$A)</f>
        <v>6</v>
      </c>
      <c r="T227" s="121" t="str">
        <f>IF('summary_EPA Pond'!$O227="","Check Summary EPA POND worksheet Column O",'summary_EPA Pond'!$O227)</f>
        <v>Check Summary EPA POND worksheet Column O</v>
      </c>
      <c r="U227" s="121" t="str" cm="1">
        <f t="array" ref="U227">IFERROR(_xlfn.TEXTSPLIT(T227,"_"),"")</f>
        <v>Check Summary EPA POND worksheet Column O</v>
      </c>
      <c r="AA227" s="121" t="str" cm="1">
        <f t="array" ref="AA227">IF(W227="","",(_xlfn.TEXTSPLIT(W227,"-")))</f>
        <v/>
      </c>
      <c r="AD227" s="129" t="e">
        <f>VLOOKUP(VALUE($U227),test_out_xwalk!$C:$L,3,FALSE)</f>
        <v>#VALUE!</v>
      </c>
      <c r="AE227" s="129" t="e">
        <f>VLOOKUP(VALUE($U227),test_out_xwalk!$C:$L,5,FALSE)</f>
        <v>#VALUE!</v>
      </c>
      <c r="AF227" s="129" t="e">
        <f>VLOOKUP(VALUE($U227),test_out_xwalk!$C:$L,6,FALSE)</f>
        <v>#VALUE!</v>
      </c>
      <c r="AG227" s="129" t="e">
        <f>VLOOKUP(VALUE($U227),test_out_xwalk!$C:$L,8,FALSE)</f>
        <v>#VALUE!</v>
      </c>
      <c r="AH227" s="129" t="e">
        <f>VLOOKUP(VALUE($U227),test_out_xwalk!$C:$L,7,FALSE)</f>
        <v>#VALUE!</v>
      </c>
      <c r="AI227" s="129" t="e">
        <f>VLOOKUP(VALUE($U227),test_out_xwalk!$C:$L,4,FALSE)</f>
        <v>#VALUE!</v>
      </c>
      <c r="AJ227" s="129" t="e">
        <f>VLOOKUP(VALUE($U227),test_out_xwalk!$C:$L,9,FALSE)</f>
        <v>#VALUE!</v>
      </c>
      <c r="AK227" t="e">
        <f>_xlfn.XLOOKUP(VALUE(U227),test_out_xwalk!C:C,test_out_xwalk!A:A)</f>
        <v>#VALUE!</v>
      </c>
    </row>
    <row r="228" spans="1:37" x14ac:dyDescent="0.55000000000000004">
      <c r="A228" s="121" t="str">
        <f>IF('summary_EPA Pond'!$A228="","Check Summary EPA POND worksheet Column A",'summary_EPA Pond'!$A228)</f>
        <v xml:space="preserve">18_373519-10262-57_Vegetable fresh or processing market-r12-A_USEPA Pond_0010_median  </v>
      </c>
      <c r="B228" s="121" t="str" cm="1">
        <f t="array" ref="B228:G228">IFERROR(_xlfn.TEXTSPLIT(A228,"_"),"")</f>
        <v>18</v>
      </c>
      <c r="C228" t="str">
        <v>373519-10262-57</v>
      </c>
      <c r="D228" t="str">
        <v>Vegetable fresh or processing market-r12-A</v>
      </c>
      <c r="E228" t="str">
        <v>USEPA Pond</v>
      </c>
      <c r="F228" t="str">
        <v>0010</v>
      </c>
      <c r="G228" t="str">
        <v xml:space="preserve">median  </v>
      </c>
      <c r="H228" s="121" t="str" cm="1">
        <f t="array" ref="H228:J228">IF(D228="","",(_xlfn.TEXTSPLIT(D228,"-")))</f>
        <v>Vegetable fresh or processing market</v>
      </c>
      <c r="I228" s="121" t="str">
        <v>r12</v>
      </c>
      <c r="J228" t="str">
        <v>A</v>
      </c>
      <c r="K228" s="129" t="str">
        <f>VLOOKUP(VALUE($B228),test_out_xwalk!$C:$L,3,FALSE)</f>
        <v>Broccoli-6-18</v>
      </c>
      <c r="L228" s="129">
        <f>VLOOKUP(VALUE($B228),test_out_xwalk!$C:$L,5,FALSE)</f>
        <v>0.5</v>
      </c>
      <c r="M228" s="129">
        <f>VLOOKUP(VALUE($B228),test_out_xwalk!$C:$L,6,FALSE)</f>
        <v>0.5</v>
      </c>
      <c r="N228" s="129" t="str">
        <f>VLOOKUP(VALUE($B228),test_out_xwalk!$C:$L,8,FALSE)</f>
        <v>Ground_F-MC_HB</v>
      </c>
      <c r="O228" s="129" t="str">
        <f>VLOOKUP(VALUE($B228),test_out_xwalk!$C:$L,7,FALSE)</f>
        <v>Spray</v>
      </c>
      <c r="P228" s="129" t="str">
        <f>VLOOKUP(VALUE($B228),test_out_xwalk!$C:$L,4,FALSE)</f>
        <v>Pre-emergence</v>
      </c>
      <c r="Q228" s="129" t="str">
        <f>VLOOKUP(VALUE($B228),test_out_xwalk!$C:$L,9,FALSE)</f>
        <v>Vegetables and Ground Fruit</v>
      </c>
      <c r="R228">
        <f>_xlfn.XLOOKUP(VALUE(B228),test_out_xwalk!$C:$C,test_out_xwalk!$A:$A)</f>
        <v>6</v>
      </c>
      <c r="T228" s="121" t="str">
        <f>IF('summary_EPA Pond'!$O228="","Check Summary EPA POND worksheet Column O",'summary_EPA Pond'!$O228)</f>
        <v>Check Summary EPA POND worksheet Column O</v>
      </c>
      <c r="U228" s="121" t="str" cm="1">
        <f t="array" ref="U228">IFERROR(_xlfn.TEXTSPLIT(T228,"_"),"")</f>
        <v>Check Summary EPA POND worksheet Column O</v>
      </c>
      <c r="AA228" s="121" t="str" cm="1">
        <f t="array" ref="AA228">IF(W228="","",(_xlfn.TEXTSPLIT(W228,"-")))</f>
        <v/>
      </c>
      <c r="AD228" s="129" t="e">
        <f>VLOOKUP(VALUE($U228),test_out_xwalk!$C:$L,3,FALSE)</f>
        <v>#VALUE!</v>
      </c>
      <c r="AE228" s="129" t="e">
        <f>VLOOKUP(VALUE($U228),test_out_xwalk!$C:$L,5,FALSE)</f>
        <v>#VALUE!</v>
      </c>
      <c r="AF228" s="129" t="e">
        <f>VLOOKUP(VALUE($U228),test_out_xwalk!$C:$L,6,FALSE)</f>
        <v>#VALUE!</v>
      </c>
      <c r="AG228" s="129" t="e">
        <f>VLOOKUP(VALUE($U228),test_out_xwalk!$C:$L,8,FALSE)</f>
        <v>#VALUE!</v>
      </c>
      <c r="AH228" s="129" t="e">
        <f>VLOOKUP(VALUE($U228),test_out_xwalk!$C:$L,7,FALSE)</f>
        <v>#VALUE!</v>
      </c>
      <c r="AI228" s="129" t="e">
        <f>VLOOKUP(VALUE($U228),test_out_xwalk!$C:$L,4,FALSE)</f>
        <v>#VALUE!</v>
      </c>
      <c r="AJ228" s="129" t="e">
        <f>VLOOKUP(VALUE($U228),test_out_xwalk!$C:$L,9,FALSE)</f>
        <v>#VALUE!</v>
      </c>
      <c r="AK228" t="e">
        <f>_xlfn.XLOOKUP(VALUE(U228),test_out_xwalk!C:C,test_out_xwalk!A:A)</f>
        <v>#VALUE!</v>
      </c>
    </row>
    <row r="229" spans="1:37" x14ac:dyDescent="0.55000000000000004">
      <c r="A229" s="121" t="str">
        <f>IF('summary_EPA Pond'!$A229="","Check Summary EPA POND worksheet Column A",'summary_EPA Pond'!$A229)</f>
        <v xml:space="preserve">18_58936-11176-216_Vegetable fresh or processing market-r13-A_USEPA Pond_0010_median  </v>
      </c>
      <c r="B229" s="121" t="str" cm="1">
        <f t="array" ref="B229:G229">IFERROR(_xlfn.TEXTSPLIT(A229,"_"),"")</f>
        <v>18</v>
      </c>
      <c r="C229" t="str">
        <v>58936-11176-216</v>
      </c>
      <c r="D229" t="str">
        <v>Vegetable fresh or processing market-r13-A</v>
      </c>
      <c r="E229" t="str">
        <v>USEPA Pond</v>
      </c>
      <c r="F229" t="str">
        <v>0010</v>
      </c>
      <c r="G229" t="str">
        <v xml:space="preserve">median  </v>
      </c>
      <c r="H229" s="121" t="str" cm="1">
        <f t="array" ref="H229:J229">IF(D229="","",(_xlfn.TEXTSPLIT(D229,"-")))</f>
        <v>Vegetable fresh or processing market</v>
      </c>
      <c r="I229" s="121" t="str">
        <v>r13</v>
      </c>
      <c r="J229" t="str">
        <v>A</v>
      </c>
      <c r="K229" s="129" t="str">
        <f>VLOOKUP(VALUE($B229),test_out_xwalk!$C:$L,3,FALSE)</f>
        <v>Broccoli-6-18</v>
      </c>
      <c r="L229" s="129">
        <f>VLOOKUP(VALUE($B229),test_out_xwalk!$C:$L,5,FALSE)</f>
        <v>0.5</v>
      </c>
      <c r="M229" s="129">
        <f>VLOOKUP(VALUE($B229),test_out_xwalk!$C:$L,6,FALSE)</f>
        <v>0.5</v>
      </c>
      <c r="N229" s="129" t="str">
        <f>VLOOKUP(VALUE($B229),test_out_xwalk!$C:$L,8,FALSE)</f>
        <v>Ground_F-MC_HB</v>
      </c>
      <c r="O229" s="129" t="str">
        <f>VLOOKUP(VALUE($B229),test_out_xwalk!$C:$L,7,FALSE)</f>
        <v>Spray</v>
      </c>
      <c r="P229" s="129" t="str">
        <f>VLOOKUP(VALUE($B229),test_out_xwalk!$C:$L,4,FALSE)</f>
        <v>Pre-emergence</v>
      </c>
      <c r="Q229" s="129" t="str">
        <f>VLOOKUP(VALUE($B229),test_out_xwalk!$C:$L,9,FALSE)</f>
        <v>Vegetables and Ground Fruit</v>
      </c>
      <c r="R229">
        <f>_xlfn.XLOOKUP(VALUE(B229),test_out_xwalk!$C:$C,test_out_xwalk!$A:$A)</f>
        <v>6</v>
      </c>
      <c r="T229" s="121" t="str">
        <f>IF('summary_EPA Pond'!$O229="","Check Summary EPA POND worksheet Column O",'summary_EPA Pond'!$O229)</f>
        <v>Check Summary EPA POND worksheet Column O</v>
      </c>
      <c r="U229" s="121" t="str" cm="1">
        <f t="array" ref="U229">IFERROR(_xlfn.TEXTSPLIT(T229,"_"),"")</f>
        <v>Check Summary EPA POND worksheet Column O</v>
      </c>
      <c r="AA229" s="121" t="str" cm="1">
        <f t="array" ref="AA229">IF(W229="","",(_xlfn.TEXTSPLIT(W229,"-")))</f>
        <v/>
      </c>
      <c r="AD229" s="129" t="e">
        <f>VLOOKUP(VALUE($U229),test_out_xwalk!$C:$L,3,FALSE)</f>
        <v>#VALUE!</v>
      </c>
      <c r="AE229" s="129" t="e">
        <f>VLOOKUP(VALUE($U229),test_out_xwalk!$C:$L,5,FALSE)</f>
        <v>#VALUE!</v>
      </c>
      <c r="AF229" s="129" t="e">
        <f>VLOOKUP(VALUE($U229),test_out_xwalk!$C:$L,6,FALSE)</f>
        <v>#VALUE!</v>
      </c>
      <c r="AG229" s="129" t="e">
        <f>VLOOKUP(VALUE($U229),test_out_xwalk!$C:$L,8,FALSE)</f>
        <v>#VALUE!</v>
      </c>
      <c r="AH229" s="129" t="e">
        <f>VLOOKUP(VALUE($U229),test_out_xwalk!$C:$L,7,FALSE)</f>
        <v>#VALUE!</v>
      </c>
      <c r="AI229" s="129" t="e">
        <f>VLOOKUP(VALUE($U229),test_out_xwalk!$C:$L,4,FALSE)</f>
        <v>#VALUE!</v>
      </c>
      <c r="AJ229" s="129" t="e">
        <f>VLOOKUP(VALUE($U229),test_out_xwalk!$C:$L,9,FALSE)</f>
        <v>#VALUE!</v>
      </c>
      <c r="AK229" t="e">
        <f>_xlfn.XLOOKUP(VALUE(U229),test_out_xwalk!C:C,test_out_xwalk!A:A)</f>
        <v>#VALUE!</v>
      </c>
    </row>
    <row r="230" spans="1:37" x14ac:dyDescent="0.55000000000000004">
      <c r="A230" s="121" t="str">
        <f>IF('summary_EPA Pond'!$A230="","Check Summary EPA POND worksheet Column A",'summary_EPA Pond'!$A230)</f>
        <v xml:space="preserve">18_508783-17536-12_Vegetable fresh or processing market-r14-A_USEPA Pond_0010_median  </v>
      </c>
      <c r="B230" s="121" t="str" cm="1">
        <f t="array" ref="B230:G230">IFERROR(_xlfn.TEXTSPLIT(A230,"_"),"")</f>
        <v>18</v>
      </c>
      <c r="C230" t="str">
        <v>508783-17536-12</v>
      </c>
      <c r="D230" t="str">
        <v>Vegetable fresh or processing market-r14-A</v>
      </c>
      <c r="E230" t="str">
        <v>USEPA Pond</v>
      </c>
      <c r="F230" t="str">
        <v>0010</v>
      </c>
      <c r="G230" t="str">
        <v xml:space="preserve">median  </v>
      </c>
      <c r="H230" s="121" t="str" cm="1">
        <f t="array" ref="H230:J230">IF(D230="","",(_xlfn.TEXTSPLIT(D230,"-")))</f>
        <v>Vegetable fresh or processing market</v>
      </c>
      <c r="I230" s="121" t="str">
        <v>r14</v>
      </c>
      <c r="J230" t="str">
        <v>A</v>
      </c>
      <c r="K230" s="129" t="str">
        <f>VLOOKUP(VALUE($B230),test_out_xwalk!$C:$L,3,FALSE)</f>
        <v>Broccoli-6-18</v>
      </c>
      <c r="L230" s="129">
        <f>VLOOKUP(VALUE($B230),test_out_xwalk!$C:$L,5,FALSE)</f>
        <v>0.5</v>
      </c>
      <c r="M230" s="129">
        <f>VLOOKUP(VALUE($B230),test_out_xwalk!$C:$L,6,FALSE)</f>
        <v>0.5</v>
      </c>
      <c r="N230" s="129" t="str">
        <f>VLOOKUP(VALUE($B230),test_out_xwalk!$C:$L,8,FALSE)</f>
        <v>Ground_F-MC_HB</v>
      </c>
      <c r="O230" s="129" t="str">
        <f>VLOOKUP(VALUE($B230),test_out_xwalk!$C:$L,7,FALSE)</f>
        <v>Spray</v>
      </c>
      <c r="P230" s="129" t="str">
        <f>VLOOKUP(VALUE($B230),test_out_xwalk!$C:$L,4,FALSE)</f>
        <v>Pre-emergence</v>
      </c>
      <c r="Q230" s="129" t="str">
        <f>VLOOKUP(VALUE($B230),test_out_xwalk!$C:$L,9,FALSE)</f>
        <v>Vegetables and Ground Fruit</v>
      </c>
      <c r="R230">
        <f>_xlfn.XLOOKUP(VALUE(B230),test_out_xwalk!$C:$C,test_out_xwalk!$A:$A)</f>
        <v>6</v>
      </c>
      <c r="T230" s="121" t="str">
        <f>IF('summary_EPA Pond'!$O230="","Check Summary EPA POND worksheet Column O",'summary_EPA Pond'!$O230)</f>
        <v>Check Summary EPA POND worksheet Column O</v>
      </c>
      <c r="U230" s="121" t="str" cm="1">
        <f t="array" ref="U230">IFERROR(_xlfn.TEXTSPLIT(T230,"_"),"")</f>
        <v>Check Summary EPA POND worksheet Column O</v>
      </c>
      <c r="AA230" s="121" t="str" cm="1">
        <f t="array" ref="AA230">IF(W230="","",(_xlfn.TEXTSPLIT(W230,"-")))</f>
        <v/>
      </c>
      <c r="AD230" s="129" t="e">
        <f>VLOOKUP(VALUE($U230),test_out_xwalk!$C:$L,3,FALSE)</f>
        <v>#VALUE!</v>
      </c>
      <c r="AE230" s="129" t="e">
        <f>VLOOKUP(VALUE($U230),test_out_xwalk!$C:$L,5,FALSE)</f>
        <v>#VALUE!</v>
      </c>
      <c r="AF230" s="129" t="e">
        <f>VLOOKUP(VALUE($U230),test_out_xwalk!$C:$L,6,FALSE)</f>
        <v>#VALUE!</v>
      </c>
      <c r="AG230" s="129" t="e">
        <f>VLOOKUP(VALUE($U230),test_out_xwalk!$C:$L,8,FALSE)</f>
        <v>#VALUE!</v>
      </c>
      <c r="AH230" s="129" t="e">
        <f>VLOOKUP(VALUE($U230),test_out_xwalk!$C:$L,7,FALSE)</f>
        <v>#VALUE!</v>
      </c>
      <c r="AI230" s="129" t="e">
        <f>VLOOKUP(VALUE($U230),test_out_xwalk!$C:$L,4,FALSE)</f>
        <v>#VALUE!</v>
      </c>
      <c r="AJ230" s="129" t="e">
        <f>VLOOKUP(VALUE($U230),test_out_xwalk!$C:$L,9,FALSE)</f>
        <v>#VALUE!</v>
      </c>
      <c r="AK230" t="e">
        <f>_xlfn.XLOOKUP(VALUE(U230),test_out_xwalk!C:C,test_out_xwalk!A:A)</f>
        <v>#VALUE!</v>
      </c>
    </row>
    <row r="231" spans="1:37" x14ac:dyDescent="0.55000000000000004">
      <c r="A231" s="121" t="str">
        <f>IF('summary_EPA Pond'!$A231="","Check Summary EPA POND worksheet Column A",'summary_EPA Pond'!$A231)</f>
        <v xml:space="preserve">18_53259-11846-227_Vegetable fresh or processing market-r15-A_USEPA Pond_0010_median  </v>
      </c>
      <c r="B231" s="121" t="str" cm="1">
        <f t="array" ref="B231:G231">IFERROR(_xlfn.TEXTSPLIT(A231,"_"),"")</f>
        <v>18</v>
      </c>
      <c r="C231" t="str">
        <v>53259-11846-227</v>
      </c>
      <c r="D231" t="str">
        <v>Vegetable fresh or processing market-r15-A</v>
      </c>
      <c r="E231" t="str">
        <v>USEPA Pond</v>
      </c>
      <c r="F231" t="str">
        <v>0010</v>
      </c>
      <c r="G231" t="str">
        <v xml:space="preserve">median  </v>
      </c>
      <c r="H231" s="121" t="str" cm="1">
        <f t="array" ref="H231:J231">IF(D231="","",(_xlfn.TEXTSPLIT(D231,"-")))</f>
        <v>Vegetable fresh or processing market</v>
      </c>
      <c r="I231" s="121" t="str">
        <v>r15</v>
      </c>
      <c r="J231" t="str">
        <v>A</v>
      </c>
      <c r="K231" s="129" t="str">
        <f>VLOOKUP(VALUE($B231),test_out_xwalk!$C:$L,3,FALSE)</f>
        <v>Broccoli-6-18</v>
      </c>
      <c r="L231" s="129">
        <f>VLOOKUP(VALUE($B231),test_out_xwalk!$C:$L,5,FALSE)</f>
        <v>0.5</v>
      </c>
      <c r="M231" s="129">
        <f>VLOOKUP(VALUE($B231),test_out_xwalk!$C:$L,6,FALSE)</f>
        <v>0.5</v>
      </c>
      <c r="N231" s="129" t="str">
        <f>VLOOKUP(VALUE($B231),test_out_xwalk!$C:$L,8,FALSE)</f>
        <v>Ground_F-MC_HB</v>
      </c>
      <c r="O231" s="129" t="str">
        <f>VLOOKUP(VALUE($B231),test_out_xwalk!$C:$L,7,FALSE)</f>
        <v>Spray</v>
      </c>
      <c r="P231" s="129" t="str">
        <f>VLOOKUP(VALUE($B231),test_out_xwalk!$C:$L,4,FALSE)</f>
        <v>Pre-emergence</v>
      </c>
      <c r="Q231" s="129" t="str">
        <f>VLOOKUP(VALUE($B231),test_out_xwalk!$C:$L,9,FALSE)</f>
        <v>Vegetables and Ground Fruit</v>
      </c>
      <c r="R231">
        <f>_xlfn.XLOOKUP(VALUE(B231),test_out_xwalk!$C:$C,test_out_xwalk!$A:$A)</f>
        <v>6</v>
      </c>
      <c r="T231" s="121" t="str">
        <f>IF('summary_EPA Pond'!$O231="","Check Summary EPA POND worksheet Column O",'summary_EPA Pond'!$O231)</f>
        <v>Check Summary EPA POND worksheet Column O</v>
      </c>
      <c r="U231" s="121" t="str" cm="1">
        <f t="array" ref="U231">IFERROR(_xlfn.TEXTSPLIT(T231,"_"),"")</f>
        <v>Check Summary EPA POND worksheet Column O</v>
      </c>
      <c r="AA231" s="121" t="str" cm="1">
        <f t="array" ref="AA231">IF(W231="","",(_xlfn.TEXTSPLIT(W231,"-")))</f>
        <v/>
      </c>
      <c r="AD231" s="129" t="e">
        <f>VLOOKUP(VALUE($U231),test_out_xwalk!$C:$L,3,FALSE)</f>
        <v>#VALUE!</v>
      </c>
      <c r="AE231" s="129" t="e">
        <f>VLOOKUP(VALUE($U231),test_out_xwalk!$C:$L,5,FALSE)</f>
        <v>#VALUE!</v>
      </c>
      <c r="AF231" s="129" t="e">
        <f>VLOOKUP(VALUE($U231),test_out_xwalk!$C:$L,6,FALSE)</f>
        <v>#VALUE!</v>
      </c>
      <c r="AG231" s="129" t="e">
        <f>VLOOKUP(VALUE($U231),test_out_xwalk!$C:$L,8,FALSE)</f>
        <v>#VALUE!</v>
      </c>
      <c r="AH231" s="129" t="e">
        <f>VLOOKUP(VALUE($U231),test_out_xwalk!$C:$L,7,FALSE)</f>
        <v>#VALUE!</v>
      </c>
      <c r="AI231" s="129" t="e">
        <f>VLOOKUP(VALUE($U231),test_out_xwalk!$C:$L,4,FALSE)</f>
        <v>#VALUE!</v>
      </c>
      <c r="AJ231" s="129" t="e">
        <f>VLOOKUP(VALUE($U231),test_out_xwalk!$C:$L,9,FALSE)</f>
        <v>#VALUE!</v>
      </c>
      <c r="AK231" t="e">
        <f>_xlfn.XLOOKUP(VALUE(U231),test_out_xwalk!C:C,test_out_xwalk!A:A)</f>
        <v>#VALUE!</v>
      </c>
    </row>
    <row r="232" spans="1:37" x14ac:dyDescent="0.55000000000000004">
      <c r="A232" s="121" t="str">
        <f>IF('summary_EPA Pond'!$A232="","Check Summary EPA POND worksheet Column A",'summary_EPA Pond'!$A232)</f>
        <v xml:space="preserve">18_473920-17256-208_Vegetable fresh or processing market-r16-A_USEPA Pond_0010_median </v>
      </c>
      <c r="B232" s="121" t="str" cm="1">
        <f t="array" ref="B232:G232">IFERROR(_xlfn.TEXTSPLIT(A232,"_"),"")</f>
        <v>18</v>
      </c>
      <c r="C232" t="str">
        <v>473920-17256-208</v>
      </c>
      <c r="D232" t="str">
        <v>Vegetable fresh or processing market-r16-A</v>
      </c>
      <c r="E232" t="str">
        <v>USEPA Pond</v>
      </c>
      <c r="F232" t="str">
        <v>0010</v>
      </c>
      <c r="G232" t="str">
        <v xml:space="preserve">median </v>
      </c>
      <c r="H232" s="121" t="str" cm="1">
        <f t="array" ref="H232:J232">IF(D232="","",(_xlfn.TEXTSPLIT(D232,"-")))</f>
        <v>Vegetable fresh or processing market</v>
      </c>
      <c r="I232" s="121" t="str">
        <v>r16</v>
      </c>
      <c r="J232" t="str">
        <v>A</v>
      </c>
      <c r="K232" s="129" t="str">
        <f>VLOOKUP(VALUE($B232),test_out_xwalk!$C:$L,3,FALSE)</f>
        <v>Broccoli-6-18</v>
      </c>
      <c r="L232" s="129">
        <f>VLOOKUP(VALUE($B232),test_out_xwalk!$C:$L,5,FALSE)</f>
        <v>0.5</v>
      </c>
      <c r="M232" s="129">
        <f>VLOOKUP(VALUE($B232),test_out_xwalk!$C:$L,6,FALSE)</f>
        <v>0.5</v>
      </c>
      <c r="N232" s="129" t="str">
        <f>VLOOKUP(VALUE($B232),test_out_xwalk!$C:$L,8,FALSE)</f>
        <v>Ground_F-MC_HB</v>
      </c>
      <c r="O232" s="129" t="str">
        <f>VLOOKUP(VALUE($B232),test_out_xwalk!$C:$L,7,FALSE)</f>
        <v>Spray</v>
      </c>
      <c r="P232" s="129" t="str">
        <f>VLOOKUP(VALUE($B232),test_out_xwalk!$C:$L,4,FALSE)</f>
        <v>Pre-emergence</v>
      </c>
      <c r="Q232" s="129" t="str">
        <f>VLOOKUP(VALUE($B232),test_out_xwalk!$C:$L,9,FALSE)</f>
        <v>Vegetables and Ground Fruit</v>
      </c>
      <c r="R232">
        <f>_xlfn.XLOOKUP(VALUE(B232),test_out_xwalk!$C:$C,test_out_xwalk!$A:$A)</f>
        <v>6</v>
      </c>
      <c r="T232" s="121" t="str">
        <f>IF('summary_EPA Pond'!$O232="","Check Summary EPA POND worksheet Column O",'summary_EPA Pond'!$O232)</f>
        <v>Check Summary EPA POND worksheet Column O</v>
      </c>
      <c r="U232" s="121" t="str" cm="1">
        <f t="array" ref="U232">IFERROR(_xlfn.TEXTSPLIT(T232,"_"),"")</f>
        <v>Check Summary EPA POND worksheet Column O</v>
      </c>
      <c r="AA232" s="121" t="str" cm="1">
        <f t="array" ref="AA232">IF(W232="","",(_xlfn.TEXTSPLIT(W232,"-")))</f>
        <v/>
      </c>
      <c r="AD232" s="129" t="e">
        <f>VLOOKUP(VALUE($U232),test_out_xwalk!$C:$L,3,FALSE)</f>
        <v>#VALUE!</v>
      </c>
      <c r="AE232" s="129" t="e">
        <f>VLOOKUP(VALUE($U232),test_out_xwalk!$C:$L,5,FALSE)</f>
        <v>#VALUE!</v>
      </c>
      <c r="AF232" s="129" t="e">
        <f>VLOOKUP(VALUE($U232),test_out_xwalk!$C:$L,6,FALSE)</f>
        <v>#VALUE!</v>
      </c>
      <c r="AG232" s="129" t="e">
        <f>VLOOKUP(VALUE($U232),test_out_xwalk!$C:$L,8,FALSE)</f>
        <v>#VALUE!</v>
      </c>
      <c r="AH232" s="129" t="e">
        <f>VLOOKUP(VALUE($U232),test_out_xwalk!$C:$L,7,FALSE)</f>
        <v>#VALUE!</v>
      </c>
      <c r="AI232" s="129" t="e">
        <f>VLOOKUP(VALUE($U232),test_out_xwalk!$C:$L,4,FALSE)</f>
        <v>#VALUE!</v>
      </c>
      <c r="AJ232" s="129" t="e">
        <f>VLOOKUP(VALUE($U232),test_out_xwalk!$C:$L,9,FALSE)</f>
        <v>#VALUE!</v>
      </c>
      <c r="AK232" t="e">
        <f>_xlfn.XLOOKUP(VALUE(U232),test_out_xwalk!C:C,test_out_xwalk!A:A)</f>
        <v>#VALUE!</v>
      </c>
    </row>
    <row r="233" spans="1:37" x14ac:dyDescent="0.55000000000000004">
      <c r="A233" s="121" t="str">
        <f>IF('summary_EPA Pond'!$A233="","Check Summary EPA POND worksheet Column A",'summary_EPA Pond'!$A233)</f>
        <v xml:space="preserve">18_68754-25749-12_Vegetable fresh or processing market-r17-A_USEPA Pond_0010_median   </v>
      </c>
      <c r="B233" s="121" t="str" cm="1">
        <f t="array" ref="B233:G233">IFERROR(_xlfn.TEXTSPLIT(A233,"_"),"")</f>
        <v>18</v>
      </c>
      <c r="C233" t="str">
        <v>68754-25749-12</v>
      </c>
      <c r="D233" t="str">
        <v>Vegetable fresh or processing market-r17-A</v>
      </c>
      <c r="E233" t="str">
        <v>USEPA Pond</v>
      </c>
      <c r="F233" t="str">
        <v>0010</v>
      </c>
      <c r="G233" t="str">
        <v xml:space="preserve">median   </v>
      </c>
      <c r="H233" s="121" t="str" cm="1">
        <f t="array" ref="H233:J233">IF(D233="","",(_xlfn.TEXTSPLIT(D233,"-")))</f>
        <v>Vegetable fresh or processing market</v>
      </c>
      <c r="I233" s="121" t="str">
        <v>r17</v>
      </c>
      <c r="J233" t="str">
        <v>A</v>
      </c>
      <c r="K233" s="129" t="str">
        <f>VLOOKUP(VALUE($B233),test_out_xwalk!$C:$L,3,FALSE)</f>
        <v>Broccoli-6-18</v>
      </c>
      <c r="L233" s="129">
        <f>VLOOKUP(VALUE($B233),test_out_xwalk!$C:$L,5,FALSE)</f>
        <v>0.5</v>
      </c>
      <c r="M233" s="129">
        <f>VLOOKUP(VALUE($B233),test_out_xwalk!$C:$L,6,FALSE)</f>
        <v>0.5</v>
      </c>
      <c r="N233" s="129" t="str">
        <f>VLOOKUP(VALUE($B233),test_out_xwalk!$C:$L,8,FALSE)</f>
        <v>Ground_F-MC_HB</v>
      </c>
      <c r="O233" s="129" t="str">
        <f>VLOOKUP(VALUE($B233),test_out_xwalk!$C:$L,7,FALSE)</f>
        <v>Spray</v>
      </c>
      <c r="P233" s="129" t="str">
        <f>VLOOKUP(VALUE($B233),test_out_xwalk!$C:$L,4,FALSE)</f>
        <v>Pre-emergence</v>
      </c>
      <c r="Q233" s="129" t="str">
        <f>VLOOKUP(VALUE($B233),test_out_xwalk!$C:$L,9,FALSE)</f>
        <v>Vegetables and Ground Fruit</v>
      </c>
      <c r="R233">
        <f>_xlfn.XLOOKUP(VALUE(B233),test_out_xwalk!$C:$C,test_out_xwalk!$A:$A)</f>
        <v>6</v>
      </c>
      <c r="T233" s="121" t="str">
        <f>IF('summary_EPA Pond'!$O233="","Check Summary EPA POND worksheet Column O",'summary_EPA Pond'!$O233)</f>
        <v>Check Summary EPA POND worksheet Column O</v>
      </c>
      <c r="U233" s="121" t="str" cm="1">
        <f t="array" ref="U233">IFERROR(_xlfn.TEXTSPLIT(T233,"_"),"")</f>
        <v>Check Summary EPA POND worksheet Column O</v>
      </c>
      <c r="AA233" s="121" t="str" cm="1">
        <f t="array" ref="AA233">IF(W233="","",(_xlfn.TEXTSPLIT(W233,"-")))</f>
        <v/>
      </c>
      <c r="AD233" s="129" t="e">
        <f>VLOOKUP(VALUE($U233),test_out_xwalk!$C:$L,3,FALSE)</f>
        <v>#VALUE!</v>
      </c>
      <c r="AE233" s="129" t="e">
        <f>VLOOKUP(VALUE($U233),test_out_xwalk!$C:$L,5,FALSE)</f>
        <v>#VALUE!</v>
      </c>
      <c r="AF233" s="129" t="e">
        <f>VLOOKUP(VALUE($U233),test_out_xwalk!$C:$L,6,FALSE)</f>
        <v>#VALUE!</v>
      </c>
      <c r="AG233" s="129" t="e">
        <f>VLOOKUP(VALUE($U233),test_out_xwalk!$C:$L,8,FALSE)</f>
        <v>#VALUE!</v>
      </c>
      <c r="AH233" s="129" t="e">
        <f>VLOOKUP(VALUE($U233),test_out_xwalk!$C:$L,7,FALSE)</f>
        <v>#VALUE!</v>
      </c>
      <c r="AI233" s="129" t="e">
        <f>VLOOKUP(VALUE($U233),test_out_xwalk!$C:$L,4,FALSE)</f>
        <v>#VALUE!</v>
      </c>
      <c r="AJ233" s="129" t="e">
        <f>VLOOKUP(VALUE($U233),test_out_xwalk!$C:$L,9,FALSE)</f>
        <v>#VALUE!</v>
      </c>
      <c r="AK233" t="e">
        <f>_xlfn.XLOOKUP(VALUE(U233),test_out_xwalk!C:C,test_out_xwalk!A:A)</f>
        <v>#VALUE!</v>
      </c>
    </row>
    <row r="234" spans="1:37" x14ac:dyDescent="0.55000000000000004">
      <c r="A234" s="121" t="str">
        <f>IF('summary_EPA Pond'!$A234="","Check Summary EPA POND worksheet Column A",'summary_EPA Pond'!$A234)</f>
        <v xml:space="preserve">18_455512-12315-12_Vegetable fresh or processing market-r18-A_USEPA Pond_0010_median  </v>
      </c>
      <c r="B234" s="121" t="str" cm="1">
        <f t="array" ref="B234:G234">IFERROR(_xlfn.TEXTSPLIT(A234,"_"),"")</f>
        <v>18</v>
      </c>
      <c r="C234" t="str">
        <v>455512-12315-12</v>
      </c>
      <c r="D234" t="str">
        <v>Vegetable fresh or processing market-r18-A</v>
      </c>
      <c r="E234" t="str">
        <v>USEPA Pond</v>
      </c>
      <c r="F234" t="str">
        <v>0010</v>
      </c>
      <c r="G234" t="str">
        <v xml:space="preserve">median  </v>
      </c>
      <c r="H234" s="121" t="str" cm="1">
        <f t="array" ref="H234:J234">IF(D234="","",(_xlfn.TEXTSPLIT(D234,"-")))</f>
        <v>Vegetable fresh or processing market</v>
      </c>
      <c r="I234" s="121" t="str">
        <v>r18</v>
      </c>
      <c r="J234" t="str">
        <v>A</v>
      </c>
      <c r="K234" s="129" t="str">
        <f>VLOOKUP(VALUE($B234),test_out_xwalk!$C:$L,3,FALSE)</f>
        <v>Broccoli-6-18</v>
      </c>
      <c r="L234" s="129">
        <f>VLOOKUP(VALUE($B234),test_out_xwalk!$C:$L,5,FALSE)</f>
        <v>0.5</v>
      </c>
      <c r="M234" s="129">
        <f>VLOOKUP(VALUE($B234),test_out_xwalk!$C:$L,6,FALSE)</f>
        <v>0.5</v>
      </c>
      <c r="N234" s="129" t="str">
        <f>VLOOKUP(VALUE($B234),test_out_xwalk!$C:$L,8,FALSE)</f>
        <v>Ground_F-MC_HB</v>
      </c>
      <c r="O234" s="129" t="str">
        <f>VLOOKUP(VALUE($B234),test_out_xwalk!$C:$L,7,FALSE)</f>
        <v>Spray</v>
      </c>
      <c r="P234" s="129" t="str">
        <f>VLOOKUP(VALUE($B234),test_out_xwalk!$C:$L,4,FALSE)</f>
        <v>Pre-emergence</v>
      </c>
      <c r="Q234" s="129" t="str">
        <f>VLOOKUP(VALUE($B234),test_out_xwalk!$C:$L,9,FALSE)</f>
        <v>Vegetables and Ground Fruit</v>
      </c>
      <c r="R234">
        <f>_xlfn.XLOOKUP(VALUE(B234),test_out_xwalk!$C:$C,test_out_xwalk!$A:$A)</f>
        <v>6</v>
      </c>
      <c r="T234" s="121" t="str">
        <f>IF('summary_EPA Pond'!$O234="","Check Summary EPA POND worksheet Column O",'summary_EPA Pond'!$O234)</f>
        <v>Check Summary EPA POND worksheet Column O</v>
      </c>
      <c r="U234" s="121" t="str" cm="1">
        <f t="array" ref="U234">IFERROR(_xlfn.TEXTSPLIT(T234,"_"),"")</f>
        <v>Check Summary EPA POND worksheet Column O</v>
      </c>
      <c r="AA234" s="121" t="str" cm="1">
        <f t="array" ref="AA234">IF(W234="","",(_xlfn.TEXTSPLIT(W234,"-")))</f>
        <v/>
      </c>
      <c r="AD234" s="129" t="e">
        <f>VLOOKUP(VALUE($U234),test_out_xwalk!$C:$L,3,FALSE)</f>
        <v>#VALUE!</v>
      </c>
      <c r="AE234" s="129" t="e">
        <f>VLOOKUP(VALUE($U234),test_out_xwalk!$C:$L,5,FALSE)</f>
        <v>#VALUE!</v>
      </c>
      <c r="AF234" s="129" t="e">
        <f>VLOOKUP(VALUE($U234),test_out_xwalk!$C:$L,6,FALSE)</f>
        <v>#VALUE!</v>
      </c>
      <c r="AG234" s="129" t="e">
        <f>VLOOKUP(VALUE($U234),test_out_xwalk!$C:$L,8,FALSE)</f>
        <v>#VALUE!</v>
      </c>
      <c r="AH234" s="129" t="e">
        <f>VLOOKUP(VALUE($U234),test_out_xwalk!$C:$L,7,FALSE)</f>
        <v>#VALUE!</v>
      </c>
      <c r="AI234" s="129" t="e">
        <f>VLOOKUP(VALUE($U234),test_out_xwalk!$C:$L,4,FALSE)</f>
        <v>#VALUE!</v>
      </c>
      <c r="AJ234" s="129" t="e">
        <f>VLOOKUP(VALUE($U234),test_out_xwalk!$C:$L,9,FALSE)</f>
        <v>#VALUE!</v>
      </c>
      <c r="AK234" t="e">
        <f>_xlfn.XLOOKUP(VALUE(U234),test_out_xwalk!C:C,test_out_xwalk!A:A)</f>
        <v>#VALUE!</v>
      </c>
    </row>
    <row r="235" spans="1:37" x14ac:dyDescent="0.55000000000000004">
      <c r="A235" s="121" t="str">
        <f>IF('summary_EPA Pond'!$A235="","Check Summary EPA POND worksheet Column A",'summary_EPA Pond'!$A235)</f>
        <v xml:space="preserve">20_286019-20746-12_Vegetable fresh or processing market-r01-A_USEPA Pond_0010_median  </v>
      </c>
      <c r="B235" s="121" t="str" cm="1">
        <f t="array" ref="B235:G235">IFERROR(_xlfn.TEXTSPLIT(A235,"_"),"")</f>
        <v>20</v>
      </c>
      <c r="C235" t="str">
        <v>286019-20746-12</v>
      </c>
      <c r="D235" t="str">
        <v>Vegetable fresh or processing market-r01-A</v>
      </c>
      <c r="E235" t="str">
        <v>USEPA Pond</v>
      </c>
      <c r="F235" t="str">
        <v>0010</v>
      </c>
      <c r="G235" t="str">
        <v xml:space="preserve">median  </v>
      </c>
      <c r="H235" s="121" t="str" cm="1">
        <f t="array" ref="H235:J235">IF(D235="","",(_xlfn.TEXTSPLIT(D235,"-")))</f>
        <v>Vegetable fresh or processing market</v>
      </c>
      <c r="I235" s="121" t="str">
        <v>r01</v>
      </c>
      <c r="J235" t="str">
        <v>A</v>
      </c>
      <c r="K235" s="129" t="str">
        <f>VLOOKUP(VALUE($B235),test_out_xwalk!$C:$L,3,FALSE)</f>
        <v>Garlic, Bulb-7-20</v>
      </c>
      <c r="L235" s="129">
        <f>VLOOKUP(VALUE($B235),test_out_xwalk!$C:$L,5,FALSE)</f>
        <v>0.25</v>
      </c>
      <c r="M235" s="129">
        <f>VLOOKUP(VALUE($B235),test_out_xwalk!$C:$L,6,FALSE)</f>
        <v>0.25</v>
      </c>
      <c r="N235" s="129" t="str">
        <f>VLOOKUP(VALUE($B235),test_out_xwalk!$C:$L,8,FALSE)</f>
        <v>None</v>
      </c>
      <c r="O235" s="129" t="str">
        <f>VLOOKUP(VALUE($B235),test_out_xwalk!$C:$L,7,FALSE)</f>
        <v>Granular</v>
      </c>
      <c r="P235" s="129" t="str">
        <f>VLOOKUP(VALUE($B235),test_out_xwalk!$C:$L,4,FALSE)</f>
        <v>Pre-emergence</v>
      </c>
      <c r="Q235" s="129" t="str">
        <f>VLOOKUP(VALUE($B235),test_out_xwalk!$C:$L,9,FALSE)</f>
        <v>Vegetables and Ground Fruit</v>
      </c>
      <c r="R235">
        <f>_xlfn.XLOOKUP(VALUE(B235),test_out_xwalk!$C:$C,test_out_xwalk!$A:$A)</f>
        <v>7</v>
      </c>
      <c r="T235" s="121" t="str">
        <f>IF('summary_EPA Pond'!$O235="","Check Summary EPA POND worksheet Column O",'summary_EPA Pond'!$O235)</f>
        <v>Check Summary EPA POND worksheet Column O</v>
      </c>
      <c r="U235" s="121" t="str" cm="1">
        <f t="array" ref="U235">IFERROR(_xlfn.TEXTSPLIT(T235,"_"),"")</f>
        <v>Check Summary EPA POND worksheet Column O</v>
      </c>
      <c r="AA235" s="121" t="str" cm="1">
        <f t="array" ref="AA235">IF(W235="","",(_xlfn.TEXTSPLIT(W235,"-")))</f>
        <v/>
      </c>
      <c r="AD235" s="129" t="e">
        <f>VLOOKUP(VALUE($U235),test_out_xwalk!$C:$L,3,FALSE)</f>
        <v>#VALUE!</v>
      </c>
      <c r="AE235" s="129" t="e">
        <f>VLOOKUP(VALUE($U235),test_out_xwalk!$C:$L,5,FALSE)</f>
        <v>#VALUE!</v>
      </c>
      <c r="AF235" s="129" t="e">
        <f>VLOOKUP(VALUE($U235),test_out_xwalk!$C:$L,6,FALSE)</f>
        <v>#VALUE!</v>
      </c>
      <c r="AG235" s="129" t="e">
        <f>VLOOKUP(VALUE($U235),test_out_xwalk!$C:$L,8,FALSE)</f>
        <v>#VALUE!</v>
      </c>
      <c r="AH235" s="129" t="e">
        <f>VLOOKUP(VALUE($U235),test_out_xwalk!$C:$L,7,FALSE)</f>
        <v>#VALUE!</v>
      </c>
      <c r="AI235" s="129" t="e">
        <f>VLOOKUP(VALUE($U235),test_out_xwalk!$C:$L,4,FALSE)</f>
        <v>#VALUE!</v>
      </c>
      <c r="AJ235" s="129" t="e">
        <f>VLOOKUP(VALUE($U235),test_out_xwalk!$C:$L,9,FALSE)</f>
        <v>#VALUE!</v>
      </c>
      <c r="AK235" t="e">
        <f>_xlfn.XLOOKUP(VALUE(U235),test_out_xwalk!C:C,test_out_xwalk!A:A)</f>
        <v>#VALUE!</v>
      </c>
    </row>
    <row r="236" spans="1:37" x14ac:dyDescent="0.55000000000000004">
      <c r="A236" s="121" t="str">
        <f>IF('summary_EPA Pond'!$A236="","Check Summary EPA POND worksheet Column A",'summary_EPA Pond'!$A236)</f>
        <v xml:space="preserve">20_2950700-17902-12_Vegetable fresh or processing market-r02-A_USEPA Pond_0010_median </v>
      </c>
      <c r="B236" s="121" t="str" cm="1">
        <f t="array" ref="B236:G236">IFERROR(_xlfn.TEXTSPLIT(A236,"_"),"")</f>
        <v>20</v>
      </c>
      <c r="C236" t="str">
        <v>2950700-17902-12</v>
      </c>
      <c r="D236" t="str">
        <v>Vegetable fresh or processing market-r02-A</v>
      </c>
      <c r="E236" t="str">
        <v>USEPA Pond</v>
      </c>
      <c r="F236" t="str">
        <v>0010</v>
      </c>
      <c r="G236" t="str">
        <v xml:space="preserve">median </v>
      </c>
      <c r="H236" s="121" t="str" cm="1">
        <f t="array" ref="H236:J236">IF(D236="","",(_xlfn.TEXTSPLIT(D236,"-")))</f>
        <v>Vegetable fresh or processing market</v>
      </c>
      <c r="I236" s="121" t="str">
        <v>r02</v>
      </c>
      <c r="J236" t="str">
        <v>A</v>
      </c>
      <c r="K236" s="129" t="str">
        <f>VLOOKUP(VALUE($B236),test_out_xwalk!$C:$L,3,FALSE)</f>
        <v>Garlic, Bulb-7-20</v>
      </c>
      <c r="L236" s="129">
        <f>VLOOKUP(VALUE($B236),test_out_xwalk!$C:$L,5,FALSE)</f>
        <v>0.25</v>
      </c>
      <c r="M236" s="129">
        <f>VLOOKUP(VALUE($B236),test_out_xwalk!$C:$L,6,FALSE)</f>
        <v>0.25</v>
      </c>
      <c r="N236" s="129" t="str">
        <f>VLOOKUP(VALUE($B236),test_out_xwalk!$C:$L,8,FALSE)</f>
        <v>None</v>
      </c>
      <c r="O236" s="129" t="str">
        <f>VLOOKUP(VALUE($B236),test_out_xwalk!$C:$L,7,FALSE)</f>
        <v>Granular</v>
      </c>
      <c r="P236" s="129" t="str">
        <f>VLOOKUP(VALUE($B236),test_out_xwalk!$C:$L,4,FALSE)</f>
        <v>Pre-emergence</v>
      </c>
      <c r="Q236" s="129" t="str">
        <f>VLOOKUP(VALUE($B236),test_out_xwalk!$C:$L,9,FALSE)</f>
        <v>Vegetables and Ground Fruit</v>
      </c>
      <c r="R236">
        <f>_xlfn.XLOOKUP(VALUE(B236),test_out_xwalk!$C:$C,test_out_xwalk!$A:$A)</f>
        <v>7</v>
      </c>
      <c r="T236" s="121" t="str">
        <f>IF('summary_EPA Pond'!$O236="","Check Summary EPA POND worksheet Column O",'summary_EPA Pond'!$O236)</f>
        <v>Check Summary EPA POND worksheet Column O</v>
      </c>
      <c r="U236" s="121" t="str" cm="1">
        <f t="array" ref="U236">IFERROR(_xlfn.TEXTSPLIT(T236,"_"),"")</f>
        <v>Check Summary EPA POND worksheet Column O</v>
      </c>
      <c r="AA236" s="121" t="str" cm="1">
        <f t="array" ref="AA236">IF(W236="","",(_xlfn.TEXTSPLIT(W236,"-")))</f>
        <v/>
      </c>
      <c r="AD236" s="129" t="e">
        <f>VLOOKUP(VALUE($U236),test_out_xwalk!$C:$L,3,FALSE)</f>
        <v>#VALUE!</v>
      </c>
      <c r="AE236" s="129" t="e">
        <f>VLOOKUP(VALUE($U236),test_out_xwalk!$C:$L,5,FALSE)</f>
        <v>#VALUE!</v>
      </c>
      <c r="AF236" s="129" t="e">
        <f>VLOOKUP(VALUE($U236),test_out_xwalk!$C:$L,6,FALSE)</f>
        <v>#VALUE!</v>
      </c>
      <c r="AG236" s="129" t="e">
        <f>VLOOKUP(VALUE($U236),test_out_xwalk!$C:$L,8,FALSE)</f>
        <v>#VALUE!</v>
      </c>
      <c r="AH236" s="129" t="e">
        <f>VLOOKUP(VALUE($U236),test_out_xwalk!$C:$L,7,FALSE)</f>
        <v>#VALUE!</v>
      </c>
      <c r="AI236" s="129" t="e">
        <f>VLOOKUP(VALUE($U236),test_out_xwalk!$C:$L,4,FALSE)</f>
        <v>#VALUE!</v>
      </c>
      <c r="AJ236" s="129" t="e">
        <f>VLOOKUP(VALUE($U236),test_out_xwalk!$C:$L,9,FALSE)</f>
        <v>#VALUE!</v>
      </c>
      <c r="AK236" t="e">
        <f>_xlfn.XLOOKUP(VALUE(U236),test_out_xwalk!C:C,test_out_xwalk!A:A)</f>
        <v>#VALUE!</v>
      </c>
    </row>
    <row r="237" spans="1:37" x14ac:dyDescent="0.55000000000000004">
      <c r="A237" s="121" t="str">
        <f>IF('summary_EPA Pond'!$A237="","Check Summary EPA POND worksheet Column A",'summary_EPA Pond'!$A237)</f>
        <v xml:space="preserve">20_111389-15064-57_Vegetable fresh or processing market-r03N-A_USEPA Pond_0010_median </v>
      </c>
      <c r="B237" s="121" t="str" cm="1">
        <f t="array" ref="B237:G237">IFERROR(_xlfn.TEXTSPLIT(A237,"_"),"")</f>
        <v>20</v>
      </c>
      <c r="C237" t="str">
        <v>111389-15064-57</v>
      </c>
      <c r="D237" t="str">
        <v>Vegetable fresh or processing market-r03N-A</v>
      </c>
      <c r="E237" t="str">
        <v>USEPA Pond</v>
      </c>
      <c r="F237" t="str">
        <v>0010</v>
      </c>
      <c r="G237" t="str">
        <v xml:space="preserve">median </v>
      </c>
      <c r="H237" s="121" t="str" cm="1">
        <f t="array" ref="H237:J237">IF(D237="","",(_xlfn.TEXTSPLIT(D237,"-")))</f>
        <v>Vegetable fresh or processing market</v>
      </c>
      <c r="I237" s="121" t="str">
        <v>r03N</v>
      </c>
      <c r="J237" t="str">
        <v>A</v>
      </c>
      <c r="K237" s="129" t="str">
        <f>VLOOKUP(VALUE($B237),test_out_xwalk!$C:$L,3,FALSE)</f>
        <v>Garlic, Bulb-7-20</v>
      </c>
      <c r="L237" s="129">
        <f>VLOOKUP(VALUE($B237),test_out_xwalk!$C:$L,5,FALSE)</f>
        <v>0.25</v>
      </c>
      <c r="M237" s="129">
        <f>VLOOKUP(VALUE($B237),test_out_xwalk!$C:$L,6,FALSE)</f>
        <v>0.25</v>
      </c>
      <c r="N237" s="129" t="str">
        <f>VLOOKUP(VALUE($B237),test_out_xwalk!$C:$L,8,FALSE)</f>
        <v>None</v>
      </c>
      <c r="O237" s="129" t="str">
        <f>VLOOKUP(VALUE($B237),test_out_xwalk!$C:$L,7,FALSE)</f>
        <v>Granular</v>
      </c>
      <c r="P237" s="129" t="str">
        <f>VLOOKUP(VALUE($B237),test_out_xwalk!$C:$L,4,FALSE)</f>
        <v>Pre-emergence</v>
      </c>
      <c r="Q237" s="129" t="str">
        <f>VLOOKUP(VALUE($B237),test_out_xwalk!$C:$L,9,FALSE)</f>
        <v>Vegetables and Ground Fruit</v>
      </c>
      <c r="R237">
        <f>_xlfn.XLOOKUP(VALUE(B237),test_out_xwalk!$C:$C,test_out_xwalk!$A:$A)</f>
        <v>7</v>
      </c>
      <c r="T237" s="121" t="str">
        <f>IF('summary_EPA Pond'!$O237="","Check Summary EPA POND worksheet Column O",'summary_EPA Pond'!$O237)</f>
        <v>Check Summary EPA POND worksheet Column O</v>
      </c>
      <c r="U237" s="121" t="str" cm="1">
        <f t="array" ref="U237">IFERROR(_xlfn.TEXTSPLIT(T237,"_"),"")</f>
        <v>Check Summary EPA POND worksheet Column O</v>
      </c>
      <c r="AA237" s="121" t="str" cm="1">
        <f t="array" ref="AA237">IF(W237="","",(_xlfn.TEXTSPLIT(W237,"-")))</f>
        <v/>
      </c>
      <c r="AD237" s="129" t="e">
        <f>VLOOKUP(VALUE($U237),test_out_xwalk!$C:$L,3,FALSE)</f>
        <v>#VALUE!</v>
      </c>
      <c r="AE237" s="129" t="e">
        <f>VLOOKUP(VALUE($U237),test_out_xwalk!$C:$L,5,FALSE)</f>
        <v>#VALUE!</v>
      </c>
      <c r="AF237" s="129" t="e">
        <f>VLOOKUP(VALUE($U237),test_out_xwalk!$C:$L,6,FALSE)</f>
        <v>#VALUE!</v>
      </c>
      <c r="AG237" s="129" t="e">
        <f>VLOOKUP(VALUE($U237),test_out_xwalk!$C:$L,8,FALSE)</f>
        <v>#VALUE!</v>
      </c>
      <c r="AH237" s="129" t="e">
        <f>VLOOKUP(VALUE($U237),test_out_xwalk!$C:$L,7,FALSE)</f>
        <v>#VALUE!</v>
      </c>
      <c r="AI237" s="129" t="e">
        <f>VLOOKUP(VALUE($U237),test_out_xwalk!$C:$L,4,FALSE)</f>
        <v>#VALUE!</v>
      </c>
      <c r="AJ237" s="129" t="e">
        <f>VLOOKUP(VALUE($U237),test_out_xwalk!$C:$L,9,FALSE)</f>
        <v>#VALUE!</v>
      </c>
      <c r="AK237" t="e">
        <f>_xlfn.XLOOKUP(VALUE(U237),test_out_xwalk!C:C,test_out_xwalk!A:A)</f>
        <v>#VALUE!</v>
      </c>
    </row>
    <row r="238" spans="1:37" x14ac:dyDescent="0.55000000000000004">
      <c r="A238" s="121" t="str">
        <f>IF('summary_EPA Pond'!$A238="","Check Summary EPA POND worksheet Column A",'summary_EPA Pond'!$A238)</f>
        <v xml:space="preserve">20_631572-5375-222_Vegetable fresh or processing market-r03S-A_USEPA Pond_0010_median </v>
      </c>
      <c r="B238" s="121" t="str" cm="1">
        <f t="array" ref="B238:G238">IFERROR(_xlfn.TEXTSPLIT(A238,"_"),"")</f>
        <v>20</v>
      </c>
      <c r="C238" t="str">
        <v>631572-5375-222</v>
      </c>
      <c r="D238" t="str">
        <v>Vegetable fresh or processing market-r03S-A</v>
      </c>
      <c r="E238" t="str">
        <v>USEPA Pond</v>
      </c>
      <c r="F238" t="str">
        <v>0010</v>
      </c>
      <c r="G238" t="str">
        <v xml:space="preserve">median </v>
      </c>
      <c r="H238" s="121" t="str" cm="1">
        <f t="array" ref="H238:J238">IF(D238="","",(_xlfn.TEXTSPLIT(D238,"-")))</f>
        <v>Vegetable fresh or processing market</v>
      </c>
      <c r="I238" s="121" t="str">
        <v>r03S</v>
      </c>
      <c r="J238" t="str">
        <v>A</v>
      </c>
      <c r="K238" s="129" t="str">
        <f>VLOOKUP(VALUE($B238),test_out_xwalk!$C:$L,3,FALSE)</f>
        <v>Garlic, Bulb-7-20</v>
      </c>
      <c r="L238" s="129">
        <f>VLOOKUP(VALUE($B238),test_out_xwalk!$C:$L,5,FALSE)</f>
        <v>0.25</v>
      </c>
      <c r="M238" s="129">
        <f>VLOOKUP(VALUE($B238),test_out_xwalk!$C:$L,6,FALSE)</f>
        <v>0.25</v>
      </c>
      <c r="N238" s="129" t="str">
        <f>VLOOKUP(VALUE($B238),test_out_xwalk!$C:$L,8,FALSE)</f>
        <v>None</v>
      </c>
      <c r="O238" s="129" t="str">
        <f>VLOOKUP(VALUE($B238),test_out_xwalk!$C:$L,7,FALSE)</f>
        <v>Granular</v>
      </c>
      <c r="P238" s="129" t="str">
        <f>VLOOKUP(VALUE($B238),test_out_xwalk!$C:$L,4,FALSE)</f>
        <v>Pre-emergence</v>
      </c>
      <c r="Q238" s="129" t="str">
        <f>VLOOKUP(VALUE($B238),test_out_xwalk!$C:$L,9,FALSE)</f>
        <v>Vegetables and Ground Fruit</v>
      </c>
      <c r="R238">
        <f>_xlfn.XLOOKUP(VALUE(B238),test_out_xwalk!$C:$C,test_out_xwalk!$A:$A)</f>
        <v>7</v>
      </c>
      <c r="T238" s="121" t="str">
        <f>IF('summary_EPA Pond'!$O238="","Check Summary EPA POND worksheet Column O",'summary_EPA Pond'!$O238)</f>
        <v>Check Summary EPA POND worksheet Column O</v>
      </c>
      <c r="U238" s="121" t="str" cm="1">
        <f t="array" ref="U238">IFERROR(_xlfn.TEXTSPLIT(T238,"_"),"")</f>
        <v>Check Summary EPA POND worksheet Column O</v>
      </c>
      <c r="AA238" s="121" t="str" cm="1">
        <f t="array" ref="AA238">IF(W238="","",(_xlfn.TEXTSPLIT(W238,"-")))</f>
        <v/>
      </c>
      <c r="AD238" s="129" t="e">
        <f>VLOOKUP(VALUE($U238),test_out_xwalk!$C:$L,3,FALSE)</f>
        <v>#VALUE!</v>
      </c>
      <c r="AE238" s="129" t="e">
        <f>VLOOKUP(VALUE($U238),test_out_xwalk!$C:$L,5,FALSE)</f>
        <v>#VALUE!</v>
      </c>
      <c r="AF238" s="129" t="e">
        <f>VLOOKUP(VALUE($U238),test_out_xwalk!$C:$L,6,FALSE)</f>
        <v>#VALUE!</v>
      </c>
      <c r="AG238" s="129" t="e">
        <f>VLOOKUP(VALUE($U238),test_out_xwalk!$C:$L,8,FALSE)</f>
        <v>#VALUE!</v>
      </c>
      <c r="AH238" s="129" t="e">
        <f>VLOOKUP(VALUE($U238),test_out_xwalk!$C:$L,7,FALSE)</f>
        <v>#VALUE!</v>
      </c>
      <c r="AI238" s="129" t="e">
        <f>VLOOKUP(VALUE($U238),test_out_xwalk!$C:$L,4,FALSE)</f>
        <v>#VALUE!</v>
      </c>
      <c r="AJ238" s="129" t="e">
        <f>VLOOKUP(VALUE($U238),test_out_xwalk!$C:$L,9,FALSE)</f>
        <v>#VALUE!</v>
      </c>
      <c r="AK238" t="e">
        <f>_xlfn.XLOOKUP(VALUE(U238),test_out_xwalk!C:C,test_out_xwalk!A:A)</f>
        <v>#VALUE!</v>
      </c>
    </row>
    <row r="239" spans="1:37" x14ac:dyDescent="0.55000000000000004">
      <c r="A239" s="121" t="str">
        <f>IF('summary_EPA Pond'!$A239="","Check Summary EPA POND worksheet Column A",'summary_EPA Pond'!$A239)</f>
        <v xml:space="preserve">20_332581-10063-48_Vegetable fresh or processing market-r03W-A_USEPA Pond_0010_median </v>
      </c>
      <c r="B239" s="121" t="str" cm="1">
        <f t="array" ref="B239:G239">IFERROR(_xlfn.TEXTSPLIT(A239,"_"),"")</f>
        <v>20</v>
      </c>
      <c r="C239" t="str">
        <v>332581-10063-48</v>
      </c>
      <c r="D239" t="str">
        <v>Vegetable fresh or processing market-r03W-A</v>
      </c>
      <c r="E239" t="str">
        <v>USEPA Pond</v>
      </c>
      <c r="F239" t="str">
        <v>0010</v>
      </c>
      <c r="G239" t="str">
        <v xml:space="preserve">median </v>
      </c>
      <c r="H239" s="121" t="str" cm="1">
        <f t="array" ref="H239:J239">IF(D239="","",(_xlfn.TEXTSPLIT(D239,"-")))</f>
        <v>Vegetable fresh or processing market</v>
      </c>
      <c r="I239" s="121" t="str">
        <v>r03W</v>
      </c>
      <c r="J239" t="str">
        <v>A</v>
      </c>
      <c r="K239" s="129" t="str">
        <f>VLOOKUP(VALUE($B239),test_out_xwalk!$C:$L,3,FALSE)</f>
        <v>Garlic, Bulb-7-20</v>
      </c>
      <c r="L239" s="129">
        <f>VLOOKUP(VALUE($B239),test_out_xwalk!$C:$L,5,FALSE)</f>
        <v>0.25</v>
      </c>
      <c r="M239" s="129">
        <f>VLOOKUP(VALUE($B239),test_out_xwalk!$C:$L,6,FALSE)</f>
        <v>0.25</v>
      </c>
      <c r="N239" s="129" t="str">
        <f>VLOOKUP(VALUE($B239),test_out_xwalk!$C:$L,8,FALSE)</f>
        <v>None</v>
      </c>
      <c r="O239" s="129" t="str">
        <f>VLOOKUP(VALUE($B239),test_out_xwalk!$C:$L,7,FALSE)</f>
        <v>Granular</v>
      </c>
      <c r="P239" s="129" t="str">
        <f>VLOOKUP(VALUE($B239),test_out_xwalk!$C:$L,4,FALSE)</f>
        <v>Pre-emergence</v>
      </c>
      <c r="Q239" s="129" t="str">
        <f>VLOOKUP(VALUE($B239),test_out_xwalk!$C:$L,9,FALSE)</f>
        <v>Vegetables and Ground Fruit</v>
      </c>
      <c r="R239">
        <f>_xlfn.XLOOKUP(VALUE(B239),test_out_xwalk!$C:$C,test_out_xwalk!$A:$A)</f>
        <v>7</v>
      </c>
      <c r="T239" s="121" t="str">
        <f>IF('summary_EPA Pond'!$O239="","Check Summary EPA POND worksheet Column O",'summary_EPA Pond'!$O239)</f>
        <v>Check Summary EPA POND worksheet Column O</v>
      </c>
      <c r="U239" s="121" t="str" cm="1">
        <f t="array" ref="U239">IFERROR(_xlfn.TEXTSPLIT(T239,"_"),"")</f>
        <v>Check Summary EPA POND worksheet Column O</v>
      </c>
      <c r="AA239" s="121" t="str" cm="1">
        <f t="array" ref="AA239">IF(W239="","",(_xlfn.TEXTSPLIT(W239,"-")))</f>
        <v/>
      </c>
      <c r="AD239" s="129" t="e">
        <f>VLOOKUP(VALUE($U239),test_out_xwalk!$C:$L,3,FALSE)</f>
        <v>#VALUE!</v>
      </c>
      <c r="AE239" s="129" t="e">
        <f>VLOOKUP(VALUE($U239),test_out_xwalk!$C:$L,5,FALSE)</f>
        <v>#VALUE!</v>
      </c>
      <c r="AF239" s="129" t="e">
        <f>VLOOKUP(VALUE($U239),test_out_xwalk!$C:$L,6,FALSE)</f>
        <v>#VALUE!</v>
      </c>
      <c r="AG239" s="129" t="e">
        <f>VLOOKUP(VALUE($U239),test_out_xwalk!$C:$L,8,FALSE)</f>
        <v>#VALUE!</v>
      </c>
      <c r="AH239" s="129" t="e">
        <f>VLOOKUP(VALUE($U239),test_out_xwalk!$C:$L,7,FALSE)</f>
        <v>#VALUE!</v>
      </c>
      <c r="AI239" s="129" t="e">
        <f>VLOOKUP(VALUE($U239),test_out_xwalk!$C:$L,4,FALSE)</f>
        <v>#VALUE!</v>
      </c>
      <c r="AJ239" s="129" t="e">
        <f>VLOOKUP(VALUE($U239),test_out_xwalk!$C:$L,9,FALSE)</f>
        <v>#VALUE!</v>
      </c>
      <c r="AK239" t="e">
        <f>_xlfn.XLOOKUP(VALUE(U239),test_out_xwalk!C:C,test_out_xwalk!A:A)</f>
        <v>#VALUE!</v>
      </c>
    </row>
    <row r="240" spans="1:37" x14ac:dyDescent="0.55000000000000004">
      <c r="A240" s="121" t="str">
        <f>IF('summary_EPA Pond'!$A240="","Check Summary EPA POND worksheet Column A",'summary_EPA Pond'!$A240)</f>
        <v xml:space="preserve">20_192466-22579-222_Vegetable fresh or processing market-r04-A_USEPA Pond_0010_median </v>
      </c>
      <c r="B240" s="121" t="str" cm="1">
        <f t="array" ref="B240:G240">IFERROR(_xlfn.TEXTSPLIT(A240,"_"),"")</f>
        <v>20</v>
      </c>
      <c r="C240" t="str">
        <v>192466-22579-222</v>
      </c>
      <c r="D240" t="str">
        <v>Vegetable fresh or processing market-r04-A</v>
      </c>
      <c r="E240" t="str">
        <v>USEPA Pond</v>
      </c>
      <c r="F240" t="str">
        <v>0010</v>
      </c>
      <c r="G240" t="str">
        <v xml:space="preserve">median </v>
      </c>
      <c r="H240" s="121" t="str" cm="1">
        <f t="array" ref="H240:J240">IF(D240="","",(_xlfn.TEXTSPLIT(D240,"-")))</f>
        <v>Vegetable fresh or processing market</v>
      </c>
      <c r="I240" s="121" t="str">
        <v>r04</v>
      </c>
      <c r="J240" t="str">
        <v>A</v>
      </c>
      <c r="K240" s="129" t="str">
        <f>VLOOKUP(VALUE($B240),test_out_xwalk!$C:$L,3,FALSE)</f>
        <v>Garlic, Bulb-7-20</v>
      </c>
      <c r="L240" s="129">
        <f>VLOOKUP(VALUE($B240),test_out_xwalk!$C:$L,5,FALSE)</f>
        <v>0.25</v>
      </c>
      <c r="M240" s="129">
        <f>VLOOKUP(VALUE($B240),test_out_xwalk!$C:$L,6,FALSE)</f>
        <v>0.25</v>
      </c>
      <c r="N240" s="129" t="str">
        <f>VLOOKUP(VALUE($B240),test_out_xwalk!$C:$L,8,FALSE)</f>
        <v>None</v>
      </c>
      <c r="O240" s="129" t="str">
        <f>VLOOKUP(VALUE($B240),test_out_xwalk!$C:$L,7,FALSE)</f>
        <v>Granular</v>
      </c>
      <c r="P240" s="129" t="str">
        <f>VLOOKUP(VALUE($B240),test_out_xwalk!$C:$L,4,FALSE)</f>
        <v>Pre-emergence</v>
      </c>
      <c r="Q240" s="129" t="str">
        <f>VLOOKUP(VALUE($B240),test_out_xwalk!$C:$L,9,FALSE)</f>
        <v>Vegetables and Ground Fruit</v>
      </c>
      <c r="R240">
        <f>_xlfn.XLOOKUP(VALUE(B240),test_out_xwalk!$C:$C,test_out_xwalk!$A:$A)</f>
        <v>7</v>
      </c>
      <c r="T240" s="121" t="str">
        <f>IF('summary_EPA Pond'!$O240="","Check Summary EPA POND worksheet Column O",'summary_EPA Pond'!$O240)</f>
        <v>Check Summary EPA POND worksheet Column O</v>
      </c>
      <c r="U240" s="121" t="str" cm="1">
        <f t="array" ref="U240">IFERROR(_xlfn.TEXTSPLIT(T240,"_"),"")</f>
        <v>Check Summary EPA POND worksheet Column O</v>
      </c>
      <c r="AA240" s="121" t="str" cm="1">
        <f t="array" ref="AA240">IF(W240="","",(_xlfn.TEXTSPLIT(W240,"-")))</f>
        <v/>
      </c>
      <c r="AD240" s="129" t="e">
        <f>VLOOKUP(VALUE($U240),test_out_xwalk!$C:$L,3,FALSE)</f>
        <v>#VALUE!</v>
      </c>
      <c r="AE240" s="129" t="e">
        <f>VLOOKUP(VALUE($U240),test_out_xwalk!$C:$L,5,FALSE)</f>
        <v>#VALUE!</v>
      </c>
      <c r="AF240" s="129" t="e">
        <f>VLOOKUP(VALUE($U240),test_out_xwalk!$C:$L,6,FALSE)</f>
        <v>#VALUE!</v>
      </c>
      <c r="AG240" s="129" t="e">
        <f>VLOOKUP(VALUE($U240),test_out_xwalk!$C:$L,8,FALSE)</f>
        <v>#VALUE!</v>
      </c>
      <c r="AH240" s="129" t="e">
        <f>VLOOKUP(VALUE($U240),test_out_xwalk!$C:$L,7,FALSE)</f>
        <v>#VALUE!</v>
      </c>
      <c r="AI240" s="129" t="e">
        <f>VLOOKUP(VALUE($U240),test_out_xwalk!$C:$L,4,FALSE)</f>
        <v>#VALUE!</v>
      </c>
      <c r="AJ240" s="129" t="e">
        <f>VLOOKUP(VALUE($U240),test_out_xwalk!$C:$L,9,FALSE)</f>
        <v>#VALUE!</v>
      </c>
      <c r="AK240" t="e">
        <f>_xlfn.XLOOKUP(VALUE(U240),test_out_xwalk!C:C,test_out_xwalk!A:A)</f>
        <v>#VALUE!</v>
      </c>
    </row>
    <row r="241" spans="1:37" x14ac:dyDescent="0.55000000000000004">
      <c r="A241" s="121" t="str">
        <f>IF('summary_EPA Pond'!$A241="","Check Summary EPA POND worksheet Column A",'summary_EPA Pond'!$A241)</f>
        <v xml:space="preserve">20_160822-18569-229_Vegetable fresh or processing market-r05-A_USEPA Pond_0010_median </v>
      </c>
      <c r="B241" s="121" t="str" cm="1">
        <f t="array" ref="B241:G241">IFERROR(_xlfn.TEXTSPLIT(A241,"_"),"")</f>
        <v>20</v>
      </c>
      <c r="C241" t="str">
        <v>160822-18569-229</v>
      </c>
      <c r="D241" t="str">
        <v>Vegetable fresh or processing market-r05-A</v>
      </c>
      <c r="E241" t="str">
        <v>USEPA Pond</v>
      </c>
      <c r="F241" t="str">
        <v>0010</v>
      </c>
      <c r="G241" t="str">
        <v xml:space="preserve">median </v>
      </c>
      <c r="H241" s="121" t="str" cm="1">
        <f t="array" ref="H241:J241">IF(D241="","",(_xlfn.TEXTSPLIT(D241,"-")))</f>
        <v>Vegetable fresh or processing market</v>
      </c>
      <c r="I241" s="121" t="str">
        <v>r05</v>
      </c>
      <c r="J241" t="str">
        <v>A</v>
      </c>
      <c r="K241" s="129" t="str">
        <f>VLOOKUP(VALUE($B241),test_out_xwalk!$C:$L,3,FALSE)</f>
        <v>Garlic, Bulb-7-20</v>
      </c>
      <c r="L241" s="129">
        <f>VLOOKUP(VALUE($B241),test_out_xwalk!$C:$L,5,FALSE)</f>
        <v>0.25</v>
      </c>
      <c r="M241" s="129">
        <f>VLOOKUP(VALUE($B241),test_out_xwalk!$C:$L,6,FALSE)</f>
        <v>0.25</v>
      </c>
      <c r="N241" s="129" t="str">
        <f>VLOOKUP(VALUE($B241),test_out_xwalk!$C:$L,8,FALSE)</f>
        <v>None</v>
      </c>
      <c r="O241" s="129" t="str">
        <f>VLOOKUP(VALUE($B241),test_out_xwalk!$C:$L,7,FALSE)</f>
        <v>Granular</v>
      </c>
      <c r="P241" s="129" t="str">
        <f>VLOOKUP(VALUE($B241),test_out_xwalk!$C:$L,4,FALSE)</f>
        <v>Pre-emergence</v>
      </c>
      <c r="Q241" s="129" t="str">
        <f>VLOOKUP(VALUE($B241),test_out_xwalk!$C:$L,9,FALSE)</f>
        <v>Vegetables and Ground Fruit</v>
      </c>
      <c r="R241">
        <f>_xlfn.XLOOKUP(VALUE(B241),test_out_xwalk!$C:$C,test_out_xwalk!$A:$A)</f>
        <v>7</v>
      </c>
      <c r="T241" s="121" t="str">
        <f>IF('summary_EPA Pond'!$O241="","Check Summary EPA POND worksheet Column O",'summary_EPA Pond'!$O241)</f>
        <v>Check Summary EPA POND worksheet Column O</v>
      </c>
      <c r="U241" s="121" t="str" cm="1">
        <f t="array" ref="U241">IFERROR(_xlfn.TEXTSPLIT(T241,"_"),"")</f>
        <v>Check Summary EPA POND worksheet Column O</v>
      </c>
      <c r="AA241" s="121" t="str" cm="1">
        <f t="array" ref="AA241">IF(W241="","",(_xlfn.TEXTSPLIT(W241,"-")))</f>
        <v/>
      </c>
      <c r="AD241" s="129" t="e">
        <f>VLOOKUP(VALUE($U241),test_out_xwalk!$C:$L,3,FALSE)</f>
        <v>#VALUE!</v>
      </c>
      <c r="AE241" s="129" t="e">
        <f>VLOOKUP(VALUE($U241),test_out_xwalk!$C:$L,5,FALSE)</f>
        <v>#VALUE!</v>
      </c>
      <c r="AF241" s="129" t="e">
        <f>VLOOKUP(VALUE($U241),test_out_xwalk!$C:$L,6,FALSE)</f>
        <v>#VALUE!</v>
      </c>
      <c r="AG241" s="129" t="e">
        <f>VLOOKUP(VALUE($U241),test_out_xwalk!$C:$L,8,FALSE)</f>
        <v>#VALUE!</v>
      </c>
      <c r="AH241" s="129" t="e">
        <f>VLOOKUP(VALUE($U241),test_out_xwalk!$C:$L,7,FALSE)</f>
        <v>#VALUE!</v>
      </c>
      <c r="AI241" s="129" t="e">
        <f>VLOOKUP(VALUE($U241),test_out_xwalk!$C:$L,4,FALSE)</f>
        <v>#VALUE!</v>
      </c>
      <c r="AJ241" s="129" t="e">
        <f>VLOOKUP(VALUE($U241),test_out_xwalk!$C:$L,9,FALSE)</f>
        <v>#VALUE!</v>
      </c>
      <c r="AK241" t="e">
        <f>_xlfn.XLOOKUP(VALUE(U241),test_out_xwalk!C:C,test_out_xwalk!A:A)</f>
        <v>#VALUE!</v>
      </c>
    </row>
    <row r="242" spans="1:37" x14ac:dyDescent="0.55000000000000004">
      <c r="A242" s="121" t="str">
        <f>IF('summary_EPA Pond'!$A242="","Check Summary EPA POND worksheet Column A",'summary_EPA Pond'!$A242)</f>
        <v>20_2423116-14329-219_Vegetable fresh or processing market-r06-A_USEPA Pond_0010_median</v>
      </c>
      <c r="B242" s="121" t="str" cm="1">
        <f t="array" ref="B242:G242">IFERROR(_xlfn.TEXTSPLIT(A242,"_"),"")</f>
        <v>20</v>
      </c>
      <c r="C242" t="str">
        <v>2423116-14329-219</v>
      </c>
      <c r="D242" t="str">
        <v>Vegetable fresh or processing market-r06-A</v>
      </c>
      <c r="E242" t="str">
        <v>USEPA Pond</v>
      </c>
      <c r="F242" t="str">
        <v>0010</v>
      </c>
      <c r="G242" t="str">
        <v>median</v>
      </c>
      <c r="H242" s="121" t="str" cm="1">
        <f t="array" ref="H242:J242">IF(D242="","",(_xlfn.TEXTSPLIT(D242,"-")))</f>
        <v>Vegetable fresh or processing market</v>
      </c>
      <c r="I242" s="121" t="str">
        <v>r06</v>
      </c>
      <c r="J242" t="str">
        <v>A</v>
      </c>
      <c r="K242" s="129" t="str">
        <f>VLOOKUP(VALUE($B242),test_out_xwalk!$C:$L,3,FALSE)</f>
        <v>Garlic, Bulb-7-20</v>
      </c>
      <c r="L242" s="129">
        <f>VLOOKUP(VALUE($B242),test_out_xwalk!$C:$L,5,FALSE)</f>
        <v>0.25</v>
      </c>
      <c r="M242" s="129">
        <f>VLOOKUP(VALUE($B242),test_out_xwalk!$C:$L,6,FALSE)</f>
        <v>0.25</v>
      </c>
      <c r="N242" s="129" t="str">
        <f>VLOOKUP(VALUE($B242),test_out_xwalk!$C:$L,8,FALSE)</f>
        <v>None</v>
      </c>
      <c r="O242" s="129" t="str">
        <f>VLOOKUP(VALUE($B242),test_out_xwalk!$C:$L,7,FALSE)</f>
        <v>Granular</v>
      </c>
      <c r="P242" s="129" t="str">
        <f>VLOOKUP(VALUE($B242),test_out_xwalk!$C:$L,4,FALSE)</f>
        <v>Pre-emergence</v>
      </c>
      <c r="Q242" s="129" t="str">
        <f>VLOOKUP(VALUE($B242),test_out_xwalk!$C:$L,9,FALSE)</f>
        <v>Vegetables and Ground Fruit</v>
      </c>
      <c r="R242">
        <f>_xlfn.XLOOKUP(VALUE(B242),test_out_xwalk!$C:$C,test_out_xwalk!$A:$A)</f>
        <v>7</v>
      </c>
      <c r="T242" s="121" t="str">
        <f>IF('summary_EPA Pond'!$O242="","Check Summary EPA POND worksheet Column O",'summary_EPA Pond'!$O242)</f>
        <v>Check Summary EPA POND worksheet Column O</v>
      </c>
      <c r="U242" s="121" t="str" cm="1">
        <f t="array" ref="U242">IFERROR(_xlfn.TEXTSPLIT(T242,"_"),"")</f>
        <v>Check Summary EPA POND worksheet Column O</v>
      </c>
      <c r="AA242" s="121" t="str" cm="1">
        <f t="array" ref="AA242">IF(W242="","",(_xlfn.TEXTSPLIT(W242,"-")))</f>
        <v/>
      </c>
      <c r="AD242" s="129" t="e">
        <f>VLOOKUP(VALUE($U242),test_out_xwalk!$C:$L,3,FALSE)</f>
        <v>#VALUE!</v>
      </c>
      <c r="AE242" s="129" t="e">
        <f>VLOOKUP(VALUE($U242),test_out_xwalk!$C:$L,5,FALSE)</f>
        <v>#VALUE!</v>
      </c>
      <c r="AF242" s="129" t="e">
        <f>VLOOKUP(VALUE($U242),test_out_xwalk!$C:$L,6,FALSE)</f>
        <v>#VALUE!</v>
      </c>
      <c r="AG242" s="129" t="e">
        <f>VLOOKUP(VALUE($U242),test_out_xwalk!$C:$L,8,FALSE)</f>
        <v>#VALUE!</v>
      </c>
      <c r="AH242" s="129" t="e">
        <f>VLOOKUP(VALUE($U242),test_out_xwalk!$C:$L,7,FALSE)</f>
        <v>#VALUE!</v>
      </c>
      <c r="AI242" s="129" t="e">
        <f>VLOOKUP(VALUE($U242),test_out_xwalk!$C:$L,4,FALSE)</f>
        <v>#VALUE!</v>
      </c>
      <c r="AJ242" s="129" t="e">
        <f>VLOOKUP(VALUE($U242),test_out_xwalk!$C:$L,9,FALSE)</f>
        <v>#VALUE!</v>
      </c>
      <c r="AK242" t="e">
        <f>_xlfn.XLOOKUP(VALUE(U242),test_out_xwalk!C:C,test_out_xwalk!A:A)</f>
        <v>#VALUE!</v>
      </c>
    </row>
    <row r="243" spans="1:37" x14ac:dyDescent="0.55000000000000004">
      <c r="A243" s="121" t="str">
        <f>IF('summary_EPA Pond'!$A243="","Check Summary EPA POND worksheet Column A",'summary_EPA Pond'!$A243)</f>
        <v xml:space="preserve">20_397808-22314-12_Vegetable fresh or processing market-r07-A_USEPA Pond_0010_median  </v>
      </c>
      <c r="B243" s="121" t="str" cm="1">
        <f t="array" ref="B243:G243">IFERROR(_xlfn.TEXTSPLIT(A243,"_"),"")</f>
        <v>20</v>
      </c>
      <c r="C243" t="str">
        <v>397808-22314-12</v>
      </c>
      <c r="D243" t="str">
        <v>Vegetable fresh or processing market-r07-A</v>
      </c>
      <c r="E243" t="str">
        <v>USEPA Pond</v>
      </c>
      <c r="F243" t="str">
        <v>0010</v>
      </c>
      <c r="G243" t="str">
        <v xml:space="preserve">median  </v>
      </c>
      <c r="H243" s="121" t="str" cm="1">
        <f t="array" ref="H243:J243">IF(D243="","",(_xlfn.TEXTSPLIT(D243,"-")))</f>
        <v>Vegetable fresh or processing market</v>
      </c>
      <c r="I243" s="121" t="str">
        <v>r07</v>
      </c>
      <c r="J243" t="str">
        <v>A</v>
      </c>
      <c r="K243" s="129" t="str">
        <f>VLOOKUP(VALUE($B243),test_out_xwalk!$C:$L,3,FALSE)</f>
        <v>Garlic, Bulb-7-20</v>
      </c>
      <c r="L243" s="129">
        <f>VLOOKUP(VALUE($B243),test_out_xwalk!$C:$L,5,FALSE)</f>
        <v>0.25</v>
      </c>
      <c r="M243" s="129">
        <f>VLOOKUP(VALUE($B243),test_out_xwalk!$C:$L,6,FALSE)</f>
        <v>0.25</v>
      </c>
      <c r="N243" s="129" t="str">
        <f>VLOOKUP(VALUE($B243),test_out_xwalk!$C:$L,8,FALSE)</f>
        <v>None</v>
      </c>
      <c r="O243" s="129" t="str">
        <f>VLOOKUP(VALUE($B243),test_out_xwalk!$C:$L,7,FALSE)</f>
        <v>Granular</v>
      </c>
      <c r="P243" s="129" t="str">
        <f>VLOOKUP(VALUE($B243),test_out_xwalk!$C:$L,4,FALSE)</f>
        <v>Pre-emergence</v>
      </c>
      <c r="Q243" s="129" t="str">
        <f>VLOOKUP(VALUE($B243),test_out_xwalk!$C:$L,9,FALSE)</f>
        <v>Vegetables and Ground Fruit</v>
      </c>
      <c r="R243">
        <f>_xlfn.XLOOKUP(VALUE(B243),test_out_xwalk!$C:$C,test_out_xwalk!$A:$A)</f>
        <v>7</v>
      </c>
      <c r="T243" s="121" t="str">
        <f>IF('summary_EPA Pond'!$O243="","Check Summary EPA POND worksheet Column O",'summary_EPA Pond'!$O243)</f>
        <v>Check Summary EPA POND worksheet Column O</v>
      </c>
      <c r="U243" s="121" t="str" cm="1">
        <f t="array" ref="U243">IFERROR(_xlfn.TEXTSPLIT(T243,"_"),"")</f>
        <v>Check Summary EPA POND worksheet Column O</v>
      </c>
      <c r="AA243" s="121" t="str" cm="1">
        <f t="array" ref="AA243">IF(W243="","",(_xlfn.TEXTSPLIT(W243,"-")))</f>
        <v/>
      </c>
      <c r="AD243" s="129" t="e">
        <f>VLOOKUP(VALUE($U243),test_out_xwalk!$C:$L,3,FALSE)</f>
        <v>#VALUE!</v>
      </c>
      <c r="AE243" s="129" t="e">
        <f>VLOOKUP(VALUE($U243),test_out_xwalk!$C:$L,5,FALSE)</f>
        <v>#VALUE!</v>
      </c>
      <c r="AF243" s="129" t="e">
        <f>VLOOKUP(VALUE($U243),test_out_xwalk!$C:$L,6,FALSE)</f>
        <v>#VALUE!</v>
      </c>
      <c r="AG243" s="129" t="e">
        <f>VLOOKUP(VALUE($U243),test_out_xwalk!$C:$L,8,FALSE)</f>
        <v>#VALUE!</v>
      </c>
      <c r="AH243" s="129" t="e">
        <f>VLOOKUP(VALUE($U243),test_out_xwalk!$C:$L,7,FALSE)</f>
        <v>#VALUE!</v>
      </c>
      <c r="AI243" s="129" t="e">
        <f>VLOOKUP(VALUE($U243),test_out_xwalk!$C:$L,4,FALSE)</f>
        <v>#VALUE!</v>
      </c>
      <c r="AJ243" s="129" t="e">
        <f>VLOOKUP(VALUE($U243),test_out_xwalk!$C:$L,9,FALSE)</f>
        <v>#VALUE!</v>
      </c>
      <c r="AK243" t="e">
        <f>_xlfn.XLOOKUP(VALUE(U243),test_out_xwalk!C:C,test_out_xwalk!A:A)</f>
        <v>#VALUE!</v>
      </c>
    </row>
    <row r="244" spans="1:37" x14ac:dyDescent="0.55000000000000004">
      <c r="A244" s="121" t="str">
        <f>IF('summary_EPA Pond'!$A244="","Check Summary EPA POND worksheet Column A",'summary_EPA Pond'!$A244)</f>
        <v xml:space="preserve">20_1715900-13351-54_Vegetable fresh or processing market-r08-A_USEPA Pond_0010_median </v>
      </c>
      <c r="B244" s="121" t="str" cm="1">
        <f t="array" ref="B244:G244">IFERROR(_xlfn.TEXTSPLIT(A244,"_"),"")</f>
        <v>20</v>
      </c>
      <c r="C244" t="str">
        <v>1715900-13351-54</v>
      </c>
      <c r="D244" t="str">
        <v>Vegetable fresh or processing market-r08-A</v>
      </c>
      <c r="E244" t="str">
        <v>USEPA Pond</v>
      </c>
      <c r="F244" t="str">
        <v>0010</v>
      </c>
      <c r="G244" t="str">
        <v xml:space="preserve">median </v>
      </c>
      <c r="H244" s="121" t="str" cm="1">
        <f t="array" ref="H244:J244">IF(D244="","",(_xlfn.TEXTSPLIT(D244,"-")))</f>
        <v>Vegetable fresh or processing market</v>
      </c>
      <c r="I244" s="121" t="str">
        <v>r08</v>
      </c>
      <c r="J244" t="str">
        <v>A</v>
      </c>
      <c r="K244" s="129" t="str">
        <f>VLOOKUP(VALUE($B244),test_out_xwalk!$C:$L,3,FALSE)</f>
        <v>Garlic, Bulb-7-20</v>
      </c>
      <c r="L244" s="129">
        <f>VLOOKUP(VALUE($B244),test_out_xwalk!$C:$L,5,FALSE)</f>
        <v>0.25</v>
      </c>
      <c r="M244" s="129">
        <f>VLOOKUP(VALUE($B244),test_out_xwalk!$C:$L,6,FALSE)</f>
        <v>0.25</v>
      </c>
      <c r="N244" s="129" t="str">
        <f>VLOOKUP(VALUE($B244),test_out_xwalk!$C:$L,8,FALSE)</f>
        <v>None</v>
      </c>
      <c r="O244" s="129" t="str">
        <f>VLOOKUP(VALUE($B244),test_out_xwalk!$C:$L,7,FALSE)</f>
        <v>Granular</v>
      </c>
      <c r="P244" s="129" t="str">
        <f>VLOOKUP(VALUE($B244),test_out_xwalk!$C:$L,4,FALSE)</f>
        <v>Pre-emergence</v>
      </c>
      <c r="Q244" s="129" t="str">
        <f>VLOOKUP(VALUE($B244),test_out_xwalk!$C:$L,9,FALSE)</f>
        <v>Vegetables and Ground Fruit</v>
      </c>
      <c r="R244">
        <f>_xlfn.XLOOKUP(VALUE(B244),test_out_xwalk!$C:$C,test_out_xwalk!$A:$A)</f>
        <v>7</v>
      </c>
      <c r="T244" s="121" t="str">
        <f>IF('summary_EPA Pond'!$O244="","Check Summary EPA POND worksheet Column O",'summary_EPA Pond'!$O244)</f>
        <v>Check Summary EPA POND worksheet Column O</v>
      </c>
      <c r="U244" s="121" t="str" cm="1">
        <f t="array" ref="U244">IFERROR(_xlfn.TEXTSPLIT(T244,"_"),"")</f>
        <v>Check Summary EPA POND worksheet Column O</v>
      </c>
      <c r="AA244" s="121" t="str" cm="1">
        <f t="array" ref="AA244">IF(W244="","",(_xlfn.TEXTSPLIT(W244,"-")))</f>
        <v/>
      </c>
      <c r="AD244" s="129" t="e">
        <f>VLOOKUP(VALUE($U244),test_out_xwalk!$C:$L,3,FALSE)</f>
        <v>#VALUE!</v>
      </c>
      <c r="AE244" s="129" t="e">
        <f>VLOOKUP(VALUE($U244),test_out_xwalk!$C:$L,5,FALSE)</f>
        <v>#VALUE!</v>
      </c>
      <c r="AF244" s="129" t="e">
        <f>VLOOKUP(VALUE($U244),test_out_xwalk!$C:$L,6,FALSE)</f>
        <v>#VALUE!</v>
      </c>
      <c r="AG244" s="129" t="e">
        <f>VLOOKUP(VALUE($U244),test_out_xwalk!$C:$L,8,FALSE)</f>
        <v>#VALUE!</v>
      </c>
      <c r="AH244" s="129" t="e">
        <f>VLOOKUP(VALUE($U244),test_out_xwalk!$C:$L,7,FALSE)</f>
        <v>#VALUE!</v>
      </c>
      <c r="AI244" s="129" t="e">
        <f>VLOOKUP(VALUE($U244),test_out_xwalk!$C:$L,4,FALSE)</f>
        <v>#VALUE!</v>
      </c>
      <c r="AJ244" s="129" t="e">
        <f>VLOOKUP(VALUE($U244),test_out_xwalk!$C:$L,9,FALSE)</f>
        <v>#VALUE!</v>
      </c>
      <c r="AK244" t="e">
        <f>_xlfn.XLOOKUP(VALUE(U244),test_out_xwalk!C:C,test_out_xwalk!A:A)</f>
        <v>#VALUE!</v>
      </c>
    </row>
    <row r="245" spans="1:37" x14ac:dyDescent="0.55000000000000004">
      <c r="A245" s="121" t="str">
        <f>IF('summary_EPA Pond'!$A245="","Check Summary EPA POND worksheet Column A",'summary_EPA Pond'!$A245)</f>
        <v xml:space="preserve">20_356962-25371-12_Vegetable fresh or processing market-r09-A_USEPA Pond_0010_median  </v>
      </c>
      <c r="B245" s="121" t="str" cm="1">
        <f t="array" ref="B245:G245">IFERROR(_xlfn.TEXTSPLIT(A245,"_"),"")</f>
        <v>20</v>
      </c>
      <c r="C245" t="str">
        <v>356962-25371-12</v>
      </c>
      <c r="D245" t="str">
        <v>Vegetable fresh or processing market-r09-A</v>
      </c>
      <c r="E245" t="str">
        <v>USEPA Pond</v>
      </c>
      <c r="F245" t="str">
        <v>0010</v>
      </c>
      <c r="G245" t="str">
        <v xml:space="preserve">median  </v>
      </c>
      <c r="H245" s="121" t="str" cm="1">
        <f t="array" ref="H245:J245">IF(D245="","",(_xlfn.TEXTSPLIT(D245,"-")))</f>
        <v>Vegetable fresh or processing market</v>
      </c>
      <c r="I245" s="121" t="str">
        <v>r09</v>
      </c>
      <c r="J245" t="str">
        <v>A</v>
      </c>
      <c r="K245" s="129" t="str">
        <f>VLOOKUP(VALUE($B245),test_out_xwalk!$C:$L,3,FALSE)</f>
        <v>Garlic, Bulb-7-20</v>
      </c>
      <c r="L245" s="129">
        <f>VLOOKUP(VALUE($B245),test_out_xwalk!$C:$L,5,FALSE)</f>
        <v>0.25</v>
      </c>
      <c r="M245" s="129">
        <f>VLOOKUP(VALUE($B245),test_out_xwalk!$C:$L,6,FALSE)</f>
        <v>0.25</v>
      </c>
      <c r="N245" s="129" t="str">
        <f>VLOOKUP(VALUE($B245),test_out_xwalk!$C:$L,8,FALSE)</f>
        <v>None</v>
      </c>
      <c r="O245" s="129" t="str">
        <f>VLOOKUP(VALUE($B245),test_out_xwalk!$C:$L,7,FALSE)</f>
        <v>Granular</v>
      </c>
      <c r="P245" s="129" t="str">
        <f>VLOOKUP(VALUE($B245),test_out_xwalk!$C:$L,4,FALSE)</f>
        <v>Pre-emergence</v>
      </c>
      <c r="Q245" s="129" t="str">
        <f>VLOOKUP(VALUE($B245),test_out_xwalk!$C:$L,9,FALSE)</f>
        <v>Vegetables and Ground Fruit</v>
      </c>
      <c r="R245">
        <f>_xlfn.XLOOKUP(VALUE(B245),test_out_xwalk!$C:$C,test_out_xwalk!$A:$A)</f>
        <v>7</v>
      </c>
      <c r="T245" s="121" t="str">
        <f>IF('summary_EPA Pond'!$O245="","Check Summary EPA POND worksheet Column O",'summary_EPA Pond'!$O245)</f>
        <v>Check Summary EPA POND worksheet Column O</v>
      </c>
      <c r="U245" s="121" t="str" cm="1">
        <f t="array" ref="U245">IFERROR(_xlfn.TEXTSPLIT(T245,"_"),"")</f>
        <v>Check Summary EPA POND worksheet Column O</v>
      </c>
      <c r="AA245" s="121" t="str" cm="1">
        <f t="array" ref="AA245">IF(W245="","",(_xlfn.TEXTSPLIT(W245,"-")))</f>
        <v/>
      </c>
      <c r="AD245" s="129" t="e">
        <f>VLOOKUP(VALUE($U245),test_out_xwalk!$C:$L,3,FALSE)</f>
        <v>#VALUE!</v>
      </c>
      <c r="AE245" s="129" t="e">
        <f>VLOOKUP(VALUE($U245),test_out_xwalk!$C:$L,5,FALSE)</f>
        <v>#VALUE!</v>
      </c>
      <c r="AF245" s="129" t="e">
        <f>VLOOKUP(VALUE($U245),test_out_xwalk!$C:$L,6,FALSE)</f>
        <v>#VALUE!</v>
      </c>
      <c r="AG245" s="129" t="e">
        <f>VLOOKUP(VALUE($U245),test_out_xwalk!$C:$L,8,FALSE)</f>
        <v>#VALUE!</v>
      </c>
      <c r="AH245" s="129" t="e">
        <f>VLOOKUP(VALUE($U245),test_out_xwalk!$C:$L,7,FALSE)</f>
        <v>#VALUE!</v>
      </c>
      <c r="AI245" s="129" t="e">
        <f>VLOOKUP(VALUE($U245),test_out_xwalk!$C:$L,4,FALSE)</f>
        <v>#VALUE!</v>
      </c>
      <c r="AJ245" s="129" t="e">
        <f>VLOOKUP(VALUE($U245),test_out_xwalk!$C:$L,9,FALSE)</f>
        <v>#VALUE!</v>
      </c>
      <c r="AK245" t="e">
        <f>_xlfn.XLOOKUP(VALUE(U245),test_out_xwalk!C:C,test_out_xwalk!A:A)</f>
        <v>#VALUE!</v>
      </c>
    </row>
    <row r="246" spans="1:37" x14ac:dyDescent="0.55000000000000004">
      <c r="A246" s="121" t="str">
        <f>IF('summary_EPA Pond'!$A246="","Check Summary EPA POND worksheet Column A",'summary_EPA Pond'!$A246)</f>
        <v>20_497748-19437-229_Vegetable fresh or processing market-r10L-A_USEPA Pond_0010_median</v>
      </c>
      <c r="B246" s="121" t="str" cm="1">
        <f t="array" ref="B246:G246">IFERROR(_xlfn.TEXTSPLIT(A246,"_"),"")</f>
        <v>20</v>
      </c>
      <c r="C246" t="str">
        <v>497748-19437-229</v>
      </c>
      <c r="D246" t="str">
        <v>Vegetable fresh or processing market-r10L-A</v>
      </c>
      <c r="E246" t="str">
        <v>USEPA Pond</v>
      </c>
      <c r="F246" t="str">
        <v>0010</v>
      </c>
      <c r="G246" t="str">
        <v>median</v>
      </c>
      <c r="H246" s="121" t="str" cm="1">
        <f t="array" ref="H246:J246">IF(D246="","",(_xlfn.TEXTSPLIT(D246,"-")))</f>
        <v>Vegetable fresh or processing market</v>
      </c>
      <c r="I246" s="121" t="str">
        <v>r10L</v>
      </c>
      <c r="J246" t="str">
        <v>A</v>
      </c>
      <c r="K246" s="129" t="str">
        <f>VLOOKUP(VALUE($B246),test_out_xwalk!$C:$L,3,FALSE)</f>
        <v>Garlic, Bulb-7-20</v>
      </c>
      <c r="L246" s="129">
        <f>VLOOKUP(VALUE($B246),test_out_xwalk!$C:$L,5,FALSE)</f>
        <v>0.25</v>
      </c>
      <c r="M246" s="129">
        <f>VLOOKUP(VALUE($B246),test_out_xwalk!$C:$L,6,FALSE)</f>
        <v>0.25</v>
      </c>
      <c r="N246" s="129" t="str">
        <f>VLOOKUP(VALUE($B246),test_out_xwalk!$C:$L,8,FALSE)</f>
        <v>None</v>
      </c>
      <c r="O246" s="129" t="str">
        <f>VLOOKUP(VALUE($B246),test_out_xwalk!$C:$L,7,FALSE)</f>
        <v>Granular</v>
      </c>
      <c r="P246" s="129" t="str">
        <f>VLOOKUP(VALUE($B246),test_out_xwalk!$C:$L,4,FALSE)</f>
        <v>Pre-emergence</v>
      </c>
      <c r="Q246" s="129" t="str">
        <f>VLOOKUP(VALUE($B246),test_out_xwalk!$C:$L,9,FALSE)</f>
        <v>Vegetables and Ground Fruit</v>
      </c>
      <c r="R246">
        <f>_xlfn.XLOOKUP(VALUE(B246),test_out_xwalk!$C:$C,test_out_xwalk!$A:$A)</f>
        <v>7</v>
      </c>
      <c r="T246" s="121" t="str">
        <f>IF('summary_EPA Pond'!$O246="","Check Summary EPA POND worksheet Column O",'summary_EPA Pond'!$O246)</f>
        <v>Check Summary EPA POND worksheet Column O</v>
      </c>
      <c r="U246" s="121" t="str" cm="1">
        <f t="array" ref="U246">IFERROR(_xlfn.TEXTSPLIT(T246,"_"),"")</f>
        <v>Check Summary EPA POND worksheet Column O</v>
      </c>
      <c r="AA246" s="121" t="str" cm="1">
        <f t="array" ref="AA246">IF(W246="","",(_xlfn.TEXTSPLIT(W246,"-")))</f>
        <v/>
      </c>
      <c r="AD246" s="129" t="e">
        <f>VLOOKUP(VALUE($U246),test_out_xwalk!$C:$L,3,FALSE)</f>
        <v>#VALUE!</v>
      </c>
      <c r="AE246" s="129" t="e">
        <f>VLOOKUP(VALUE($U246),test_out_xwalk!$C:$L,5,FALSE)</f>
        <v>#VALUE!</v>
      </c>
      <c r="AF246" s="129" t="e">
        <f>VLOOKUP(VALUE($U246),test_out_xwalk!$C:$L,6,FALSE)</f>
        <v>#VALUE!</v>
      </c>
      <c r="AG246" s="129" t="e">
        <f>VLOOKUP(VALUE($U246),test_out_xwalk!$C:$L,8,FALSE)</f>
        <v>#VALUE!</v>
      </c>
      <c r="AH246" s="129" t="e">
        <f>VLOOKUP(VALUE($U246),test_out_xwalk!$C:$L,7,FALSE)</f>
        <v>#VALUE!</v>
      </c>
      <c r="AI246" s="129" t="e">
        <f>VLOOKUP(VALUE($U246),test_out_xwalk!$C:$L,4,FALSE)</f>
        <v>#VALUE!</v>
      </c>
      <c r="AJ246" s="129" t="e">
        <f>VLOOKUP(VALUE($U246),test_out_xwalk!$C:$L,9,FALSE)</f>
        <v>#VALUE!</v>
      </c>
      <c r="AK246" t="e">
        <f>_xlfn.XLOOKUP(VALUE(U246),test_out_xwalk!C:C,test_out_xwalk!A:A)</f>
        <v>#VALUE!</v>
      </c>
    </row>
    <row r="247" spans="1:37" x14ac:dyDescent="0.55000000000000004">
      <c r="A247" s="121" t="str">
        <f>IF('summary_EPA Pond'!$A247="","Check Summary EPA POND worksheet Column A",'summary_EPA Pond'!$A247)</f>
        <v>20_2517301-22540-12_Vegetable fresh or processing market-r10U-A_USEPA Pond_0010_median</v>
      </c>
      <c r="B247" s="121" t="str" cm="1">
        <f t="array" ref="B247:G247">IFERROR(_xlfn.TEXTSPLIT(A247,"_"),"")</f>
        <v>20</v>
      </c>
      <c r="C247" t="str">
        <v>2517301-22540-12</v>
      </c>
      <c r="D247" t="str">
        <v>Vegetable fresh or processing market-r10U-A</v>
      </c>
      <c r="E247" t="str">
        <v>USEPA Pond</v>
      </c>
      <c r="F247" t="str">
        <v>0010</v>
      </c>
      <c r="G247" t="str">
        <v>median</v>
      </c>
      <c r="H247" s="121" t="str" cm="1">
        <f t="array" ref="H247:J247">IF(D247="","",(_xlfn.TEXTSPLIT(D247,"-")))</f>
        <v>Vegetable fresh or processing market</v>
      </c>
      <c r="I247" s="121" t="str">
        <v>r10U</v>
      </c>
      <c r="J247" t="str">
        <v>A</v>
      </c>
      <c r="K247" s="129" t="str">
        <f>VLOOKUP(VALUE($B247),test_out_xwalk!$C:$L,3,FALSE)</f>
        <v>Garlic, Bulb-7-20</v>
      </c>
      <c r="L247" s="129">
        <f>VLOOKUP(VALUE($B247),test_out_xwalk!$C:$L,5,FALSE)</f>
        <v>0.25</v>
      </c>
      <c r="M247" s="129">
        <f>VLOOKUP(VALUE($B247),test_out_xwalk!$C:$L,6,FALSE)</f>
        <v>0.25</v>
      </c>
      <c r="N247" s="129" t="str">
        <f>VLOOKUP(VALUE($B247),test_out_xwalk!$C:$L,8,FALSE)</f>
        <v>None</v>
      </c>
      <c r="O247" s="129" t="str">
        <f>VLOOKUP(VALUE($B247),test_out_xwalk!$C:$L,7,FALSE)</f>
        <v>Granular</v>
      </c>
      <c r="P247" s="129" t="str">
        <f>VLOOKUP(VALUE($B247),test_out_xwalk!$C:$L,4,FALSE)</f>
        <v>Pre-emergence</v>
      </c>
      <c r="Q247" s="129" t="str">
        <f>VLOOKUP(VALUE($B247),test_out_xwalk!$C:$L,9,FALSE)</f>
        <v>Vegetables and Ground Fruit</v>
      </c>
      <c r="R247">
        <f>_xlfn.XLOOKUP(VALUE(B247),test_out_xwalk!$C:$C,test_out_xwalk!$A:$A)</f>
        <v>7</v>
      </c>
      <c r="T247" s="121" t="str">
        <f>IF('summary_EPA Pond'!$O247="","Check Summary EPA POND worksheet Column O",'summary_EPA Pond'!$O247)</f>
        <v>Check Summary EPA POND worksheet Column O</v>
      </c>
      <c r="U247" s="121" t="str" cm="1">
        <f t="array" ref="U247">IFERROR(_xlfn.TEXTSPLIT(T247,"_"),"")</f>
        <v>Check Summary EPA POND worksheet Column O</v>
      </c>
      <c r="AA247" s="121" t="str" cm="1">
        <f t="array" ref="AA247">IF(W247="","",(_xlfn.TEXTSPLIT(W247,"-")))</f>
        <v/>
      </c>
      <c r="AD247" s="129" t="e">
        <f>VLOOKUP(VALUE($U247),test_out_xwalk!$C:$L,3,FALSE)</f>
        <v>#VALUE!</v>
      </c>
      <c r="AE247" s="129" t="e">
        <f>VLOOKUP(VALUE($U247),test_out_xwalk!$C:$L,5,FALSE)</f>
        <v>#VALUE!</v>
      </c>
      <c r="AF247" s="129" t="e">
        <f>VLOOKUP(VALUE($U247),test_out_xwalk!$C:$L,6,FALSE)</f>
        <v>#VALUE!</v>
      </c>
      <c r="AG247" s="129" t="e">
        <f>VLOOKUP(VALUE($U247),test_out_xwalk!$C:$L,8,FALSE)</f>
        <v>#VALUE!</v>
      </c>
      <c r="AH247" s="129" t="e">
        <f>VLOOKUP(VALUE($U247),test_out_xwalk!$C:$L,7,FALSE)</f>
        <v>#VALUE!</v>
      </c>
      <c r="AI247" s="129" t="e">
        <f>VLOOKUP(VALUE($U247),test_out_xwalk!$C:$L,4,FALSE)</f>
        <v>#VALUE!</v>
      </c>
      <c r="AJ247" s="129" t="e">
        <f>VLOOKUP(VALUE($U247),test_out_xwalk!$C:$L,9,FALSE)</f>
        <v>#VALUE!</v>
      </c>
      <c r="AK247" t="e">
        <f>_xlfn.XLOOKUP(VALUE(U247),test_out_xwalk!C:C,test_out_xwalk!A:A)</f>
        <v>#VALUE!</v>
      </c>
    </row>
    <row r="248" spans="1:37" x14ac:dyDescent="0.55000000000000004">
      <c r="A248" s="121" t="str">
        <f>IF('summary_EPA Pond'!$A248="","Check Summary EPA POND worksheet Column A",'summary_EPA Pond'!$A248)</f>
        <v xml:space="preserve">20_382177-13799-57_Vegetable fresh or processing market-r11-A_USEPA Pond_0010_median  </v>
      </c>
      <c r="B248" s="121" t="str" cm="1">
        <f t="array" ref="B248:G248">IFERROR(_xlfn.TEXTSPLIT(A248,"_"),"")</f>
        <v>20</v>
      </c>
      <c r="C248" t="str">
        <v>382177-13799-57</v>
      </c>
      <c r="D248" t="str">
        <v>Vegetable fresh or processing market-r11-A</v>
      </c>
      <c r="E248" t="str">
        <v>USEPA Pond</v>
      </c>
      <c r="F248" t="str">
        <v>0010</v>
      </c>
      <c r="G248" t="str">
        <v xml:space="preserve">median  </v>
      </c>
      <c r="H248" s="121" t="str" cm="1">
        <f t="array" ref="H248:J248">IF(D248="","",(_xlfn.TEXTSPLIT(D248,"-")))</f>
        <v>Vegetable fresh or processing market</v>
      </c>
      <c r="I248" s="121" t="str">
        <v>r11</v>
      </c>
      <c r="J248" t="str">
        <v>A</v>
      </c>
      <c r="K248" s="129" t="str">
        <f>VLOOKUP(VALUE($B248),test_out_xwalk!$C:$L,3,FALSE)</f>
        <v>Garlic, Bulb-7-20</v>
      </c>
      <c r="L248" s="129">
        <f>VLOOKUP(VALUE($B248),test_out_xwalk!$C:$L,5,FALSE)</f>
        <v>0.25</v>
      </c>
      <c r="M248" s="129">
        <f>VLOOKUP(VALUE($B248),test_out_xwalk!$C:$L,6,FALSE)</f>
        <v>0.25</v>
      </c>
      <c r="N248" s="129" t="str">
        <f>VLOOKUP(VALUE($B248),test_out_xwalk!$C:$L,8,FALSE)</f>
        <v>None</v>
      </c>
      <c r="O248" s="129" t="str">
        <f>VLOOKUP(VALUE($B248),test_out_xwalk!$C:$L,7,FALSE)</f>
        <v>Granular</v>
      </c>
      <c r="P248" s="129" t="str">
        <f>VLOOKUP(VALUE($B248),test_out_xwalk!$C:$L,4,FALSE)</f>
        <v>Pre-emergence</v>
      </c>
      <c r="Q248" s="129" t="str">
        <f>VLOOKUP(VALUE($B248),test_out_xwalk!$C:$L,9,FALSE)</f>
        <v>Vegetables and Ground Fruit</v>
      </c>
      <c r="R248">
        <f>_xlfn.XLOOKUP(VALUE(B248),test_out_xwalk!$C:$C,test_out_xwalk!$A:$A)</f>
        <v>7</v>
      </c>
      <c r="T248" s="121" t="str">
        <f>IF('summary_EPA Pond'!$O248="","Check Summary EPA POND worksheet Column O",'summary_EPA Pond'!$O248)</f>
        <v>Check Summary EPA POND worksheet Column O</v>
      </c>
      <c r="U248" s="121" t="str" cm="1">
        <f t="array" ref="U248">IFERROR(_xlfn.TEXTSPLIT(T248,"_"),"")</f>
        <v>Check Summary EPA POND worksheet Column O</v>
      </c>
      <c r="AA248" s="121" t="str" cm="1">
        <f t="array" ref="AA248">IF(W248="","",(_xlfn.TEXTSPLIT(W248,"-")))</f>
        <v/>
      </c>
      <c r="AD248" s="129" t="e">
        <f>VLOOKUP(VALUE($U248),test_out_xwalk!$C:$L,3,FALSE)</f>
        <v>#VALUE!</v>
      </c>
      <c r="AE248" s="129" t="e">
        <f>VLOOKUP(VALUE($U248),test_out_xwalk!$C:$L,5,FALSE)</f>
        <v>#VALUE!</v>
      </c>
      <c r="AF248" s="129" t="e">
        <f>VLOOKUP(VALUE($U248),test_out_xwalk!$C:$L,6,FALSE)</f>
        <v>#VALUE!</v>
      </c>
      <c r="AG248" s="129" t="e">
        <f>VLOOKUP(VALUE($U248),test_out_xwalk!$C:$L,8,FALSE)</f>
        <v>#VALUE!</v>
      </c>
      <c r="AH248" s="129" t="e">
        <f>VLOOKUP(VALUE($U248),test_out_xwalk!$C:$L,7,FALSE)</f>
        <v>#VALUE!</v>
      </c>
      <c r="AI248" s="129" t="e">
        <f>VLOOKUP(VALUE($U248),test_out_xwalk!$C:$L,4,FALSE)</f>
        <v>#VALUE!</v>
      </c>
      <c r="AJ248" s="129" t="e">
        <f>VLOOKUP(VALUE($U248),test_out_xwalk!$C:$L,9,FALSE)</f>
        <v>#VALUE!</v>
      </c>
      <c r="AK248" t="e">
        <f>_xlfn.XLOOKUP(VALUE(U248),test_out_xwalk!C:C,test_out_xwalk!A:A)</f>
        <v>#VALUE!</v>
      </c>
    </row>
    <row r="249" spans="1:37" x14ac:dyDescent="0.55000000000000004">
      <c r="A249" s="121" t="str">
        <f>IF('summary_EPA Pond'!$A249="","Check Summary EPA POND worksheet Column A",'summary_EPA Pond'!$A249)</f>
        <v xml:space="preserve">20_373519-10262-57_Vegetable fresh or processing market-r12-A_USEPA Pond_0010_median  </v>
      </c>
      <c r="B249" s="121" t="str" cm="1">
        <f t="array" ref="B249:G249">IFERROR(_xlfn.TEXTSPLIT(A249,"_"),"")</f>
        <v>20</v>
      </c>
      <c r="C249" t="str">
        <v>373519-10262-57</v>
      </c>
      <c r="D249" t="str">
        <v>Vegetable fresh or processing market-r12-A</v>
      </c>
      <c r="E249" t="str">
        <v>USEPA Pond</v>
      </c>
      <c r="F249" t="str">
        <v>0010</v>
      </c>
      <c r="G249" t="str">
        <v xml:space="preserve">median  </v>
      </c>
      <c r="H249" s="121" t="str" cm="1">
        <f t="array" ref="H249:J249">IF(D249="","",(_xlfn.TEXTSPLIT(D249,"-")))</f>
        <v>Vegetable fresh or processing market</v>
      </c>
      <c r="I249" s="121" t="str">
        <v>r12</v>
      </c>
      <c r="J249" t="str">
        <v>A</v>
      </c>
      <c r="K249" s="129" t="str">
        <f>VLOOKUP(VALUE($B249),test_out_xwalk!$C:$L,3,FALSE)</f>
        <v>Garlic, Bulb-7-20</v>
      </c>
      <c r="L249" s="129">
        <f>VLOOKUP(VALUE($B249),test_out_xwalk!$C:$L,5,FALSE)</f>
        <v>0.25</v>
      </c>
      <c r="M249" s="129">
        <f>VLOOKUP(VALUE($B249),test_out_xwalk!$C:$L,6,FALSE)</f>
        <v>0.25</v>
      </c>
      <c r="N249" s="129" t="str">
        <f>VLOOKUP(VALUE($B249),test_out_xwalk!$C:$L,8,FALSE)</f>
        <v>None</v>
      </c>
      <c r="O249" s="129" t="str">
        <f>VLOOKUP(VALUE($B249),test_out_xwalk!$C:$L,7,FALSE)</f>
        <v>Granular</v>
      </c>
      <c r="P249" s="129" t="str">
        <f>VLOOKUP(VALUE($B249),test_out_xwalk!$C:$L,4,FALSE)</f>
        <v>Pre-emergence</v>
      </c>
      <c r="Q249" s="129" t="str">
        <f>VLOOKUP(VALUE($B249),test_out_xwalk!$C:$L,9,FALSE)</f>
        <v>Vegetables and Ground Fruit</v>
      </c>
      <c r="R249">
        <f>_xlfn.XLOOKUP(VALUE(B249),test_out_xwalk!$C:$C,test_out_xwalk!$A:$A)</f>
        <v>7</v>
      </c>
      <c r="T249" s="121" t="str">
        <f>IF('summary_EPA Pond'!$O249="","Check Summary EPA POND worksheet Column O",'summary_EPA Pond'!$O249)</f>
        <v>Check Summary EPA POND worksheet Column O</v>
      </c>
      <c r="U249" s="121" t="str" cm="1">
        <f t="array" ref="U249">IFERROR(_xlfn.TEXTSPLIT(T249,"_"),"")</f>
        <v>Check Summary EPA POND worksheet Column O</v>
      </c>
      <c r="AA249" s="121" t="str" cm="1">
        <f t="array" ref="AA249">IF(W249="","",(_xlfn.TEXTSPLIT(W249,"-")))</f>
        <v/>
      </c>
      <c r="AD249" s="129" t="e">
        <f>VLOOKUP(VALUE($U249),test_out_xwalk!$C:$L,3,FALSE)</f>
        <v>#VALUE!</v>
      </c>
      <c r="AE249" s="129" t="e">
        <f>VLOOKUP(VALUE($U249),test_out_xwalk!$C:$L,5,FALSE)</f>
        <v>#VALUE!</v>
      </c>
      <c r="AF249" s="129" t="e">
        <f>VLOOKUP(VALUE($U249),test_out_xwalk!$C:$L,6,FALSE)</f>
        <v>#VALUE!</v>
      </c>
      <c r="AG249" s="129" t="e">
        <f>VLOOKUP(VALUE($U249),test_out_xwalk!$C:$L,8,FALSE)</f>
        <v>#VALUE!</v>
      </c>
      <c r="AH249" s="129" t="e">
        <f>VLOOKUP(VALUE($U249),test_out_xwalk!$C:$L,7,FALSE)</f>
        <v>#VALUE!</v>
      </c>
      <c r="AI249" s="129" t="e">
        <f>VLOOKUP(VALUE($U249),test_out_xwalk!$C:$L,4,FALSE)</f>
        <v>#VALUE!</v>
      </c>
      <c r="AJ249" s="129" t="e">
        <f>VLOOKUP(VALUE($U249),test_out_xwalk!$C:$L,9,FALSE)</f>
        <v>#VALUE!</v>
      </c>
      <c r="AK249" t="e">
        <f>_xlfn.XLOOKUP(VALUE(U249),test_out_xwalk!C:C,test_out_xwalk!A:A)</f>
        <v>#VALUE!</v>
      </c>
    </row>
    <row r="250" spans="1:37" x14ac:dyDescent="0.55000000000000004">
      <c r="A250" s="121" t="str">
        <f>IF('summary_EPA Pond'!$A250="","Check Summary EPA POND worksheet Column A",'summary_EPA Pond'!$A250)</f>
        <v xml:space="preserve">20_58936-11176-216_Vegetable fresh or processing market-r13-A_USEPA Pond_0010_median  </v>
      </c>
      <c r="B250" s="121" t="str" cm="1">
        <f t="array" ref="B250:G250">IFERROR(_xlfn.TEXTSPLIT(A250,"_"),"")</f>
        <v>20</v>
      </c>
      <c r="C250" t="str">
        <v>58936-11176-216</v>
      </c>
      <c r="D250" t="str">
        <v>Vegetable fresh or processing market-r13-A</v>
      </c>
      <c r="E250" t="str">
        <v>USEPA Pond</v>
      </c>
      <c r="F250" t="str">
        <v>0010</v>
      </c>
      <c r="G250" t="str">
        <v xml:space="preserve">median  </v>
      </c>
      <c r="H250" s="121" t="str" cm="1">
        <f t="array" ref="H250:J250">IF(D250="","",(_xlfn.TEXTSPLIT(D250,"-")))</f>
        <v>Vegetable fresh or processing market</v>
      </c>
      <c r="I250" s="121" t="str">
        <v>r13</v>
      </c>
      <c r="J250" t="str">
        <v>A</v>
      </c>
      <c r="K250" s="129" t="str">
        <f>VLOOKUP(VALUE($B250),test_out_xwalk!$C:$L,3,FALSE)</f>
        <v>Garlic, Bulb-7-20</v>
      </c>
      <c r="L250" s="129">
        <f>VLOOKUP(VALUE($B250),test_out_xwalk!$C:$L,5,FALSE)</f>
        <v>0.25</v>
      </c>
      <c r="M250" s="129">
        <f>VLOOKUP(VALUE($B250),test_out_xwalk!$C:$L,6,FALSE)</f>
        <v>0.25</v>
      </c>
      <c r="N250" s="129" t="str">
        <f>VLOOKUP(VALUE($B250),test_out_xwalk!$C:$L,8,FALSE)</f>
        <v>None</v>
      </c>
      <c r="O250" s="129" t="str">
        <f>VLOOKUP(VALUE($B250),test_out_xwalk!$C:$L,7,FALSE)</f>
        <v>Granular</v>
      </c>
      <c r="P250" s="129" t="str">
        <f>VLOOKUP(VALUE($B250),test_out_xwalk!$C:$L,4,FALSE)</f>
        <v>Pre-emergence</v>
      </c>
      <c r="Q250" s="129" t="str">
        <f>VLOOKUP(VALUE($B250),test_out_xwalk!$C:$L,9,FALSE)</f>
        <v>Vegetables and Ground Fruit</v>
      </c>
      <c r="R250">
        <f>_xlfn.XLOOKUP(VALUE(B250),test_out_xwalk!$C:$C,test_out_xwalk!$A:$A)</f>
        <v>7</v>
      </c>
      <c r="T250" s="121" t="str">
        <f>IF('summary_EPA Pond'!$O250="","Check Summary EPA POND worksheet Column O",'summary_EPA Pond'!$O250)</f>
        <v>Check Summary EPA POND worksheet Column O</v>
      </c>
      <c r="U250" s="121" t="str" cm="1">
        <f t="array" ref="U250">IFERROR(_xlfn.TEXTSPLIT(T250,"_"),"")</f>
        <v>Check Summary EPA POND worksheet Column O</v>
      </c>
      <c r="AA250" s="121" t="str" cm="1">
        <f t="array" ref="AA250">IF(W250="","",(_xlfn.TEXTSPLIT(W250,"-")))</f>
        <v/>
      </c>
      <c r="AD250" s="129" t="e">
        <f>VLOOKUP(VALUE($U250),test_out_xwalk!$C:$L,3,FALSE)</f>
        <v>#VALUE!</v>
      </c>
      <c r="AE250" s="129" t="e">
        <f>VLOOKUP(VALUE($U250),test_out_xwalk!$C:$L,5,FALSE)</f>
        <v>#VALUE!</v>
      </c>
      <c r="AF250" s="129" t="e">
        <f>VLOOKUP(VALUE($U250),test_out_xwalk!$C:$L,6,FALSE)</f>
        <v>#VALUE!</v>
      </c>
      <c r="AG250" s="129" t="e">
        <f>VLOOKUP(VALUE($U250),test_out_xwalk!$C:$L,8,FALSE)</f>
        <v>#VALUE!</v>
      </c>
      <c r="AH250" s="129" t="e">
        <f>VLOOKUP(VALUE($U250),test_out_xwalk!$C:$L,7,FALSE)</f>
        <v>#VALUE!</v>
      </c>
      <c r="AI250" s="129" t="e">
        <f>VLOOKUP(VALUE($U250),test_out_xwalk!$C:$L,4,FALSE)</f>
        <v>#VALUE!</v>
      </c>
      <c r="AJ250" s="129" t="e">
        <f>VLOOKUP(VALUE($U250),test_out_xwalk!$C:$L,9,FALSE)</f>
        <v>#VALUE!</v>
      </c>
      <c r="AK250" t="e">
        <f>_xlfn.XLOOKUP(VALUE(U250),test_out_xwalk!C:C,test_out_xwalk!A:A)</f>
        <v>#VALUE!</v>
      </c>
    </row>
    <row r="251" spans="1:37" x14ac:dyDescent="0.55000000000000004">
      <c r="A251" s="121" t="str">
        <f>IF('summary_EPA Pond'!$A251="","Check Summary EPA POND worksheet Column A",'summary_EPA Pond'!$A251)</f>
        <v xml:space="preserve">20_508783-17536-12_Vegetable fresh or processing market-r14-A_USEPA Pond_0010_median  </v>
      </c>
      <c r="B251" s="121" t="str" cm="1">
        <f t="array" ref="B251:G251">IFERROR(_xlfn.TEXTSPLIT(A251,"_"),"")</f>
        <v>20</v>
      </c>
      <c r="C251" t="str">
        <v>508783-17536-12</v>
      </c>
      <c r="D251" t="str">
        <v>Vegetable fresh or processing market-r14-A</v>
      </c>
      <c r="E251" t="str">
        <v>USEPA Pond</v>
      </c>
      <c r="F251" t="str">
        <v>0010</v>
      </c>
      <c r="G251" t="str">
        <v xml:space="preserve">median  </v>
      </c>
      <c r="H251" s="121" t="str" cm="1">
        <f t="array" ref="H251:J251">IF(D251="","",(_xlfn.TEXTSPLIT(D251,"-")))</f>
        <v>Vegetable fresh or processing market</v>
      </c>
      <c r="I251" s="121" t="str">
        <v>r14</v>
      </c>
      <c r="J251" t="str">
        <v>A</v>
      </c>
      <c r="K251" s="129" t="str">
        <f>VLOOKUP(VALUE($B251),test_out_xwalk!$C:$L,3,FALSE)</f>
        <v>Garlic, Bulb-7-20</v>
      </c>
      <c r="L251" s="129">
        <f>VLOOKUP(VALUE($B251),test_out_xwalk!$C:$L,5,FALSE)</f>
        <v>0.25</v>
      </c>
      <c r="M251" s="129">
        <f>VLOOKUP(VALUE($B251),test_out_xwalk!$C:$L,6,FALSE)</f>
        <v>0.25</v>
      </c>
      <c r="N251" s="129" t="str">
        <f>VLOOKUP(VALUE($B251),test_out_xwalk!$C:$L,8,FALSE)</f>
        <v>None</v>
      </c>
      <c r="O251" s="129" t="str">
        <f>VLOOKUP(VALUE($B251),test_out_xwalk!$C:$L,7,FALSE)</f>
        <v>Granular</v>
      </c>
      <c r="P251" s="129" t="str">
        <f>VLOOKUP(VALUE($B251),test_out_xwalk!$C:$L,4,FALSE)</f>
        <v>Pre-emergence</v>
      </c>
      <c r="Q251" s="129" t="str">
        <f>VLOOKUP(VALUE($B251),test_out_xwalk!$C:$L,9,FALSE)</f>
        <v>Vegetables and Ground Fruit</v>
      </c>
      <c r="R251">
        <f>_xlfn.XLOOKUP(VALUE(B251),test_out_xwalk!$C:$C,test_out_xwalk!$A:$A)</f>
        <v>7</v>
      </c>
      <c r="T251" s="121" t="str">
        <f>IF('summary_EPA Pond'!$O251="","Check Summary EPA POND worksheet Column O",'summary_EPA Pond'!$O251)</f>
        <v>Check Summary EPA POND worksheet Column O</v>
      </c>
      <c r="U251" s="121" t="str" cm="1">
        <f t="array" ref="U251">IFERROR(_xlfn.TEXTSPLIT(T251,"_"),"")</f>
        <v>Check Summary EPA POND worksheet Column O</v>
      </c>
      <c r="AA251" s="121" t="str" cm="1">
        <f t="array" ref="AA251">IF(W251="","",(_xlfn.TEXTSPLIT(W251,"-")))</f>
        <v/>
      </c>
      <c r="AD251" s="129" t="e">
        <f>VLOOKUP(VALUE($U251),test_out_xwalk!$C:$L,3,FALSE)</f>
        <v>#VALUE!</v>
      </c>
      <c r="AE251" s="129" t="e">
        <f>VLOOKUP(VALUE($U251),test_out_xwalk!$C:$L,5,FALSE)</f>
        <v>#VALUE!</v>
      </c>
      <c r="AF251" s="129" t="e">
        <f>VLOOKUP(VALUE($U251),test_out_xwalk!$C:$L,6,FALSE)</f>
        <v>#VALUE!</v>
      </c>
      <c r="AG251" s="129" t="e">
        <f>VLOOKUP(VALUE($U251),test_out_xwalk!$C:$L,8,FALSE)</f>
        <v>#VALUE!</v>
      </c>
      <c r="AH251" s="129" t="e">
        <f>VLOOKUP(VALUE($U251),test_out_xwalk!$C:$L,7,FALSE)</f>
        <v>#VALUE!</v>
      </c>
      <c r="AI251" s="129" t="e">
        <f>VLOOKUP(VALUE($U251),test_out_xwalk!$C:$L,4,FALSE)</f>
        <v>#VALUE!</v>
      </c>
      <c r="AJ251" s="129" t="e">
        <f>VLOOKUP(VALUE($U251),test_out_xwalk!$C:$L,9,FALSE)</f>
        <v>#VALUE!</v>
      </c>
      <c r="AK251" t="e">
        <f>_xlfn.XLOOKUP(VALUE(U251),test_out_xwalk!C:C,test_out_xwalk!A:A)</f>
        <v>#VALUE!</v>
      </c>
    </row>
    <row r="252" spans="1:37" x14ac:dyDescent="0.55000000000000004">
      <c r="A252" s="121" t="str">
        <f>IF('summary_EPA Pond'!$A252="","Check Summary EPA POND worksheet Column A",'summary_EPA Pond'!$A252)</f>
        <v xml:space="preserve">20_53259-11846-227_Vegetable fresh or processing market-r15-A_USEPA Pond_0010_median  </v>
      </c>
      <c r="B252" s="121" t="str" cm="1">
        <f t="array" ref="B252:G252">IFERROR(_xlfn.TEXTSPLIT(A252,"_"),"")</f>
        <v>20</v>
      </c>
      <c r="C252" t="str">
        <v>53259-11846-227</v>
      </c>
      <c r="D252" t="str">
        <v>Vegetable fresh or processing market-r15-A</v>
      </c>
      <c r="E252" t="str">
        <v>USEPA Pond</v>
      </c>
      <c r="F252" t="str">
        <v>0010</v>
      </c>
      <c r="G252" t="str">
        <v xml:space="preserve">median  </v>
      </c>
      <c r="H252" s="121" t="str" cm="1">
        <f t="array" ref="H252:J252">IF(D252="","",(_xlfn.TEXTSPLIT(D252,"-")))</f>
        <v>Vegetable fresh or processing market</v>
      </c>
      <c r="I252" s="121" t="str">
        <v>r15</v>
      </c>
      <c r="J252" t="str">
        <v>A</v>
      </c>
      <c r="K252" s="129" t="str">
        <f>VLOOKUP(VALUE($B252),test_out_xwalk!$C:$L,3,FALSE)</f>
        <v>Garlic, Bulb-7-20</v>
      </c>
      <c r="L252" s="129">
        <f>VLOOKUP(VALUE($B252),test_out_xwalk!$C:$L,5,FALSE)</f>
        <v>0.25</v>
      </c>
      <c r="M252" s="129">
        <f>VLOOKUP(VALUE($B252),test_out_xwalk!$C:$L,6,FALSE)</f>
        <v>0.25</v>
      </c>
      <c r="N252" s="129" t="str">
        <f>VLOOKUP(VALUE($B252),test_out_xwalk!$C:$L,8,FALSE)</f>
        <v>None</v>
      </c>
      <c r="O252" s="129" t="str">
        <f>VLOOKUP(VALUE($B252),test_out_xwalk!$C:$L,7,FALSE)</f>
        <v>Granular</v>
      </c>
      <c r="P252" s="129" t="str">
        <f>VLOOKUP(VALUE($B252),test_out_xwalk!$C:$L,4,FALSE)</f>
        <v>Pre-emergence</v>
      </c>
      <c r="Q252" s="129" t="str">
        <f>VLOOKUP(VALUE($B252),test_out_xwalk!$C:$L,9,FALSE)</f>
        <v>Vegetables and Ground Fruit</v>
      </c>
      <c r="R252">
        <f>_xlfn.XLOOKUP(VALUE(B252),test_out_xwalk!$C:$C,test_out_xwalk!$A:$A)</f>
        <v>7</v>
      </c>
      <c r="T252" s="121" t="str">
        <f>IF('summary_EPA Pond'!$O252="","Check Summary EPA POND worksheet Column O",'summary_EPA Pond'!$O252)</f>
        <v>Check Summary EPA POND worksheet Column O</v>
      </c>
      <c r="U252" s="121" t="str" cm="1">
        <f t="array" ref="U252">IFERROR(_xlfn.TEXTSPLIT(T252,"_"),"")</f>
        <v>Check Summary EPA POND worksheet Column O</v>
      </c>
      <c r="AA252" s="121" t="str" cm="1">
        <f t="array" ref="AA252">IF(W252="","",(_xlfn.TEXTSPLIT(W252,"-")))</f>
        <v/>
      </c>
      <c r="AD252" s="129" t="e">
        <f>VLOOKUP(VALUE($U252),test_out_xwalk!$C:$L,3,FALSE)</f>
        <v>#VALUE!</v>
      </c>
      <c r="AE252" s="129" t="e">
        <f>VLOOKUP(VALUE($U252),test_out_xwalk!$C:$L,5,FALSE)</f>
        <v>#VALUE!</v>
      </c>
      <c r="AF252" s="129" t="e">
        <f>VLOOKUP(VALUE($U252),test_out_xwalk!$C:$L,6,FALSE)</f>
        <v>#VALUE!</v>
      </c>
      <c r="AG252" s="129" t="e">
        <f>VLOOKUP(VALUE($U252),test_out_xwalk!$C:$L,8,FALSE)</f>
        <v>#VALUE!</v>
      </c>
      <c r="AH252" s="129" t="e">
        <f>VLOOKUP(VALUE($U252),test_out_xwalk!$C:$L,7,FALSE)</f>
        <v>#VALUE!</v>
      </c>
      <c r="AI252" s="129" t="e">
        <f>VLOOKUP(VALUE($U252),test_out_xwalk!$C:$L,4,FALSE)</f>
        <v>#VALUE!</v>
      </c>
      <c r="AJ252" s="129" t="e">
        <f>VLOOKUP(VALUE($U252),test_out_xwalk!$C:$L,9,FALSE)</f>
        <v>#VALUE!</v>
      </c>
      <c r="AK252" t="e">
        <f>_xlfn.XLOOKUP(VALUE(U252),test_out_xwalk!C:C,test_out_xwalk!A:A)</f>
        <v>#VALUE!</v>
      </c>
    </row>
    <row r="253" spans="1:37" x14ac:dyDescent="0.55000000000000004">
      <c r="A253" s="121" t="str">
        <f>IF('summary_EPA Pond'!$A253="","Check Summary EPA POND worksheet Column A",'summary_EPA Pond'!$A253)</f>
        <v xml:space="preserve">20_473920-17256-208_Vegetable fresh or processing market-r16-A_USEPA Pond_0010_median </v>
      </c>
      <c r="B253" s="121" t="str" cm="1">
        <f t="array" ref="B253:G253">IFERROR(_xlfn.TEXTSPLIT(A253,"_"),"")</f>
        <v>20</v>
      </c>
      <c r="C253" t="str">
        <v>473920-17256-208</v>
      </c>
      <c r="D253" t="str">
        <v>Vegetable fresh or processing market-r16-A</v>
      </c>
      <c r="E253" t="str">
        <v>USEPA Pond</v>
      </c>
      <c r="F253" t="str">
        <v>0010</v>
      </c>
      <c r="G253" t="str">
        <v xml:space="preserve">median </v>
      </c>
      <c r="H253" s="121" t="str" cm="1">
        <f t="array" ref="H253:J253">IF(D253="","",(_xlfn.TEXTSPLIT(D253,"-")))</f>
        <v>Vegetable fresh or processing market</v>
      </c>
      <c r="I253" s="121" t="str">
        <v>r16</v>
      </c>
      <c r="J253" t="str">
        <v>A</v>
      </c>
      <c r="K253" s="129" t="str">
        <f>VLOOKUP(VALUE($B253),test_out_xwalk!$C:$L,3,FALSE)</f>
        <v>Garlic, Bulb-7-20</v>
      </c>
      <c r="L253" s="129">
        <f>VLOOKUP(VALUE($B253),test_out_xwalk!$C:$L,5,FALSE)</f>
        <v>0.25</v>
      </c>
      <c r="M253" s="129">
        <f>VLOOKUP(VALUE($B253),test_out_xwalk!$C:$L,6,FALSE)</f>
        <v>0.25</v>
      </c>
      <c r="N253" s="129" t="str">
        <f>VLOOKUP(VALUE($B253),test_out_xwalk!$C:$L,8,FALSE)</f>
        <v>None</v>
      </c>
      <c r="O253" s="129" t="str">
        <f>VLOOKUP(VALUE($B253),test_out_xwalk!$C:$L,7,FALSE)</f>
        <v>Granular</v>
      </c>
      <c r="P253" s="129" t="str">
        <f>VLOOKUP(VALUE($B253),test_out_xwalk!$C:$L,4,FALSE)</f>
        <v>Pre-emergence</v>
      </c>
      <c r="Q253" s="129" t="str">
        <f>VLOOKUP(VALUE($B253),test_out_xwalk!$C:$L,9,FALSE)</f>
        <v>Vegetables and Ground Fruit</v>
      </c>
      <c r="R253">
        <f>_xlfn.XLOOKUP(VALUE(B253),test_out_xwalk!$C:$C,test_out_xwalk!$A:$A)</f>
        <v>7</v>
      </c>
      <c r="T253" s="121" t="str">
        <f>IF('summary_EPA Pond'!$O253="","Check Summary EPA POND worksheet Column O",'summary_EPA Pond'!$O253)</f>
        <v>Check Summary EPA POND worksheet Column O</v>
      </c>
      <c r="U253" s="121" t="str" cm="1">
        <f t="array" ref="U253">IFERROR(_xlfn.TEXTSPLIT(T253,"_"),"")</f>
        <v>Check Summary EPA POND worksheet Column O</v>
      </c>
      <c r="AA253" s="121" t="str" cm="1">
        <f t="array" ref="AA253">IF(W253="","",(_xlfn.TEXTSPLIT(W253,"-")))</f>
        <v/>
      </c>
      <c r="AD253" s="129" t="e">
        <f>VLOOKUP(VALUE($U253),test_out_xwalk!$C:$L,3,FALSE)</f>
        <v>#VALUE!</v>
      </c>
      <c r="AE253" s="129" t="e">
        <f>VLOOKUP(VALUE($U253),test_out_xwalk!$C:$L,5,FALSE)</f>
        <v>#VALUE!</v>
      </c>
      <c r="AF253" s="129" t="e">
        <f>VLOOKUP(VALUE($U253),test_out_xwalk!$C:$L,6,FALSE)</f>
        <v>#VALUE!</v>
      </c>
      <c r="AG253" s="129" t="e">
        <f>VLOOKUP(VALUE($U253),test_out_xwalk!$C:$L,8,FALSE)</f>
        <v>#VALUE!</v>
      </c>
      <c r="AH253" s="129" t="e">
        <f>VLOOKUP(VALUE($U253),test_out_xwalk!$C:$L,7,FALSE)</f>
        <v>#VALUE!</v>
      </c>
      <c r="AI253" s="129" t="e">
        <f>VLOOKUP(VALUE($U253),test_out_xwalk!$C:$L,4,FALSE)</f>
        <v>#VALUE!</v>
      </c>
      <c r="AJ253" s="129" t="e">
        <f>VLOOKUP(VALUE($U253),test_out_xwalk!$C:$L,9,FALSE)</f>
        <v>#VALUE!</v>
      </c>
      <c r="AK253" t="e">
        <f>_xlfn.XLOOKUP(VALUE(U253),test_out_xwalk!C:C,test_out_xwalk!A:A)</f>
        <v>#VALUE!</v>
      </c>
    </row>
    <row r="254" spans="1:37" x14ac:dyDescent="0.55000000000000004">
      <c r="A254" s="121" t="str">
        <f>IF('summary_EPA Pond'!$A254="","Check Summary EPA POND worksheet Column A",'summary_EPA Pond'!$A254)</f>
        <v xml:space="preserve">20_68754-25749-12_Vegetable fresh or processing market-r17-A_USEPA Pond_0010_median   </v>
      </c>
      <c r="B254" s="121" t="str" cm="1">
        <f t="array" ref="B254:G254">IFERROR(_xlfn.TEXTSPLIT(A254,"_"),"")</f>
        <v>20</v>
      </c>
      <c r="C254" t="str">
        <v>68754-25749-12</v>
      </c>
      <c r="D254" t="str">
        <v>Vegetable fresh or processing market-r17-A</v>
      </c>
      <c r="E254" t="str">
        <v>USEPA Pond</v>
      </c>
      <c r="F254" t="str">
        <v>0010</v>
      </c>
      <c r="G254" t="str">
        <v xml:space="preserve">median   </v>
      </c>
      <c r="H254" s="121" t="str" cm="1">
        <f t="array" ref="H254:J254">IF(D254="","",(_xlfn.TEXTSPLIT(D254,"-")))</f>
        <v>Vegetable fresh or processing market</v>
      </c>
      <c r="I254" s="121" t="str">
        <v>r17</v>
      </c>
      <c r="J254" t="str">
        <v>A</v>
      </c>
      <c r="K254" s="129" t="str">
        <f>VLOOKUP(VALUE($B254),test_out_xwalk!$C:$L,3,FALSE)</f>
        <v>Garlic, Bulb-7-20</v>
      </c>
      <c r="L254" s="129">
        <f>VLOOKUP(VALUE($B254),test_out_xwalk!$C:$L,5,FALSE)</f>
        <v>0.25</v>
      </c>
      <c r="M254" s="129">
        <f>VLOOKUP(VALUE($B254),test_out_xwalk!$C:$L,6,FALSE)</f>
        <v>0.25</v>
      </c>
      <c r="N254" s="129" t="str">
        <f>VLOOKUP(VALUE($B254),test_out_xwalk!$C:$L,8,FALSE)</f>
        <v>None</v>
      </c>
      <c r="O254" s="129" t="str">
        <f>VLOOKUP(VALUE($B254),test_out_xwalk!$C:$L,7,FALSE)</f>
        <v>Granular</v>
      </c>
      <c r="P254" s="129" t="str">
        <f>VLOOKUP(VALUE($B254),test_out_xwalk!$C:$L,4,FALSE)</f>
        <v>Pre-emergence</v>
      </c>
      <c r="Q254" s="129" t="str">
        <f>VLOOKUP(VALUE($B254),test_out_xwalk!$C:$L,9,FALSE)</f>
        <v>Vegetables and Ground Fruit</v>
      </c>
      <c r="R254">
        <f>_xlfn.XLOOKUP(VALUE(B254),test_out_xwalk!$C:$C,test_out_xwalk!$A:$A)</f>
        <v>7</v>
      </c>
      <c r="T254" s="121" t="str">
        <f>IF('summary_EPA Pond'!$O254="","Check Summary EPA POND worksheet Column O",'summary_EPA Pond'!$O254)</f>
        <v>Check Summary EPA POND worksheet Column O</v>
      </c>
      <c r="U254" s="121" t="str" cm="1">
        <f t="array" ref="U254">IFERROR(_xlfn.TEXTSPLIT(T254,"_"),"")</f>
        <v>Check Summary EPA POND worksheet Column O</v>
      </c>
      <c r="AA254" s="121" t="str" cm="1">
        <f t="array" ref="AA254">IF(W254="","",(_xlfn.TEXTSPLIT(W254,"-")))</f>
        <v/>
      </c>
      <c r="AD254" s="129" t="e">
        <f>VLOOKUP(VALUE($U254),test_out_xwalk!$C:$L,3,FALSE)</f>
        <v>#VALUE!</v>
      </c>
      <c r="AE254" s="129" t="e">
        <f>VLOOKUP(VALUE($U254),test_out_xwalk!$C:$L,5,FALSE)</f>
        <v>#VALUE!</v>
      </c>
      <c r="AF254" s="129" t="e">
        <f>VLOOKUP(VALUE($U254),test_out_xwalk!$C:$L,6,FALSE)</f>
        <v>#VALUE!</v>
      </c>
      <c r="AG254" s="129" t="e">
        <f>VLOOKUP(VALUE($U254),test_out_xwalk!$C:$L,8,FALSE)</f>
        <v>#VALUE!</v>
      </c>
      <c r="AH254" s="129" t="e">
        <f>VLOOKUP(VALUE($U254),test_out_xwalk!$C:$L,7,FALSE)</f>
        <v>#VALUE!</v>
      </c>
      <c r="AI254" s="129" t="e">
        <f>VLOOKUP(VALUE($U254),test_out_xwalk!$C:$L,4,FALSE)</f>
        <v>#VALUE!</v>
      </c>
      <c r="AJ254" s="129" t="e">
        <f>VLOOKUP(VALUE($U254),test_out_xwalk!$C:$L,9,FALSE)</f>
        <v>#VALUE!</v>
      </c>
      <c r="AK254" t="e">
        <f>_xlfn.XLOOKUP(VALUE(U254),test_out_xwalk!C:C,test_out_xwalk!A:A)</f>
        <v>#VALUE!</v>
      </c>
    </row>
    <row r="255" spans="1:37" x14ac:dyDescent="0.55000000000000004">
      <c r="A255" s="121" t="str">
        <f>IF('summary_EPA Pond'!$A255="","Check Summary EPA POND worksheet Column A",'summary_EPA Pond'!$A255)</f>
        <v xml:space="preserve">20_455512-12315-12_Vegetable fresh or processing market-r18-A_USEPA Pond_0010_median  </v>
      </c>
      <c r="B255" s="121" t="str" cm="1">
        <f t="array" ref="B255:G255">IFERROR(_xlfn.TEXTSPLIT(A255,"_"),"")</f>
        <v>20</v>
      </c>
      <c r="C255" t="str">
        <v>455512-12315-12</v>
      </c>
      <c r="D255" t="str">
        <v>Vegetable fresh or processing market-r18-A</v>
      </c>
      <c r="E255" t="str">
        <v>USEPA Pond</v>
      </c>
      <c r="F255" t="str">
        <v>0010</v>
      </c>
      <c r="G255" t="str">
        <v xml:space="preserve">median  </v>
      </c>
      <c r="H255" s="121" t="str" cm="1">
        <f t="array" ref="H255:J255">IF(D255="","",(_xlfn.TEXTSPLIT(D255,"-")))</f>
        <v>Vegetable fresh or processing market</v>
      </c>
      <c r="I255" s="121" t="str">
        <v>r18</v>
      </c>
      <c r="J255" t="str">
        <v>A</v>
      </c>
      <c r="K255" s="129" t="str">
        <f>VLOOKUP(VALUE($B255),test_out_xwalk!$C:$L,3,FALSE)</f>
        <v>Garlic, Bulb-7-20</v>
      </c>
      <c r="L255" s="129">
        <f>VLOOKUP(VALUE($B255),test_out_xwalk!$C:$L,5,FALSE)</f>
        <v>0.25</v>
      </c>
      <c r="M255" s="129">
        <f>VLOOKUP(VALUE($B255),test_out_xwalk!$C:$L,6,FALSE)</f>
        <v>0.25</v>
      </c>
      <c r="N255" s="129" t="str">
        <f>VLOOKUP(VALUE($B255),test_out_xwalk!$C:$L,8,FALSE)</f>
        <v>None</v>
      </c>
      <c r="O255" s="129" t="str">
        <f>VLOOKUP(VALUE($B255),test_out_xwalk!$C:$L,7,FALSE)</f>
        <v>Granular</v>
      </c>
      <c r="P255" s="129" t="str">
        <f>VLOOKUP(VALUE($B255),test_out_xwalk!$C:$L,4,FALSE)</f>
        <v>Pre-emergence</v>
      </c>
      <c r="Q255" s="129" t="str">
        <f>VLOOKUP(VALUE($B255),test_out_xwalk!$C:$L,9,FALSE)</f>
        <v>Vegetables and Ground Fruit</v>
      </c>
      <c r="R255">
        <f>_xlfn.XLOOKUP(VALUE(B255),test_out_xwalk!$C:$C,test_out_xwalk!$A:$A)</f>
        <v>7</v>
      </c>
      <c r="T255" s="121" t="str">
        <f>IF('summary_EPA Pond'!$O255="","Check Summary EPA POND worksheet Column O",'summary_EPA Pond'!$O255)</f>
        <v>Check Summary EPA POND worksheet Column O</v>
      </c>
      <c r="U255" s="121" t="str" cm="1">
        <f t="array" ref="U255">IFERROR(_xlfn.TEXTSPLIT(T255,"_"),"")</f>
        <v>Check Summary EPA POND worksheet Column O</v>
      </c>
      <c r="AA255" s="121" t="str" cm="1">
        <f t="array" ref="AA255">IF(W255="","",(_xlfn.TEXTSPLIT(W255,"-")))</f>
        <v/>
      </c>
      <c r="AD255" s="129" t="e">
        <f>VLOOKUP(VALUE($U255),test_out_xwalk!$C:$L,3,FALSE)</f>
        <v>#VALUE!</v>
      </c>
      <c r="AE255" s="129" t="e">
        <f>VLOOKUP(VALUE($U255),test_out_xwalk!$C:$L,5,FALSE)</f>
        <v>#VALUE!</v>
      </c>
      <c r="AF255" s="129" t="e">
        <f>VLOOKUP(VALUE($U255),test_out_xwalk!$C:$L,6,FALSE)</f>
        <v>#VALUE!</v>
      </c>
      <c r="AG255" s="129" t="e">
        <f>VLOOKUP(VALUE($U255),test_out_xwalk!$C:$L,8,FALSE)</f>
        <v>#VALUE!</v>
      </c>
      <c r="AH255" s="129" t="e">
        <f>VLOOKUP(VALUE($U255),test_out_xwalk!$C:$L,7,FALSE)</f>
        <v>#VALUE!</v>
      </c>
      <c r="AI255" s="129" t="e">
        <f>VLOOKUP(VALUE($U255),test_out_xwalk!$C:$L,4,FALSE)</f>
        <v>#VALUE!</v>
      </c>
      <c r="AJ255" s="129" t="e">
        <f>VLOOKUP(VALUE($U255),test_out_xwalk!$C:$L,9,FALSE)</f>
        <v>#VALUE!</v>
      </c>
      <c r="AK255" t="e">
        <f>_xlfn.XLOOKUP(VALUE(U255),test_out_xwalk!C:C,test_out_xwalk!A:A)</f>
        <v>#VALUE!</v>
      </c>
    </row>
    <row r="256" spans="1:37" x14ac:dyDescent="0.55000000000000004">
      <c r="A256" s="121" t="str">
        <f>IF('summary_EPA Pond'!$A256="","Check Summary EPA POND worksheet Column A",'summary_EPA Pond'!$A256)</f>
        <v xml:space="preserve">21_614189-25013-23_Wheat spring-r01-A_USEPA Pond_0010_median                          </v>
      </c>
      <c r="B256" s="121" t="str" cm="1">
        <f t="array" ref="B256:G256">IFERROR(_xlfn.TEXTSPLIT(A256,"_"),"")</f>
        <v>21</v>
      </c>
      <c r="C256" t="str">
        <v>614189-25013-23</v>
      </c>
      <c r="D256" t="str">
        <v>Wheat spring-r01-A</v>
      </c>
      <c r="E256" t="str">
        <v>USEPA Pond</v>
      </c>
      <c r="F256" t="str">
        <v>0010</v>
      </c>
      <c r="G256" t="str">
        <v xml:space="preserve">median                          </v>
      </c>
      <c r="H256" s="121" t="str" cm="1">
        <f t="array" ref="H256:J256">IF(D256="","",(_xlfn.TEXTSPLIT(D256,"-")))</f>
        <v>Wheat spring</v>
      </c>
      <c r="I256" s="121" t="str">
        <v>r01</v>
      </c>
      <c r="J256" t="str">
        <v>A</v>
      </c>
      <c r="K256" s="129" t="str">
        <f>VLOOKUP(VALUE($B256),test_out_xwalk!$C:$L,3,FALSE)</f>
        <v>Wheat,Â TriticumÂ spp-8-21</v>
      </c>
      <c r="L256" s="129">
        <f>VLOOKUP(VALUE($B256),test_out_xwalk!$C:$L,5,FALSE)</f>
        <v>1</v>
      </c>
      <c r="M256" s="129">
        <f>VLOOKUP(VALUE($B256),test_out_xwalk!$C:$L,6,FALSE)</f>
        <v>1</v>
      </c>
      <c r="N256" s="129" t="str">
        <f>VLOOKUP(VALUE($B256),test_out_xwalk!$C:$L,8,FALSE)</f>
        <v>None</v>
      </c>
      <c r="O256" s="129" t="str">
        <f>VLOOKUP(VALUE($B256),test_out_xwalk!$C:$L,7,FALSE)</f>
        <v>Seed</v>
      </c>
      <c r="P256" s="129" t="str">
        <f>VLOOKUP(VALUE($B256),test_out_xwalk!$C:$L,4,FALSE)</f>
        <v>Pre-emergence</v>
      </c>
      <c r="Q256" s="129" t="str">
        <f>VLOOKUP(VALUE($B256),test_out_xwalk!$C:$L,9,FALSE)</f>
        <v>Spring wheat</v>
      </c>
      <c r="R256">
        <f>_xlfn.XLOOKUP(VALUE(B256),test_out_xwalk!$C:$C,test_out_xwalk!$A:$A)</f>
        <v>8</v>
      </c>
      <c r="T256" s="121" t="str">
        <f>IF('summary_EPA Pond'!$O256="","Check Summary EPA POND worksheet Column O",'summary_EPA Pond'!$O256)</f>
        <v>Check Summary EPA POND worksheet Column O</v>
      </c>
      <c r="U256" s="121" t="str" cm="1">
        <f t="array" ref="U256">IFERROR(_xlfn.TEXTSPLIT(T256,"_"),"")</f>
        <v>Check Summary EPA POND worksheet Column O</v>
      </c>
      <c r="AA256" s="121" t="str" cm="1">
        <f t="array" ref="AA256">IF(W256="","",(_xlfn.TEXTSPLIT(W256,"-")))</f>
        <v/>
      </c>
      <c r="AD256" s="129" t="e">
        <f>VLOOKUP(VALUE($U256),test_out_xwalk!$C:$L,3,FALSE)</f>
        <v>#VALUE!</v>
      </c>
      <c r="AE256" s="129" t="e">
        <f>VLOOKUP(VALUE($U256),test_out_xwalk!$C:$L,5,FALSE)</f>
        <v>#VALUE!</v>
      </c>
      <c r="AF256" s="129" t="e">
        <f>VLOOKUP(VALUE($U256),test_out_xwalk!$C:$L,6,FALSE)</f>
        <v>#VALUE!</v>
      </c>
      <c r="AG256" s="129" t="e">
        <f>VLOOKUP(VALUE($U256),test_out_xwalk!$C:$L,8,FALSE)</f>
        <v>#VALUE!</v>
      </c>
      <c r="AH256" s="129" t="e">
        <f>VLOOKUP(VALUE($U256),test_out_xwalk!$C:$L,7,FALSE)</f>
        <v>#VALUE!</v>
      </c>
      <c r="AI256" s="129" t="e">
        <f>VLOOKUP(VALUE($U256),test_out_xwalk!$C:$L,4,FALSE)</f>
        <v>#VALUE!</v>
      </c>
      <c r="AJ256" s="129" t="e">
        <f>VLOOKUP(VALUE($U256),test_out_xwalk!$C:$L,9,FALSE)</f>
        <v>#VALUE!</v>
      </c>
      <c r="AK256" t="e">
        <f>_xlfn.XLOOKUP(VALUE(U256),test_out_xwalk!C:C,test_out_xwalk!A:A)</f>
        <v>#VALUE!</v>
      </c>
    </row>
    <row r="257" spans="1:37" x14ac:dyDescent="0.55000000000000004">
      <c r="A257" s="121" t="str">
        <f>IF('summary_EPA Pond'!$A257="","Check Summary EPA POND worksheet Column A",'summary_EPA Pond'!$A257)</f>
        <v xml:space="preserve">21_416182-25639-23_Wheat spring-r04-A_USEPA Pond_0010_median                          </v>
      </c>
      <c r="B257" s="121" t="str" cm="1">
        <f t="array" ref="B257:G257">IFERROR(_xlfn.TEXTSPLIT(A257,"_"),"")</f>
        <v>21</v>
      </c>
      <c r="C257" t="str">
        <v>416182-25639-23</v>
      </c>
      <c r="D257" t="str">
        <v>Wheat spring-r04-A</v>
      </c>
      <c r="E257" t="str">
        <v>USEPA Pond</v>
      </c>
      <c r="F257" t="str">
        <v>0010</v>
      </c>
      <c r="G257" t="str">
        <v xml:space="preserve">median                          </v>
      </c>
      <c r="H257" s="121" t="str" cm="1">
        <f t="array" ref="H257:J257">IF(D257="","",(_xlfn.TEXTSPLIT(D257,"-")))</f>
        <v>Wheat spring</v>
      </c>
      <c r="I257" s="121" t="str">
        <v>r04</v>
      </c>
      <c r="J257" t="str">
        <v>A</v>
      </c>
      <c r="K257" s="129" t="str">
        <f>VLOOKUP(VALUE($B257),test_out_xwalk!$C:$L,3,FALSE)</f>
        <v>Wheat,Â TriticumÂ spp-8-21</v>
      </c>
      <c r="L257" s="129">
        <f>VLOOKUP(VALUE($B257),test_out_xwalk!$C:$L,5,FALSE)</f>
        <v>1</v>
      </c>
      <c r="M257" s="129">
        <f>VLOOKUP(VALUE($B257),test_out_xwalk!$C:$L,6,FALSE)</f>
        <v>1</v>
      </c>
      <c r="N257" s="129" t="str">
        <f>VLOOKUP(VALUE($B257),test_out_xwalk!$C:$L,8,FALSE)</f>
        <v>None</v>
      </c>
      <c r="O257" s="129" t="str">
        <f>VLOOKUP(VALUE($B257),test_out_xwalk!$C:$L,7,FALSE)</f>
        <v>Seed</v>
      </c>
      <c r="P257" s="129" t="str">
        <f>VLOOKUP(VALUE($B257),test_out_xwalk!$C:$L,4,FALSE)</f>
        <v>Pre-emergence</v>
      </c>
      <c r="Q257" s="129" t="str">
        <f>VLOOKUP(VALUE($B257),test_out_xwalk!$C:$L,9,FALSE)</f>
        <v>Spring wheat</v>
      </c>
      <c r="R257">
        <f>_xlfn.XLOOKUP(VALUE(B257),test_out_xwalk!$C:$C,test_out_xwalk!$A:$A)</f>
        <v>8</v>
      </c>
      <c r="T257" s="121" t="str">
        <f>IF('summary_EPA Pond'!$O257="","Check Summary EPA POND worksheet Column O",'summary_EPA Pond'!$O257)</f>
        <v>Check Summary EPA POND worksheet Column O</v>
      </c>
      <c r="U257" s="121" t="str" cm="1">
        <f t="array" ref="U257">IFERROR(_xlfn.TEXTSPLIT(T257,"_"),"")</f>
        <v>Check Summary EPA POND worksheet Column O</v>
      </c>
      <c r="AA257" s="121" t="str" cm="1">
        <f t="array" ref="AA257">IF(W257="","",(_xlfn.TEXTSPLIT(W257,"-")))</f>
        <v/>
      </c>
      <c r="AD257" s="129" t="e">
        <f>VLOOKUP(VALUE($U257),test_out_xwalk!$C:$L,3,FALSE)</f>
        <v>#VALUE!</v>
      </c>
      <c r="AE257" s="129" t="e">
        <f>VLOOKUP(VALUE($U257),test_out_xwalk!$C:$L,5,FALSE)</f>
        <v>#VALUE!</v>
      </c>
      <c r="AF257" s="129" t="e">
        <f>VLOOKUP(VALUE($U257),test_out_xwalk!$C:$L,6,FALSE)</f>
        <v>#VALUE!</v>
      </c>
      <c r="AG257" s="129" t="e">
        <f>VLOOKUP(VALUE($U257),test_out_xwalk!$C:$L,8,FALSE)</f>
        <v>#VALUE!</v>
      </c>
      <c r="AH257" s="129" t="e">
        <f>VLOOKUP(VALUE($U257),test_out_xwalk!$C:$L,7,FALSE)</f>
        <v>#VALUE!</v>
      </c>
      <c r="AI257" s="129" t="e">
        <f>VLOOKUP(VALUE($U257),test_out_xwalk!$C:$L,4,FALSE)</f>
        <v>#VALUE!</v>
      </c>
      <c r="AJ257" s="129" t="e">
        <f>VLOOKUP(VALUE($U257),test_out_xwalk!$C:$L,9,FALSE)</f>
        <v>#VALUE!</v>
      </c>
      <c r="AK257" t="e">
        <f>_xlfn.XLOOKUP(VALUE(U257),test_out_xwalk!C:C,test_out_xwalk!A:A)</f>
        <v>#VALUE!</v>
      </c>
    </row>
    <row r="258" spans="1:37" x14ac:dyDescent="0.55000000000000004">
      <c r="A258" s="121" t="str">
        <f>IF('summary_EPA Pond'!$A258="","Check Summary EPA POND worksheet Column A",'summary_EPA Pond'!$A258)</f>
        <v xml:space="preserve">21_436172-23727-23_Wheat spring-r07-A_USEPA Pond_0010_median                          </v>
      </c>
      <c r="B258" s="121" t="str" cm="1">
        <f t="array" ref="B258:G258">IFERROR(_xlfn.TEXTSPLIT(A258,"_"),"")</f>
        <v>21</v>
      </c>
      <c r="C258" t="str">
        <v>436172-23727-23</v>
      </c>
      <c r="D258" t="str">
        <v>Wheat spring-r07-A</v>
      </c>
      <c r="E258" t="str">
        <v>USEPA Pond</v>
      </c>
      <c r="F258" t="str">
        <v>0010</v>
      </c>
      <c r="G258" t="str">
        <v xml:space="preserve">median                          </v>
      </c>
      <c r="H258" s="121" t="str" cm="1">
        <f t="array" ref="H258:J258">IF(D258="","",(_xlfn.TEXTSPLIT(D258,"-")))</f>
        <v>Wheat spring</v>
      </c>
      <c r="I258" s="121" t="str">
        <v>r07</v>
      </c>
      <c r="J258" t="str">
        <v>A</v>
      </c>
      <c r="K258" s="129" t="str">
        <f>VLOOKUP(VALUE($B258),test_out_xwalk!$C:$L,3,FALSE)</f>
        <v>Wheat,Â TriticumÂ spp-8-21</v>
      </c>
      <c r="L258" s="129">
        <f>VLOOKUP(VALUE($B258),test_out_xwalk!$C:$L,5,FALSE)</f>
        <v>1</v>
      </c>
      <c r="M258" s="129">
        <f>VLOOKUP(VALUE($B258),test_out_xwalk!$C:$L,6,FALSE)</f>
        <v>1</v>
      </c>
      <c r="N258" s="129" t="str">
        <f>VLOOKUP(VALUE($B258),test_out_xwalk!$C:$L,8,FALSE)</f>
        <v>None</v>
      </c>
      <c r="O258" s="129" t="str">
        <f>VLOOKUP(VALUE($B258),test_out_xwalk!$C:$L,7,FALSE)</f>
        <v>Seed</v>
      </c>
      <c r="P258" s="129" t="str">
        <f>VLOOKUP(VALUE($B258),test_out_xwalk!$C:$L,4,FALSE)</f>
        <v>Pre-emergence</v>
      </c>
      <c r="Q258" s="129" t="str">
        <f>VLOOKUP(VALUE($B258),test_out_xwalk!$C:$L,9,FALSE)</f>
        <v>Spring wheat</v>
      </c>
      <c r="R258">
        <f>_xlfn.XLOOKUP(VALUE(B258),test_out_xwalk!$C:$C,test_out_xwalk!$A:$A)</f>
        <v>8</v>
      </c>
      <c r="T258" s="121" t="str">
        <f>IF('summary_EPA Pond'!$O258="","Check Summary EPA POND worksheet Column O",'summary_EPA Pond'!$O258)</f>
        <v>Check Summary EPA POND worksheet Column O</v>
      </c>
      <c r="U258" s="121" t="str" cm="1">
        <f t="array" ref="U258">IFERROR(_xlfn.TEXTSPLIT(T258,"_"),"")</f>
        <v>Check Summary EPA POND worksheet Column O</v>
      </c>
      <c r="AA258" s="121" t="str" cm="1">
        <f t="array" ref="AA258">IF(W258="","",(_xlfn.TEXTSPLIT(W258,"-")))</f>
        <v/>
      </c>
      <c r="AD258" s="129" t="e">
        <f>VLOOKUP(VALUE($U258),test_out_xwalk!$C:$L,3,FALSE)</f>
        <v>#VALUE!</v>
      </c>
      <c r="AE258" s="129" t="e">
        <f>VLOOKUP(VALUE($U258),test_out_xwalk!$C:$L,5,FALSE)</f>
        <v>#VALUE!</v>
      </c>
      <c r="AF258" s="129" t="e">
        <f>VLOOKUP(VALUE($U258),test_out_xwalk!$C:$L,6,FALSE)</f>
        <v>#VALUE!</v>
      </c>
      <c r="AG258" s="129" t="e">
        <f>VLOOKUP(VALUE($U258),test_out_xwalk!$C:$L,8,FALSE)</f>
        <v>#VALUE!</v>
      </c>
      <c r="AH258" s="129" t="e">
        <f>VLOOKUP(VALUE($U258),test_out_xwalk!$C:$L,7,FALSE)</f>
        <v>#VALUE!</v>
      </c>
      <c r="AI258" s="129" t="e">
        <f>VLOOKUP(VALUE($U258),test_out_xwalk!$C:$L,4,FALSE)</f>
        <v>#VALUE!</v>
      </c>
      <c r="AJ258" s="129" t="e">
        <f>VLOOKUP(VALUE($U258),test_out_xwalk!$C:$L,9,FALSE)</f>
        <v>#VALUE!</v>
      </c>
      <c r="AK258" t="e">
        <f>_xlfn.XLOOKUP(VALUE(U258),test_out_xwalk!C:C,test_out_xwalk!A:A)</f>
        <v>#VALUE!</v>
      </c>
    </row>
    <row r="259" spans="1:37" x14ac:dyDescent="0.55000000000000004">
      <c r="A259" s="121" t="str">
        <f>IF('summary_EPA Pond'!$A259="","Check Summary EPA POND worksheet Column A",'summary_EPA Pond'!$A259)</f>
        <v xml:space="preserve">21_2587263-26537-22_Wheat spring-r09-A_USEPA Pond_0010_median                         </v>
      </c>
      <c r="B259" s="121" t="str" cm="1">
        <f t="array" ref="B259:G259">IFERROR(_xlfn.TEXTSPLIT(A259,"_"),"")</f>
        <v>21</v>
      </c>
      <c r="C259" t="str">
        <v>2587263-26537-22</v>
      </c>
      <c r="D259" t="str">
        <v>Wheat spring-r09-A</v>
      </c>
      <c r="E259" t="str">
        <v>USEPA Pond</v>
      </c>
      <c r="F259" t="str">
        <v>0010</v>
      </c>
      <c r="G259" t="str">
        <v xml:space="preserve">median                         </v>
      </c>
      <c r="H259" s="121" t="str" cm="1">
        <f t="array" ref="H259:J259">IF(D259="","",(_xlfn.TEXTSPLIT(D259,"-")))</f>
        <v>Wheat spring</v>
      </c>
      <c r="I259" s="121" t="str">
        <v>r09</v>
      </c>
      <c r="J259" t="str">
        <v>A</v>
      </c>
      <c r="K259" s="129" t="str">
        <f>VLOOKUP(VALUE($B259),test_out_xwalk!$C:$L,3,FALSE)</f>
        <v>Wheat,Â TriticumÂ spp-8-21</v>
      </c>
      <c r="L259" s="129">
        <f>VLOOKUP(VALUE($B259),test_out_xwalk!$C:$L,5,FALSE)</f>
        <v>1</v>
      </c>
      <c r="M259" s="129">
        <f>VLOOKUP(VALUE($B259),test_out_xwalk!$C:$L,6,FALSE)</f>
        <v>1</v>
      </c>
      <c r="N259" s="129" t="str">
        <f>VLOOKUP(VALUE($B259),test_out_xwalk!$C:$L,8,FALSE)</f>
        <v>None</v>
      </c>
      <c r="O259" s="129" t="str">
        <f>VLOOKUP(VALUE($B259),test_out_xwalk!$C:$L,7,FALSE)</f>
        <v>Seed</v>
      </c>
      <c r="P259" s="129" t="str">
        <f>VLOOKUP(VALUE($B259),test_out_xwalk!$C:$L,4,FALSE)</f>
        <v>Pre-emergence</v>
      </c>
      <c r="Q259" s="129" t="str">
        <f>VLOOKUP(VALUE($B259),test_out_xwalk!$C:$L,9,FALSE)</f>
        <v>Spring wheat</v>
      </c>
      <c r="R259">
        <f>_xlfn.XLOOKUP(VALUE(B259),test_out_xwalk!$C:$C,test_out_xwalk!$A:$A)</f>
        <v>8</v>
      </c>
      <c r="T259" s="121" t="str">
        <f>IF('summary_EPA Pond'!$O259="","Check Summary EPA POND worksheet Column O",'summary_EPA Pond'!$O259)</f>
        <v>Check Summary EPA POND worksheet Column O</v>
      </c>
      <c r="U259" s="121" t="str" cm="1">
        <f t="array" ref="U259">IFERROR(_xlfn.TEXTSPLIT(T259,"_"),"")</f>
        <v>Check Summary EPA POND worksheet Column O</v>
      </c>
      <c r="AA259" s="121" t="str" cm="1">
        <f t="array" ref="AA259">IF(W259="","",(_xlfn.TEXTSPLIT(W259,"-")))</f>
        <v/>
      </c>
      <c r="AD259" s="129" t="e">
        <f>VLOOKUP(VALUE($U259),test_out_xwalk!$C:$L,3,FALSE)</f>
        <v>#VALUE!</v>
      </c>
      <c r="AE259" s="129" t="e">
        <f>VLOOKUP(VALUE($U259),test_out_xwalk!$C:$L,5,FALSE)</f>
        <v>#VALUE!</v>
      </c>
      <c r="AF259" s="129" t="e">
        <f>VLOOKUP(VALUE($U259),test_out_xwalk!$C:$L,6,FALSE)</f>
        <v>#VALUE!</v>
      </c>
      <c r="AG259" s="129" t="e">
        <f>VLOOKUP(VALUE($U259),test_out_xwalk!$C:$L,8,FALSE)</f>
        <v>#VALUE!</v>
      </c>
      <c r="AH259" s="129" t="e">
        <f>VLOOKUP(VALUE($U259),test_out_xwalk!$C:$L,7,FALSE)</f>
        <v>#VALUE!</v>
      </c>
      <c r="AI259" s="129" t="e">
        <f>VLOOKUP(VALUE($U259),test_out_xwalk!$C:$L,4,FALSE)</f>
        <v>#VALUE!</v>
      </c>
      <c r="AJ259" s="129" t="e">
        <f>VLOOKUP(VALUE($U259),test_out_xwalk!$C:$L,9,FALSE)</f>
        <v>#VALUE!</v>
      </c>
      <c r="AK259" t="e">
        <f>_xlfn.XLOOKUP(VALUE(U259),test_out_xwalk!C:C,test_out_xwalk!A:A)</f>
        <v>#VALUE!</v>
      </c>
    </row>
    <row r="260" spans="1:37" x14ac:dyDescent="0.55000000000000004">
      <c r="A260" s="121" t="str">
        <f>IF('summary_EPA Pond'!$A260="","Check Summary EPA POND worksheet Column A",'summary_EPA Pond'!$A260)</f>
        <v xml:space="preserve">21_94517-19446-23_Wheat spring-r10L-A_USEPA Pond_0010_median                          </v>
      </c>
      <c r="B260" s="121" t="str" cm="1">
        <f t="array" ref="B260:G260">IFERROR(_xlfn.TEXTSPLIT(A260,"_"),"")</f>
        <v>21</v>
      </c>
      <c r="C260" t="str">
        <v>94517-19446-23</v>
      </c>
      <c r="D260" t="str">
        <v>Wheat spring-r10L-A</v>
      </c>
      <c r="E260" t="str">
        <v>USEPA Pond</v>
      </c>
      <c r="F260" t="str">
        <v>0010</v>
      </c>
      <c r="G260" t="str">
        <v xml:space="preserve">median                          </v>
      </c>
      <c r="H260" s="121" t="str" cm="1">
        <f t="array" ref="H260:J260">IF(D260="","",(_xlfn.TEXTSPLIT(D260,"-")))</f>
        <v>Wheat spring</v>
      </c>
      <c r="I260" s="121" t="str">
        <v>r10L</v>
      </c>
      <c r="J260" t="str">
        <v>A</v>
      </c>
      <c r="K260" s="129" t="str">
        <f>VLOOKUP(VALUE($B260),test_out_xwalk!$C:$L,3,FALSE)</f>
        <v>Wheat,Â TriticumÂ spp-8-21</v>
      </c>
      <c r="L260" s="129">
        <f>VLOOKUP(VALUE($B260),test_out_xwalk!$C:$L,5,FALSE)</f>
        <v>1</v>
      </c>
      <c r="M260" s="129">
        <f>VLOOKUP(VALUE($B260),test_out_xwalk!$C:$L,6,FALSE)</f>
        <v>1</v>
      </c>
      <c r="N260" s="129" t="str">
        <f>VLOOKUP(VALUE($B260),test_out_xwalk!$C:$L,8,FALSE)</f>
        <v>None</v>
      </c>
      <c r="O260" s="129" t="str">
        <f>VLOOKUP(VALUE($B260),test_out_xwalk!$C:$L,7,FALSE)</f>
        <v>Seed</v>
      </c>
      <c r="P260" s="129" t="str">
        <f>VLOOKUP(VALUE($B260),test_out_xwalk!$C:$L,4,FALSE)</f>
        <v>Pre-emergence</v>
      </c>
      <c r="Q260" s="129" t="str">
        <f>VLOOKUP(VALUE($B260),test_out_xwalk!$C:$L,9,FALSE)</f>
        <v>Spring wheat</v>
      </c>
      <c r="R260">
        <f>_xlfn.XLOOKUP(VALUE(B260),test_out_xwalk!$C:$C,test_out_xwalk!$A:$A)</f>
        <v>8</v>
      </c>
      <c r="T260" s="121" t="str">
        <f>IF('summary_EPA Pond'!$O260="","Check Summary EPA POND worksheet Column O",'summary_EPA Pond'!$O260)</f>
        <v>Check Summary EPA POND worksheet Column O</v>
      </c>
      <c r="U260" s="121" t="str" cm="1">
        <f t="array" ref="U260">IFERROR(_xlfn.TEXTSPLIT(T260,"_"),"")</f>
        <v>Check Summary EPA POND worksheet Column O</v>
      </c>
      <c r="AA260" s="121" t="str" cm="1">
        <f t="array" ref="AA260">IF(W260="","",(_xlfn.TEXTSPLIT(W260,"-")))</f>
        <v/>
      </c>
      <c r="AD260" s="129" t="e">
        <f>VLOOKUP(VALUE($U260),test_out_xwalk!$C:$L,3,FALSE)</f>
        <v>#VALUE!</v>
      </c>
      <c r="AE260" s="129" t="e">
        <f>VLOOKUP(VALUE($U260),test_out_xwalk!$C:$L,5,FALSE)</f>
        <v>#VALUE!</v>
      </c>
      <c r="AF260" s="129" t="e">
        <f>VLOOKUP(VALUE($U260),test_out_xwalk!$C:$L,6,FALSE)</f>
        <v>#VALUE!</v>
      </c>
      <c r="AG260" s="129" t="e">
        <f>VLOOKUP(VALUE($U260),test_out_xwalk!$C:$L,8,FALSE)</f>
        <v>#VALUE!</v>
      </c>
      <c r="AH260" s="129" t="e">
        <f>VLOOKUP(VALUE($U260),test_out_xwalk!$C:$L,7,FALSE)</f>
        <v>#VALUE!</v>
      </c>
      <c r="AI260" s="129" t="e">
        <f>VLOOKUP(VALUE($U260),test_out_xwalk!$C:$L,4,FALSE)</f>
        <v>#VALUE!</v>
      </c>
      <c r="AJ260" s="129" t="e">
        <f>VLOOKUP(VALUE($U260),test_out_xwalk!$C:$L,9,FALSE)</f>
        <v>#VALUE!</v>
      </c>
      <c r="AK260" t="e">
        <f>_xlfn.XLOOKUP(VALUE(U260),test_out_xwalk!C:C,test_out_xwalk!A:A)</f>
        <v>#VALUE!</v>
      </c>
    </row>
    <row r="261" spans="1:37" x14ac:dyDescent="0.55000000000000004">
      <c r="A261" s="121" t="str">
        <f>IF('summary_EPA Pond'!$A261="","Check Summary EPA POND worksheet Column A",'summary_EPA Pond'!$A261)</f>
        <v xml:space="preserve">21_2707169-25817-23_Wheat spring-r10U-A_USEPA Pond_0010_median                        </v>
      </c>
      <c r="B261" s="121" t="str" cm="1">
        <f t="array" ref="B261:G261">IFERROR(_xlfn.TEXTSPLIT(A261,"_"),"")</f>
        <v>21</v>
      </c>
      <c r="C261" t="str">
        <v>2707169-25817-23</v>
      </c>
      <c r="D261" t="str">
        <v>Wheat spring-r10U-A</v>
      </c>
      <c r="E261" t="str">
        <v>USEPA Pond</v>
      </c>
      <c r="F261" t="str">
        <v>0010</v>
      </c>
      <c r="G261" t="str">
        <v xml:space="preserve">median                        </v>
      </c>
      <c r="H261" s="121" t="str" cm="1">
        <f t="array" ref="H261:J261">IF(D261="","",(_xlfn.TEXTSPLIT(D261,"-")))</f>
        <v>Wheat spring</v>
      </c>
      <c r="I261" s="121" t="str">
        <v>r10U</v>
      </c>
      <c r="J261" t="str">
        <v>A</v>
      </c>
      <c r="K261" s="129" t="str">
        <f>VLOOKUP(VALUE($B261),test_out_xwalk!$C:$L,3,FALSE)</f>
        <v>Wheat,Â TriticumÂ spp-8-21</v>
      </c>
      <c r="L261" s="129">
        <f>VLOOKUP(VALUE($B261),test_out_xwalk!$C:$L,5,FALSE)</f>
        <v>1</v>
      </c>
      <c r="M261" s="129">
        <f>VLOOKUP(VALUE($B261),test_out_xwalk!$C:$L,6,FALSE)</f>
        <v>1</v>
      </c>
      <c r="N261" s="129" t="str">
        <f>VLOOKUP(VALUE($B261),test_out_xwalk!$C:$L,8,FALSE)</f>
        <v>None</v>
      </c>
      <c r="O261" s="129" t="str">
        <f>VLOOKUP(VALUE($B261),test_out_xwalk!$C:$L,7,FALSE)</f>
        <v>Seed</v>
      </c>
      <c r="P261" s="129" t="str">
        <f>VLOOKUP(VALUE($B261),test_out_xwalk!$C:$L,4,FALSE)</f>
        <v>Pre-emergence</v>
      </c>
      <c r="Q261" s="129" t="str">
        <f>VLOOKUP(VALUE($B261),test_out_xwalk!$C:$L,9,FALSE)</f>
        <v>Spring wheat</v>
      </c>
      <c r="R261">
        <f>_xlfn.XLOOKUP(VALUE(B261),test_out_xwalk!$C:$C,test_out_xwalk!$A:$A)</f>
        <v>8</v>
      </c>
      <c r="T261" s="121" t="str">
        <f>IF('summary_EPA Pond'!$O261="","Check Summary EPA POND worksheet Column O",'summary_EPA Pond'!$O261)</f>
        <v>Check Summary EPA POND worksheet Column O</v>
      </c>
      <c r="U261" s="121" t="str" cm="1">
        <f t="array" ref="U261">IFERROR(_xlfn.TEXTSPLIT(T261,"_"),"")</f>
        <v>Check Summary EPA POND worksheet Column O</v>
      </c>
      <c r="AA261" s="121" t="str" cm="1">
        <f t="array" ref="AA261">IF(W261="","",(_xlfn.TEXTSPLIT(W261,"-")))</f>
        <v/>
      </c>
      <c r="AD261" s="129" t="e">
        <f>VLOOKUP(VALUE($U261),test_out_xwalk!$C:$L,3,FALSE)</f>
        <v>#VALUE!</v>
      </c>
      <c r="AE261" s="129" t="e">
        <f>VLOOKUP(VALUE($U261),test_out_xwalk!$C:$L,5,FALSE)</f>
        <v>#VALUE!</v>
      </c>
      <c r="AF261" s="129" t="e">
        <f>VLOOKUP(VALUE($U261),test_out_xwalk!$C:$L,6,FALSE)</f>
        <v>#VALUE!</v>
      </c>
      <c r="AG261" s="129" t="e">
        <f>VLOOKUP(VALUE($U261),test_out_xwalk!$C:$L,8,FALSE)</f>
        <v>#VALUE!</v>
      </c>
      <c r="AH261" s="129" t="e">
        <f>VLOOKUP(VALUE($U261),test_out_xwalk!$C:$L,7,FALSE)</f>
        <v>#VALUE!</v>
      </c>
      <c r="AI261" s="129" t="e">
        <f>VLOOKUP(VALUE($U261),test_out_xwalk!$C:$L,4,FALSE)</f>
        <v>#VALUE!</v>
      </c>
      <c r="AJ261" s="129" t="e">
        <f>VLOOKUP(VALUE($U261),test_out_xwalk!$C:$L,9,FALSE)</f>
        <v>#VALUE!</v>
      </c>
      <c r="AK261" t="e">
        <f>_xlfn.XLOOKUP(VALUE(U261),test_out_xwalk!C:C,test_out_xwalk!A:A)</f>
        <v>#VALUE!</v>
      </c>
    </row>
    <row r="262" spans="1:37" x14ac:dyDescent="0.55000000000000004">
      <c r="A262" s="121" t="str">
        <f>IF('summary_EPA Pond'!$A262="","Check Summary EPA POND worksheet Column A",'summary_EPA Pond'!$A262)</f>
        <v xml:space="preserve">21_363890-13328-23_Wheat spring-r11-A_USEPA Pond_0010_median                          </v>
      </c>
      <c r="B262" s="121" t="str" cm="1">
        <f t="array" ref="B262:G262">IFERROR(_xlfn.TEXTSPLIT(A262,"_"),"")</f>
        <v>21</v>
      </c>
      <c r="C262" t="str">
        <v>363890-13328-23</v>
      </c>
      <c r="D262" t="str">
        <v>Wheat spring-r11-A</v>
      </c>
      <c r="E262" t="str">
        <v>USEPA Pond</v>
      </c>
      <c r="F262" t="str">
        <v>0010</v>
      </c>
      <c r="G262" t="str">
        <v xml:space="preserve">median                          </v>
      </c>
      <c r="H262" s="121" t="str" cm="1">
        <f t="array" ref="H262:J262">IF(D262="","",(_xlfn.TEXTSPLIT(D262,"-")))</f>
        <v>Wheat spring</v>
      </c>
      <c r="I262" s="121" t="str">
        <v>r11</v>
      </c>
      <c r="J262" t="str">
        <v>A</v>
      </c>
      <c r="K262" s="129" t="str">
        <f>VLOOKUP(VALUE($B262),test_out_xwalk!$C:$L,3,FALSE)</f>
        <v>Wheat,Â TriticumÂ spp-8-21</v>
      </c>
      <c r="L262" s="129">
        <f>VLOOKUP(VALUE($B262),test_out_xwalk!$C:$L,5,FALSE)</f>
        <v>1</v>
      </c>
      <c r="M262" s="129">
        <f>VLOOKUP(VALUE($B262),test_out_xwalk!$C:$L,6,FALSE)</f>
        <v>1</v>
      </c>
      <c r="N262" s="129" t="str">
        <f>VLOOKUP(VALUE($B262),test_out_xwalk!$C:$L,8,FALSE)</f>
        <v>None</v>
      </c>
      <c r="O262" s="129" t="str">
        <f>VLOOKUP(VALUE($B262),test_out_xwalk!$C:$L,7,FALSE)</f>
        <v>Seed</v>
      </c>
      <c r="P262" s="129" t="str">
        <f>VLOOKUP(VALUE($B262),test_out_xwalk!$C:$L,4,FALSE)</f>
        <v>Pre-emergence</v>
      </c>
      <c r="Q262" s="129" t="str">
        <f>VLOOKUP(VALUE($B262),test_out_xwalk!$C:$L,9,FALSE)</f>
        <v>Spring wheat</v>
      </c>
      <c r="R262">
        <f>_xlfn.XLOOKUP(VALUE(B262),test_out_xwalk!$C:$C,test_out_xwalk!$A:$A)</f>
        <v>8</v>
      </c>
      <c r="T262" s="121" t="str">
        <f>IF('summary_EPA Pond'!$O262="","Check Summary EPA POND worksheet Column O",'summary_EPA Pond'!$O262)</f>
        <v>Check Summary EPA POND worksheet Column O</v>
      </c>
      <c r="U262" s="121" t="str" cm="1">
        <f t="array" ref="U262">IFERROR(_xlfn.TEXTSPLIT(T262,"_"),"")</f>
        <v>Check Summary EPA POND worksheet Column O</v>
      </c>
      <c r="AA262" s="121" t="str" cm="1">
        <f t="array" ref="AA262">IF(W262="","",(_xlfn.TEXTSPLIT(W262,"-")))</f>
        <v/>
      </c>
      <c r="AD262" s="129" t="e">
        <f>VLOOKUP(VALUE($U262),test_out_xwalk!$C:$L,3,FALSE)</f>
        <v>#VALUE!</v>
      </c>
      <c r="AE262" s="129" t="e">
        <f>VLOOKUP(VALUE($U262),test_out_xwalk!$C:$L,5,FALSE)</f>
        <v>#VALUE!</v>
      </c>
      <c r="AF262" s="129" t="e">
        <f>VLOOKUP(VALUE($U262),test_out_xwalk!$C:$L,6,FALSE)</f>
        <v>#VALUE!</v>
      </c>
      <c r="AG262" s="129" t="e">
        <f>VLOOKUP(VALUE($U262),test_out_xwalk!$C:$L,8,FALSE)</f>
        <v>#VALUE!</v>
      </c>
      <c r="AH262" s="129" t="e">
        <f>VLOOKUP(VALUE($U262),test_out_xwalk!$C:$L,7,FALSE)</f>
        <v>#VALUE!</v>
      </c>
      <c r="AI262" s="129" t="e">
        <f>VLOOKUP(VALUE($U262),test_out_xwalk!$C:$L,4,FALSE)</f>
        <v>#VALUE!</v>
      </c>
      <c r="AJ262" s="129" t="e">
        <f>VLOOKUP(VALUE($U262),test_out_xwalk!$C:$L,9,FALSE)</f>
        <v>#VALUE!</v>
      </c>
      <c r="AK262" t="e">
        <f>_xlfn.XLOOKUP(VALUE(U262),test_out_xwalk!C:C,test_out_xwalk!A:A)</f>
        <v>#VALUE!</v>
      </c>
    </row>
    <row r="263" spans="1:37" x14ac:dyDescent="0.55000000000000004">
      <c r="A263" s="121" t="str">
        <f>IF('summary_EPA Pond'!$A263="","Check Summary EPA POND worksheet Column A",'summary_EPA Pond'!$A263)</f>
        <v xml:space="preserve">21_365994-8605-23_Wheat spring-r12-A_USEPA Pond_0010_median                           </v>
      </c>
      <c r="B263" s="121" t="str" cm="1">
        <f t="array" ref="B263:G263">IFERROR(_xlfn.TEXTSPLIT(A263,"_"),"")</f>
        <v>21</v>
      </c>
      <c r="C263" t="str">
        <v>365994-8605-23</v>
      </c>
      <c r="D263" t="str">
        <v>Wheat spring-r12-A</v>
      </c>
      <c r="E263" t="str">
        <v>USEPA Pond</v>
      </c>
      <c r="F263" t="str">
        <v>0010</v>
      </c>
      <c r="G263" t="str">
        <v xml:space="preserve">median                           </v>
      </c>
      <c r="H263" s="121" t="str" cm="1">
        <f t="array" ref="H263:J263">IF(D263="","",(_xlfn.TEXTSPLIT(D263,"-")))</f>
        <v>Wheat spring</v>
      </c>
      <c r="I263" s="121" t="str">
        <v>r12</v>
      </c>
      <c r="J263" t="str">
        <v>A</v>
      </c>
      <c r="K263" s="129" t="str">
        <f>VLOOKUP(VALUE($B263),test_out_xwalk!$C:$L,3,FALSE)</f>
        <v>Wheat,Â TriticumÂ spp-8-21</v>
      </c>
      <c r="L263" s="129">
        <f>VLOOKUP(VALUE($B263),test_out_xwalk!$C:$L,5,FALSE)</f>
        <v>1</v>
      </c>
      <c r="M263" s="129">
        <f>VLOOKUP(VALUE($B263),test_out_xwalk!$C:$L,6,FALSE)</f>
        <v>1</v>
      </c>
      <c r="N263" s="129" t="str">
        <f>VLOOKUP(VALUE($B263),test_out_xwalk!$C:$L,8,FALSE)</f>
        <v>None</v>
      </c>
      <c r="O263" s="129" t="str">
        <f>VLOOKUP(VALUE($B263),test_out_xwalk!$C:$L,7,FALSE)</f>
        <v>Seed</v>
      </c>
      <c r="P263" s="129" t="str">
        <f>VLOOKUP(VALUE($B263),test_out_xwalk!$C:$L,4,FALSE)</f>
        <v>Pre-emergence</v>
      </c>
      <c r="Q263" s="129" t="str">
        <f>VLOOKUP(VALUE($B263),test_out_xwalk!$C:$L,9,FALSE)</f>
        <v>Spring wheat</v>
      </c>
      <c r="R263">
        <f>_xlfn.XLOOKUP(VALUE(B263),test_out_xwalk!$C:$C,test_out_xwalk!$A:$A)</f>
        <v>8</v>
      </c>
      <c r="T263" s="121" t="str">
        <f>IF('summary_EPA Pond'!$O263="","Check Summary EPA POND worksheet Column O",'summary_EPA Pond'!$O263)</f>
        <v>Check Summary EPA POND worksheet Column O</v>
      </c>
      <c r="U263" s="121" t="str" cm="1">
        <f t="array" ref="U263">IFERROR(_xlfn.TEXTSPLIT(T263,"_"),"")</f>
        <v>Check Summary EPA POND worksheet Column O</v>
      </c>
      <c r="AA263" s="121" t="str" cm="1">
        <f t="array" ref="AA263">IF(W263="","",(_xlfn.TEXTSPLIT(W263,"-")))</f>
        <v/>
      </c>
      <c r="AD263" s="129" t="e">
        <f>VLOOKUP(VALUE($U263),test_out_xwalk!$C:$L,3,FALSE)</f>
        <v>#VALUE!</v>
      </c>
      <c r="AE263" s="129" t="e">
        <f>VLOOKUP(VALUE($U263),test_out_xwalk!$C:$L,5,FALSE)</f>
        <v>#VALUE!</v>
      </c>
      <c r="AF263" s="129" t="e">
        <f>VLOOKUP(VALUE($U263),test_out_xwalk!$C:$L,6,FALSE)</f>
        <v>#VALUE!</v>
      </c>
      <c r="AG263" s="129" t="e">
        <f>VLOOKUP(VALUE($U263),test_out_xwalk!$C:$L,8,FALSE)</f>
        <v>#VALUE!</v>
      </c>
      <c r="AH263" s="129" t="e">
        <f>VLOOKUP(VALUE($U263),test_out_xwalk!$C:$L,7,FALSE)</f>
        <v>#VALUE!</v>
      </c>
      <c r="AI263" s="129" t="e">
        <f>VLOOKUP(VALUE($U263),test_out_xwalk!$C:$L,4,FALSE)</f>
        <v>#VALUE!</v>
      </c>
      <c r="AJ263" s="129" t="e">
        <f>VLOOKUP(VALUE($U263),test_out_xwalk!$C:$L,9,FALSE)</f>
        <v>#VALUE!</v>
      </c>
      <c r="AK263" t="e">
        <f>_xlfn.XLOOKUP(VALUE(U263),test_out_xwalk!C:C,test_out_xwalk!A:A)</f>
        <v>#VALUE!</v>
      </c>
    </row>
    <row r="264" spans="1:37" x14ac:dyDescent="0.55000000000000004">
      <c r="A264" s="121" t="str">
        <f>IF('summary_EPA Pond'!$A264="","Check Summary EPA POND worksheet Column A",'summary_EPA Pond'!$A264)</f>
        <v xml:space="preserve">21_373212-6953-23_Wheat spring-r13-A_USEPA Pond_0010_median                           </v>
      </c>
      <c r="B264" s="121" t="str" cm="1">
        <f t="array" ref="B264:G264">IFERROR(_xlfn.TEXTSPLIT(A264,"_"),"")</f>
        <v>21</v>
      </c>
      <c r="C264" t="str">
        <v>373212-6953-23</v>
      </c>
      <c r="D264" t="str">
        <v>Wheat spring-r13-A</v>
      </c>
      <c r="E264" t="str">
        <v>USEPA Pond</v>
      </c>
      <c r="F264" t="str">
        <v>0010</v>
      </c>
      <c r="G264" t="str">
        <v xml:space="preserve">median                           </v>
      </c>
      <c r="H264" s="121" t="str" cm="1">
        <f t="array" ref="H264:J264">IF(D264="","",(_xlfn.TEXTSPLIT(D264,"-")))</f>
        <v>Wheat spring</v>
      </c>
      <c r="I264" s="121" t="str">
        <v>r13</v>
      </c>
      <c r="J264" t="str">
        <v>A</v>
      </c>
      <c r="K264" s="129" t="str">
        <f>VLOOKUP(VALUE($B264),test_out_xwalk!$C:$L,3,FALSE)</f>
        <v>Wheat,Â TriticumÂ spp-8-21</v>
      </c>
      <c r="L264" s="129">
        <f>VLOOKUP(VALUE($B264),test_out_xwalk!$C:$L,5,FALSE)</f>
        <v>1</v>
      </c>
      <c r="M264" s="129">
        <f>VLOOKUP(VALUE($B264),test_out_xwalk!$C:$L,6,FALSE)</f>
        <v>1</v>
      </c>
      <c r="N264" s="129" t="str">
        <f>VLOOKUP(VALUE($B264),test_out_xwalk!$C:$L,8,FALSE)</f>
        <v>None</v>
      </c>
      <c r="O264" s="129" t="str">
        <f>VLOOKUP(VALUE($B264),test_out_xwalk!$C:$L,7,FALSE)</f>
        <v>Seed</v>
      </c>
      <c r="P264" s="129" t="str">
        <f>VLOOKUP(VALUE($B264),test_out_xwalk!$C:$L,4,FALSE)</f>
        <v>Pre-emergence</v>
      </c>
      <c r="Q264" s="129" t="str">
        <f>VLOOKUP(VALUE($B264),test_out_xwalk!$C:$L,9,FALSE)</f>
        <v>Spring wheat</v>
      </c>
      <c r="R264">
        <f>_xlfn.XLOOKUP(VALUE(B264),test_out_xwalk!$C:$C,test_out_xwalk!$A:$A)</f>
        <v>8</v>
      </c>
      <c r="T264" s="121" t="str">
        <f>IF('summary_EPA Pond'!$O264="","Check Summary EPA POND worksheet Column O",'summary_EPA Pond'!$O264)</f>
        <v>Check Summary EPA POND worksheet Column O</v>
      </c>
      <c r="U264" s="121" t="str" cm="1">
        <f t="array" ref="U264">IFERROR(_xlfn.TEXTSPLIT(T264,"_"),"")</f>
        <v>Check Summary EPA POND worksheet Column O</v>
      </c>
      <c r="AA264" s="121" t="str" cm="1">
        <f t="array" ref="AA264">IF(W264="","",(_xlfn.TEXTSPLIT(W264,"-")))</f>
        <v/>
      </c>
      <c r="AD264" s="129" t="e">
        <f>VLOOKUP(VALUE($U264),test_out_xwalk!$C:$L,3,FALSE)</f>
        <v>#VALUE!</v>
      </c>
      <c r="AE264" s="129" t="e">
        <f>VLOOKUP(VALUE($U264),test_out_xwalk!$C:$L,5,FALSE)</f>
        <v>#VALUE!</v>
      </c>
      <c r="AF264" s="129" t="e">
        <f>VLOOKUP(VALUE($U264),test_out_xwalk!$C:$L,6,FALSE)</f>
        <v>#VALUE!</v>
      </c>
      <c r="AG264" s="129" t="e">
        <f>VLOOKUP(VALUE($U264),test_out_xwalk!$C:$L,8,FALSE)</f>
        <v>#VALUE!</v>
      </c>
      <c r="AH264" s="129" t="e">
        <f>VLOOKUP(VALUE($U264),test_out_xwalk!$C:$L,7,FALSE)</f>
        <v>#VALUE!</v>
      </c>
      <c r="AI264" s="129" t="e">
        <f>VLOOKUP(VALUE($U264),test_out_xwalk!$C:$L,4,FALSE)</f>
        <v>#VALUE!</v>
      </c>
      <c r="AJ264" s="129" t="e">
        <f>VLOOKUP(VALUE($U264),test_out_xwalk!$C:$L,9,FALSE)</f>
        <v>#VALUE!</v>
      </c>
      <c r="AK264" t="e">
        <f>_xlfn.XLOOKUP(VALUE(U264),test_out_xwalk!C:C,test_out_xwalk!A:A)</f>
        <v>#VALUE!</v>
      </c>
    </row>
    <row r="265" spans="1:37" x14ac:dyDescent="0.55000000000000004">
      <c r="A265" s="121" t="str">
        <f>IF('summary_EPA Pond'!$A265="","Check Summary EPA POND worksheet Column A",'summary_EPA Pond'!$A265)</f>
        <v xml:space="preserve">21_497047-18952-23_Wheat spring-r14-A_USEPA Pond_0010_median                          </v>
      </c>
      <c r="B265" s="121" t="str" cm="1">
        <f t="array" ref="B265:G265">IFERROR(_xlfn.TEXTSPLIT(A265,"_"),"")</f>
        <v>21</v>
      </c>
      <c r="C265" t="str">
        <v>497047-18952-23</v>
      </c>
      <c r="D265" t="str">
        <v>Wheat spring-r14-A</v>
      </c>
      <c r="E265" t="str">
        <v>USEPA Pond</v>
      </c>
      <c r="F265" t="str">
        <v>0010</v>
      </c>
      <c r="G265" t="str">
        <v xml:space="preserve">median                          </v>
      </c>
      <c r="H265" s="121" t="str" cm="1">
        <f t="array" ref="H265:J265">IF(D265="","",(_xlfn.TEXTSPLIT(D265,"-")))</f>
        <v>Wheat spring</v>
      </c>
      <c r="I265" s="121" t="str">
        <v>r14</v>
      </c>
      <c r="J265" t="str">
        <v>A</v>
      </c>
      <c r="K265" s="129" t="str">
        <f>VLOOKUP(VALUE($B265),test_out_xwalk!$C:$L,3,FALSE)</f>
        <v>Wheat,Â TriticumÂ spp-8-21</v>
      </c>
      <c r="L265" s="129">
        <f>VLOOKUP(VALUE($B265),test_out_xwalk!$C:$L,5,FALSE)</f>
        <v>1</v>
      </c>
      <c r="M265" s="129">
        <f>VLOOKUP(VALUE($B265),test_out_xwalk!$C:$L,6,FALSE)</f>
        <v>1</v>
      </c>
      <c r="N265" s="129" t="str">
        <f>VLOOKUP(VALUE($B265),test_out_xwalk!$C:$L,8,FALSE)</f>
        <v>None</v>
      </c>
      <c r="O265" s="129" t="str">
        <f>VLOOKUP(VALUE($B265),test_out_xwalk!$C:$L,7,FALSE)</f>
        <v>Seed</v>
      </c>
      <c r="P265" s="129" t="str">
        <f>VLOOKUP(VALUE($B265),test_out_xwalk!$C:$L,4,FALSE)</f>
        <v>Pre-emergence</v>
      </c>
      <c r="Q265" s="129" t="str">
        <f>VLOOKUP(VALUE($B265),test_out_xwalk!$C:$L,9,FALSE)</f>
        <v>Spring wheat</v>
      </c>
      <c r="R265">
        <f>_xlfn.XLOOKUP(VALUE(B265),test_out_xwalk!$C:$C,test_out_xwalk!$A:$A)</f>
        <v>8</v>
      </c>
      <c r="T265" s="121" t="str">
        <f>IF('summary_EPA Pond'!$O265="","Check Summary EPA POND worksheet Column O",'summary_EPA Pond'!$O265)</f>
        <v>Check Summary EPA POND worksheet Column O</v>
      </c>
      <c r="U265" s="121" t="str" cm="1">
        <f t="array" ref="U265">IFERROR(_xlfn.TEXTSPLIT(T265,"_"),"")</f>
        <v>Check Summary EPA POND worksheet Column O</v>
      </c>
      <c r="AA265" s="121" t="str" cm="1">
        <f t="array" ref="AA265">IF(W265="","",(_xlfn.TEXTSPLIT(W265,"-")))</f>
        <v/>
      </c>
      <c r="AD265" s="129" t="e">
        <f>VLOOKUP(VALUE($U265),test_out_xwalk!$C:$L,3,FALSE)</f>
        <v>#VALUE!</v>
      </c>
      <c r="AE265" s="129" t="e">
        <f>VLOOKUP(VALUE($U265),test_out_xwalk!$C:$L,5,FALSE)</f>
        <v>#VALUE!</v>
      </c>
      <c r="AF265" s="129" t="e">
        <f>VLOOKUP(VALUE($U265),test_out_xwalk!$C:$L,6,FALSE)</f>
        <v>#VALUE!</v>
      </c>
      <c r="AG265" s="129" t="e">
        <f>VLOOKUP(VALUE($U265),test_out_xwalk!$C:$L,8,FALSE)</f>
        <v>#VALUE!</v>
      </c>
      <c r="AH265" s="129" t="e">
        <f>VLOOKUP(VALUE($U265),test_out_xwalk!$C:$L,7,FALSE)</f>
        <v>#VALUE!</v>
      </c>
      <c r="AI265" s="129" t="e">
        <f>VLOOKUP(VALUE($U265),test_out_xwalk!$C:$L,4,FALSE)</f>
        <v>#VALUE!</v>
      </c>
      <c r="AJ265" s="129" t="e">
        <f>VLOOKUP(VALUE($U265),test_out_xwalk!$C:$L,9,FALSE)</f>
        <v>#VALUE!</v>
      </c>
      <c r="AK265" t="e">
        <f>_xlfn.XLOOKUP(VALUE(U265),test_out_xwalk!C:C,test_out_xwalk!A:A)</f>
        <v>#VALUE!</v>
      </c>
    </row>
    <row r="266" spans="1:37" x14ac:dyDescent="0.55000000000000004">
      <c r="A266" s="121" t="str">
        <f>IF('summary_EPA Pond'!$A266="","Check Summary EPA POND worksheet Column A",'summary_EPA Pond'!$A266)</f>
        <v xml:space="preserve">21_53257-12085-23_Wheat spring-r15-A_USEPA Pond_0010_median                           </v>
      </c>
      <c r="B266" s="121" t="str" cm="1">
        <f t="array" ref="B266:G266">IFERROR(_xlfn.TEXTSPLIT(A266,"_"),"")</f>
        <v>21</v>
      </c>
      <c r="C266" t="str">
        <v>53257-12085-23</v>
      </c>
      <c r="D266" t="str">
        <v>Wheat spring-r15-A</v>
      </c>
      <c r="E266" t="str">
        <v>USEPA Pond</v>
      </c>
      <c r="F266" t="str">
        <v>0010</v>
      </c>
      <c r="G266" t="str">
        <v xml:space="preserve">median                           </v>
      </c>
      <c r="H266" s="121" t="str" cm="1">
        <f t="array" ref="H266:J266">IF(D266="","",(_xlfn.TEXTSPLIT(D266,"-")))</f>
        <v>Wheat spring</v>
      </c>
      <c r="I266" s="121" t="str">
        <v>r15</v>
      </c>
      <c r="J266" t="str">
        <v>A</v>
      </c>
      <c r="K266" s="129" t="str">
        <f>VLOOKUP(VALUE($B266),test_out_xwalk!$C:$L,3,FALSE)</f>
        <v>Wheat,Â TriticumÂ spp-8-21</v>
      </c>
      <c r="L266" s="129">
        <f>VLOOKUP(VALUE($B266),test_out_xwalk!$C:$L,5,FALSE)</f>
        <v>1</v>
      </c>
      <c r="M266" s="129">
        <f>VLOOKUP(VALUE($B266),test_out_xwalk!$C:$L,6,FALSE)</f>
        <v>1</v>
      </c>
      <c r="N266" s="129" t="str">
        <f>VLOOKUP(VALUE($B266),test_out_xwalk!$C:$L,8,FALSE)</f>
        <v>None</v>
      </c>
      <c r="O266" s="129" t="str">
        <f>VLOOKUP(VALUE($B266),test_out_xwalk!$C:$L,7,FALSE)</f>
        <v>Seed</v>
      </c>
      <c r="P266" s="129" t="str">
        <f>VLOOKUP(VALUE($B266),test_out_xwalk!$C:$L,4,FALSE)</f>
        <v>Pre-emergence</v>
      </c>
      <c r="Q266" s="129" t="str">
        <f>VLOOKUP(VALUE($B266),test_out_xwalk!$C:$L,9,FALSE)</f>
        <v>Spring wheat</v>
      </c>
      <c r="R266">
        <f>_xlfn.XLOOKUP(VALUE(B266),test_out_xwalk!$C:$C,test_out_xwalk!$A:$A)</f>
        <v>8</v>
      </c>
      <c r="T266" s="121" t="str">
        <f>IF('summary_EPA Pond'!$O266="","Check Summary EPA POND worksheet Column O",'summary_EPA Pond'!$O266)</f>
        <v>Check Summary EPA POND worksheet Column O</v>
      </c>
      <c r="U266" s="121" t="str" cm="1">
        <f t="array" ref="U266">IFERROR(_xlfn.TEXTSPLIT(T266,"_"),"")</f>
        <v>Check Summary EPA POND worksheet Column O</v>
      </c>
      <c r="AA266" s="121" t="str" cm="1">
        <f t="array" ref="AA266">IF(W266="","",(_xlfn.TEXTSPLIT(W266,"-")))</f>
        <v/>
      </c>
      <c r="AD266" s="129" t="e">
        <f>VLOOKUP(VALUE($U266),test_out_xwalk!$C:$L,3,FALSE)</f>
        <v>#VALUE!</v>
      </c>
      <c r="AE266" s="129" t="e">
        <f>VLOOKUP(VALUE($U266),test_out_xwalk!$C:$L,5,FALSE)</f>
        <v>#VALUE!</v>
      </c>
      <c r="AF266" s="129" t="e">
        <f>VLOOKUP(VALUE($U266),test_out_xwalk!$C:$L,6,FALSE)</f>
        <v>#VALUE!</v>
      </c>
      <c r="AG266" s="129" t="e">
        <f>VLOOKUP(VALUE($U266),test_out_xwalk!$C:$L,8,FALSE)</f>
        <v>#VALUE!</v>
      </c>
      <c r="AH266" s="129" t="e">
        <f>VLOOKUP(VALUE($U266),test_out_xwalk!$C:$L,7,FALSE)</f>
        <v>#VALUE!</v>
      </c>
      <c r="AI266" s="129" t="e">
        <f>VLOOKUP(VALUE($U266),test_out_xwalk!$C:$L,4,FALSE)</f>
        <v>#VALUE!</v>
      </c>
      <c r="AJ266" s="129" t="e">
        <f>VLOOKUP(VALUE($U266),test_out_xwalk!$C:$L,9,FALSE)</f>
        <v>#VALUE!</v>
      </c>
      <c r="AK266" t="e">
        <f>_xlfn.XLOOKUP(VALUE(U266),test_out_xwalk!C:C,test_out_xwalk!A:A)</f>
        <v>#VALUE!</v>
      </c>
    </row>
    <row r="267" spans="1:37" x14ac:dyDescent="0.55000000000000004">
      <c r="A267" s="121" t="str">
        <f>IF('summary_EPA Pond'!$A267="","Check Summary EPA POND worksheet Column A",'summary_EPA Pond'!$A267)</f>
        <v xml:space="preserve">21_154460-20827-23_Wheat spring-r16-A_USEPA Pond_0010_median                          </v>
      </c>
      <c r="B267" s="121" t="str" cm="1">
        <f t="array" ref="B267:G267">IFERROR(_xlfn.TEXTSPLIT(A267,"_"),"")</f>
        <v>21</v>
      </c>
      <c r="C267" t="str">
        <v>154460-20827-23</v>
      </c>
      <c r="D267" t="str">
        <v>Wheat spring-r16-A</v>
      </c>
      <c r="E267" t="str">
        <v>USEPA Pond</v>
      </c>
      <c r="F267" t="str">
        <v>0010</v>
      </c>
      <c r="G267" t="str">
        <v xml:space="preserve">median                          </v>
      </c>
      <c r="H267" s="121" t="str" cm="1">
        <f t="array" ref="H267:J267">IF(D267="","",(_xlfn.TEXTSPLIT(D267,"-")))</f>
        <v>Wheat spring</v>
      </c>
      <c r="I267" s="121" t="str">
        <v>r16</v>
      </c>
      <c r="J267" t="str">
        <v>A</v>
      </c>
      <c r="K267" s="129" t="str">
        <f>VLOOKUP(VALUE($B267),test_out_xwalk!$C:$L,3,FALSE)</f>
        <v>Wheat,Â TriticumÂ spp-8-21</v>
      </c>
      <c r="L267" s="129">
        <f>VLOOKUP(VALUE($B267),test_out_xwalk!$C:$L,5,FALSE)</f>
        <v>1</v>
      </c>
      <c r="M267" s="129">
        <f>VLOOKUP(VALUE($B267),test_out_xwalk!$C:$L,6,FALSE)</f>
        <v>1</v>
      </c>
      <c r="N267" s="129" t="str">
        <f>VLOOKUP(VALUE($B267),test_out_xwalk!$C:$L,8,FALSE)</f>
        <v>None</v>
      </c>
      <c r="O267" s="129" t="str">
        <f>VLOOKUP(VALUE($B267),test_out_xwalk!$C:$L,7,FALSE)</f>
        <v>Seed</v>
      </c>
      <c r="P267" s="129" t="str">
        <f>VLOOKUP(VALUE($B267),test_out_xwalk!$C:$L,4,FALSE)</f>
        <v>Pre-emergence</v>
      </c>
      <c r="Q267" s="129" t="str">
        <f>VLOOKUP(VALUE($B267),test_out_xwalk!$C:$L,9,FALSE)</f>
        <v>Spring wheat</v>
      </c>
      <c r="R267">
        <f>_xlfn.XLOOKUP(VALUE(B267),test_out_xwalk!$C:$C,test_out_xwalk!$A:$A)</f>
        <v>8</v>
      </c>
      <c r="T267" s="121" t="str">
        <f>IF('summary_EPA Pond'!$O267="","Check Summary EPA POND worksheet Column O",'summary_EPA Pond'!$O267)</f>
        <v>Check Summary EPA POND worksheet Column O</v>
      </c>
      <c r="U267" s="121" t="str" cm="1">
        <f t="array" ref="U267">IFERROR(_xlfn.TEXTSPLIT(T267,"_"),"")</f>
        <v>Check Summary EPA POND worksheet Column O</v>
      </c>
      <c r="AA267" s="121" t="str" cm="1">
        <f t="array" ref="AA267">IF(W267="","",(_xlfn.TEXTSPLIT(W267,"-")))</f>
        <v/>
      </c>
      <c r="AD267" s="129" t="e">
        <f>VLOOKUP(VALUE($U267),test_out_xwalk!$C:$L,3,FALSE)</f>
        <v>#VALUE!</v>
      </c>
      <c r="AE267" s="129" t="e">
        <f>VLOOKUP(VALUE($U267),test_out_xwalk!$C:$L,5,FALSE)</f>
        <v>#VALUE!</v>
      </c>
      <c r="AF267" s="129" t="e">
        <f>VLOOKUP(VALUE($U267),test_out_xwalk!$C:$L,6,FALSE)</f>
        <v>#VALUE!</v>
      </c>
      <c r="AG267" s="129" t="e">
        <f>VLOOKUP(VALUE($U267),test_out_xwalk!$C:$L,8,FALSE)</f>
        <v>#VALUE!</v>
      </c>
      <c r="AH267" s="129" t="e">
        <f>VLOOKUP(VALUE($U267),test_out_xwalk!$C:$L,7,FALSE)</f>
        <v>#VALUE!</v>
      </c>
      <c r="AI267" s="129" t="e">
        <f>VLOOKUP(VALUE($U267),test_out_xwalk!$C:$L,4,FALSE)</f>
        <v>#VALUE!</v>
      </c>
      <c r="AJ267" s="129" t="e">
        <f>VLOOKUP(VALUE($U267),test_out_xwalk!$C:$L,9,FALSE)</f>
        <v>#VALUE!</v>
      </c>
      <c r="AK267" t="e">
        <f>_xlfn.XLOOKUP(VALUE(U267),test_out_xwalk!C:C,test_out_xwalk!A:A)</f>
        <v>#VALUE!</v>
      </c>
    </row>
    <row r="268" spans="1:37" x14ac:dyDescent="0.55000000000000004">
      <c r="A268" s="121" t="str">
        <f>IF('summary_EPA Pond'!$A268="","Check Summary EPA POND worksheet Column A",'summary_EPA Pond'!$A268)</f>
        <v xml:space="preserve">21_84191-22242-23_Wheat spring-r17-A_USEPA Pond_0010_median                           </v>
      </c>
      <c r="B268" s="121" t="str" cm="1">
        <f t="array" ref="B268:G268">IFERROR(_xlfn.TEXTSPLIT(A268,"_"),"")</f>
        <v>21</v>
      </c>
      <c r="C268" t="str">
        <v>84191-22242-23</v>
      </c>
      <c r="D268" t="str">
        <v>Wheat spring-r17-A</v>
      </c>
      <c r="E268" t="str">
        <v>USEPA Pond</v>
      </c>
      <c r="F268" t="str">
        <v>0010</v>
      </c>
      <c r="G268" t="str">
        <v xml:space="preserve">median                           </v>
      </c>
      <c r="H268" s="121" t="str" cm="1">
        <f t="array" ref="H268:J268">IF(D268="","",(_xlfn.TEXTSPLIT(D268,"-")))</f>
        <v>Wheat spring</v>
      </c>
      <c r="I268" s="121" t="str">
        <v>r17</v>
      </c>
      <c r="J268" t="str">
        <v>A</v>
      </c>
      <c r="K268" s="129" t="str">
        <f>VLOOKUP(VALUE($B268),test_out_xwalk!$C:$L,3,FALSE)</f>
        <v>Wheat,Â TriticumÂ spp-8-21</v>
      </c>
      <c r="L268" s="129">
        <f>VLOOKUP(VALUE($B268),test_out_xwalk!$C:$L,5,FALSE)</f>
        <v>1</v>
      </c>
      <c r="M268" s="129">
        <f>VLOOKUP(VALUE($B268),test_out_xwalk!$C:$L,6,FALSE)</f>
        <v>1</v>
      </c>
      <c r="N268" s="129" t="str">
        <f>VLOOKUP(VALUE($B268),test_out_xwalk!$C:$L,8,FALSE)</f>
        <v>None</v>
      </c>
      <c r="O268" s="129" t="str">
        <f>VLOOKUP(VALUE($B268),test_out_xwalk!$C:$L,7,FALSE)</f>
        <v>Seed</v>
      </c>
      <c r="P268" s="129" t="str">
        <f>VLOOKUP(VALUE($B268),test_out_xwalk!$C:$L,4,FALSE)</f>
        <v>Pre-emergence</v>
      </c>
      <c r="Q268" s="129" t="str">
        <f>VLOOKUP(VALUE($B268),test_out_xwalk!$C:$L,9,FALSE)</f>
        <v>Spring wheat</v>
      </c>
      <c r="R268">
        <f>_xlfn.XLOOKUP(VALUE(B268),test_out_xwalk!$C:$C,test_out_xwalk!$A:$A)</f>
        <v>8</v>
      </c>
      <c r="T268" s="121" t="str">
        <f>IF('summary_EPA Pond'!$O268="","Check Summary EPA POND worksheet Column O",'summary_EPA Pond'!$O268)</f>
        <v>Check Summary EPA POND worksheet Column O</v>
      </c>
      <c r="U268" s="121" t="str" cm="1">
        <f t="array" ref="U268">IFERROR(_xlfn.TEXTSPLIT(T268,"_"),"")</f>
        <v>Check Summary EPA POND worksheet Column O</v>
      </c>
      <c r="AA268" s="121" t="str" cm="1">
        <f t="array" ref="AA268">IF(W268="","",(_xlfn.TEXTSPLIT(W268,"-")))</f>
        <v/>
      </c>
      <c r="AD268" s="129" t="e">
        <f>VLOOKUP(VALUE($U268),test_out_xwalk!$C:$L,3,FALSE)</f>
        <v>#VALUE!</v>
      </c>
      <c r="AE268" s="129" t="e">
        <f>VLOOKUP(VALUE($U268),test_out_xwalk!$C:$L,5,FALSE)</f>
        <v>#VALUE!</v>
      </c>
      <c r="AF268" s="129" t="e">
        <f>VLOOKUP(VALUE($U268),test_out_xwalk!$C:$L,6,FALSE)</f>
        <v>#VALUE!</v>
      </c>
      <c r="AG268" s="129" t="e">
        <f>VLOOKUP(VALUE($U268),test_out_xwalk!$C:$L,8,FALSE)</f>
        <v>#VALUE!</v>
      </c>
      <c r="AH268" s="129" t="e">
        <f>VLOOKUP(VALUE($U268),test_out_xwalk!$C:$L,7,FALSE)</f>
        <v>#VALUE!</v>
      </c>
      <c r="AI268" s="129" t="e">
        <f>VLOOKUP(VALUE($U268),test_out_xwalk!$C:$L,4,FALSE)</f>
        <v>#VALUE!</v>
      </c>
      <c r="AJ268" s="129" t="e">
        <f>VLOOKUP(VALUE($U268),test_out_xwalk!$C:$L,9,FALSE)</f>
        <v>#VALUE!</v>
      </c>
      <c r="AK268" t="e">
        <f>_xlfn.XLOOKUP(VALUE(U268),test_out_xwalk!C:C,test_out_xwalk!A:A)</f>
        <v>#VALUE!</v>
      </c>
    </row>
    <row r="269" spans="1:37" x14ac:dyDescent="0.55000000000000004">
      <c r="A269" s="121" t="str">
        <f>IF('summary_EPA Pond'!$A269="","Check Summary EPA POND worksheet Column A",'summary_EPA Pond'!$A269)</f>
        <v xml:space="preserve">21_455512-12078-22_Wheat spring-r18-A_USEPA Pond_0010_median                          </v>
      </c>
      <c r="B269" s="121" t="str" cm="1">
        <f t="array" ref="B269:G269">IFERROR(_xlfn.TEXTSPLIT(A269,"_"),"")</f>
        <v>21</v>
      </c>
      <c r="C269" t="str">
        <v>455512-12078-22</v>
      </c>
      <c r="D269" t="str">
        <v>Wheat spring-r18-A</v>
      </c>
      <c r="E269" t="str">
        <v>USEPA Pond</v>
      </c>
      <c r="F269" t="str">
        <v>0010</v>
      </c>
      <c r="G269" t="str">
        <v xml:space="preserve">median                          </v>
      </c>
      <c r="H269" s="121" t="str" cm="1">
        <f t="array" ref="H269:J269">IF(D269="","",(_xlfn.TEXTSPLIT(D269,"-")))</f>
        <v>Wheat spring</v>
      </c>
      <c r="I269" s="121" t="str">
        <v>r18</v>
      </c>
      <c r="J269" t="str">
        <v>A</v>
      </c>
      <c r="K269" s="129" t="str">
        <f>VLOOKUP(VALUE($B269),test_out_xwalk!$C:$L,3,FALSE)</f>
        <v>Wheat,Â TriticumÂ spp-8-21</v>
      </c>
      <c r="L269" s="129">
        <f>VLOOKUP(VALUE($B269),test_out_xwalk!$C:$L,5,FALSE)</f>
        <v>1</v>
      </c>
      <c r="M269" s="129">
        <f>VLOOKUP(VALUE($B269),test_out_xwalk!$C:$L,6,FALSE)</f>
        <v>1</v>
      </c>
      <c r="N269" s="129" t="str">
        <f>VLOOKUP(VALUE($B269),test_out_xwalk!$C:$L,8,FALSE)</f>
        <v>None</v>
      </c>
      <c r="O269" s="129" t="str">
        <f>VLOOKUP(VALUE($B269),test_out_xwalk!$C:$L,7,FALSE)</f>
        <v>Seed</v>
      </c>
      <c r="P269" s="129" t="str">
        <f>VLOOKUP(VALUE($B269),test_out_xwalk!$C:$L,4,FALSE)</f>
        <v>Pre-emergence</v>
      </c>
      <c r="Q269" s="129" t="str">
        <f>VLOOKUP(VALUE($B269),test_out_xwalk!$C:$L,9,FALSE)</f>
        <v>Spring wheat</v>
      </c>
      <c r="R269">
        <f>_xlfn.XLOOKUP(VALUE(B269),test_out_xwalk!$C:$C,test_out_xwalk!$A:$A)</f>
        <v>8</v>
      </c>
      <c r="T269" s="121" t="str">
        <f>IF('summary_EPA Pond'!$O269="","Check Summary EPA POND worksheet Column O",'summary_EPA Pond'!$O269)</f>
        <v>Check Summary EPA POND worksheet Column O</v>
      </c>
      <c r="U269" s="121" t="str" cm="1">
        <f t="array" ref="U269">IFERROR(_xlfn.TEXTSPLIT(T269,"_"),"")</f>
        <v>Check Summary EPA POND worksheet Column O</v>
      </c>
      <c r="AA269" s="121" t="str" cm="1">
        <f t="array" ref="AA269">IF(W269="","",(_xlfn.TEXTSPLIT(W269,"-")))</f>
        <v/>
      </c>
      <c r="AD269" s="129" t="e">
        <f>VLOOKUP(VALUE($U269),test_out_xwalk!$C:$L,3,FALSE)</f>
        <v>#VALUE!</v>
      </c>
      <c r="AE269" s="129" t="e">
        <f>VLOOKUP(VALUE($U269),test_out_xwalk!$C:$L,5,FALSE)</f>
        <v>#VALUE!</v>
      </c>
      <c r="AF269" s="129" t="e">
        <f>VLOOKUP(VALUE($U269),test_out_xwalk!$C:$L,6,FALSE)</f>
        <v>#VALUE!</v>
      </c>
      <c r="AG269" s="129" t="e">
        <f>VLOOKUP(VALUE($U269),test_out_xwalk!$C:$L,8,FALSE)</f>
        <v>#VALUE!</v>
      </c>
      <c r="AH269" s="129" t="e">
        <f>VLOOKUP(VALUE($U269),test_out_xwalk!$C:$L,7,FALSE)</f>
        <v>#VALUE!</v>
      </c>
      <c r="AI269" s="129" t="e">
        <f>VLOOKUP(VALUE($U269),test_out_xwalk!$C:$L,4,FALSE)</f>
        <v>#VALUE!</v>
      </c>
      <c r="AJ269" s="129" t="e">
        <f>VLOOKUP(VALUE($U269),test_out_xwalk!$C:$L,9,FALSE)</f>
        <v>#VALUE!</v>
      </c>
      <c r="AK269" t="e">
        <f>_xlfn.XLOOKUP(VALUE(U269),test_out_xwalk!C:C,test_out_xwalk!A:A)</f>
        <v>#VALUE!</v>
      </c>
    </row>
    <row r="270" spans="1:37" x14ac:dyDescent="0.55000000000000004">
      <c r="A270" s="121" t="str">
        <f>IF('summary_EPA Pond'!$A270="","Check Summary EPA POND worksheet Column A",'summary_EPA Pond'!$A270)</f>
        <v xml:space="preserve">22_279389-22634-37_Hay all-r01-A_USEPA Pond_0055_median                               </v>
      </c>
      <c r="B270" s="121" t="str" cm="1">
        <f t="array" ref="B270:G270">IFERROR(_xlfn.TEXTSPLIT(A270,"_"),"")</f>
        <v>22</v>
      </c>
      <c r="C270" t="str">
        <v>279389-22634-37</v>
      </c>
      <c r="D270" t="str">
        <v>Hay all-r01-A</v>
      </c>
      <c r="E270" t="str">
        <v>USEPA Pond</v>
      </c>
      <c r="F270" t="str">
        <v>0055</v>
      </c>
      <c r="G270" t="str">
        <v xml:space="preserve">median                               </v>
      </c>
      <c r="H270" s="121" t="str" cm="1">
        <f t="array" ref="H270:J270">IF(D270="","",(_xlfn.TEXTSPLIT(D270,"-")))</f>
        <v>Hay all</v>
      </c>
      <c r="I270" s="121" t="str">
        <v>r01</v>
      </c>
      <c r="J270" t="str">
        <v>A</v>
      </c>
      <c r="K270" s="129" t="str">
        <f>VLOOKUP(VALUE($B270),test_out_xwalk!$C:$L,3,FALSE)</f>
        <v>Clover-9-22</v>
      </c>
      <c r="L270" s="129">
        <f>VLOOKUP(VALUE($B270),test_out_xwalk!$C:$L,5,FALSE)</f>
        <v>1</v>
      </c>
      <c r="M270" s="129">
        <f>VLOOKUP(VALUE($B270),test_out_xwalk!$C:$L,6,FALSE)</f>
        <v>2</v>
      </c>
      <c r="N270" s="129" t="str">
        <f>VLOOKUP(VALUE($B270),test_out_xwalk!$C:$L,8,FALSE)</f>
        <v>Aerial_Coarse</v>
      </c>
      <c r="O270" s="129" t="str">
        <f>VLOOKUP(VALUE($B270),test_out_xwalk!$C:$L,7,FALSE)</f>
        <v>Spray</v>
      </c>
      <c r="P270" s="129" t="str">
        <f>VLOOKUP(VALUE($B270),test_out_xwalk!$C:$L,4,FALSE)</f>
        <v>Post-emergence</v>
      </c>
      <c r="Q270" s="129" t="str">
        <f>VLOOKUP(VALUE($B270),test_out_xwalk!$C:$L,9,FALSE)</f>
        <v>Other crops</v>
      </c>
      <c r="R270">
        <f>_xlfn.XLOOKUP(VALUE(B270),test_out_xwalk!$C:$C,test_out_xwalk!$A:$A)</f>
        <v>9</v>
      </c>
      <c r="T270" s="121" t="str">
        <f>IF('summary_EPA Pond'!$O270="","Check Summary EPA POND worksheet Column O",'summary_EPA Pond'!$O270)</f>
        <v>Check Summary EPA POND worksheet Column O</v>
      </c>
      <c r="U270" s="121" t="str" cm="1">
        <f t="array" ref="U270">IFERROR(_xlfn.TEXTSPLIT(T270,"_"),"")</f>
        <v>Check Summary EPA POND worksheet Column O</v>
      </c>
      <c r="AA270" s="121" t="str" cm="1">
        <f t="array" ref="AA270">IF(W270="","",(_xlfn.TEXTSPLIT(W270,"-")))</f>
        <v/>
      </c>
      <c r="AD270" s="129" t="e">
        <f>VLOOKUP(VALUE($U270),test_out_xwalk!$C:$L,3,FALSE)</f>
        <v>#VALUE!</v>
      </c>
      <c r="AE270" s="129" t="e">
        <f>VLOOKUP(VALUE($U270),test_out_xwalk!$C:$L,5,FALSE)</f>
        <v>#VALUE!</v>
      </c>
      <c r="AF270" s="129" t="e">
        <f>VLOOKUP(VALUE($U270),test_out_xwalk!$C:$L,6,FALSE)</f>
        <v>#VALUE!</v>
      </c>
      <c r="AG270" s="129" t="e">
        <f>VLOOKUP(VALUE($U270),test_out_xwalk!$C:$L,8,FALSE)</f>
        <v>#VALUE!</v>
      </c>
      <c r="AH270" s="129" t="e">
        <f>VLOOKUP(VALUE($U270),test_out_xwalk!$C:$L,7,FALSE)</f>
        <v>#VALUE!</v>
      </c>
      <c r="AI270" s="129" t="e">
        <f>VLOOKUP(VALUE($U270),test_out_xwalk!$C:$L,4,FALSE)</f>
        <v>#VALUE!</v>
      </c>
      <c r="AJ270" s="129" t="e">
        <f>VLOOKUP(VALUE($U270),test_out_xwalk!$C:$L,9,FALSE)</f>
        <v>#VALUE!</v>
      </c>
      <c r="AK270" t="e">
        <f>_xlfn.XLOOKUP(VALUE(U270),test_out_xwalk!C:C,test_out_xwalk!A:A)</f>
        <v>#VALUE!</v>
      </c>
    </row>
    <row r="271" spans="1:37" x14ac:dyDescent="0.55000000000000004">
      <c r="A271" s="121" t="str">
        <f>IF('summary_EPA Pond'!$A271="","Check Summary EPA POND worksheet Column A",'summary_EPA Pond'!$A271)</f>
        <v xml:space="preserve">22_548594-19557-37_Hay all-r02-A_USEPA Pond_0055_median                               </v>
      </c>
      <c r="B271" s="121" t="str" cm="1">
        <f t="array" ref="B271:G271">IFERROR(_xlfn.TEXTSPLIT(A271,"_"),"")</f>
        <v>22</v>
      </c>
      <c r="C271" t="str">
        <v>548594-19557-37</v>
      </c>
      <c r="D271" t="str">
        <v>Hay all-r02-A</v>
      </c>
      <c r="E271" t="str">
        <v>USEPA Pond</v>
      </c>
      <c r="F271" t="str">
        <v>0055</v>
      </c>
      <c r="G271" t="str">
        <v xml:space="preserve">median                               </v>
      </c>
      <c r="H271" s="121" t="str" cm="1">
        <f t="array" ref="H271:J271">IF(D271="","",(_xlfn.TEXTSPLIT(D271,"-")))</f>
        <v>Hay all</v>
      </c>
      <c r="I271" s="121" t="str">
        <v>r02</v>
      </c>
      <c r="J271" t="str">
        <v>A</v>
      </c>
      <c r="K271" s="129" t="str">
        <f>VLOOKUP(VALUE($B271),test_out_xwalk!$C:$L,3,FALSE)</f>
        <v>Clover-9-22</v>
      </c>
      <c r="L271" s="129">
        <f>VLOOKUP(VALUE($B271),test_out_xwalk!$C:$L,5,FALSE)</f>
        <v>1</v>
      </c>
      <c r="M271" s="129">
        <f>VLOOKUP(VALUE($B271),test_out_xwalk!$C:$L,6,FALSE)</f>
        <v>2</v>
      </c>
      <c r="N271" s="129" t="str">
        <f>VLOOKUP(VALUE($B271),test_out_xwalk!$C:$L,8,FALSE)</f>
        <v>Aerial_Coarse</v>
      </c>
      <c r="O271" s="129" t="str">
        <f>VLOOKUP(VALUE($B271),test_out_xwalk!$C:$L,7,FALSE)</f>
        <v>Spray</v>
      </c>
      <c r="P271" s="129" t="str">
        <f>VLOOKUP(VALUE($B271),test_out_xwalk!$C:$L,4,FALSE)</f>
        <v>Post-emergence</v>
      </c>
      <c r="Q271" s="129" t="str">
        <f>VLOOKUP(VALUE($B271),test_out_xwalk!$C:$L,9,FALSE)</f>
        <v>Other crops</v>
      </c>
      <c r="R271">
        <f>_xlfn.XLOOKUP(VALUE(B271),test_out_xwalk!$C:$C,test_out_xwalk!$A:$A)</f>
        <v>9</v>
      </c>
      <c r="T271" s="121" t="str">
        <f>IF('summary_EPA Pond'!$O271="","Check Summary EPA POND worksheet Column O",'summary_EPA Pond'!$O271)</f>
        <v>Check Summary EPA POND worksheet Column O</v>
      </c>
      <c r="U271" s="121" t="str" cm="1">
        <f t="array" ref="U271">IFERROR(_xlfn.TEXTSPLIT(T271,"_"),"")</f>
        <v>Check Summary EPA POND worksheet Column O</v>
      </c>
      <c r="AA271" s="121" t="str" cm="1">
        <f t="array" ref="AA271">IF(W271="","",(_xlfn.TEXTSPLIT(W271,"-")))</f>
        <v/>
      </c>
      <c r="AD271" s="129" t="e">
        <f>VLOOKUP(VALUE($U271),test_out_xwalk!$C:$L,3,FALSE)</f>
        <v>#VALUE!</v>
      </c>
      <c r="AE271" s="129" t="e">
        <f>VLOOKUP(VALUE($U271),test_out_xwalk!$C:$L,5,FALSE)</f>
        <v>#VALUE!</v>
      </c>
      <c r="AF271" s="129" t="e">
        <f>VLOOKUP(VALUE($U271),test_out_xwalk!$C:$L,6,FALSE)</f>
        <v>#VALUE!</v>
      </c>
      <c r="AG271" s="129" t="e">
        <f>VLOOKUP(VALUE($U271),test_out_xwalk!$C:$L,8,FALSE)</f>
        <v>#VALUE!</v>
      </c>
      <c r="AH271" s="129" t="e">
        <f>VLOOKUP(VALUE($U271),test_out_xwalk!$C:$L,7,FALSE)</f>
        <v>#VALUE!</v>
      </c>
      <c r="AI271" s="129" t="e">
        <f>VLOOKUP(VALUE($U271),test_out_xwalk!$C:$L,4,FALSE)</f>
        <v>#VALUE!</v>
      </c>
      <c r="AJ271" s="129" t="e">
        <f>VLOOKUP(VALUE($U271),test_out_xwalk!$C:$L,9,FALSE)</f>
        <v>#VALUE!</v>
      </c>
      <c r="AK271" t="e">
        <f>_xlfn.XLOOKUP(VALUE(U271),test_out_xwalk!C:C,test_out_xwalk!A:A)</f>
        <v>#VALUE!</v>
      </c>
    </row>
    <row r="272" spans="1:37" x14ac:dyDescent="0.55000000000000004">
      <c r="A272" s="121" t="str">
        <f>IF('summary_EPA Pond'!$A272="","Check Summary EPA POND worksheet Column A",'summary_EPA Pond'!$A272)</f>
        <v xml:space="preserve">22_2679272-15047-37_Hay all-r03N-A_USEPA Pond_0055_median                             </v>
      </c>
      <c r="B272" s="121" t="str" cm="1">
        <f t="array" ref="B272:G272">IFERROR(_xlfn.TEXTSPLIT(A272,"_"),"")</f>
        <v>22</v>
      </c>
      <c r="C272" t="str">
        <v>2679272-15047-37</v>
      </c>
      <c r="D272" t="str">
        <v>Hay all-r03N-A</v>
      </c>
      <c r="E272" t="str">
        <v>USEPA Pond</v>
      </c>
      <c r="F272" t="str">
        <v>0055</v>
      </c>
      <c r="G272" t="str">
        <v xml:space="preserve">median                             </v>
      </c>
      <c r="H272" s="121" t="str" cm="1">
        <f t="array" ref="H272:J272">IF(D272="","",(_xlfn.TEXTSPLIT(D272,"-")))</f>
        <v>Hay all</v>
      </c>
      <c r="I272" s="121" t="str">
        <v>r03N</v>
      </c>
      <c r="J272" t="str">
        <v>A</v>
      </c>
      <c r="K272" s="129" t="str">
        <f>VLOOKUP(VALUE($B272),test_out_xwalk!$C:$L,3,FALSE)</f>
        <v>Clover-9-22</v>
      </c>
      <c r="L272" s="129">
        <f>VLOOKUP(VALUE($B272),test_out_xwalk!$C:$L,5,FALSE)</f>
        <v>1</v>
      </c>
      <c r="M272" s="129">
        <f>VLOOKUP(VALUE($B272),test_out_xwalk!$C:$L,6,FALSE)</f>
        <v>2</v>
      </c>
      <c r="N272" s="129" t="str">
        <f>VLOOKUP(VALUE($B272),test_out_xwalk!$C:$L,8,FALSE)</f>
        <v>Aerial_Coarse</v>
      </c>
      <c r="O272" s="129" t="str">
        <f>VLOOKUP(VALUE($B272),test_out_xwalk!$C:$L,7,FALSE)</f>
        <v>Spray</v>
      </c>
      <c r="P272" s="129" t="str">
        <f>VLOOKUP(VALUE($B272),test_out_xwalk!$C:$L,4,FALSE)</f>
        <v>Post-emergence</v>
      </c>
      <c r="Q272" s="129" t="str">
        <f>VLOOKUP(VALUE($B272),test_out_xwalk!$C:$L,9,FALSE)</f>
        <v>Other crops</v>
      </c>
      <c r="R272">
        <f>_xlfn.XLOOKUP(VALUE(B272),test_out_xwalk!$C:$C,test_out_xwalk!$A:$A)</f>
        <v>9</v>
      </c>
      <c r="T272" s="121" t="str">
        <f>IF('summary_EPA Pond'!$O272="","Check Summary EPA POND worksheet Column O",'summary_EPA Pond'!$O272)</f>
        <v>Check Summary EPA POND worksheet Column O</v>
      </c>
      <c r="U272" s="121" t="str" cm="1">
        <f t="array" ref="U272">IFERROR(_xlfn.TEXTSPLIT(T272,"_"),"")</f>
        <v>Check Summary EPA POND worksheet Column O</v>
      </c>
      <c r="AA272" s="121" t="str" cm="1">
        <f t="array" ref="AA272">IF(W272="","",(_xlfn.TEXTSPLIT(W272,"-")))</f>
        <v/>
      </c>
      <c r="AD272" s="129" t="e">
        <f>VLOOKUP(VALUE($U272),test_out_xwalk!$C:$L,3,FALSE)</f>
        <v>#VALUE!</v>
      </c>
      <c r="AE272" s="129" t="e">
        <f>VLOOKUP(VALUE($U272),test_out_xwalk!$C:$L,5,FALSE)</f>
        <v>#VALUE!</v>
      </c>
      <c r="AF272" s="129" t="e">
        <f>VLOOKUP(VALUE($U272),test_out_xwalk!$C:$L,6,FALSE)</f>
        <v>#VALUE!</v>
      </c>
      <c r="AG272" s="129" t="e">
        <f>VLOOKUP(VALUE($U272),test_out_xwalk!$C:$L,8,FALSE)</f>
        <v>#VALUE!</v>
      </c>
      <c r="AH272" s="129" t="e">
        <f>VLOOKUP(VALUE($U272),test_out_xwalk!$C:$L,7,FALSE)</f>
        <v>#VALUE!</v>
      </c>
      <c r="AI272" s="129" t="e">
        <f>VLOOKUP(VALUE($U272),test_out_xwalk!$C:$L,4,FALSE)</f>
        <v>#VALUE!</v>
      </c>
      <c r="AJ272" s="129" t="e">
        <f>VLOOKUP(VALUE($U272),test_out_xwalk!$C:$L,9,FALSE)</f>
        <v>#VALUE!</v>
      </c>
      <c r="AK272" t="e">
        <f>_xlfn.XLOOKUP(VALUE(U272),test_out_xwalk!C:C,test_out_xwalk!A:A)</f>
        <v>#VALUE!</v>
      </c>
    </row>
    <row r="273" spans="1:37" x14ac:dyDescent="0.55000000000000004">
      <c r="A273" s="121" t="str">
        <f>IF('summary_EPA Pond'!$A273="","Check Summary EPA POND worksheet Column A",'summary_EPA Pond'!$A273)</f>
        <v xml:space="preserve">22_124141-11970-37_Hay all-r03S-A_USEPA Pond_0055_median                              </v>
      </c>
      <c r="B273" s="121" t="str" cm="1">
        <f t="array" ref="B273:G273">IFERROR(_xlfn.TEXTSPLIT(A273,"_"),"")</f>
        <v>22</v>
      </c>
      <c r="C273" t="str">
        <v>124141-11970-37</v>
      </c>
      <c r="D273" t="str">
        <v>Hay all-r03S-A</v>
      </c>
      <c r="E273" t="str">
        <v>USEPA Pond</v>
      </c>
      <c r="F273" t="str">
        <v>0055</v>
      </c>
      <c r="G273" t="str">
        <v xml:space="preserve">median                              </v>
      </c>
      <c r="H273" s="121" t="str" cm="1">
        <f t="array" ref="H273:J273">IF(D273="","",(_xlfn.TEXTSPLIT(D273,"-")))</f>
        <v>Hay all</v>
      </c>
      <c r="I273" s="121" t="str">
        <v>r03S</v>
      </c>
      <c r="J273" t="str">
        <v>A</v>
      </c>
      <c r="K273" s="129" t="str">
        <f>VLOOKUP(VALUE($B273),test_out_xwalk!$C:$L,3,FALSE)</f>
        <v>Clover-9-22</v>
      </c>
      <c r="L273" s="129">
        <f>VLOOKUP(VALUE($B273),test_out_xwalk!$C:$L,5,FALSE)</f>
        <v>1</v>
      </c>
      <c r="M273" s="129">
        <f>VLOOKUP(VALUE($B273),test_out_xwalk!$C:$L,6,FALSE)</f>
        <v>2</v>
      </c>
      <c r="N273" s="129" t="str">
        <f>VLOOKUP(VALUE($B273),test_out_xwalk!$C:$L,8,FALSE)</f>
        <v>Aerial_Coarse</v>
      </c>
      <c r="O273" s="129" t="str">
        <f>VLOOKUP(VALUE($B273),test_out_xwalk!$C:$L,7,FALSE)</f>
        <v>Spray</v>
      </c>
      <c r="P273" s="129" t="str">
        <f>VLOOKUP(VALUE($B273),test_out_xwalk!$C:$L,4,FALSE)</f>
        <v>Post-emergence</v>
      </c>
      <c r="Q273" s="129" t="str">
        <f>VLOOKUP(VALUE($B273),test_out_xwalk!$C:$L,9,FALSE)</f>
        <v>Other crops</v>
      </c>
      <c r="R273">
        <f>_xlfn.XLOOKUP(VALUE(B273),test_out_xwalk!$C:$C,test_out_xwalk!$A:$A)</f>
        <v>9</v>
      </c>
      <c r="T273" s="121" t="str">
        <f>IF('summary_EPA Pond'!$O273="","Check Summary EPA POND worksheet Column O",'summary_EPA Pond'!$O273)</f>
        <v>Check Summary EPA POND worksheet Column O</v>
      </c>
      <c r="U273" s="121" t="str" cm="1">
        <f t="array" ref="U273">IFERROR(_xlfn.TEXTSPLIT(T273,"_"),"")</f>
        <v>Check Summary EPA POND worksheet Column O</v>
      </c>
      <c r="AA273" s="121" t="str" cm="1">
        <f t="array" ref="AA273">IF(W273="","",(_xlfn.TEXTSPLIT(W273,"-")))</f>
        <v/>
      </c>
      <c r="AD273" s="129" t="e">
        <f>VLOOKUP(VALUE($U273),test_out_xwalk!$C:$L,3,FALSE)</f>
        <v>#VALUE!</v>
      </c>
      <c r="AE273" s="129" t="e">
        <f>VLOOKUP(VALUE($U273),test_out_xwalk!$C:$L,5,FALSE)</f>
        <v>#VALUE!</v>
      </c>
      <c r="AF273" s="129" t="e">
        <f>VLOOKUP(VALUE($U273),test_out_xwalk!$C:$L,6,FALSE)</f>
        <v>#VALUE!</v>
      </c>
      <c r="AG273" s="129" t="e">
        <f>VLOOKUP(VALUE($U273),test_out_xwalk!$C:$L,8,FALSE)</f>
        <v>#VALUE!</v>
      </c>
      <c r="AH273" s="129" t="e">
        <f>VLOOKUP(VALUE($U273),test_out_xwalk!$C:$L,7,FALSE)</f>
        <v>#VALUE!</v>
      </c>
      <c r="AI273" s="129" t="e">
        <f>VLOOKUP(VALUE($U273),test_out_xwalk!$C:$L,4,FALSE)</f>
        <v>#VALUE!</v>
      </c>
      <c r="AJ273" s="129" t="e">
        <f>VLOOKUP(VALUE($U273),test_out_xwalk!$C:$L,9,FALSE)</f>
        <v>#VALUE!</v>
      </c>
      <c r="AK273" t="e">
        <f>_xlfn.XLOOKUP(VALUE(U273),test_out_xwalk!C:C,test_out_xwalk!A:A)</f>
        <v>#VALUE!</v>
      </c>
    </row>
    <row r="274" spans="1:37" x14ac:dyDescent="0.55000000000000004">
      <c r="A274" s="121" t="str">
        <f>IF('summary_EPA Pond'!$A274="","Check Summary EPA POND worksheet Column A",'summary_EPA Pond'!$A274)</f>
        <v xml:space="preserve">22_328641-11010-37_Hay all-r03W-A_USEPA Pond_0055_median                              </v>
      </c>
      <c r="B274" s="121" t="str" cm="1">
        <f t="array" ref="B274:G274">IFERROR(_xlfn.TEXTSPLIT(A274,"_"),"")</f>
        <v>22</v>
      </c>
      <c r="C274" t="str">
        <v>328641-11010-37</v>
      </c>
      <c r="D274" t="str">
        <v>Hay all-r03W-A</v>
      </c>
      <c r="E274" t="str">
        <v>USEPA Pond</v>
      </c>
      <c r="F274" t="str">
        <v>0055</v>
      </c>
      <c r="G274" t="str">
        <v xml:space="preserve">median                              </v>
      </c>
      <c r="H274" s="121" t="str" cm="1">
        <f t="array" ref="H274:J274">IF(D274="","",(_xlfn.TEXTSPLIT(D274,"-")))</f>
        <v>Hay all</v>
      </c>
      <c r="I274" s="121" t="str">
        <v>r03W</v>
      </c>
      <c r="J274" t="str">
        <v>A</v>
      </c>
      <c r="K274" s="129" t="str">
        <f>VLOOKUP(VALUE($B274),test_out_xwalk!$C:$L,3,FALSE)</f>
        <v>Clover-9-22</v>
      </c>
      <c r="L274" s="129">
        <f>VLOOKUP(VALUE($B274),test_out_xwalk!$C:$L,5,FALSE)</f>
        <v>1</v>
      </c>
      <c r="M274" s="129">
        <f>VLOOKUP(VALUE($B274),test_out_xwalk!$C:$L,6,FALSE)</f>
        <v>2</v>
      </c>
      <c r="N274" s="129" t="str">
        <f>VLOOKUP(VALUE($B274),test_out_xwalk!$C:$L,8,FALSE)</f>
        <v>Aerial_Coarse</v>
      </c>
      <c r="O274" s="129" t="str">
        <f>VLOOKUP(VALUE($B274),test_out_xwalk!$C:$L,7,FALSE)</f>
        <v>Spray</v>
      </c>
      <c r="P274" s="129" t="str">
        <f>VLOOKUP(VALUE($B274),test_out_xwalk!$C:$L,4,FALSE)</f>
        <v>Post-emergence</v>
      </c>
      <c r="Q274" s="129" t="str">
        <f>VLOOKUP(VALUE($B274),test_out_xwalk!$C:$L,9,FALSE)</f>
        <v>Other crops</v>
      </c>
      <c r="R274">
        <f>_xlfn.XLOOKUP(VALUE(B274),test_out_xwalk!$C:$C,test_out_xwalk!$A:$A)</f>
        <v>9</v>
      </c>
      <c r="T274" s="121" t="str">
        <f>IF('summary_EPA Pond'!$O274="","Check Summary EPA POND worksheet Column O",'summary_EPA Pond'!$O274)</f>
        <v>Check Summary EPA POND worksheet Column O</v>
      </c>
      <c r="U274" s="121" t="str" cm="1">
        <f t="array" ref="U274">IFERROR(_xlfn.TEXTSPLIT(T274,"_"),"")</f>
        <v>Check Summary EPA POND worksheet Column O</v>
      </c>
      <c r="AA274" s="121" t="str" cm="1">
        <f t="array" ref="AA274">IF(W274="","",(_xlfn.TEXTSPLIT(W274,"-")))</f>
        <v/>
      </c>
      <c r="AD274" s="129" t="e">
        <f>VLOOKUP(VALUE($U274),test_out_xwalk!$C:$L,3,FALSE)</f>
        <v>#VALUE!</v>
      </c>
      <c r="AE274" s="129" t="e">
        <f>VLOOKUP(VALUE($U274),test_out_xwalk!$C:$L,5,FALSE)</f>
        <v>#VALUE!</v>
      </c>
      <c r="AF274" s="129" t="e">
        <f>VLOOKUP(VALUE($U274),test_out_xwalk!$C:$L,6,FALSE)</f>
        <v>#VALUE!</v>
      </c>
      <c r="AG274" s="129" t="e">
        <f>VLOOKUP(VALUE($U274),test_out_xwalk!$C:$L,8,FALSE)</f>
        <v>#VALUE!</v>
      </c>
      <c r="AH274" s="129" t="e">
        <f>VLOOKUP(VALUE($U274),test_out_xwalk!$C:$L,7,FALSE)</f>
        <v>#VALUE!</v>
      </c>
      <c r="AI274" s="129" t="e">
        <f>VLOOKUP(VALUE($U274),test_out_xwalk!$C:$L,4,FALSE)</f>
        <v>#VALUE!</v>
      </c>
      <c r="AJ274" s="129" t="e">
        <f>VLOOKUP(VALUE($U274),test_out_xwalk!$C:$L,9,FALSE)</f>
        <v>#VALUE!</v>
      </c>
      <c r="AK274" t="e">
        <f>_xlfn.XLOOKUP(VALUE(U274),test_out_xwalk!C:C,test_out_xwalk!A:A)</f>
        <v>#VALUE!</v>
      </c>
    </row>
    <row r="275" spans="1:37" x14ac:dyDescent="0.55000000000000004">
      <c r="A275" s="121" t="str">
        <f>IF('summary_EPA Pond'!$A275="","Check Summary EPA POND worksheet Column A",'summary_EPA Pond'!$A275)</f>
        <v xml:space="preserve">22_186614-22349-37_Hay all-r04-A_USEPA Pond_0055_median                               </v>
      </c>
      <c r="B275" s="121" t="str" cm="1">
        <f t="array" ref="B275:G275">IFERROR(_xlfn.TEXTSPLIT(A275,"_"),"")</f>
        <v>22</v>
      </c>
      <c r="C275" t="str">
        <v>186614-22349-37</v>
      </c>
      <c r="D275" t="str">
        <v>Hay all-r04-A</v>
      </c>
      <c r="E275" t="str">
        <v>USEPA Pond</v>
      </c>
      <c r="F275" t="str">
        <v>0055</v>
      </c>
      <c r="G275" t="str">
        <v xml:space="preserve">median                               </v>
      </c>
      <c r="H275" s="121" t="str" cm="1">
        <f t="array" ref="H275:J275">IF(D275="","",(_xlfn.TEXTSPLIT(D275,"-")))</f>
        <v>Hay all</v>
      </c>
      <c r="I275" s="121" t="str">
        <v>r04</v>
      </c>
      <c r="J275" t="str">
        <v>A</v>
      </c>
      <c r="K275" s="129" t="str">
        <f>VLOOKUP(VALUE($B275),test_out_xwalk!$C:$L,3,FALSE)</f>
        <v>Clover-9-22</v>
      </c>
      <c r="L275" s="129">
        <f>VLOOKUP(VALUE($B275),test_out_xwalk!$C:$L,5,FALSE)</f>
        <v>1</v>
      </c>
      <c r="M275" s="129">
        <f>VLOOKUP(VALUE($B275),test_out_xwalk!$C:$L,6,FALSE)</f>
        <v>2</v>
      </c>
      <c r="N275" s="129" t="str">
        <f>VLOOKUP(VALUE($B275),test_out_xwalk!$C:$L,8,FALSE)</f>
        <v>Aerial_Coarse</v>
      </c>
      <c r="O275" s="129" t="str">
        <f>VLOOKUP(VALUE($B275),test_out_xwalk!$C:$L,7,FALSE)</f>
        <v>Spray</v>
      </c>
      <c r="P275" s="129" t="str">
        <f>VLOOKUP(VALUE($B275),test_out_xwalk!$C:$L,4,FALSE)</f>
        <v>Post-emergence</v>
      </c>
      <c r="Q275" s="129" t="str">
        <f>VLOOKUP(VALUE($B275),test_out_xwalk!$C:$L,9,FALSE)</f>
        <v>Other crops</v>
      </c>
      <c r="R275">
        <f>_xlfn.XLOOKUP(VALUE(B275),test_out_xwalk!$C:$C,test_out_xwalk!$A:$A)</f>
        <v>9</v>
      </c>
      <c r="T275" s="121" t="str">
        <f>IF('summary_EPA Pond'!$O275="","Check Summary EPA POND worksheet Column O",'summary_EPA Pond'!$O275)</f>
        <v>Check Summary EPA POND worksheet Column O</v>
      </c>
      <c r="U275" s="121" t="str" cm="1">
        <f t="array" ref="U275">IFERROR(_xlfn.TEXTSPLIT(T275,"_"),"")</f>
        <v>Check Summary EPA POND worksheet Column O</v>
      </c>
      <c r="AA275" s="121" t="str" cm="1">
        <f t="array" ref="AA275">IF(W275="","",(_xlfn.TEXTSPLIT(W275,"-")))</f>
        <v/>
      </c>
      <c r="AD275" s="129" t="e">
        <f>VLOOKUP(VALUE($U275),test_out_xwalk!$C:$L,3,FALSE)</f>
        <v>#VALUE!</v>
      </c>
      <c r="AE275" s="129" t="e">
        <f>VLOOKUP(VALUE($U275),test_out_xwalk!$C:$L,5,FALSE)</f>
        <v>#VALUE!</v>
      </c>
      <c r="AF275" s="129" t="e">
        <f>VLOOKUP(VALUE($U275),test_out_xwalk!$C:$L,6,FALSE)</f>
        <v>#VALUE!</v>
      </c>
      <c r="AG275" s="129" t="e">
        <f>VLOOKUP(VALUE($U275),test_out_xwalk!$C:$L,8,FALSE)</f>
        <v>#VALUE!</v>
      </c>
      <c r="AH275" s="129" t="e">
        <f>VLOOKUP(VALUE($U275),test_out_xwalk!$C:$L,7,FALSE)</f>
        <v>#VALUE!</v>
      </c>
      <c r="AI275" s="129" t="e">
        <f>VLOOKUP(VALUE($U275),test_out_xwalk!$C:$L,4,FALSE)</f>
        <v>#VALUE!</v>
      </c>
      <c r="AJ275" s="129" t="e">
        <f>VLOOKUP(VALUE($U275),test_out_xwalk!$C:$L,9,FALSE)</f>
        <v>#VALUE!</v>
      </c>
      <c r="AK275" t="e">
        <f>_xlfn.XLOOKUP(VALUE(U275),test_out_xwalk!C:C,test_out_xwalk!A:A)</f>
        <v>#VALUE!</v>
      </c>
    </row>
    <row r="276" spans="1:37" x14ac:dyDescent="0.55000000000000004">
      <c r="A276" s="121" t="str">
        <f>IF('summary_EPA Pond'!$A276="","Check Summary EPA POND worksheet Column A",'summary_EPA Pond'!$A276)</f>
        <v xml:space="preserve">22_549600-16679-37_Hay all-r05-A_USEPA Pond_0055_median                               </v>
      </c>
      <c r="B276" s="121" t="str" cm="1">
        <f t="array" ref="B276:G276">IFERROR(_xlfn.TEXTSPLIT(A276,"_"),"")</f>
        <v>22</v>
      </c>
      <c r="C276" t="str">
        <v>549600-16679-37</v>
      </c>
      <c r="D276" t="str">
        <v>Hay all-r05-A</v>
      </c>
      <c r="E276" t="str">
        <v>USEPA Pond</v>
      </c>
      <c r="F276" t="str">
        <v>0055</v>
      </c>
      <c r="G276" t="str">
        <v xml:space="preserve">median                               </v>
      </c>
      <c r="H276" s="121" t="str" cm="1">
        <f t="array" ref="H276:J276">IF(D276="","",(_xlfn.TEXTSPLIT(D276,"-")))</f>
        <v>Hay all</v>
      </c>
      <c r="I276" s="121" t="str">
        <v>r05</v>
      </c>
      <c r="J276" t="str">
        <v>A</v>
      </c>
      <c r="K276" s="129" t="str">
        <f>VLOOKUP(VALUE($B276),test_out_xwalk!$C:$L,3,FALSE)</f>
        <v>Clover-9-22</v>
      </c>
      <c r="L276" s="129">
        <f>VLOOKUP(VALUE($B276),test_out_xwalk!$C:$L,5,FALSE)</f>
        <v>1</v>
      </c>
      <c r="M276" s="129">
        <f>VLOOKUP(VALUE($B276),test_out_xwalk!$C:$L,6,FALSE)</f>
        <v>2</v>
      </c>
      <c r="N276" s="129" t="str">
        <f>VLOOKUP(VALUE($B276),test_out_xwalk!$C:$L,8,FALSE)</f>
        <v>Aerial_Coarse</v>
      </c>
      <c r="O276" s="129" t="str">
        <f>VLOOKUP(VALUE($B276),test_out_xwalk!$C:$L,7,FALSE)</f>
        <v>Spray</v>
      </c>
      <c r="P276" s="129" t="str">
        <f>VLOOKUP(VALUE($B276),test_out_xwalk!$C:$L,4,FALSE)</f>
        <v>Post-emergence</v>
      </c>
      <c r="Q276" s="129" t="str">
        <f>VLOOKUP(VALUE($B276),test_out_xwalk!$C:$L,9,FALSE)</f>
        <v>Other crops</v>
      </c>
      <c r="R276">
        <f>_xlfn.XLOOKUP(VALUE(B276),test_out_xwalk!$C:$C,test_out_xwalk!$A:$A)</f>
        <v>9</v>
      </c>
      <c r="T276" s="121" t="str">
        <f>IF('summary_EPA Pond'!$O276="","Check Summary EPA POND worksheet Column O",'summary_EPA Pond'!$O276)</f>
        <v>Check Summary EPA POND worksheet Column O</v>
      </c>
      <c r="U276" s="121" t="str" cm="1">
        <f t="array" ref="U276">IFERROR(_xlfn.TEXTSPLIT(T276,"_"),"")</f>
        <v>Check Summary EPA POND worksheet Column O</v>
      </c>
      <c r="AA276" s="121" t="str" cm="1">
        <f t="array" ref="AA276">IF(W276="","",(_xlfn.TEXTSPLIT(W276,"-")))</f>
        <v/>
      </c>
      <c r="AD276" s="129" t="e">
        <f>VLOOKUP(VALUE($U276),test_out_xwalk!$C:$L,3,FALSE)</f>
        <v>#VALUE!</v>
      </c>
      <c r="AE276" s="129" t="e">
        <f>VLOOKUP(VALUE($U276),test_out_xwalk!$C:$L,5,FALSE)</f>
        <v>#VALUE!</v>
      </c>
      <c r="AF276" s="129" t="e">
        <f>VLOOKUP(VALUE($U276),test_out_xwalk!$C:$L,6,FALSE)</f>
        <v>#VALUE!</v>
      </c>
      <c r="AG276" s="129" t="e">
        <f>VLOOKUP(VALUE($U276),test_out_xwalk!$C:$L,8,FALSE)</f>
        <v>#VALUE!</v>
      </c>
      <c r="AH276" s="129" t="e">
        <f>VLOOKUP(VALUE($U276),test_out_xwalk!$C:$L,7,FALSE)</f>
        <v>#VALUE!</v>
      </c>
      <c r="AI276" s="129" t="e">
        <f>VLOOKUP(VALUE($U276),test_out_xwalk!$C:$L,4,FALSE)</f>
        <v>#VALUE!</v>
      </c>
      <c r="AJ276" s="129" t="e">
        <f>VLOOKUP(VALUE($U276),test_out_xwalk!$C:$L,9,FALSE)</f>
        <v>#VALUE!</v>
      </c>
      <c r="AK276" t="e">
        <f>_xlfn.XLOOKUP(VALUE(U276),test_out_xwalk!C:C,test_out_xwalk!A:A)</f>
        <v>#VALUE!</v>
      </c>
    </row>
    <row r="277" spans="1:37" x14ac:dyDescent="0.55000000000000004">
      <c r="A277" s="121" t="str">
        <f>IF('summary_EPA Pond'!$A277="","Check Summary EPA POND worksheet Column A",'summary_EPA Pond'!$A277)</f>
        <v xml:space="preserve">22_527499-15022-37_Hay all-r06-A_USEPA Pond_0055_median                               </v>
      </c>
      <c r="B277" s="121" t="str" cm="1">
        <f t="array" ref="B277:G277">IFERROR(_xlfn.TEXTSPLIT(A277,"_"),"")</f>
        <v>22</v>
      </c>
      <c r="C277" t="str">
        <v>527499-15022-37</v>
      </c>
      <c r="D277" t="str">
        <v>Hay all-r06-A</v>
      </c>
      <c r="E277" t="str">
        <v>USEPA Pond</v>
      </c>
      <c r="F277" t="str">
        <v>0055</v>
      </c>
      <c r="G277" t="str">
        <v xml:space="preserve">median                               </v>
      </c>
      <c r="H277" s="121" t="str" cm="1">
        <f t="array" ref="H277:J277">IF(D277="","",(_xlfn.TEXTSPLIT(D277,"-")))</f>
        <v>Hay all</v>
      </c>
      <c r="I277" s="121" t="str">
        <v>r06</v>
      </c>
      <c r="J277" t="str">
        <v>A</v>
      </c>
      <c r="K277" s="129" t="str">
        <f>VLOOKUP(VALUE($B277),test_out_xwalk!$C:$L,3,FALSE)</f>
        <v>Clover-9-22</v>
      </c>
      <c r="L277" s="129">
        <f>VLOOKUP(VALUE($B277),test_out_xwalk!$C:$L,5,FALSE)</f>
        <v>1</v>
      </c>
      <c r="M277" s="129">
        <f>VLOOKUP(VALUE($B277),test_out_xwalk!$C:$L,6,FALSE)</f>
        <v>2</v>
      </c>
      <c r="N277" s="129" t="str">
        <f>VLOOKUP(VALUE($B277),test_out_xwalk!$C:$L,8,FALSE)</f>
        <v>Aerial_Coarse</v>
      </c>
      <c r="O277" s="129" t="str">
        <f>VLOOKUP(VALUE($B277),test_out_xwalk!$C:$L,7,FALSE)</f>
        <v>Spray</v>
      </c>
      <c r="P277" s="129" t="str">
        <f>VLOOKUP(VALUE($B277),test_out_xwalk!$C:$L,4,FALSE)</f>
        <v>Post-emergence</v>
      </c>
      <c r="Q277" s="129" t="str">
        <f>VLOOKUP(VALUE($B277),test_out_xwalk!$C:$L,9,FALSE)</f>
        <v>Other crops</v>
      </c>
      <c r="R277">
        <f>_xlfn.XLOOKUP(VALUE(B277),test_out_xwalk!$C:$C,test_out_xwalk!$A:$A)</f>
        <v>9</v>
      </c>
      <c r="T277" s="121" t="str">
        <f>IF('summary_EPA Pond'!$O277="","Check Summary EPA POND worksheet Column O",'summary_EPA Pond'!$O277)</f>
        <v>Check Summary EPA POND worksheet Column O</v>
      </c>
      <c r="U277" s="121" t="str" cm="1">
        <f t="array" ref="U277">IFERROR(_xlfn.TEXTSPLIT(T277,"_"),"")</f>
        <v>Check Summary EPA POND worksheet Column O</v>
      </c>
      <c r="AA277" s="121" t="str" cm="1">
        <f t="array" ref="AA277">IF(W277="","",(_xlfn.TEXTSPLIT(W277,"-")))</f>
        <v/>
      </c>
      <c r="AD277" s="129" t="e">
        <f>VLOOKUP(VALUE($U277),test_out_xwalk!$C:$L,3,FALSE)</f>
        <v>#VALUE!</v>
      </c>
      <c r="AE277" s="129" t="e">
        <f>VLOOKUP(VALUE($U277),test_out_xwalk!$C:$L,5,FALSE)</f>
        <v>#VALUE!</v>
      </c>
      <c r="AF277" s="129" t="e">
        <f>VLOOKUP(VALUE($U277),test_out_xwalk!$C:$L,6,FALSE)</f>
        <v>#VALUE!</v>
      </c>
      <c r="AG277" s="129" t="e">
        <f>VLOOKUP(VALUE($U277),test_out_xwalk!$C:$L,8,FALSE)</f>
        <v>#VALUE!</v>
      </c>
      <c r="AH277" s="129" t="e">
        <f>VLOOKUP(VALUE($U277),test_out_xwalk!$C:$L,7,FALSE)</f>
        <v>#VALUE!</v>
      </c>
      <c r="AI277" s="129" t="e">
        <f>VLOOKUP(VALUE($U277),test_out_xwalk!$C:$L,4,FALSE)</f>
        <v>#VALUE!</v>
      </c>
      <c r="AJ277" s="129" t="e">
        <f>VLOOKUP(VALUE($U277),test_out_xwalk!$C:$L,9,FALSE)</f>
        <v>#VALUE!</v>
      </c>
      <c r="AK277" t="e">
        <f>_xlfn.XLOOKUP(VALUE(U277),test_out_xwalk!C:C,test_out_xwalk!A:A)</f>
        <v>#VALUE!</v>
      </c>
    </row>
    <row r="278" spans="1:37" x14ac:dyDescent="0.55000000000000004">
      <c r="A278" s="121" t="str">
        <f>IF('summary_EPA Pond'!$A278="","Check Summary EPA POND worksheet Column A",'summary_EPA Pond'!$A278)</f>
        <v xml:space="preserve">22_397476-25376-37_Hay all-r07-A_USEPA Pond_0055_median                               </v>
      </c>
      <c r="B278" s="121" t="str" cm="1">
        <f t="array" ref="B278:G278">IFERROR(_xlfn.TEXTSPLIT(A278,"_"),"")</f>
        <v>22</v>
      </c>
      <c r="C278" t="str">
        <v>397476-25376-37</v>
      </c>
      <c r="D278" t="str">
        <v>Hay all-r07-A</v>
      </c>
      <c r="E278" t="str">
        <v>USEPA Pond</v>
      </c>
      <c r="F278" t="str">
        <v>0055</v>
      </c>
      <c r="G278" t="str">
        <v xml:space="preserve">median                               </v>
      </c>
      <c r="H278" s="121" t="str" cm="1">
        <f t="array" ref="H278:J278">IF(D278="","",(_xlfn.TEXTSPLIT(D278,"-")))</f>
        <v>Hay all</v>
      </c>
      <c r="I278" s="121" t="str">
        <v>r07</v>
      </c>
      <c r="J278" t="str">
        <v>A</v>
      </c>
      <c r="K278" s="129" t="str">
        <f>VLOOKUP(VALUE($B278),test_out_xwalk!$C:$L,3,FALSE)</f>
        <v>Clover-9-22</v>
      </c>
      <c r="L278" s="129">
        <f>VLOOKUP(VALUE($B278),test_out_xwalk!$C:$L,5,FALSE)</f>
        <v>1</v>
      </c>
      <c r="M278" s="129">
        <f>VLOOKUP(VALUE($B278),test_out_xwalk!$C:$L,6,FALSE)</f>
        <v>2</v>
      </c>
      <c r="N278" s="129" t="str">
        <f>VLOOKUP(VALUE($B278),test_out_xwalk!$C:$L,8,FALSE)</f>
        <v>Aerial_Coarse</v>
      </c>
      <c r="O278" s="129" t="str">
        <f>VLOOKUP(VALUE($B278),test_out_xwalk!$C:$L,7,FALSE)</f>
        <v>Spray</v>
      </c>
      <c r="P278" s="129" t="str">
        <f>VLOOKUP(VALUE($B278),test_out_xwalk!$C:$L,4,FALSE)</f>
        <v>Post-emergence</v>
      </c>
      <c r="Q278" s="129" t="str">
        <f>VLOOKUP(VALUE($B278),test_out_xwalk!$C:$L,9,FALSE)</f>
        <v>Other crops</v>
      </c>
      <c r="R278">
        <f>_xlfn.XLOOKUP(VALUE(B278),test_out_xwalk!$C:$C,test_out_xwalk!$A:$A)</f>
        <v>9</v>
      </c>
      <c r="T278" s="121" t="str">
        <f>IF('summary_EPA Pond'!$O278="","Check Summary EPA POND worksheet Column O",'summary_EPA Pond'!$O278)</f>
        <v>Check Summary EPA POND worksheet Column O</v>
      </c>
      <c r="U278" s="121" t="str" cm="1">
        <f t="array" ref="U278">IFERROR(_xlfn.TEXTSPLIT(T278,"_"),"")</f>
        <v>Check Summary EPA POND worksheet Column O</v>
      </c>
      <c r="AA278" s="121" t="str" cm="1">
        <f t="array" ref="AA278">IF(W278="","",(_xlfn.TEXTSPLIT(W278,"-")))</f>
        <v/>
      </c>
      <c r="AD278" s="129" t="e">
        <f>VLOOKUP(VALUE($U278),test_out_xwalk!$C:$L,3,FALSE)</f>
        <v>#VALUE!</v>
      </c>
      <c r="AE278" s="129" t="e">
        <f>VLOOKUP(VALUE($U278),test_out_xwalk!$C:$L,5,FALSE)</f>
        <v>#VALUE!</v>
      </c>
      <c r="AF278" s="129" t="e">
        <f>VLOOKUP(VALUE($U278),test_out_xwalk!$C:$L,6,FALSE)</f>
        <v>#VALUE!</v>
      </c>
      <c r="AG278" s="129" t="e">
        <f>VLOOKUP(VALUE($U278),test_out_xwalk!$C:$L,8,FALSE)</f>
        <v>#VALUE!</v>
      </c>
      <c r="AH278" s="129" t="e">
        <f>VLOOKUP(VALUE($U278),test_out_xwalk!$C:$L,7,FALSE)</f>
        <v>#VALUE!</v>
      </c>
      <c r="AI278" s="129" t="e">
        <f>VLOOKUP(VALUE($U278),test_out_xwalk!$C:$L,4,FALSE)</f>
        <v>#VALUE!</v>
      </c>
      <c r="AJ278" s="129" t="e">
        <f>VLOOKUP(VALUE($U278),test_out_xwalk!$C:$L,9,FALSE)</f>
        <v>#VALUE!</v>
      </c>
      <c r="AK278" t="e">
        <f>_xlfn.XLOOKUP(VALUE(U278),test_out_xwalk!C:C,test_out_xwalk!A:A)</f>
        <v>#VALUE!</v>
      </c>
    </row>
    <row r="279" spans="1:37" x14ac:dyDescent="0.55000000000000004">
      <c r="A279" s="121" t="str">
        <f>IF('summary_EPA Pond'!$A279="","Check Summary EPA POND worksheet Column A",'summary_EPA Pond'!$A279)</f>
        <v xml:space="preserve">22_2501144-16663-37_Hay all-r08-A_USEPA Pond_0055_median                              </v>
      </c>
      <c r="B279" s="121" t="str" cm="1">
        <f t="array" ref="B279:G279">IFERROR(_xlfn.TEXTSPLIT(A279,"_"),"")</f>
        <v>22</v>
      </c>
      <c r="C279" t="str">
        <v>2501144-16663-37</v>
      </c>
      <c r="D279" t="str">
        <v>Hay all-r08-A</v>
      </c>
      <c r="E279" t="str">
        <v>USEPA Pond</v>
      </c>
      <c r="F279" t="str">
        <v>0055</v>
      </c>
      <c r="G279" t="str">
        <v xml:space="preserve">median                              </v>
      </c>
      <c r="H279" s="121" t="str" cm="1">
        <f t="array" ref="H279:J279">IF(D279="","",(_xlfn.TEXTSPLIT(D279,"-")))</f>
        <v>Hay all</v>
      </c>
      <c r="I279" s="121" t="str">
        <v>r08</v>
      </c>
      <c r="J279" t="str">
        <v>A</v>
      </c>
      <c r="K279" s="129" t="str">
        <f>VLOOKUP(VALUE($B279),test_out_xwalk!$C:$L,3,FALSE)</f>
        <v>Clover-9-22</v>
      </c>
      <c r="L279" s="129">
        <f>VLOOKUP(VALUE($B279),test_out_xwalk!$C:$L,5,FALSE)</f>
        <v>1</v>
      </c>
      <c r="M279" s="129">
        <f>VLOOKUP(VALUE($B279),test_out_xwalk!$C:$L,6,FALSE)</f>
        <v>2</v>
      </c>
      <c r="N279" s="129" t="str">
        <f>VLOOKUP(VALUE($B279),test_out_xwalk!$C:$L,8,FALSE)</f>
        <v>Aerial_Coarse</v>
      </c>
      <c r="O279" s="129" t="str">
        <f>VLOOKUP(VALUE($B279),test_out_xwalk!$C:$L,7,FALSE)</f>
        <v>Spray</v>
      </c>
      <c r="P279" s="129" t="str">
        <f>VLOOKUP(VALUE($B279),test_out_xwalk!$C:$L,4,FALSE)</f>
        <v>Post-emergence</v>
      </c>
      <c r="Q279" s="129" t="str">
        <f>VLOOKUP(VALUE($B279),test_out_xwalk!$C:$L,9,FALSE)</f>
        <v>Other crops</v>
      </c>
      <c r="R279">
        <f>_xlfn.XLOOKUP(VALUE(B279),test_out_xwalk!$C:$C,test_out_xwalk!$A:$A)</f>
        <v>9</v>
      </c>
      <c r="T279" s="121" t="str">
        <f>IF('summary_EPA Pond'!$O279="","Check Summary EPA POND worksheet Column O",'summary_EPA Pond'!$O279)</f>
        <v>Check Summary EPA POND worksheet Column O</v>
      </c>
      <c r="U279" s="121" t="str" cm="1">
        <f t="array" ref="U279">IFERROR(_xlfn.TEXTSPLIT(T279,"_"),"")</f>
        <v>Check Summary EPA POND worksheet Column O</v>
      </c>
      <c r="AA279" s="121" t="str" cm="1">
        <f t="array" ref="AA279">IF(W279="","",(_xlfn.TEXTSPLIT(W279,"-")))</f>
        <v/>
      </c>
      <c r="AD279" s="129" t="e">
        <f>VLOOKUP(VALUE($U279),test_out_xwalk!$C:$L,3,FALSE)</f>
        <v>#VALUE!</v>
      </c>
      <c r="AE279" s="129" t="e">
        <f>VLOOKUP(VALUE($U279),test_out_xwalk!$C:$L,5,FALSE)</f>
        <v>#VALUE!</v>
      </c>
      <c r="AF279" s="129" t="e">
        <f>VLOOKUP(VALUE($U279),test_out_xwalk!$C:$L,6,FALSE)</f>
        <v>#VALUE!</v>
      </c>
      <c r="AG279" s="129" t="e">
        <f>VLOOKUP(VALUE($U279),test_out_xwalk!$C:$L,8,FALSE)</f>
        <v>#VALUE!</v>
      </c>
      <c r="AH279" s="129" t="e">
        <f>VLOOKUP(VALUE($U279),test_out_xwalk!$C:$L,7,FALSE)</f>
        <v>#VALUE!</v>
      </c>
      <c r="AI279" s="129" t="e">
        <f>VLOOKUP(VALUE($U279),test_out_xwalk!$C:$L,4,FALSE)</f>
        <v>#VALUE!</v>
      </c>
      <c r="AJ279" s="129" t="e">
        <f>VLOOKUP(VALUE($U279),test_out_xwalk!$C:$L,9,FALSE)</f>
        <v>#VALUE!</v>
      </c>
      <c r="AK279" t="e">
        <f>_xlfn.XLOOKUP(VALUE(U279),test_out_xwalk!C:C,test_out_xwalk!A:A)</f>
        <v>#VALUE!</v>
      </c>
    </row>
    <row r="280" spans="1:37" x14ac:dyDescent="0.55000000000000004">
      <c r="A280" s="121" t="str">
        <f>IF('summary_EPA Pond'!$A280="","Check Summary EPA POND worksheet Column A",'summary_EPA Pond'!$A280)</f>
        <v xml:space="preserve">22_2799668-26078-37_Hay all-r09-A_USEPA Pond_0055_median                              </v>
      </c>
      <c r="B280" s="121" t="str" cm="1">
        <f t="array" ref="B280:G280">IFERROR(_xlfn.TEXTSPLIT(A280,"_"),"")</f>
        <v>22</v>
      </c>
      <c r="C280" t="str">
        <v>2799668-26078-37</v>
      </c>
      <c r="D280" t="str">
        <v>Hay all-r09-A</v>
      </c>
      <c r="E280" t="str">
        <v>USEPA Pond</v>
      </c>
      <c r="F280" t="str">
        <v>0055</v>
      </c>
      <c r="G280" t="str">
        <v xml:space="preserve">median                              </v>
      </c>
      <c r="H280" s="121" t="str" cm="1">
        <f t="array" ref="H280:J280">IF(D280="","",(_xlfn.TEXTSPLIT(D280,"-")))</f>
        <v>Hay all</v>
      </c>
      <c r="I280" s="121" t="str">
        <v>r09</v>
      </c>
      <c r="J280" t="str">
        <v>A</v>
      </c>
      <c r="K280" s="129" t="str">
        <f>VLOOKUP(VALUE($B280),test_out_xwalk!$C:$L,3,FALSE)</f>
        <v>Clover-9-22</v>
      </c>
      <c r="L280" s="129">
        <f>VLOOKUP(VALUE($B280),test_out_xwalk!$C:$L,5,FALSE)</f>
        <v>1</v>
      </c>
      <c r="M280" s="129">
        <f>VLOOKUP(VALUE($B280),test_out_xwalk!$C:$L,6,FALSE)</f>
        <v>2</v>
      </c>
      <c r="N280" s="129" t="str">
        <f>VLOOKUP(VALUE($B280),test_out_xwalk!$C:$L,8,FALSE)</f>
        <v>Aerial_Coarse</v>
      </c>
      <c r="O280" s="129" t="str">
        <f>VLOOKUP(VALUE($B280),test_out_xwalk!$C:$L,7,FALSE)</f>
        <v>Spray</v>
      </c>
      <c r="P280" s="129" t="str">
        <f>VLOOKUP(VALUE($B280),test_out_xwalk!$C:$L,4,FALSE)</f>
        <v>Post-emergence</v>
      </c>
      <c r="Q280" s="129" t="str">
        <f>VLOOKUP(VALUE($B280),test_out_xwalk!$C:$L,9,FALSE)</f>
        <v>Other crops</v>
      </c>
      <c r="R280">
        <f>_xlfn.XLOOKUP(VALUE(B280),test_out_xwalk!$C:$C,test_out_xwalk!$A:$A)</f>
        <v>9</v>
      </c>
      <c r="T280" s="121" t="str">
        <f>IF('summary_EPA Pond'!$O280="","Check Summary EPA POND worksheet Column O",'summary_EPA Pond'!$O280)</f>
        <v>Check Summary EPA POND worksheet Column O</v>
      </c>
      <c r="U280" s="121" t="str" cm="1">
        <f t="array" ref="U280">IFERROR(_xlfn.TEXTSPLIT(T280,"_"),"")</f>
        <v>Check Summary EPA POND worksheet Column O</v>
      </c>
      <c r="AA280" s="121" t="str" cm="1">
        <f t="array" ref="AA280">IF(W280="","",(_xlfn.TEXTSPLIT(W280,"-")))</f>
        <v/>
      </c>
      <c r="AD280" s="129" t="e">
        <f>VLOOKUP(VALUE($U280),test_out_xwalk!$C:$L,3,FALSE)</f>
        <v>#VALUE!</v>
      </c>
      <c r="AE280" s="129" t="e">
        <f>VLOOKUP(VALUE($U280),test_out_xwalk!$C:$L,5,FALSE)</f>
        <v>#VALUE!</v>
      </c>
      <c r="AF280" s="129" t="e">
        <f>VLOOKUP(VALUE($U280),test_out_xwalk!$C:$L,6,FALSE)</f>
        <v>#VALUE!</v>
      </c>
      <c r="AG280" s="129" t="e">
        <f>VLOOKUP(VALUE($U280),test_out_xwalk!$C:$L,8,FALSE)</f>
        <v>#VALUE!</v>
      </c>
      <c r="AH280" s="129" t="e">
        <f>VLOOKUP(VALUE($U280),test_out_xwalk!$C:$L,7,FALSE)</f>
        <v>#VALUE!</v>
      </c>
      <c r="AI280" s="129" t="e">
        <f>VLOOKUP(VALUE($U280),test_out_xwalk!$C:$L,4,FALSE)</f>
        <v>#VALUE!</v>
      </c>
      <c r="AJ280" s="129" t="e">
        <f>VLOOKUP(VALUE($U280),test_out_xwalk!$C:$L,9,FALSE)</f>
        <v>#VALUE!</v>
      </c>
      <c r="AK280" t="e">
        <f>_xlfn.XLOOKUP(VALUE(U280),test_out_xwalk!C:C,test_out_xwalk!A:A)</f>
        <v>#VALUE!</v>
      </c>
    </row>
    <row r="281" spans="1:37" x14ac:dyDescent="0.55000000000000004">
      <c r="A281" s="121" t="str">
        <f>IF('summary_EPA Pond'!$A281="","Check Summary EPA POND worksheet Column A",'summary_EPA Pond'!$A281)</f>
        <v xml:space="preserve">22_104947-20380-37_Hay all-r10L-A_USEPA Pond_0055_median                              </v>
      </c>
      <c r="B281" s="121" t="str" cm="1">
        <f t="array" ref="B281:G281">IFERROR(_xlfn.TEXTSPLIT(A281,"_"),"")</f>
        <v>22</v>
      </c>
      <c r="C281" t="str">
        <v>104947-20380-37</v>
      </c>
      <c r="D281" t="str">
        <v>Hay all-r10L-A</v>
      </c>
      <c r="E281" t="str">
        <v>USEPA Pond</v>
      </c>
      <c r="F281" t="str">
        <v>0055</v>
      </c>
      <c r="G281" t="str">
        <v xml:space="preserve">median                              </v>
      </c>
      <c r="H281" s="121" t="str" cm="1">
        <f t="array" ref="H281:J281">IF(D281="","",(_xlfn.TEXTSPLIT(D281,"-")))</f>
        <v>Hay all</v>
      </c>
      <c r="I281" s="121" t="str">
        <v>r10L</v>
      </c>
      <c r="J281" t="str">
        <v>A</v>
      </c>
      <c r="K281" s="129" t="str">
        <f>VLOOKUP(VALUE($B281),test_out_xwalk!$C:$L,3,FALSE)</f>
        <v>Clover-9-22</v>
      </c>
      <c r="L281" s="129">
        <f>VLOOKUP(VALUE($B281),test_out_xwalk!$C:$L,5,FALSE)</f>
        <v>1</v>
      </c>
      <c r="M281" s="129">
        <f>VLOOKUP(VALUE($B281),test_out_xwalk!$C:$L,6,FALSE)</f>
        <v>2</v>
      </c>
      <c r="N281" s="129" t="str">
        <f>VLOOKUP(VALUE($B281),test_out_xwalk!$C:$L,8,FALSE)</f>
        <v>Aerial_Coarse</v>
      </c>
      <c r="O281" s="129" t="str">
        <f>VLOOKUP(VALUE($B281),test_out_xwalk!$C:$L,7,FALSE)</f>
        <v>Spray</v>
      </c>
      <c r="P281" s="129" t="str">
        <f>VLOOKUP(VALUE($B281),test_out_xwalk!$C:$L,4,FALSE)</f>
        <v>Post-emergence</v>
      </c>
      <c r="Q281" s="129" t="str">
        <f>VLOOKUP(VALUE($B281),test_out_xwalk!$C:$L,9,FALSE)</f>
        <v>Other crops</v>
      </c>
      <c r="R281">
        <f>_xlfn.XLOOKUP(VALUE(B281),test_out_xwalk!$C:$C,test_out_xwalk!$A:$A)</f>
        <v>9</v>
      </c>
      <c r="T281" s="121" t="str">
        <f>IF('summary_EPA Pond'!$O281="","Check Summary EPA POND worksheet Column O",'summary_EPA Pond'!$O281)</f>
        <v>Check Summary EPA POND worksheet Column O</v>
      </c>
      <c r="U281" s="121" t="str" cm="1">
        <f t="array" ref="U281">IFERROR(_xlfn.TEXTSPLIT(T281,"_"),"")</f>
        <v>Check Summary EPA POND worksheet Column O</v>
      </c>
      <c r="AA281" s="121" t="str" cm="1">
        <f t="array" ref="AA281">IF(W281="","",(_xlfn.TEXTSPLIT(W281,"-")))</f>
        <v/>
      </c>
      <c r="AD281" s="129" t="e">
        <f>VLOOKUP(VALUE($U281),test_out_xwalk!$C:$L,3,FALSE)</f>
        <v>#VALUE!</v>
      </c>
      <c r="AE281" s="129" t="e">
        <f>VLOOKUP(VALUE($U281),test_out_xwalk!$C:$L,5,FALSE)</f>
        <v>#VALUE!</v>
      </c>
      <c r="AF281" s="129" t="e">
        <f>VLOOKUP(VALUE($U281),test_out_xwalk!$C:$L,6,FALSE)</f>
        <v>#VALUE!</v>
      </c>
      <c r="AG281" s="129" t="e">
        <f>VLOOKUP(VALUE($U281),test_out_xwalk!$C:$L,8,FALSE)</f>
        <v>#VALUE!</v>
      </c>
      <c r="AH281" s="129" t="e">
        <f>VLOOKUP(VALUE($U281),test_out_xwalk!$C:$L,7,FALSE)</f>
        <v>#VALUE!</v>
      </c>
      <c r="AI281" s="129" t="e">
        <f>VLOOKUP(VALUE($U281),test_out_xwalk!$C:$L,4,FALSE)</f>
        <v>#VALUE!</v>
      </c>
      <c r="AJ281" s="129" t="e">
        <f>VLOOKUP(VALUE($U281),test_out_xwalk!$C:$L,9,FALSE)</f>
        <v>#VALUE!</v>
      </c>
      <c r="AK281" t="e">
        <f>_xlfn.XLOOKUP(VALUE(U281),test_out_xwalk!C:C,test_out_xwalk!A:A)</f>
        <v>#VALUE!</v>
      </c>
    </row>
    <row r="282" spans="1:37" x14ac:dyDescent="0.55000000000000004">
      <c r="A282" s="121" t="str">
        <f>IF('summary_EPA Pond'!$A282="","Check Summary EPA POND worksheet Column A",'summary_EPA Pond'!$A282)</f>
        <v xml:space="preserve">22_2580954-22752-37_Hay all-r10U-A_USEPA Pond_0055_median                             </v>
      </c>
      <c r="B282" s="121" t="str" cm="1">
        <f t="array" ref="B282:G282">IFERROR(_xlfn.TEXTSPLIT(A282,"_"),"")</f>
        <v>22</v>
      </c>
      <c r="C282" t="str">
        <v>2580954-22752-37</v>
      </c>
      <c r="D282" t="str">
        <v>Hay all-r10U-A</v>
      </c>
      <c r="E282" t="str">
        <v>USEPA Pond</v>
      </c>
      <c r="F282" t="str">
        <v>0055</v>
      </c>
      <c r="G282" t="str">
        <v xml:space="preserve">median                             </v>
      </c>
      <c r="H282" s="121" t="str" cm="1">
        <f t="array" ref="H282:J282">IF(D282="","",(_xlfn.TEXTSPLIT(D282,"-")))</f>
        <v>Hay all</v>
      </c>
      <c r="I282" s="121" t="str">
        <v>r10U</v>
      </c>
      <c r="J282" t="str">
        <v>A</v>
      </c>
      <c r="K282" s="129" t="str">
        <f>VLOOKUP(VALUE($B282),test_out_xwalk!$C:$L,3,FALSE)</f>
        <v>Clover-9-22</v>
      </c>
      <c r="L282" s="129">
        <f>VLOOKUP(VALUE($B282),test_out_xwalk!$C:$L,5,FALSE)</f>
        <v>1</v>
      </c>
      <c r="M282" s="129">
        <f>VLOOKUP(VALUE($B282),test_out_xwalk!$C:$L,6,FALSE)</f>
        <v>2</v>
      </c>
      <c r="N282" s="129" t="str">
        <f>VLOOKUP(VALUE($B282),test_out_xwalk!$C:$L,8,FALSE)</f>
        <v>Aerial_Coarse</v>
      </c>
      <c r="O282" s="129" t="str">
        <f>VLOOKUP(VALUE($B282),test_out_xwalk!$C:$L,7,FALSE)</f>
        <v>Spray</v>
      </c>
      <c r="P282" s="129" t="str">
        <f>VLOOKUP(VALUE($B282),test_out_xwalk!$C:$L,4,FALSE)</f>
        <v>Post-emergence</v>
      </c>
      <c r="Q282" s="129" t="str">
        <f>VLOOKUP(VALUE($B282),test_out_xwalk!$C:$L,9,FALSE)</f>
        <v>Other crops</v>
      </c>
      <c r="R282">
        <f>_xlfn.XLOOKUP(VALUE(B282),test_out_xwalk!$C:$C,test_out_xwalk!$A:$A)</f>
        <v>9</v>
      </c>
      <c r="T282" s="121" t="str">
        <f>IF('summary_EPA Pond'!$O282="","Check Summary EPA POND worksheet Column O",'summary_EPA Pond'!$O282)</f>
        <v>Check Summary EPA POND worksheet Column O</v>
      </c>
      <c r="U282" s="121" t="str" cm="1">
        <f t="array" ref="U282">IFERROR(_xlfn.TEXTSPLIT(T282,"_"),"")</f>
        <v>Check Summary EPA POND worksheet Column O</v>
      </c>
      <c r="AA282" s="121" t="str" cm="1">
        <f t="array" ref="AA282">IF(W282="","",(_xlfn.TEXTSPLIT(W282,"-")))</f>
        <v/>
      </c>
      <c r="AD282" s="129" t="e">
        <f>VLOOKUP(VALUE($U282),test_out_xwalk!$C:$L,3,FALSE)</f>
        <v>#VALUE!</v>
      </c>
      <c r="AE282" s="129" t="e">
        <f>VLOOKUP(VALUE($U282),test_out_xwalk!$C:$L,5,FALSE)</f>
        <v>#VALUE!</v>
      </c>
      <c r="AF282" s="129" t="e">
        <f>VLOOKUP(VALUE($U282),test_out_xwalk!$C:$L,6,FALSE)</f>
        <v>#VALUE!</v>
      </c>
      <c r="AG282" s="129" t="e">
        <f>VLOOKUP(VALUE($U282),test_out_xwalk!$C:$L,8,FALSE)</f>
        <v>#VALUE!</v>
      </c>
      <c r="AH282" s="129" t="e">
        <f>VLOOKUP(VALUE($U282),test_out_xwalk!$C:$L,7,FALSE)</f>
        <v>#VALUE!</v>
      </c>
      <c r="AI282" s="129" t="e">
        <f>VLOOKUP(VALUE($U282),test_out_xwalk!$C:$L,4,FALSE)</f>
        <v>#VALUE!</v>
      </c>
      <c r="AJ282" s="129" t="e">
        <f>VLOOKUP(VALUE($U282),test_out_xwalk!$C:$L,9,FALSE)</f>
        <v>#VALUE!</v>
      </c>
      <c r="AK282" t="e">
        <f>_xlfn.XLOOKUP(VALUE(U282),test_out_xwalk!C:C,test_out_xwalk!A:A)</f>
        <v>#VALUE!</v>
      </c>
    </row>
    <row r="283" spans="1:37" x14ac:dyDescent="0.55000000000000004">
      <c r="A283" s="121" t="str">
        <f>IF('summary_EPA Pond'!$A283="","Check Summary EPA POND worksheet Column A",'summary_EPA Pond'!$A283)</f>
        <v xml:space="preserve">22_2605767-16402-36_Hay all-r11-A_USEPA Pond_0055_median                              </v>
      </c>
      <c r="B283" s="121" t="str" cm="1">
        <f t="array" ref="B283:G283">IFERROR(_xlfn.TEXTSPLIT(A283,"_"),"")</f>
        <v>22</v>
      </c>
      <c r="C283" t="str">
        <v>2605767-16402-36</v>
      </c>
      <c r="D283" t="str">
        <v>Hay all-r11-A</v>
      </c>
      <c r="E283" t="str">
        <v>USEPA Pond</v>
      </c>
      <c r="F283" t="str">
        <v>0055</v>
      </c>
      <c r="G283" t="str">
        <v xml:space="preserve">median                              </v>
      </c>
      <c r="H283" s="121" t="str" cm="1">
        <f t="array" ref="H283:J283">IF(D283="","",(_xlfn.TEXTSPLIT(D283,"-")))</f>
        <v>Hay all</v>
      </c>
      <c r="I283" s="121" t="str">
        <v>r11</v>
      </c>
      <c r="J283" t="str">
        <v>A</v>
      </c>
      <c r="K283" s="129" t="str">
        <f>VLOOKUP(VALUE($B283),test_out_xwalk!$C:$L,3,FALSE)</f>
        <v>Clover-9-22</v>
      </c>
      <c r="L283" s="129">
        <f>VLOOKUP(VALUE($B283),test_out_xwalk!$C:$L,5,FALSE)</f>
        <v>1</v>
      </c>
      <c r="M283" s="129">
        <f>VLOOKUP(VALUE($B283),test_out_xwalk!$C:$L,6,FALSE)</f>
        <v>2</v>
      </c>
      <c r="N283" s="129" t="str">
        <f>VLOOKUP(VALUE($B283),test_out_xwalk!$C:$L,8,FALSE)</f>
        <v>Aerial_Coarse</v>
      </c>
      <c r="O283" s="129" t="str">
        <f>VLOOKUP(VALUE($B283),test_out_xwalk!$C:$L,7,FALSE)</f>
        <v>Spray</v>
      </c>
      <c r="P283" s="129" t="str">
        <f>VLOOKUP(VALUE($B283),test_out_xwalk!$C:$L,4,FALSE)</f>
        <v>Post-emergence</v>
      </c>
      <c r="Q283" s="129" t="str">
        <f>VLOOKUP(VALUE($B283),test_out_xwalk!$C:$L,9,FALSE)</f>
        <v>Other crops</v>
      </c>
      <c r="R283">
        <f>_xlfn.XLOOKUP(VALUE(B283),test_out_xwalk!$C:$C,test_out_xwalk!$A:$A)</f>
        <v>9</v>
      </c>
      <c r="T283" s="121" t="str">
        <f>IF('summary_EPA Pond'!$O283="","Check Summary EPA POND worksheet Column O",'summary_EPA Pond'!$O283)</f>
        <v>Check Summary EPA POND worksheet Column O</v>
      </c>
      <c r="U283" s="121" t="str" cm="1">
        <f t="array" ref="U283">IFERROR(_xlfn.TEXTSPLIT(T283,"_"),"")</f>
        <v>Check Summary EPA POND worksheet Column O</v>
      </c>
      <c r="AA283" s="121" t="str" cm="1">
        <f t="array" ref="AA283">IF(W283="","",(_xlfn.TEXTSPLIT(W283,"-")))</f>
        <v/>
      </c>
      <c r="AD283" s="129" t="e">
        <f>VLOOKUP(VALUE($U283),test_out_xwalk!$C:$L,3,FALSE)</f>
        <v>#VALUE!</v>
      </c>
      <c r="AE283" s="129" t="e">
        <f>VLOOKUP(VALUE($U283),test_out_xwalk!$C:$L,5,FALSE)</f>
        <v>#VALUE!</v>
      </c>
      <c r="AF283" s="129" t="e">
        <f>VLOOKUP(VALUE($U283),test_out_xwalk!$C:$L,6,FALSE)</f>
        <v>#VALUE!</v>
      </c>
      <c r="AG283" s="129" t="e">
        <f>VLOOKUP(VALUE($U283),test_out_xwalk!$C:$L,8,FALSE)</f>
        <v>#VALUE!</v>
      </c>
      <c r="AH283" s="129" t="e">
        <f>VLOOKUP(VALUE($U283),test_out_xwalk!$C:$L,7,FALSE)</f>
        <v>#VALUE!</v>
      </c>
      <c r="AI283" s="129" t="e">
        <f>VLOOKUP(VALUE($U283),test_out_xwalk!$C:$L,4,FALSE)</f>
        <v>#VALUE!</v>
      </c>
      <c r="AJ283" s="129" t="e">
        <f>VLOOKUP(VALUE($U283),test_out_xwalk!$C:$L,9,FALSE)</f>
        <v>#VALUE!</v>
      </c>
      <c r="AK283" t="e">
        <f>_xlfn.XLOOKUP(VALUE(U283),test_out_xwalk!C:C,test_out_xwalk!A:A)</f>
        <v>#VALUE!</v>
      </c>
    </row>
    <row r="284" spans="1:37" x14ac:dyDescent="0.55000000000000004">
      <c r="A284" s="121" t="str">
        <f>IF('summary_EPA Pond'!$A284="","Check Summary EPA POND worksheet Column A",'summary_EPA Pond'!$A284)</f>
        <v xml:space="preserve">22_365327-11680-37_Hay all-r12-A_USEPA Pond_0055_median                               </v>
      </c>
      <c r="B284" s="121" t="str" cm="1">
        <f t="array" ref="B284:G284">IFERROR(_xlfn.TEXTSPLIT(A284,"_"),"")</f>
        <v>22</v>
      </c>
      <c r="C284" t="str">
        <v>365327-11680-37</v>
      </c>
      <c r="D284" t="str">
        <v>Hay all-r12-A</v>
      </c>
      <c r="E284" t="str">
        <v>USEPA Pond</v>
      </c>
      <c r="F284" t="str">
        <v>0055</v>
      </c>
      <c r="G284" t="str">
        <v xml:space="preserve">median                               </v>
      </c>
      <c r="H284" s="121" t="str" cm="1">
        <f t="array" ref="H284:J284">IF(D284="","",(_xlfn.TEXTSPLIT(D284,"-")))</f>
        <v>Hay all</v>
      </c>
      <c r="I284" s="121" t="str">
        <v>r12</v>
      </c>
      <c r="J284" t="str">
        <v>A</v>
      </c>
      <c r="K284" s="129" t="str">
        <f>VLOOKUP(VALUE($B284),test_out_xwalk!$C:$L,3,FALSE)</f>
        <v>Clover-9-22</v>
      </c>
      <c r="L284" s="129">
        <f>VLOOKUP(VALUE($B284),test_out_xwalk!$C:$L,5,FALSE)</f>
        <v>1</v>
      </c>
      <c r="M284" s="129">
        <f>VLOOKUP(VALUE($B284),test_out_xwalk!$C:$L,6,FALSE)</f>
        <v>2</v>
      </c>
      <c r="N284" s="129" t="str">
        <f>VLOOKUP(VALUE($B284),test_out_xwalk!$C:$L,8,FALSE)</f>
        <v>Aerial_Coarse</v>
      </c>
      <c r="O284" s="129" t="str">
        <f>VLOOKUP(VALUE($B284),test_out_xwalk!$C:$L,7,FALSE)</f>
        <v>Spray</v>
      </c>
      <c r="P284" s="129" t="str">
        <f>VLOOKUP(VALUE($B284),test_out_xwalk!$C:$L,4,FALSE)</f>
        <v>Post-emergence</v>
      </c>
      <c r="Q284" s="129" t="str">
        <f>VLOOKUP(VALUE($B284),test_out_xwalk!$C:$L,9,FALSE)</f>
        <v>Other crops</v>
      </c>
      <c r="R284">
        <f>_xlfn.XLOOKUP(VALUE(B284),test_out_xwalk!$C:$C,test_out_xwalk!$A:$A)</f>
        <v>9</v>
      </c>
      <c r="T284" s="121" t="str">
        <f>IF('summary_EPA Pond'!$O284="","Check Summary EPA POND worksheet Column O",'summary_EPA Pond'!$O284)</f>
        <v>Check Summary EPA POND worksheet Column O</v>
      </c>
      <c r="U284" s="121" t="str" cm="1">
        <f t="array" ref="U284">IFERROR(_xlfn.TEXTSPLIT(T284,"_"),"")</f>
        <v>Check Summary EPA POND worksheet Column O</v>
      </c>
      <c r="AA284" s="121" t="str" cm="1">
        <f t="array" ref="AA284">IF(W284="","",(_xlfn.TEXTSPLIT(W284,"-")))</f>
        <v/>
      </c>
      <c r="AD284" s="129" t="e">
        <f>VLOOKUP(VALUE($U284),test_out_xwalk!$C:$L,3,FALSE)</f>
        <v>#VALUE!</v>
      </c>
      <c r="AE284" s="129" t="e">
        <f>VLOOKUP(VALUE($U284),test_out_xwalk!$C:$L,5,FALSE)</f>
        <v>#VALUE!</v>
      </c>
      <c r="AF284" s="129" t="e">
        <f>VLOOKUP(VALUE($U284),test_out_xwalk!$C:$L,6,FALSE)</f>
        <v>#VALUE!</v>
      </c>
      <c r="AG284" s="129" t="e">
        <f>VLOOKUP(VALUE($U284),test_out_xwalk!$C:$L,8,FALSE)</f>
        <v>#VALUE!</v>
      </c>
      <c r="AH284" s="129" t="e">
        <f>VLOOKUP(VALUE($U284),test_out_xwalk!$C:$L,7,FALSE)</f>
        <v>#VALUE!</v>
      </c>
      <c r="AI284" s="129" t="e">
        <f>VLOOKUP(VALUE($U284),test_out_xwalk!$C:$L,4,FALSE)</f>
        <v>#VALUE!</v>
      </c>
      <c r="AJ284" s="129" t="e">
        <f>VLOOKUP(VALUE($U284),test_out_xwalk!$C:$L,9,FALSE)</f>
        <v>#VALUE!</v>
      </c>
      <c r="AK284" t="e">
        <f>_xlfn.XLOOKUP(VALUE(U284),test_out_xwalk!C:C,test_out_xwalk!A:A)</f>
        <v>#VALUE!</v>
      </c>
    </row>
    <row r="285" spans="1:37" x14ac:dyDescent="0.55000000000000004">
      <c r="A285" s="121" t="str">
        <f>IF('summary_EPA Pond'!$A285="","Check Summary EPA POND worksheet Column A",'summary_EPA Pond'!$A285)</f>
        <v xml:space="preserve">22_55901-12123-36_Hay all-r13-A_USEPA Pond_0055_median                                </v>
      </c>
      <c r="B285" s="121" t="str" cm="1">
        <f t="array" ref="B285:G285">IFERROR(_xlfn.TEXTSPLIT(A285,"_"),"")</f>
        <v>22</v>
      </c>
      <c r="C285" t="str">
        <v>55901-12123-36</v>
      </c>
      <c r="D285" t="str">
        <v>Hay all-r13-A</v>
      </c>
      <c r="E285" t="str">
        <v>USEPA Pond</v>
      </c>
      <c r="F285" t="str">
        <v>0055</v>
      </c>
      <c r="G285" t="str">
        <v xml:space="preserve">median                                </v>
      </c>
      <c r="H285" s="121" t="str" cm="1">
        <f t="array" ref="H285:J285">IF(D285="","",(_xlfn.TEXTSPLIT(D285,"-")))</f>
        <v>Hay all</v>
      </c>
      <c r="I285" s="121" t="str">
        <v>r13</v>
      </c>
      <c r="J285" t="str">
        <v>A</v>
      </c>
      <c r="K285" s="129" t="str">
        <f>VLOOKUP(VALUE($B285),test_out_xwalk!$C:$L,3,FALSE)</f>
        <v>Clover-9-22</v>
      </c>
      <c r="L285" s="129">
        <f>VLOOKUP(VALUE($B285),test_out_xwalk!$C:$L,5,FALSE)</f>
        <v>1</v>
      </c>
      <c r="M285" s="129">
        <f>VLOOKUP(VALUE($B285),test_out_xwalk!$C:$L,6,FALSE)</f>
        <v>2</v>
      </c>
      <c r="N285" s="129" t="str">
        <f>VLOOKUP(VALUE($B285),test_out_xwalk!$C:$L,8,FALSE)</f>
        <v>Aerial_Coarse</v>
      </c>
      <c r="O285" s="129" t="str">
        <f>VLOOKUP(VALUE($B285),test_out_xwalk!$C:$L,7,FALSE)</f>
        <v>Spray</v>
      </c>
      <c r="P285" s="129" t="str">
        <f>VLOOKUP(VALUE($B285),test_out_xwalk!$C:$L,4,FALSE)</f>
        <v>Post-emergence</v>
      </c>
      <c r="Q285" s="129" t="str">
        <f>VLOOKUP(VALUE($B285),test_out_xwalk!$C:$L,9,FALSE)</f>
        <v>Other crops</v>
      </c>
      <c r="R285">
        <f>_xlfn.XLOOKUP(VALUE(B285),test_out_xwalk!$C:$C,test_out_xwalk!$A:$A)</f>
        <v>9</v>
      </c>
      <c r="T285" s="121" t="str">
        <f>IF('summary_EPA Pond'!$O285="","Check Summary EPA POND worksheet Column O",'summary_EPA Pond'!$O285)</f>
        <v>Check Summary EPA POND worksheet Column O</v>
      </c>
      <c r="U285" s="121" t="str" cm="1">
        <f t="array" ref="U285">IFERROR(_xlfn.TEXTSPLIT(T285,"_"),"")</f>
        <v>Check Summary EPA POND worksheet Column O</v>
      </c>
      <c r="AA285" s="121" t="str" cm="1">
        <f t="array" ref="AA285">IF(W285="","",(_xlfn.TEXTSPLIT(W285,"-")))</f>
        <v/>
      </c>
      <c r="AD285" s="129" t="e">
        <f>VLOOKUP(VALUE($U285),test_out_xwalk!$C:$L,3,FALSE)</f>
        <v>#VALUE!</v>
      </c>
      <c r="AE285" s="129" t="e">
        <f>VLOOKUP(VALUE($U285),test_out_xwalk!$C:$L,5,FALSE)</f>
        <v>#VALUE!</v>
      </c>
      <c r="AF285" s="129" t="e">
        <f>VLOOKUP(VALUE($U285),test_out_xwalk!$C:$L,6,FALSE)</f>
        <v>#VALUE!</v>
      </c>
      <c r="AG285" s="129" t="e">
        <f>VLOOKUP(VALUE($U285),test_out_xwalk!$C:$L,8,FALSE)</f>
        <v>#VALUE!</v>
      </c>
      <c r="AH285" s="129" t="e">
        <f>VLOOKUP(VALUE($U285),test_out_xwalk!$C:$L,7,FALSE)</f>
        <v>#VALUE!</v>
      </c>
      <c r="AI285" s="129" t="e">
        <f>VLOOKUP(VALUE($U285),test_out_xwalk!$C:$L,4,FALSE)</f>
        <v>#VALUE!</v>
      </c>
      <c r="AJ285" s="129" t="e">
        <f>VLOOKUP(VALUE($U285),test_out_xwalk!$C:$L,9,FALSE)</f>
        <v>#VALUE!</v>
      </c>
      <c r="AK285" t="e">
        <f>_xlfn.XLOOKUP(VALUE(U285),test_out_xwalk!C:C,test_out_xwalk!A:A)</f>
        <v>#VALUE!</v>
      </c>
    </row>
    <row r="286" spans="1:37" x14ac:dyDescent="0.55000000000000004">
      <c r="A286" s="121" t="str">
        <f>IF('summary_EPA Pond'!$A286="","Check Summary EPA POND worksheet Column A",'summary_EPA Pond'!$A286)</f>
        <v xml:space="preserve">22_508796-17301-36_Hay all-r14-A_USEPA Pond_0055_median                               </v>
      </c>
      <c r="B286" s="121" t="str" cm="1">
        <f t="array" ref="B286:G286">IFERROR(_xlfn.TEXTSPLIT(A286,"_"),"")</f>
        <v>22</v>
      </c>
      <c r="C286" t="str">
        <v>508796-17301-36</v>
      </c>
      <c r="D286" t="str">
        <v>Hay all-r14-A</v>
      </c>
      <c r="E286" t="str">
        <v>USEPA Pond</v>
      </c>
      <c r="F286" t="str">
        <v>0055</v>
      </c>
      <c r="G286" t="str">
        <v xml:space="preserve">median                               </v>
      </c>
      <c r="H286" s="121" t="str" cm="1">
        <f t="array" ref="H286:J286">IF(D286="","",(_xlfn.TEXTSPLIT(D286,"-")))</f>
        <v>Hay all</v>
      </c>
      <c r="I286" s="121" t="str">
        <v>r14</v>
      </c>
      <c r="J286" t="str">
        <v>A</v>
      </c>
      <c r="K286" s="129" t="str">
        <f>VLOOKUP(VALUE($B286),test_out_xwalk!$C:$L,3,FALSE)</f>
        <v>Clover-9-22</v>
      </c>
      <c r="L286" s="129">
        <f>VLOOKUP(VALUE($B286),test_out_xwalk!$C:$L,5,FALSE)</f>
        <v>1</v>
      </c>
      <c r="M286" s="129">
        <f>VLOOKUP(VALUE($B286),test_out_xwalk!$C:$L,6,FALSE)</f>
        <v>2</v>
      </c>
      <c r="N286" s="129" t="str">
        <f>VLOOKUP(VALUE($B286),test_out_xwalk!$C:$L,8,FALSE)</f>
        <v>Aerial_Coarse</v>
      </c>
      <c r="O286" s="129" t="str">
        <f>VLOOKUP(VALUE($B286),test_out_xwalk!$C:$L,7,FALSE)</f>
        <v>Spray</v>
      </c>
      <c r="P286" s="129" t="str">
        <f>VLOOKUP(VALUE($B286),test_out_xwalk!$C:$L,4,FALSE)</f>
        <v>Post-emergence</v>
      </c>
      <c r="Q286" s="129" t="str">
        <f>VLOOKUP(VALUE($B286),test_out_xwalk!$C:$L,9,FALSE)</f>
        <v>Other crops</v>
      </c>
      <c r="R286">
        <f>_xlfn.XLOOKUP(VALUE(B286),test_out_xwalk!$C:$C,test_out_xwalk!$A:$A)</f>
        <v>9</v>
      </c>
      <c r="T286" s="121" t="str">
        <f>IF('summary_EPA Pond'!$O286="","Check Summary EPA POND worksheet Column O",'summary_EPA Pond'!$O286)</f>
        <v>Check Summary EPA POND worksheet Column O</v>
      </c>
      <c r="U286" s="121" t="str" cm="1">
        <f t="array" ref="U286">IFERROR(_xlfn.TEXTSPLIT(T286,"_"),"")</f>
        <v>Check Summary EPA POND worksheet Column O</v>
      </c>
      <c r="AA286" s="121" t="str" cm="1">
        <f t="array" ref="AA286">IF(W286="","",(_xlfn.TEXTSPLIT(W286,"-")))</f>
        <v/>
      </c>
      <c r="AD286" s="129" t="e">
        <f>VLOOKUP(VALUE($U286),test_out_xwalk!$C:$L,3,FALSE)</f>
        <v>#VALUE!</v>
      </c>
      <c r="AE286" s="129" t="e">
        <f>VLOOKUP(VALUE($U286),test_out_xwalk!$C:$L,5,FALSE)</f>
        <v>#VALUE!</v>
      </c>
      <c r="AF286" s="129" t="e">
        <f>VLOOKUP(VALUE($U286),test_out_xwalk!$C:$L,6,FALSE)</f>
        <v>#VALUE!</v>
      </c>
      <c r="AG286" s="129" t="e">
        <f>VLOOKUP(VALUE($U286),test_out_xwalk!$C:$L,8,FALSE)</f>
        <v>#VALUE!</v>
      </c>
      <c r="AH286" s="129" t="e">
        <f>VLOOKUP(VALUE($U286),test_out_xwalk!$C:$L,7,FALSE)</f>
        <v>#VALUE!</v>
      </c>
      <c r="AI286" s="129" t="e">
        <f>VLOOKUP(VALUE($U286),test_out_xwalk!$C:$L,4,FALSE)</f>
        <v>#VALUE!</v>
      </c>
      <c r="AJ286" s="129" t="e">
        <f>VLOOKUP(VALUE($U286),test_out_xwalk!$C:$L,9,FALSE)</f>
        <v>#VALUE!</v>
      </c>
      <c r="AK286" t="e">
        <f>_xlfn.XLOOKUP(VALUE(U286),test_out_xwalk!C:C,test_out_xwalk!A:A)</f>
        <v>#VALUE!</v>
      </c>
    </row>
    <row r="287" spans="1:37" x14ac:dyDescent="0.55000000000000004">
      <c r="A287" s="121" t="str">
        <f>IF('summary_EPA Pond'!$A287="","Check Summary EPA POND worksheet Column A",'summary_EPA Pond'!$A287)</f>
        <v xml:space="preserve">22_464078-12554-36_Hay all-r15-A_USEPA Pond_0055_median                               </v>
      </c>
      <c r="B287" s="121" t="str" cm="1">
        <f t="array" ref="B287:G287">IFERROR(_xlfn.TEXTSPLIT(A287,"_"),"")</f>
        <v>22</v>
      </c>
      <c r="C287" t="str">
        <v>464078-12554-36</v>
      </c>
      <c r="D287" t="str">
        <v>Hay all-r15-A</v>
      </c>
      <c r="E287" t="str">
        <v>USEPA Pond</v>
      </c>
      <c r="F287" t="str">
        <v>0055</v>
      </c>
      <c r="G287" t="str">
        <v xml:space="preserve">median                               </v>
      </c>
      <c r="H287" s="121" t="str" cm="1">
        <f t="array" ref="H287:J287">IF(D287="","",(_xlfn.TEXTSPLIT(D287,"-")))</f>
        <v>Hay all</v>
      </c>
      <c r="I287" s="121" t="str">
        <v>r15</v>
      </c>
      <c r="J287" t="str">
        <v>A</v>
      </c>
      <c r="K287" s="129" t="str">
        <f>VLOOKUP(VALUE($B287),test_out_xwalk!$C:$L,3,FALSE)</f>
        <v>Clover-9-22</v>
      </c>
      <c r="L287" s="129">
        <f>VLOOKUP(VALUE($B287),test_out_xwalk!$C:$L,5,FALSE)</f>
        <v>1</v>
      </c>
      <c r="M287" s="129">
        <f>VLOOKUP(VALUE($B287),test_out_xwalk!$C:$L,6,FALSE)</f>
        <v>2</v>
      </c>
      <c r="N287" s="129" t="str">
        <f>VLOOKUP(VALUE($B287),test_out_xwalk!$C:$L,8,FALSE)</f>
        <v>Aerial_Coarse</v>
      </c>
      <c r="O287" s="129" t="str">
        <f>VLOOKUP(VALUE($B287),test_out_xwalk!$C:$L,7,FALSE)</f>
        <v>Spray</v>
      </c>
      <c r="P287" s="129" t="str">
        <f>VLOOKUP(VALUE($B287),test_out_xwalk!$C:$L,4,FALSE)</f>
        <v>Post-emergence</v>
      </c>
      <c r="Q287" s="129" t="str">
        <f>VLOOKUP(VALUE($B287),test_out_xwalk!$C:$L,9,FALSE)</f>
        <v>Other crops</v>
      </c>
      <c r="R287">
        <f>_xlfn.XLOOKUP(VALUE(B287),test_out_xwalk!$C:$C,test_out_xwalk!$A:$A)</f>
        <v>9</v>
      </c>
      <c r="T287" s="121" t="str">
        <f>IF('summary_EPA Pond'!$O287="","Check Summary EPA POND worksheet Column O",'summary_EPA Pond'!$O287)</f>
        <v>Check Summary EPA POND worksheet Column O</v>
      </c>
      <c r="U287" s="121" t="str" cm="1">
        <f t="array" ref="U287">IFERROR(_xlfn.TEXTSPLIT(T287,"_"),"")</f>
        <v>Check Summary EPA POND worksheet Column O</v>
      </c>
      <c r="AA287" s="121" t="str" cm="1">
        <f t="array" ref="AA287">IF(W287="","",(_xlfn.TEXTSPLIT(W287,"-")))</f>
        <v/>
      </c>
      <c r="AD287" s="129" t="e">
        <f>VLOOKUP(VALUE($U287),test_out_xwalk!$C:$L,3,FALSE)</f>
        <v>#VALUE!</v>
      </c>
      <c r="AE287" s="129" t="e">
        <f>VLOOKUP(VALUE($U287),test_out_xwalk!$C:$L,5,FALSE)</f>
        <v>#VALUE!</v>
      </c>
      <c r="AF287" s="129" t="e">
        <f>VLOOKUP(VALUE($U287),test_out_xwalk!$C:$L,6,FALSE)</f>
        <v>#VALUE!</v>
      </c>
      <c r="AG287" s="129" t="e">
        <f>VLOOKUP(VALUE($U287),test_out_xwalk!$C:$L,8,FALSE)</f>
        <v>#VALUE!</v>
      </c>
      <c r="AH287" s="129" t="e">
        <f>VLOOKUP(VALUE($U287),test_out_xwalk!$C:$L,7,FALSE)</f>
        <v>#VALUE!</v>
      </c>
      <c r="AI287" s="129" t="e">
        <f>VLOOKUP(VALUE($U287),test_out_xwalk!$C:$L,4,FALSE)</f>
        <v>#VALUE!</v>
      </c>
      <c r="AJ287" s="129" t="e">
        <f>VLOOKUP(VALUE($U287),test_out_xwalk!$C:$L,9,FALSE)</f>
        <v>#VALUE!</v>
      </c>
      <c r="AK287" t="e">
        <f>_xlfn.XLOOKUP(VALUE(U287),test_out_xwalk!C:C,test_out_xwalk!A:A)</f>
        <v>#VALUE!</v>
      </c>
    </row>
    <row r="288" spans="1:37" x14ac:dyDescent="0.55000000000000004">
      <c r="A288" s="121" t="str">
        <f>IF('summary_EPA Pond'!$A288="","Check Summary EPA POND worksheet Column A",'summary_EPA Pond'!$A288)</f>
        <v xml:space="preserve">22_476104-19392-36_Hay all-r16-A_USEPA Pond_0055_median                               </v>
      </c>
      <c r="B288" s="121" t="str" cm="1">
        <f t="array" ref="B288:G288">IFERROR(_xlfn.TEXTSPLIT(A288,"_"),"")</f>
        <v>22</v>
      </c>
      <c r="C288" t="str">
        <v>476104-19392-36</v>
      </c>
      <c r="D288" t="str">
        <v>Hay all-r16-A</v>
      </c>
      <c r="E288" t="str">
        <v>USEPA Pond</v>
      </c>
      <c r="F288" t="str">
        <v>0055</v>
      </c>
      <c r="G288" t="str">
        <v xml:space="preserve">median                               </v>
      </c>
      <c r="H288" s="121" t="str" cm="1">
        <f t="array" ref="H288:J288">IF(D288="","",(_xlfn.TEXTSPLIT(D288,"-")))</f>
        <v>Hay all</v>
      </c>
      <c r="I288" s="121" t="str">
        <v>r16</v>
      </c>
      <c r="J288" t="str">
        <v>A</v>
      </c>
      <c r="K288" s="129" t="str">
        <f>VLOOKUP(VALUE($B288),test_out_xwalk!$C:$L,3,FALSE)</f>
        <v>Clover-9-22</v>
      </c>
      <c r="L288" s="129">
        <f>VLOOKUP(VALUE($B288),test_out_xwalk!$C:$L,5,FALSE)</f>
        <v>1</v>
      </c>
      <c r="M288" s="129">
        <f>VLOOKUP(VALUE($B288),test_out_xwalk!$C:$L,6,FALSE)</f>
        <v>2</v>
      </c>
      <c r="N288" s="129" t="str">
        <f>VLOOKUP(VALUE($B288),test_out_xwalk!$C:$L,8,FALSE)</f>
        <v>Aerial_Coarse</v>
      </c>
      <c r="O288" s="129" t="str">
        <f>VLOOKUP(VALUE($B288),test_out_xwalk!$C:$L,7,FALSE)</f>
        <v>Spray</v>
      </c>
      <c r="P288" s="129" t="str">
        <f>VLOOKUP(VALUE($B288),test_out_xwalk!$C:$L,4,FALSE)</f>
        <v>Post-emergence</v>
      </c>
      <c r="Q288" s="129" t="str">
        <f>VLOOKUP(VALUE($B288),test_out_xwalk!$C:$L,9,FALSE)</f>
        <v>Other crops</v>
      </c>
      <c r="R288">
        <f>_xlfn.XLOOKUP(VALUE(B288),test_out_xwalk!$C:$C,test_out_xwalk!$A:$A)</f>
        <v>9</v>
      </c>
      <c r="T288" s="121" t="str">
        <f>IF('summary_EPA Pond'!$O288="","Check Summary EPA POND worksheet Column O",'summary_EPA Pond'!$O288)</f>
        <v>Check Summary EPA POND worksheet Column O</v>
      </c>
      <c r="U288" s="121" t="str" cm="1">
        <f t="array" ref="U288">IFERROR(_xlfn.TEXTSPLIT(T288,"_"),"")</f>
        <v>Check Summary EPA POND worksheet Column O</v>
      </c>
      <c r="AA288" s="121" t="str" cm="1">
        <f t="array" ref="AA288">IF(W288="","",(_xlfn.TEXTSPLIT(W288,"-")))</f>
        <v/>
      </c>
      <c r="AD288" s="129" t="e">
        <f>VLOOKUP(VALUE($U288),test_out_xwalk!$C:$L,3,FALSE)</f>
        <v>#VALUE!</v>
      </c>
      <c r="AE288" s="129" t="e">
        <f>VLOOKUP(VALUE($U288),test_out_xwalk!$C:$L,5,FALSE)</f>
        <v>#VALUE!</v>
      </c>
      <c r="AF288" s="129" t="e">
        <f>VLOOKUP(VALUE($U288),test_out_xwalk!$C:$L,6,FALSE)</f>
        <v>#VALUE!</v>
      </c>
      <c r="AG288" s="129" t="e">
        <f>VLOOKUP(VALUE($U288),test_out_xwalk!$C:$L,8,FALSE)</f>
        <v>#VALUE!</v>
      </c>
      <c r="AH288" s="129" t="e">
        <f>VLOOKUP(VALUE($U288),test_out_xwalk!$C:$L,7,FALSE)</f>
        <v>#VALUE!</v>
      </c>
      <c r="AI288" s="129" t="e">
        <f>VLOOKUP(VALUE($U288),test_out_xwalk!$C:$L,4,FALSE)</f>
        <v>#VALUE!</v>
      </c>
      <c r="AJ288" s="129" t="e">
        <f>VLOOKUP(VALUE($U288),test_out_xwalk!$C:$L,9,FALSE)</f>
        <v>#VALUE!</v>
      </c>
      <c r="AK288" t="e">
        <f>_xlfn.XLOOKUP(VALUE(U288),test_out_xwalk!C:C,test_out_xwalk!A:A)</f>
        <v>#VALUE!</v>
      </c>
    </row>
    <row r="289" spans="1:37" x14ac:dyDescent="0.55000000000000004">
      <c r="A289" s="121" t="str">
        <f>IF('summary_EPA Pond'!$A289="","Check Summary EPA POND worksheet Column A",'summary_EPA Pond'!$A289)</f>
        <v xml:space="preserve">22_155797-26007-37_Hay all-r17-A_USEPA Pond_0055_median                               </v>
      </c>
      <c r="B289" s="121" t="str" cm="1">
        <f t="array" ref="B289:G289">IFERROR(_xlfn.TEXTSPLIT(A289,"_"),"")</f>
        <v>22</v>
      </c>
      <c r="C289" t="str">
        <v>155797-26007-37</v>
      </c>
      <c r="D289" t="str">
        <v>Hay all-r17-A</v>
      </c>
      <c r="E289" t="str">
        <v>USEPA Pond</v>
      </c>
      <c r="F289" t="str">
        <v>0055</v>
      </c>
      <c r="G289" t="str">
        <v xml:space="preserve">median                               </v>
      </c>
      <c r="H289" s="121" t="str" cm="1">
        <f t="array" ref="H289:J289">IF(D289="","",(_xlfn.TEXTSPLIT(D289,"-")))</f>
        <v>Hay all</v>
      </c>
      <c r="I289" s="121" t="str">
        <v>r17</v>
      </c>
      <c r="J289" t="str">
        <v>A</v>
      </c>
      <c r="K289" s="129" t="str">
        <f>VLOOKUP(VALUE($B289),test_out_xwalk!$C:$L,3,FALSE)</f>
        <v>Clover-9-22</v>
      </c>
      <c r="L289" s="129">
        <f>VLOOKUP(VALUE($B289),test_out_xwalk!$C:$L,5,FALSE)</f>
        <v>1</v>
      </c>
      <c r="M289" s="129">
        <f>VLOOKUP(VALUE($B289),test_out_xwalk!$C:$L,6,FALSE)</f>
        <v>2</v>
      </c>
      <c r="N289" s="129" t="str">
        <f>VLOOKUP(VALUE($B289),test_out_xwalk!$C:$L,8,FALSE)</f>
        <v>Aerial_Coarse</v>
      </c>
      <c r="O289" s="129" t="str">
        <f>VLOOKUP(VALUE($B289),test_out_xwalk!$C:$L,7,FALSE)</f>
        <v>Spray</v>
      </c>
      <c r="P289" s="129" t="str">
        <f>VLOOKUP(VALUE($B289),test_out_xwalk!$C:$L,4,FALSE)</f>
        <v>Post-emergence</v>
      </c>
      <c r="Q289" s="129" t="str">
        <f>VLOOKUP(VALUE($B289),test_out_xwalk!$C:$L,9,FALSE)</f>
        <v>Other crops</v>
      </c>
      <c r="R289">
        <f>_xlfn.XLOOKUP(VALUE(B289),test_out_xwalk!$C:$C,test_out_xwalk!$A:$A)</f>
        <v>9</v>
      </c>
      <c r="T289" s="121" t="str">
        <f>IF('summary_EPA Pond'!$O289="","Check Summary EPA POND worksheet Column O",'summary_EPA Pond'!$O289)</f>
        <v>Check Summary EPA POND worksheet Column O</v>
      </c>
      <c r="U289" s="121" t="str" cm="1">
        <f t="array" ref="U289">IFERROR(_xlfn.TEXTSPLIT(T289,"_"),"")</f>
        <v>Check Summary EPA POND worksheet Column O</v>
      </c>
      <c r="AA289" s="121" t="str" cm="1">
        <f t="array" ref="AA289">IF(W289="","",(_xlfn.TEXTSPLIT(W289,"-")))</f>
        <v/>
      </c>
      <c r="AD289" s="129" t="e">
        <f>VLOOKUP(VALUE($U289),test_out_xwalk!$C:$L,3,FALSE)</f>
        <v>#VALUE!</v>
      </c>
      <c r="AE289" s="129" t="e">
        <f>VLOOKUP(VALUE($U289),test_out_xwalk!$C:$L,5,FALSE)</f>
        <v>#VALUE!</v>
      </c>
      <c r="AF289" s="129" t="e">
        <f>VLOOKUP(VALUE($U289),test_out_xwalk!$C:$L,6,FALSE)</f>
        <v>#VALUE!</v>
      </c>
      <c r="AG289" s="129" t="e">
        <f>VLOOKUP(VALUE($U289),test_out_xwalk!$C:$L,8,FALSE)</f>
        <v>#VALUE!</v>
      </c>
      <c r="AH289" s="129" t="e">
        <f>VLOOKUP(VALUE($U289),test_out_xwalk!$C:$L,7,FALSE)</f>
        <v>#VALUE!</v>
      </c>
      <c r="AI289" s="129" t="e">
        <f>VLOOKUP(VALUE($U289),test_out_xwalk!$C:$L,4,FALSE)</f>
        <v>#VALUE!</v>
      </c>
      <c r="AJ289" s="129" t="e">
        <f>VLOOKUP(VALUE($U289),test_out_xwalk!$C:$L,9,FALSE)</f>
        <v>#VALUE!</v>
      </c>
      <c r="AK289" t="e">
        <f>_xlfn.XLOOKUP(VALUE(U289),test_out_xwalk!C:C,test_out_xwalk!A:A)</f>
        <v>#VALUE!</v>
      </c>
    </row>
    <row r="290" spans="1:37" x14ac:dyDescent="0.55000000000000004">
      <c r="A290" s="121" t="str">
        <f>IF('summary_EPA Pond'!$A290="","Check Summary EPA POND worksheet Column A",'summary_EPA Pond'!$A290)</f>
        <v xml:space="preserve">22_488792-20788-37_Hay all-r18-A_USEPA Pond_0055_median                               </v>
      </c>
      <c r="B290" s="121" t="str" cm="1">
        <f t="array" ref="B290:G290">IFERROR(_xlfn.TEXTSPLIT(A290,"_"),"")</f>
        <v>22</v>
      </c>
      <c r="C290" t="str">
        <v>488792-20788-37</v>
      </c>
      <c r="D290" t="str">
        <v>Hay all-r18-A</v>
      </c>
      <c r="E290" t="str">
        <v>USEPA Pond</v>
      </c>
      <c r="F290" t="str">
        <v>0055</v>
      </c>
      <c r="G290" t="str">
        <v xml:space="preserve">median                               </v>
      </c>
      <c r="H290" s="121" t="str" cm="1">
        <f t="array" ref="H290:J290">IF(D290="","",(_xlfn.TEXTSPLIT(D290,"-")))</f>
        <v>Hay all</v>
      </c>
      <c r="I290" s="121" t="str">
        <v>r18</v>
      </c>
      <c r="J290" t="str">
        <v>A</v>
      </c>
      <c r="K290" s="129" t="str">
        <f>VLOOKUP(VALUE($B290),test_out_xwalk!$C:$L,3,FALSE)</f>
        <v>Clover-9-22</v>
      </c>
      <c r="L290" s="129">
        <f>VLOOKUP(VALUE($B290),test_out_xwalk!$C:$L,5,FALSE)</f>
        <v>1</v>
      </c>
      <c r="M290" s="129">
        <f>VLOOKUP(VALUE($B290),test_out_xwalk!$C:$L,6,FALSE)</f>
        <v>2</v>
      </c>
      <c r="N290" s="129" t="str">
        <f>VLOOKUP(VALUE($B290),test_out_xwalk!$C:$L,8,FALSE)</f>
        <v>Aerial_Coarse</v>
      </c>
      <c r="O290" s="129" t="str">
        <f>VLOOKUP(VALUE($B290),test_out_xwalk!$C:$L,7,FALSE)</f>
        <v>Spray</v>
      </c>
      <c r="P290" s="129" t="str">
        <f>VLOOKUP(VALUE($B290),test_out_xwalk!$C:$L,4,FALSE)</f>
        <v>Post-emergence</v>
      </c>
      <c r="Q290" s="129" t="str">
        <f>VLOOKUP(VALUE($B290),test_out_xwalk!$C:$L,9,FALSE)</f>
        <v>Other crops</v>
      </c>
      <c r="R290">
        <f>_xlfn.XLOOKUP(VALUE(B290),test_out_xwalk!$C:$C,test_out_xwalk!$A:$A)</f>
        <v>9</v>
      </c>
      <c r="T290" s="121" t="str">
        <f>IF('summary_EPA Pond'!$O290="","Check Summary EPA POND worksheet Column O",'summary_EPA Pond'!$O290)</f>
        <v>Check Summary EPA POND worksheet Column O</v>
      </c>
      <c r="U290" s="121" t="str" cm="1">
        <f t="array" ref="U290">IFERROR(_xlfn.TEXTSPLIT(T290,"_"),"")</f>
        <v>Check Summary EPA POND worksheet Column O</v>
      </c>
      <c r="AA290" s="121" t="str" cm="1">
        <f t="array" ref="AA290">IF(W290="","",(_xlfn.TEXTSPLIT(W290,"-")))</f>
        <v/>
      </c>
      <c r="AD290" s="129" t="e">
        <f>VLOOKUP(VALUE($U290),test_out_xwalk!$C:$L,3,FALSE)</f>
        <v>#VALUE!</v>
      </c>
      <c r="AE290" s="129" t="e">
        <f>VLOOKUP(VALUE($U290),test_out_xwalk!$C:$L,5,FALSE)</f>
        <v>#VALUE!</v>
      </c>
      <c r="AF290" s="129" t="e">
        <f>VLOOKUP(VALUE($U290),test_out_xwalk!$C:$L,6,FALSE)</f>
        <v>#VALUE!</v>
      </c>
      <c r="AG290" s="129" t="e">
        <f>VLOOKUP(VALUE($U290),test_out_xwalk!$C:$L,8,FALSE)</f>
        <v>#VALUE!</v>
      </c>
      <c r="AH290" s="129" t="e">
        <f>VLOOKUP(VALUE($U290),test_out_xwalk!$C:$L,7,FALSE)</f>
        <v>#VALUE!</v>
      </c>
      <c r="AI290" s="129" t="e">
        <f>VLOOKUP(VALUE($U290),test_out_xwalk!$C:$L,4,FALSE)</f>
        <v>#VALUE!</v>
      </c>
      <c r="AJ290" s="129" t="e">
        <f>VLOOKUP(VALUE($U290),test_out_xwalk!$C:$L,9,FALSE)</f>
        <v>#VALUE!</v>
      </c>
      <c r="AK290" t="e">
        <f>_xlfn.XLOOKUP(VALUE(U290),test_out_xwalk!C:C,test_out_xwalk!A:A)</f>
        <v>#VALUE!</v>
      </c>
    </row>
    <row r="291" spans="1:37" x14ac:dyDescent="0.55000000000000004">
      <c r="A291" s="121" t="str">
        <f>IF('summary_EPA Pond'!$A291="","Check Summary EPA POND worksheet Column A",'summary_EPA Pond'!$A291)</f>
        <v xml:space="preserve">23_279389-22634-37_Hay all-r01-A_USEPA Pond_0055_median                               </v>
      </c>
      <c r="B291" s="121" t="str" cm="1">
        <f t="array" ref="B291:G291">IFERROR(_xlfn.TEXTSPLIT(A291,"_"),"")</f>
        <v>23</v>
      </c>
      <c r="C291" t="str">
        <v>279389-22634-37</v>
      </c>
      <c r="D291" t="str">
        <v>Hay all-r01-A</v>
      </c>
      <c r="E291" t="str">
        <v>USEPA Pond</v>
      </c>
      <c r="F291" t="str">
        <v>0055</v>
      </c>
      <c r="G291" t="str">
        <v xml:space="preserve">median                               </v>
      </c>
      <c r="H291" s="121" t="str" cm="1">
        <f t="array" ref="H291:J291">IF(D291="","",(_xlfn.TEXTSPLIT(D291,"-")))</f>
        <v>Hay all</v>
      </c>
      <c r="I291" s="121" t="str">
        <v>r01</v>
      </c>
      <c r="J291" t="str">
        <v>A</v>
      </c>
      <c r="K291" s="129" t="str">
        <f>VLOOKUP(VALUE($B291),test_out_xwalk!$C:$L,3,FALSE)</f>
        <v>Clover-9-23</v>
      </c>
      <c r="L291" s="129">
        <f>VLOOKUP(VALUE($B291),test_out_xwalk!$C:$L,5,FALSE)</f>
        <v>1</v>
      </c>
      <c r="M291" s="129">
        <f>VLOOKUP(VALUE($B291),test_out_xwalk!$C:$L,6,FALSE)</f>
        <v>2</v>
      </c>
      <c r="N291" s="129" t="str">
        <f>VLOOKUP(VALUE($B291),test_out_xwalk!$C:$L,8,FALSE)</f>
        <v>Ground_F-MC_HB</v>
      </c>
      <c r="O291" s="129" t="str">
        <f>VLOOKUP(VALUE($B291),test_out_xwalk!$C:$L,7,FALSE)</f>
        <v>Spray</v>
      </c>
      <c r="P291" s="129" t="str">
        <f>VLOOKUP(VALUE($B291),test_out_xwalk!$C:$L,4,FALSE)</f>
        <v>Post-emergence</v>
      </c>
      <c r="Q291" s="129" t="str">
        <f>VLOOKUP(VALUE($B291),test_out_xwalk!$C:$L,9,FALSE)</f>
        <v>Other crops</v>
      </c>
      <c r="R291">
        <f>_xlfn.XLOOKUP(VALUE(B291),test_out_xwalk!$C:$C,test_out_xwalk!$A:$A)</f>
        <v>9</v>
      </c>
      <c r="T291" s="121" t="str">
        <f>IF('summary_EPA Pond'!$O291="","Check Summary EPA POND worksheet Column O",'summary_EPA Pond'!$O291)</f>
        <v>Check Summary EPA POND worksheet Column O</v>
      </c>
      <c r="U291" s="121" t="str" cm="1">
        <f t="array" ref="U291">IFERROR(_xlfn.TEXTSPLIT(T291,"_"),"")</f>
        <v>Check Summary EPA POND worksheet Column O</v>
      </c>
      <c r="AA291" s="121" t="str" cm="1">
        <f t="array" ref="AA291">IF(W291="","",(_xlfn.TEXTSPLIT(W291,"-")))</f>
        <v/>
      </c>
      <c r="AD291" s="129" t="e">
        <f>VLOOKUP(VALUE($U291),test_out_xwalk!$C:$L,3,FALSE)</f>
        <v>#VALUE!</v>
      </c>
      <c r="AE291" s="129" t="e">
        <f>VLOOKUP(VALUE($U291),test_out_xwalk!$C:$L,5,FALSE)</f>
        <v>#VALUE!</v>
      </c>
      <c r="AF291" s="129" t="e">
        <f>VLOOKUP(VALUE($U291),test_out_xwalk!$C:$L,6,FALSE)</f>
        <v>#VALUE!</v>
      </c>
      <c r="AG291" s="129" t="e">
        <f>VLOOKUP(VALUE($U291),test_out_xwalk!$C:$L,8,FALSE)</f>
        <v>#VALUE!</v>
      </c>
      <c r="AH291" s="129" t="e">
        <f>VLOOKUP(VALUE($U291),test_out_xwalk!$C:$L,7,FALSE)</f>
        <v>#VALUE!</v>
      </c>
      <c r="AI291" s="129" t="e">
        <f>VLOOKUP(VALUE($U291),test_out_xwalk!$C:$L,4,FALSE)</f>
        <v>#VALUE!</v>
      </c>
      <c r="AJ291" s="129" t="e">
        <f>VLOOKUP(VALUE($U291),test_out_xwalk!$C:$L,9,FALSE)</f>
        <v>#VALUE!</v>
      </c>
      <c r="AK291" t="e">
        <f>_xlfn.XLOOKUP(VALUE(U291),test_out_xwalk!C:C,test_out_xwalk!A:A)</f>
        <v>#VALUE!</v>
      </c>
    </row>
    <row r="292" spans="1:37" x14ac:dyDescent="0.55000000000000004">
      <c r="A292" s="121" t="str">
        <f>IF('summary_EPA Pond'!$A292="","Check Summary EPA POND worksheet Column A",'summary_EPA Pond'!$A292)</f>
        <v xml:space="preserve">23_548594-19557-37_Hay all-r02-A_USEPA Pond_0055_median                               </v>
      </c>
      <c r="B292" s="121" t="str" cm="1">
        <f t="array" ref="B292:G292">IFERROR(_xlfn.TEXTSPLIT(A292,"_"),"")</f>
        <v>23</v>
      </c>
      <c r="C292" t="str">
        <v>548594-19557-37</v>
      </c>
      <c r="D292" t="str">
        <v>Hay all-r02-A</v>
      </c>
      <c r="E292" t="str">
        <v>USEPA Pond</v>
      </c>
      <c r="F292" t="str">
        <v>0055</v>
      </c>
      <c r="G292" t="str">
        <v xml:space="preserve">median                               </v>
      </c>
      <c r="H292" s="121" t="str" cm="1">
        <f t="array" ref="H292:J292">IF(D292="","",(_xlfn.TEXTSPLIT(D292,"-")))</f>
        <v>Hay all</v>
      </c>
      <c r="I292" s="121" t="str">
        <v>r02</v>
      </c>
      <c r="J292" t="str">
        <v>A</v>
      </c>
      <c r="K292" s="129" t="str">
        <f>VLOOKUP(VALUE($B292),test_out_xwalk!$C:$L,3,FALSE)</f>
        <v>Clover-9-23</v>
      </c>
      <c r="L292" s="129">
        <f>VLOOKUP(VALUE($B292),test_out_xwalk!$C:$L,5,FALSE)</f>
        <v>1</v>
      </c>
      <c r="M292" s="129">
        <f>VLOOKUP(VALUE($B292),test_out_xwalk!$C:$L,6,FALSE)</f>
        <v>2</v>
      </c>
      <c r="N292" s="129" t="str">
        <f>VLOOKUP(VALUE($B292),test_out_xwalk!$C:$L,8,FALSE)</f>
        <v>Ground_F-MC_HB</v>
      </c>
      <c r="O292" s="129" t="str">
        <f>VLOOKUP(VALUE($B292),test_out_xwalk!$C:$L,7,FALSE)</f>
        <v>Spray</v>
      </c>
      <c r="P292" s="129" t="str">
        <f>VLOOKUP(VALUE($B292),test_out_xwalk!$C:$L,4,FALSE)</f>
        <v>Post-emergence</v>
      </c>
      <c r="Q292" s="129" t="str">
        <f>VLOOKUP(VALUE($B292),test_out_xwalk!$C:$L,9,FALSE)</f>
        <v>Other crops</v>
      </c>
      <c r="R292">
        <f>_xlfn.XLOOKUP(VALUE(B292),test_out_xwalk!$C:$C,test_out_xwalk!$A:$A)</f>
        <v>9</v>
      </c>
      <c r="T292" s="121" t="str">
        <f>IF('summary_EPA Pond'!$O292="","Check Summary EPA POND worksheet Column O",'summary_EPA Pond'!$O292)</f>
        <v>Check Summary EPA POND worksheet Column O</v>
      </c>
      <c r="U292" s="121" t="str" cm="1">
        <f t="array" ref="U292">IFERROR(_xlfn.TEXTSPLIT(T292,"_"),"")</f>
        <v>Check Summary EPA POND worksheet Column O</v>
      </c>
      <c r="AA292" s="121" t="str" cm="1">
        <f t="array" ref="AA292">IF(W292="","",(_xlfn.TEXTSPLIT(W292,"-")))</f>
        <v/>
      </c>
      <c r="AD292" s="129" t="e">
        <f>VLOOKUP(VALUE($U292),test_out_xwalk!$C:$L,3,FALSE)</f>
        <v>#VALUE!</v>
      </c>
      <c r="AE292" s="129" t="e">
        <f>VLOOKUP(VALUE($U292),test_out_xwalk!$C:$L,5,FALSE)</f>
        <v>#VALUE!</v>
      </c>
      <c r="AF292" s="129" t="e">
        <f>VLOOKUP(VALUE($U292),test_out_xwalk!$C:$L,6,FALSE)</f>
        <v>#VALUE!</v>
      </c>
      <c r="AG292" s="129" t="e">
        <f>VLOOKUP(VALUE($U292),test_out_xwalk!$C:$L,8,FALSE)</f>
        <v>#VALUE!</v>
      </c>
      <c r="AH292" s="129" t="e">
        <f>VLOOKUP(VALUE($U292),test_out_xwalk!$C:$L,7,FALSE)</f>
        <v>#VALUE!</v>
      </c>
      <c r="AI292" s="129" t="e">
        <f>VLOOKUP(VALUE($U292),test_out_xwalk!$C:$L,4,FALSE)</f>
        <v>#VALUE!</v>
      </c>
      <c r="AJ292" s="129" t="e">
        <f>VLOOKUP(VALUE($U292),test_out_xwalk!$C:$L,9,FALSE)</f>
        <v>#VALUE!</v>
      </c>
      <c r="AK292" t="e">
        <f>_xlfn.XLOOKUP(VALUE(U292),test_out_xwalk!C:C,test_out_xwalk!A:A)</f>
        <v>#VALUE!</v>
      </c>
    </row>
    <row r="293" spans="1:37" x14ac:dyDescent="0.55000000000000004">
      <c r="A293" s="121" t="str">
        <f>IF('summary_EPA Pond'!$A293="","Check Summary EPA POND worksheet Column A",'summary_EPA Pond'!$A293)</f>
        <v xml:space="preserve">23_2679272-15047-37_Hay all-r03N-A_USEPA Pond_0055_median                             </v>
      </c>
      <c r="B293" s="121" t="str" cm="1">
        <f t="array" ref="B293:G293">IFERROR(_xlfn.TEXTSPLIT(A293,"_"),"")</f>
        <v>23</v>
      </c>
      <c r="C293" t="str">
        <v>2679272-15047-37</v>
      </c>
      <c r="D293" t="str">
        <v>Hay all-r03N-A</v>
      </c>
      <c r="E293" t="str">
        <v>USEPA Pond</v>
      </c>
      <c r="F293" t="str">
        <v>0055</v>
      </c>
      <c r="G293" t="str">
        <v xml:space="preserve">median                             </v>
      </c>
      <c r="H293" s="121" t="str" cm="1">
        <f t="array" ref="H293:J293">IF(D293="","",(_xlfn.TEXTSPLIT(D293,"-")))</f>
        <v>Hay all</v>
      </c>
      <c r="I293" s="121" t="str">
        <v>r03N</v>
      </c>
      <c r="J293" t="str">
        <v>A</v>
      </c>
      <c r="K293" s="129" t="str">
        <f>VLOOKUP(VALUE($B293),test_out_xwalk!$C:$L,3,FALSE)</f>
        <v>Clover-9-23</v>
      </c>
      <c r="L293" s="129">
        <f>VLOOKUP(VALUE($B293),test_out_xwalk!$C:$L,5,FALSE)</f>
        <v>1</v>
      </c>
      <c r="M293" s="129">
        <f>VLOOKUP(VALUE($B293),test_out_xwalk!$C:$L,6,FALSE)</f>
        <v>2</v>
      </c>
      <c r="N293" s="129" t="str">
        <f>VLOOKUP(VALUE($B293),test_out_xwalk!$C:$L,8,FALSE)</f>
        <v>Ground_F-MC_HB</v>
      </c>
      <c r="O293" s="129" t="str">
        <f>VLOOKUP(VALUE($B293),test_out_xwalk!$C:$L,7,FALSE)</f>
        <v>Spray</v>
      </c>
      <c r="P293" s="129" t="str">
        <f>VLOOKUP(VALUE($B293),test_out_xwalk!$C:$L,4,FALSE)</f>
        <v>Post-emergence</v>
      </c>
      <c r="Q293" s="129" t="str">
        <f>VLOOKUP(VALUE($B293),test_out_xwalk!$C:$L,9,FALSE)</f>
        <v>Other crops</v>
      </c>
      <c r="R293">
        <f>_xlfn.XLOOKUP(VALUE(B293),test_out_xwalk!$C:$C,test_out_xwalk!$A:$A)</f>
        <v>9</v>
      </c>
      <c r="T293" s="121" t="str">
        <f>IF('summary_EPA Pond'!$O293="","Check Summary EPA POND worksheet Column O",'summary_EPA Pond'!$O293)</f>
        <v>Check Summary EPA POND worksheet Column O</v>
      </c>
      <c r="U293" s="121" t="str" cm="1">
        <f t="array" ref="U293">IFERROR(_xlfn.TEXTSPLIT(T293,"_"),"")</f>
        <v>Check Summary EPA POND worksheet Column O</v>
      </c>
      <c r="AA293" s="121" t="str" cm="1">
        <f t="array" ref="AA293">IF(W293="","",(_xlfn.TEXTSPLIT(W293,"-")))</f>
        <v/>
      </c>
      <c r="AD293" s="129" t="e">
        <f>VLOOKUP(VALUE($U293),test_out_xwalk!$C:$L,3,FALSE)</f>
        <v>#VALUE!</v>
      </c>
      <c r="AE293" s="129" t="e">
        <f>VLOOKUP(VALUE($U293),test_out_xwalk!$C:$L,5,FALSE)</f>
        <v>#VALUE!</v>
      </c>
      <c r="AF293" s="129" t="e">
        <f>VLOOKUP(VALUE($U293),test_out_xwalk!$C:$L,6,FALSE)</f>
        <v>#VALUE!</v>
      </c>
      <c r="AG293" s="129" t="e">
        <f>VLOOKUP(VALUE($U293),test_out_xwalk!$C:$L,8,FALSE)</f>
        <v>#VALUE!</v>
      </c>
      <c r="AH293" s="129" t="e">
        <f>VLOOKUP(VALUE($U293),test_out_xwalk!$C:$L,7,FALSE)</f>
        <v>#VALUE!</v>
      </c>
      <c r="AI293" s="129" t="e">
        <f>VLOOKUP(VALUE($U293),test_out_xwalk!$C:$L,4,FALSE)</f>
        <v>#VALUE!</v>
      </c>
      <c r="AJ293" s="129" t="e">
        <f>VLOOKUP(VALUE($U293),test_out_xwalk!$C:$L,9,FALSE)</f>
        <v>#VALUE!</v>
      </c>
      <c r="AK293" t="e">
        <f>_xlfn.XLOOKUP(VALUE(U293),test_out_xwalk!C:C,test_out_xwalk!A:A)</f>
        <v>#VALUE!</v>
      </c>
    </row>
    <row r="294" spans="1:37" x14ac:dyDescent="0.55000000000000004">
      <c r="A294" s="121" t="str">
        <f>IF('summary_EPA Pond'!$A294="","Check Summary EPA POND worksheet Column A",'summary_EPA Pond'!$A294)</f>
        <v xml:space="preserve">23_124141-11970-37_Hay all-r03S-A_USEPA Pond_0055_median                              </v>
      </c>
      <c r="B294" s="121" t="str" cm="1">
        <f t="array" ref="B294:G294">IFERROR(_xlfn.TEXTSPLIT(A294,"_"),"")</f>
        <v>23</v>
      </c>
      <c r="C294" t="str">
        <v>124141-11970-37</v>
      </c>
      <c r="D294" t="str">
        <v>Hay all-r03S-A</v>
      </c>
      <c r="E294" t="str">
        <v>USEPA Pond</v>
      </c>
      <c r="F294" t="str">
        <v>0055</v>
      </c>
      <c r="G294" t="str">
        <v xml:space="preserve">median                              </v>
      </c>
      <c r="H294" s="121" t="str" cm="1">
        <f t="array" ref="H294:J294">IF(D294="","",(_xlfn.TEXTSPLIT(D294,"-")))</f>
        <v>Hay all</v>
      </c>
      <c r="I294" s="121" t="str">
        <v>r03S</v>
      </c>
      <c r="J294" t="str">
        <v>A</v>
      </c>
      <c r="K294" s="129" t="str">
        <f>VLOOKUP(VALUE($B294),test_out_xwalk!$C:$L,3,FALSE)</f>
        <v>Clover-9-23</v>
      </c>
      <c r="L294" s="129">
        <f>VLOOKUP(VALUE($B294),test_out_xwalk!$C:$L,5,FALSE)</f>
        <v>1</v>
      </c>
      <c r="M294" s="129">
        <f>VLOOKUP(VALUE($B294),test_out_xwalk!$C:$L,6,FALSE)</f>
        <v>2</v>
      </c>
      <c r="N294" s="129" t="str">
        <f>VLOOKUP(VALUE($B294),test_out_xwalk!$C:$L,8,FALSE)</f>
        <v>Ground_F-MC_HB</v>
      </c>
      <c r="O294" s="129" t="str">
        <f>VLOOKUP(VALUE($B294),test_out_xwalk!$C:$L,7,FALSE)</f>
        <v>Spray</v>
      </c>
      <c r="P294" s="129" t="str">
        <f>VLOOKUP(VALUE($B294),test_out_xwalk!$C:$L,4,FALSE)</f>
        <v>Post-emergence</v>
      </c>
      <c r="Q294" s="129" t="str">
        <f>VLOOKUP(VALUE($B294),test_out_xwalk!$C:$L,9,FALSE)</f>
        <v>Other crops</v>
      </c>
      <c r="R294">
        <f>_xlfn.XLOOKUP(VALUE(B294),test_out_xwalk!$C:$C,test_out_xwalk!$A:$A)</f>
        <v>9</v>
      </c>
      <c r="T294" s="121" t="str">
        <f>IF('summary_EPA Pond'!$O294="","Check Summary EPA POND worksheet Column O",'summary_EPA Pond'!$O294)</f>
        <v>Check Summary EPA POND worksheet Column O</v>
      </c>
      <c r="U294" s="121" t="str" cm="1">
        <f t="array" ref="U294">IFERROR(_xlfn.TEXTSPLIT(T294,"_"),"")</f>
        <v>Check Summary EPA POND worksheet Column O</v>
      </c>
      <c r="AA294" s="121" t="str" cm="1">
        <f t="array" ref="AA294">IF(W294="","",(_xlfn.TEXTSPLIT(W294,"-")))</f>
        <v/>
      </c>
      <c r="AD294" s="129" t="e">
        <f>VLOOKUP(VALUE($U294),test_out_xwalk!$C:$L,3,FALSE)</f>
        <v>#VALUE!</v>
      </c>
      <c r="AE294" s="129" t="e">
        <f>VLOOKUP(VALUE($U294),test_out_xwalk!$C:$L,5,FALSE)</f>
        <v>#VALUE!</v>
      </c>
      <c r="AF294" s="129" t="e">
        <f>VLOOKUP(VALUE($U294),test_out_xwalk!$C:$L,6,FALSE)</f>
        <v>#VALUE!</v>
      </c>
      <c r="AG294" s="129" t="e">
        <f>VLOOKUP(VALUE($U294),test_out_xwalk!$C:$L,8,FALSE)</f>
        <v>#VALUE!</v>
      </c>
      <c r="AH294" s="129" t="e">
        <f>VLOOKUP(VALUE($U294),test_out_xwalk!$C:$L,7,FALSE)</f>
        <v>#VALUE!</v>
      </c>
      <c r="AI294" s="129" t="e">
        <f>VLOOKUP(VALUE($U294),test_out_xwalk!$C:$L,4,FALSE)</f>
        <v>#VALUE!</v>
      </c>
      <c r="AJ294" s="129" t="e">
        <f>VLOOKUP(VALUE($U294),test_out_xwalk!$C:$L,9,FALSE)</f>
        <v>#VALUE!</v>
      </c>
      <c r="AK294" t="e">
        <f>_xlfn.XLOOKUP(VALUE(U294),test_out_xwalk!C:C,test_out_xwalk!A:A)</f>
        <v>#VALUE!</v>
      </c>
    </row>
    <row r="295" spans="1:37" x14ac:dyDescent="0.55000000000000004">
      <c r="A295" s="121" t="str">
        <f>IF('summary_EPA Pond'!$A295="","Check Summary EPA POND worksheet Column A",'summary_EPA Pond'!$A295)</f>
        <v xml:space="preserve">23_328641-11010-37_Hay all-r03W-A_USEPA Pond_0055_median                              </v>
      </c>
      <c r="B295" s="121" t="str" cm="1">
        <f t="array" ref="B295:G295">IFERROR(_xlfn.TEXTSPLIT(A295,"_"),"")</f>
        <v>23</v>
      </c>
      <c r="C295" t="str">
        <v>328641-11010-37</v>
      </c>
      <c r="D295" t="str">
        <v>Hay all-r03W-A</v>
      </c>
      <c r="E295" t="str">
        <v>USEPA Pond</v>
      </c>
      <c r="F295" t="str">
        <v>0055</v>
      </c>
      <c r="G295" t="str">
        <v xml:space="preserve">median                              </v>
      </c>
      <c r="H295" s="121" t="str" cm="1">
        <f t="array" ref="H295:J295">IF(D295="","",(_xlfn.TEXTSPLIT(D295,"-")))</f>
        <v>Hay all</v>
      </c>
      <c r="I295" s="121" t="str">
        <v>r03W</v>
      </c>
      <c r="J295" t="str">
        <v>A</v>
      </c>
      <c r="K295" s="129" t="str">
        <f>VLOOKUP(VALUE($B295),test_out_xwalk!$C:$L,3,FALSE)</f>
        <v>Clover-9-23</v>
      </c>
      <c r="L295" s="129">
        <f>VLOOKUP(VALUE($B295),test_out_xwalk!$C:$L,5,FALSE)</f>
        <v>1</v>
      </c>
      <c r="M295" s="129">
        <f>VLOOKUP(VALUE($B295),test_out_xwalk!$C:$L,6,FALSE)</f>
        <v>2</v>
      </c>
      <c r="N295" s="129" t="str">
        <f>VLOOKUP(VALUE($B295),test_out_xwalk!$C:$L,8,FALSE)</f>
        <v>Ground_F-MC_HB</v>
      </c>
      <c r="O295" s="129" t="str">
        <f>VLOOKUP(VALUE($B295),test_out_xwalk!$C:$L,7,FALSE)</f>
        <v>Spray</v>
      </c>
      <c r="P295" s="129" t="str">
        <f>VLOOKUP(VALUE($B295),test_out_xwalk!$C:$L,4,FALSE)</f>
        <v>Post-emergence</v>
      </c>
      <c r="Q295" s="129" t="str">
        <f>VLOOKUP(VALUE($B295),test_out_xwalk!$C:$L,9,FALSE)</f>
        <v>Other crops</v>
      </c>
      <c r="R295">
        <f>_xlfn.XLOOKUP(VALUE(B295),test_out_xwalk!$C:$C,test_out_xwalk!$A:$A)</f>
        <v>9</v>
      </c>
      <c r="T295" s="121" t="str">
        <f>IF('summary_EPA Pond'!$O295="","Check Summary EPA POND worksheet Column O",'summary_EPA Pond'!$O295)</f>
        <v>Check Summary EPA POND worksheet Column O</v>
      </c>
      <c r="U295" s="121" t="str" cm="1">
        <f t="array" ref="U295">IFERROR(_xlfn.TEXTSPLIT(T295,"_"),"")</f>
        <v>Check Summary EPA POND worksheet Column O</v>
      </c>
      <c r="AA295" s="121" t="str" cm="1">
        <f t="array" ref="AA295">IF(W295="","",(_xlfn.TEXTSPLIT(W295,"-")))</f>
        <v/>
      </c>
      <c r="AD295" s="129" t="e">
        <f>VLOOKUP(VALUE($U295),test_out_xwalk!$C:$L,3,FALSE)</f>
        <v>#VALUE!</v>
      </c>
      <c r="AE295" s="129" t="e">
        <f>VLOOKUP(VALUE($U295),test_out_xwalk!$C:$L,5,FALSE)</f>
        <v>#VALUE!</v>
      </c>
      <c r="AF295" s="129" t="e">
        <f>VLOOKUP(VALUE($U295),test_out_xwalk!$C:$L,6,FALSE)</f>
        <v>#VALUE!</v>
      </c>
      <c r="AG295" s="129" t="e">
        <f>VLOOKUP(VALUE($U295),test_out_xwalk!$C:$L,8,FALSE)</f>
        <v>#VALUE!</v>
      </c>
      <c r="AH295" s="129" t="e">
        <f>VLOOKUP(VALUE($U295),test_out_xwalk!$C:$L,7,FALSE)</f>
        <v>#VALUE!</v>
      </c>
      <c r="AI295" s="129" t="e">
        <f>VLOOKUP(VALUE($U295),test_out_xwalk!$C:$L,4,FALSE)</f>
        <v>#VALUE!</v>
      </c>
      <c r="AJ295" s="129" t="e">
        <f>VLOOKUP(VALUE($U295),test_out_xwalk!$C:$L,9,FALSE)</f>
        <v>#VALUE!</v>
      </c>
      <c r="AK295" t="e">
        <f>_xlfn.XLOOKUP(VALUE(U295),test_out_xwalk!C:C,test_out_xwalk!A:A)</f>
        <v>#VALUE!</v>
      </c>
    </row>
    <row r="296" spans="1:37" x14ac:dyDescent="0.55000000000000004">
      <c r="A296" s="121" t="str">
        <f>IF('summary_EPA Pond'!$A296="","Check Summary EPA POND worksheet Column A",'summary_EPA Pond'!$A296)</f>
        <v xml:space="preserve">23_186614-22349-37_Hay all-r04-A_USEPA Pond_0055_median                               </v>
      </c>
      <c r="B296" s="121" t="str" cm="1">
        <f t="array" ref="B296:G296">IFERROR(_xlfn.TEXTSPLIT(A296,"_"),"")</f>
        <v>23</v>
      </c>
      <c r="C296" t="str">
        <v>186614-22349-37</v>
      </c>
      <c r="D296" t="str">
        <v>Hay all-r04-A</v>
      </c>
      <c r="E296" t="str">
        <v>USEPA Pond</v>
      </c>
      <c r="F296" t="str">
        <v>0055</v>
      </c>
      <c r="G296" t="str">
        <v xml:space="preserve">median                               </v>
      </c>
      <c r="H296" s="121" t="str" cm="1">
        <f t="array" ref="H296:J296">IF(D296="","",(_xlfn.TEXTSPLIT(D296,"-")))</f>
        <v>Hay all</v>
      </c>
      <c r="I296" s="121" t="str">
        <v>r04</v>
      </c>
      <c r="J296" t="str">
        <v>A</v>
      </c>
      <c r="K296" s="129" t="str">
        <f>VLOOKUP(VALUE($B296),test_out_xwalk!$C:$L,3,FALSE)</f>
        <v>Clover-9-23</v>
      </c>
      <c r="L296" s="129">
        <f>VLOOKUP(VALUE($B296),test_out_xwalk!$C:$L,5,FALSE)</f>
        <v>1</v>
      </c>
      <c r="M296" s="129">
        <f>VLOOKUP(VALUE($B296),test_out_xwalk!$C:$L,6,FALSE)</f>
        <v>2</v>
      </c>
      <c r="N296" s="129" t="str">
        <f>VLOOKUP(VALUE($B296),test_out_xwalk!$C:$L,8,FALSE)</f>
        <v>Ground_F-MC_HB</v>
      </c>
      <c r="O296" s="129" t="str">
        <f>VLOOKUP(VALUE($B296),test_out_xwalk!$C:$L,7,FALSE)</f>
        <v>Spray</v>
      </c>
      <c r="P296" s="129" t="str">
        <f>VLOOKUP(VALUE($B296),test_out_xwalk!$C:$L,4,FALSE)</f>
        <v>Post-emergence</v>
      </c>
      <c r="Q296" s="129" t="str">
        <f>VLOOKUP(VALUE($B296),test_out_xwalk!$C:$L,9,FALSE)</f>
        <v>Other crops</v>
      </c>
      <c r="R296">
        <f>_xlfn.XLOOKUP(VALUE(B296),test_out_xwalk!$C:$C,test_out_xwalk!$A:$A)</f>
        <v>9</v>
      </c>
      <c r="T296" s="121" t="str">
        <f>IF('summary_EPA Pond'!$O296="","Check Summary EPA POND worksheet Column O",'summary_EPA Pond'!$O296)</f>
        <v>Check Summary EPA POND worksheet Column O</v>
      </c>
      <c r="U296" s="121" t="str" cm="1">
        <f t="array" ref="U296">IFERROR(_xlfn.TEXTSPLIT(T296,"_"),"")</f>
        <v>Check Summary EPA POND worksheet Column O</v>
      </c>
      <c r="AA296" s="121" t="str" cm="1">
        <f t="array" ref="AA296">IF(W296="","",(_xlfn.TEXTSPLIT(W296,"-")))</f>
        <v/>
      </c>
      <c r="AD296" s="129" t="e">
        <f>VLOOKUP(VALUE($U296),test_out_xwalk!$C:$L,3,FALSE)</f>
        <v>#VALUE!</v>
      </c>
      <c r="AE296" s="129" t="e">
        <f>VLOOKUP(VALUE($U296),test_out_xwalk!$C:$L,5,FALSE)</f>
        <v>#VALUE!</v>
      </c>
      <c r="AF296" s="129" t="e">
        <f>VLOOKUP(VALUE($U296),test_out_xwalk!$C:$L,6,FALSE)</f>
        <v>#VALUE!</v>
      </c>
      <c r="AG296" s="129" t="e">
        <f>VLOOKUP(VALUE($U296),test_out_xwalk!$C:$L,8,FALSE)</f>
        <v>#VALUE!</v>
      </c>
      <c r="AH296" s="129" t="e">
        <f>VLOOKUP(VALUE($U296),test_out_xwalk!$C:$L,7,FALSE)</f>
        <v>#VALUE!</v>
      </c>
      <c r="AI296" s="129" t="e">
        <f>VLOOKUP(VALUE($U296),test_out_xwalk!$C:$L,4,FALSE)</f>
        <v>#VALUE!</v>
      </c>
      <c r="AJ296" s="129" t="e">
        <f>VLOOKUP(VALUE($U296),test_out_xwalk!$C:$L,9,FALSE)</f>
        <v>#VALUE!</v>
      </c>
      <c r="AK296" t="e">
        <f>_xlfn.XLOOKUP(VALUE(U296),test_out_xwalk!C:C,test_out_xwalk!A:A)</f>
        <v>#VALUE!</v>
      </c>
    </row>
    <row r="297" spans="1:37" x14ac:dyDescent="0.55000000000000004">
      <c r="A297" s="121" t="str">
        <f>IF('summary_EPA Pond'!$A297="","Check Summary EPA POND worksheet Column A",'summary_EPA Pond'!$A297)</f>
        <v xml:space="preserve">23_549600-16679-37_Hay all-r05-A_USEPA Pond_0055_median                               </v>
      </c>
      <c r="B297" s="121" t="str" cm="1">
        <f t="array" ref="B297:G297">IFERROR(_xlfn.TEXTSPLIT(A297,"_"),"")</f>
        <v>23</v>
      </c>
      <c r="C297" t="str">
        <v>549600-16679-37</v>
      </c>
      <c r="D297" t="str">
        <v>Hay all-r05-A</v>
      </c>
      <c r="E297" t="str">
        <v>USEPA Pond</v>
      </c>
      <c r="F297" t="str">
        <v>0055</v>
      </c>
      <c r="G297" t="str">
        <v xml:space="preserve">median                               </v>
      </c>
      <c r="H297" s="121" t="str" cm="1">
        <f t="array" ref="H297:J297">IF(D297="","",(_xlfn.TEXTSPLIT(D297,"-")))</f>
        <v>Hay all</v>
      </c>
      <c r="I297" s="121" t="str">
        <v>r05</v>
      </c>
      <c r="J297" t="str">
        <v>A</v>
      </c>
      <c r="K297" s="129" t="str">
        <f>VLOOKUP(VALUE($B297),test_out_xwalk!$C:$L,3,FALSE)</f>
        <v>Clover-9-23</v>
      </c>
      <c r="L297" s="129">
        <f>VLOOKUP(VALUE($B297),test_out_xwalk!$C:$L,5,FALSE)</f>
        <v>1</v>
      </c>
      <c r="M297" s="129">
        <f>VLOOKUP(VALUE($B297),test_out_xwalk!$C:$L,6,FALSE)</f>
        <v>2</v>
      </c>
      <c r="N297" s="129" t="str">
        <f>VLOOKUP(VALUE($B297),test_out_xwalk!$C:$L,8,FALSE)</f>
        <v>Ground_F-MC_HB</v>
      </c>
      <c r="O297" s="129" t="str">
        <f>VLOOKUP(VALUE($B297),test_out_xwalk!$C:$L,7,FALSE)</f>
        <v>Spray</v>
      </c>
      <c r="P297" s="129" t="str">
        <f>VLOOKUP(VALUE($B297),test_out_xwalk!$C:$L,4,FALSE)</f>
        <v>Post-emergence</v>
      </c>
      <c r="Q297" s="129" t="str">
        <f>VLOOKUP(VALUE($B297),test_out_xwalk!$C:$L,9,FALSE)</f>
        <v>Other crops</v>
      </c>
      <c r="R297">
        <f>_xlfn.XLOOKUP(VALUE(B297),test_out_xwalk!$C:$C,test_out_xwalk!$A:$A)</f>
        <v>9</v>
      </c>
      <c r="T297" s="121" t="str">
        <f>IF('summary_EPA Pond'!$O297="","Check Summary EPA POND worksheet Column O",'summary_EPA Pond'!$O297)</f>
        <v>Check Summary EPA POND worksheet Column O</v>
      </c>
      <c r="U297" s="121" t="str" cm="1">
        <f t="array" ref="U297">IFERROR(_xlfn.TEXTSPLIT(T297,"_"),"")</f>
        <v>Check Summary EPA POND worksheet Column O</v>
      </c>
      <c r="AA297" s="121" t="str" cm="1">
        <f t="array" ref="AA297">IF(W297="","",(_xlfn.TEXTSPLIT(W297,"-")))</f>
        <v/>
      </c>
      <c r="AD297" s="129" t="e">
        <f>VLOOKUP(VALUE($U297),test_out_xwalk!$C:$L,3,FALSE)</f>
        <v>#VALUE!</v>
      </c>
      <c r="AE297" s="129" t="e">
        <f>VLOOKUP(VALUE($U297),test_out_xwalk!$C:$L,5,FALSE)</f>
        <v>#VALUE!</v>
      </c>
      <c r="AF297" s="129" t="e">
        <f>VLOOKUP(VALUE($U297),test_out_xwalk!$C:$L,6,FALSE)</f>
        <v>#VALUE!</v>
      </c>
      <c r="AG297" s="129" t="e">
        <f>VLOOKUP(VALUE($U297),test_out_xwalk!$C:$L,8,FALSE)</f>
        <v>#VALUE!</v>
      </c>
      <c r="AH297" s="129" t="e">
        <f>VLOOKUP(VALUE($U297),test_out_xwalk!$C:$L,7,FALSE)</f>
        <v>#VALUE!</v>
      </c>
      <c r="AI297" s="129" t="e">
        <f>VLOOKUP(VALUE($U297),test_out_xwalk!$C:$L,4,FALSE)</f>
        <v>#VALUE!</v>
      </c>
      <c r="AJ297" s="129" t="e">
        <f>VLOOKUP(VALUE($U297),test_out_xwalk!$C:$L,9,FALSE)</f>
        <v>#VALUE!</v>
      </c>
      <c r="AK297" t="e">
        <f>_xlfn.XLOOKUP(VALUE(U297),test_out_xwalk!C:C,test_out_xwalk!A:A)</f>
        <v>#VALUE!</v>
      </c>
    </row>
    <row r="298" spans="1:37" x14ac:dyDescent="0.55000000000000004">
      <c r="A298" s="121" t="str">
        <f>IF('summary_EPA Pond'!$A298="","Check Summary EPA POND worksheet Column A",'summary_EPA Pond'!$A298)</f>
        <v xml:space="preserve">23_527499-15022-37_Hay all-r06-A_USEPA Pond_0055_median                               </v>
      </c>
      <c r="B298" s="121" t="str" cm="1">
        <f t="array" ref="B298:G298">IFERROR(_xlfn.TEXTSPLIT(A298,"_"),"")</f>
        <v>23</v>
      </c>
      <c r="C298" t="str">
        <v>527499-15022-37</v>
      </c>
      <c r="D298" t="str">
        <v>Hay all-r06-A</v>
      </c>
      <c r="E298" t="str">
        <v>USEPA Pond</v>
      </c>
      <c r="F298" t="str">
        <v>0055</v>
      </c>
      <c r="G298" t="str">
        <v xml:space="preserve">median                               </v>
      </c>
      <c r="H298" s="121" t="str" cm="1">
        <f t="array" ref="H298:J298">IF(D298="","",(_xlfn.TEXTSPLIT(D298,"-")))</f>
        <v>Hay all</v>
      </c>
      <c r="I298" s="121" t="str">
        <v>r06</v>
      </c>
      <c r="J298" t="str">
        <v>A</v>
      </c>
      <c r="K298" s="129" t="str">
        <f>VLOOKUP(VALUE($B298),test_out_xwalk!$C:$L,3,FALSE)</f>
        <v>Clover-9-23</v>
      </c>
      <c r="L298" s="129">
        <f>VLOOKUP(VALUE($B298),test_out_xwalk!$C:$L,5,FALSE)</f>
        <v>1</v>
      </c>
      <c r="M298" s="129">
        <f>VLOOKUP(VALUE($B298),test_out_xwalk!$C:$L,6,FALSE)</f>
        <v>2</v>
      </c>
      <c r="N298" s="129" t="str">
        <f>VLOOKUP(VALUE($B298),test_out_xwalk!$C:$L,8,FALSE)</f>
        <v>Ground_F-MC_HB</v>
      </c>
      <c r="O298" s="129" t="str">
        <f>VLOOKUP(VALUE($B298),test_out_xwalk!$C:$L,7,FALSE)</f>
        <v>Spray</v>
      </c>
      <c r="P298" s="129" t="str">
        <f>VLOOKUP(VALUE($B298),test_out_xwalk!$C:$L,4,FALSE)</f>
        <v>Post-emergence</v>
      </c>
      <c r="Q298" s="129" t="str">
        <f>VLOOKUP(VALUE($B298),test_out_xwalk!$C:$L,9,FALSE)</f>
        <v>Other crops</v>
      </c>
      <c r="R298">
        <f>_xlfn.XLOOKUP(VALUE(B298),test_out_xwalk!$C:$C,test_out_xwalk!$A:$A)</f>
        <v>9</v>
      </c>
      <c r="T298" s="121" t="str">
        <f>IF('summary_EPA Pond'!$O298="","Check Summary EPA POND worksheet Column O",'summary_EPA Pond'!$O298)</f>
        <v>Check Summary EPA POND worksheet Column O</v>
      </c>
      <c r="U298" s="121" t="str" cm="1">
        <f t="array" ref="U298">IFERROR(_xlfn.TEXTSPLIT(T298,"_"),"")</f>
        <v>Check Summary EPA POND worksheet Column O</v>
      </c>
      <c r="AA298" s="121" t="str" cm="1">
        <f t="array" ref="AA298">IF(W298="","",(_xlfn.TEXTSPLIT(W298,"-")))</f>
        <v/>
      </c>
      <c r="AD298" s="129" t="e">
        <f>VLOOKUP(VALUE($U298),test_out_xwalk!$C:$L,3,FALSE)</f>
        <v>#VALUE!</v>
      </c>
      <c r="AE298" s="129" t="e">
        <f>VLOOKUP(VALUE($U298),test_out_xwalk!$C:$L,5,FALSE)</f>
        <v>#VALUE!</v>
      </c>
      <c r="AF298" s="129" t="e">
        <f>VLOOKUP(VALUE($U298),test_out_xwalk!$C:$L,6,FALSE)</f>
        <v>#VALUE!</v>
      </c>
      <c r="AG298" s="129" t="e">
        <f>VLOOKUP(VALUE($U298),test_out_xwalk!$C:$L,8,FALSE)</f>
        <v>#VALUE!</v>
      </c>
      <c r="AH298" s="129" t="e">
        <f>VLOOKUP(VALUE($U298),test_out_xwalk!$C:$L,7,FALSE)</f>
        <v>#VALUE!</v>
      </c>
      <c r="AI298" s="129" t="e">
        <f>VLOOKUP(VALUE($U298),test_out_xwalk!$C:$L,4,FALSE)</f>
        <v>#VALUE!</v>
      </c>
      <c r="AJ298" s="129" t="e">
        <f>VLOOKUP(VALUE($U298),test_out_xwalk!$C:$L,9,FALSE)</f>
        <v>#VALUE!</v>
      </c>
      <c r="AK298" t="e">
        <f>_xlfn.XLOOKUP(VALUE(U298),test_out_xwalk!C:C,test_out_xwalk!A:A)</f>
        <v>#VALUE!</v>
      </c>
    </row>
    <row r="299" spans="1:37" x14ac:dyDescent="0.55000000000000004">
      <c r="A299" s="121" t="str">
        <f>IF('summary_EPA Pond'!$A299="","Check Summary EPA POND worksheet Column A",'summary_EPA Pond'!$A299)</f>
        <v xml:space="preserve">23_397476-25376-37_Hay all-r07-A_USEPA Pond_0055_median                               </v>
      </c>
      <c r="B299" s="121" t="str" cm="1">
        <f t="array" ref="B299:G299">IFERROR(_xlfn.TEXTSPLIT(A299,"_"),"")</f>
        <v>23</v>
      </c>
      <c r="C299" t="str">
        <v>397476-25376-37</v>
      </c>
      <c r="D299" t="str">
        <v>Hay all-r07-A</v>
      </c>
      <c r="E299" t="str">
        <v>USEPA Pond</v>
      </c>
      <c r="F299" t="str">
        <v>0055</v>
      </c>
      <c r="G299" t="str">
        <v xml:space="preserve">median                               </v>
      </c>
      <c r="H299" s="121" t="str" cm="1">
        <f t="array" ref="H299:J299">IF(D299="","",(_xlfn.TEXTSPLIT(D299,"-")))</f>
        <v>Hay all</v>
      </c>
      <c r="I299" s="121" t="str">
        <v>r07</v>
      </c>
      <c r="J299" t="str">
        <v>A</v>
      </c>
      <c r="K299" s="129" t="str">
        <f>VLOOKUP(VALUE($B299),test_out_xwalk!$C:$L,3,FALSE)</f>
        <v>Clover-9-23</v>
      </c>
      <c r="L299" s="129">
        <f>VLOOKUP(VALUE($B299),test_out_xwalk!$C:$L,5,FALSE)</f>
        <v>1</v>
      </c>
      <c r="M299" s="129">
        <f>VLOOKUP(VALUE($B299),test_out_xwalk!$C:$L,6,FALSE)</f>
        <v>2</v>
      </c>
      <c r="N299" s="129" t="str">
        <f>VLOOKUP(VALUE($B299),test_out_xwalk!$C:$L,8,FALSE)</f>
        <v>Ground_F-MC_HB</v>
      </c>
      <c r="O299" s="129" t="str">
        <f>VLOOKUP(VALUE($B299),test_out_xwalk!$C:$L,7,FALSE)</f>
        <v>Spray</v>
      </c>
      <c r="P299" s="129" t="str">
        <f>VLOOKUP(VALUE($B299),test_out_xwalk!$C:$L,4,FALSE)</f>
        <v>Post-emergence</v>
      </c>
      <c r="Q299" s="129" t="str">
        <f>VLOOKUP(VALUE($B299),test_out_xwalk!$C:$L,9,FALSE)</f>
        <v>Other crops</v>
      </c>
      <c r="R299">
        <f>_xlfn.XLOOKUP(VALUE(B299),test_out_xwalk!$C:$C,test_out_xwalk!$A:$A)</f>
        <v>9</v>
      </c>
      <c r="T299" s="121" t="str">
        <f>IF('summary_EPA Pond'!$O299="","Check Summary EPA POND worksheet Column O",'summary_EPA Pond'!$O299)</f>
        <v>Check Summary EPA POND worksheet Column O</v>
      </c>
      <c r="U299" s="121" t="str" cm="1">
        <f t="array" ref="U299">IFERROR(_xlfn.TEXTSPLIT(T299,"_"),"")</f>
        <v>Check Summary EPA POND worksheet Column O</v>
      </c>
      <c r="AA299" s="121" t="str" cm="1">
        <f t="array" ref="AA299">IF(W299="","",(_xlfn.TEXTSPLIT(W299,"-")))</f>
        <v/>
      </c>
      <c r="AD299" s="129" t="e">
        <f>VLOOKUP(VALUE($U299),test_out_xwalk!$C:$L,3,FALSE)</f>
        <v>#VALUE!</v>
      </c>
      <c r="AE299" s="129" t="e">
        <f>VLOOKUP(VALUE($U299),test_out_xwalk!$C:$L,5,FALSE)</f>
        <v>#VALUE!</v>
      </c>
      <c r="AF299" s="129" t="e">
        <f>VLOOKUP(VALUE($U299),test_out_xwalk!$C:$L,6,FALSE)</f>
        <v>#VALUE!</v>
      </c>
      <c r="AG299" s="129" t="e">
        <f>VLOOKUP(VALUE($U299),test_out_xwalk!$C:$L,8,FALSE)</f>
        <v>#VALUE!</v>
      </c>
      <c r="AH299" s="129" t="e">
        <f>VLOOKUP(VALUE($U299),test_out_xwalk!$C:$L,7,FALSE)</f>
        <v>#VALUE!</v>
      </c>
      <c r="AI299" s="129" t="e">
        <f>VLOOKUP(VALUE($U299),test_out_xwalk!$C:$L,4,FALSE)</f>
        <v>#VALUE!</v>
      </c>
      <c r="AJ299" s="129" t="e">
        <f>VLOOKUP(VALUE($U299),test_out_xwalk!$C:$L,9,FALSE)</f>
        <v>#VALUE!</v>
      </c>
      <c r="AK299" t="e">
        <f>_xlfn.XLOOKUP(VALUE(U299),test_out_xwalk!C:C,test_out_xwalk!A:A)</f>
        <v>#VALUE!</v>
      </c>
    </row>
    <row r="300" spans="1:37" x14ac:dyDescent="0.55000000000000004">
      <c r="A300" s="121" t="str">
        <f>IF('summary_EPA Pond'!$A300="","Check Summary EPA POND worksheet Column A",'summary_EPA Pond'!$A300)</f>
        <v xml:space="preserve">23_2501144-16663-37_Hay all-r08-A_USEPA Pond_0055_median                              </v>
      </c>
      <c r="B300" s="121" t="str" cm="1">
        <f t="array" ref="B300:G300">IFERROR(_xlfn.TEXTSPLIT(A300,"_"),"")</f>
        <v>23</v>
      </c>
      <c r="C300" t="str">
        <v>2501144-16663-37</v>
      </c>
      <c r="D300" t="str">
        <v>Hay all-r08-A</v>
      </c>
      <c r="E300" t="str">
        <v>USEPA Pond</v>
      </c>
      <c r="F300" t="str">
        <v>0055</v>
      </c>
      <c r="G300" t="str">
        <v xml:space="preserve">median                              </v>
      </c>
      <c r="H300" s="121" t="str" cm="1">
        <f t="array" ref="H300:J300">IF(D300="","",(_xlfn.TEXTSPLIT(D300,"-")))</f>
        <v>Hay all</v>
      </c>
      <c r="I300" s="121" t="str">
        <v>r08</v>
      </c>
      <c r="J300" t="str">
        <v>A</v>
      </c>
      <c r="K300" s="129" t="str">
        <f>VLOOKUP(VALUE($B300),test_out_xwalk!$C:$L,3,FALSE)</f>
        <v>Clover-9-23</v>
      </c>
      <c r="L300" s="129">
        <f>VLOOKUP(VALUE($B300),test_out_xwalk!$C:$L,5,FALSE)</f>
        <v>1</v>
      </c>
      <c r="M300" s="129">
        <f>VLOOKUP(VALUE($B300),test_out_xwalk!$C:$L,6,FALSE)</f>
        <v>2</v>
      </c>
      <c r="N300" s="129" t="str">
        <f>VLOOKUP(VALUE($B300),test_out_xwalk!$C:$L,8,FALSE)</f>
        <v>Ground_F-MC_HB</v>
      </c>
      <c r="O300" s="129" t="str">
        <f>VLOOKUP(VALUE($B300),test_out_xwalk!$C:$L,7,FALSE)</f>
        <v>Spray</v>
      </c>
      <c r="P300" s="129" t="str">
        <f>VLOOKUP(VALUE($B300),test_out_xwalk!$C:$L,4,FALSE)</f>
        <v>Post-emergence</v>
      </c>
      <c r="Q300" s="129" t="str">
        <f>VLOOKUP(VALUE($B300),test_out_xwalk!$C:$L,9,FALSE)</f>
        <v>Other crops</v>
      </c>
      <c r="R300">
        <f>_xlfn.XLOOKUP(VALUE(B300),test_out_xwalk!$C:$C,test_out_xwalk!$A:$A)</f>
        <v>9</v>
      </c>
      <c r="T300" s="121" t="str">
        <f>IF('summary_EPA Pond'!$O300="","Check Summary EPA POND worksheet Column O",'summary_EPA Pond'!$O300)</f>
        <v>Check Summary EPA POND worksheet Column O</v>
      </c>
      <c r="U300" s="121" t="str" cm="1">
        <f t="array" ref="U300">IFERROR(_xlfn.TEXTSPLIT(T300,"_"),"")</f>
        <v>Check Summary EPA POND worksheet Column O</v>
      </c>
      <c r="AA300" s="121" t="str" cm="1">
        <f t="array" ref="AA300">IF(W300="","",(_xlfn.TEXTSPLIT(W300,"-")))</f>
        <v/>
      </c>
      <c r="AD300" s="129" t="e">
        <f>VLOOKUP(VALUE($U300),test_out_xwalk!$C:$L,3,FALSE)</f>
        <v>#VALUE!</v>
      </c>
      <c r="AE300" s="129" t="e">
        <f>VLOOKUP(VALUE($U300),test_out_xwalk!$C:$L,5,FALSE)</f>
        <v>#VALUE!</v>
      </c>
      <c r="AF300" s="129" t="e">
        <f>VLOOKUP(VALUE($U300),test_out_xwalk!$C:$L,6,FALSE)</f>
        <v>#VALUE!</v>
      </c>
      <c r="AG300" s="129" t="e">
        <f>VLOOKUP(VALUE($U300),test_out_xwalk!$C:$L,8,FALSE)</f>
        <v>#VALUE!</v>
      </c>
      <c r="AH300" s="129" t="e">
        <f>VLOOKUP(VALUE($U300),test_out_xwalk!$C:$L,7,FALSE)</f>
        <v>#VALUE!</v>
      </c>
      <c r="AI300" s="129" t="e">
        <f>VLOOKUP(VALUE($U300),test_out_xwalk!$C:$L,4,FALSE)</f>
        <v>#VALUE!</v>
      </c>
      <c r="AJ300" s="129" t="e">
        <f>VLOOKUP(VALUE($U300),test_out_xwalk!$C:$L,9,FALSE)</f>
        <v>#VALUE!</v>
      </c>
      <c r="AK300" t="e">
        <f>_xlfn.XLOOKUP(VALUE(U300),test_out_xwalk!C:C,test_out_xwalk!A:A)</f>
        <v>#VALUE!</v>
      </c>
    </row>
    <row r="301" spans="1:37" x14ac:dyDescent="0.55000000000000004">
      <c r="A301" s="121" t="str">
        <f>IF('summary_EPA Pond'!$A301="","Check Summary EPA POND worksheet Column A",'summary_EPA Pond'!$A301)</f>
        <v xml:space="preserve">23_2799668-26078-37_Hay all-r09-A_USEPA Pond_0055_median                              </v>
      </c>
      <c r="B301" s="121" t="str" cm="1">
        <f t="array" ref="B301:G301">IFERROR(_xlfn.TEXTSPLIT(A301,"_"),"")</f>
        <v>23</v>
      </c>
      <c r="C301" t="str">
        <v>2799668-26078-37</v>
      </c>
      <c r="D301" t="str">
        <v>Hay all-r09-A</v>
      </c>
      <c r="E301" t="str">
        <v>USEPA Pond</v>
      </c>
      <c r="F301" t="str">
        <v>0055</v>
      </c>
      <c r="G301" t="str">
        <v xml:space="preserve">median                              </v>
      </c>
      <c r="H301" s="121" t="str" cm="1">
        <f t="array" ref="H301:J301">IF(D301="","",(_xlfn.TEXTSPLIT(D301,"-")))</f>
        <v>Hay all</v>
      </c>
      <c r="I301" s="121" t="str">
        <v>r09</v>
      </c>
      <c r="J301" t="str">
        <v>A</v>
      </c>
      <c r="K301" s="129" t="str">
        <f>VLOOKUP(VALUE($B301),test_out_xwalk!$C:$L,3,FALSE)</f>
        <v>Clover-9-23</v>
      </c>
      <c r="L301" s="129">
        <f>VLOOKUP(VALUE($B301),test_out_xwalk!$C:$L,5,FALSE)</f>
        <v>1</v>
      </c>
      <c r="M301" s="129">
        <f>VLOOKUP(VALUE($B301),test_out_xwalk!$C:$L,6,FALSE)</f>
        <v>2</v>
      </c>
      <c r="N301" s="129" t="str">
        <f>VLOOKUP(VALUE($B301),test_out_xwalk!$C:$L,8,FALSE)</f>
        <v>Ground_F-MC_HB</v>
      </c>
      <c r="O301" s="129" t="str">
        <f>VLOOKUP(VALUE($B301),test_out_xwalk!$C:$L,7,FALSE)</f>
        <v>Spray</v>
      </c>
      <c r="P301" s="129" t="str">
        <f>VLOOKUP(VALUE($B301),test_out_xwalk!$C:$L,4,FALSE)</f>
        <v>Post-emergence</v>
      </c>
      <c r="Q301" s="129" t="str">
        <f>VLOOKUP(VALUE($B301),test_out_xwalk!$C:$L,9,FALSE)</f>
        <v>Other crops</v>
      </c>
      <c r="R301">
        <f>_xlfn.XLOOKUP(VALUE(B301),test_out_xwalk!$C:$C,test_out_xwalk!$A:$A)</f>
        <v>9</v>
      </c>
      <c r="T301" s="121" t="str">
        <f>IF('summary_EPA Pond'!$O301="","Check Summary EPA POND worksheet Column O",'summary_EPA Pond'!$O301)</f>
        <v>Check Summary EPA POND worksheet Column O</v>
      </c>
      <c r="U301" s="121" t="str" cm="1">
        <f t="array" ref="U301">IFERROR(_xlfn.TEXTSPLIT(T301,"_"),"")</f>
        <v>Check Summary EPA POND worksheet Column O</v>
      </c>
      <c r="AA301" s="121" t="str" cm="1">
        <f t="array" ref="AA301">IF(W301="","",(_xlfn.TEXTSPLIT(W301,"-")))</f>
        <v/>
      </c>
      <c r="AD301" s="129" t="e">
        <f>VLOOKUP(VALUE($U301),test_out_xwalk!$C:$L,3,FALSE)</f>
        <v>#VALUE!</v>
      </c>
      <c r="AE301" s="129" t="e">
        <f>VLOOKUP(VALUE($U301),test_out_xwalk!$C:$L,5,FALSE)</f>
        <v>#VALUE!</v>
      </c>
      <c r="AF301" s="129" t="e">
        <f>VLOOKUP(VALUE($U301),test_out_xwalk!$C:$L,6,FALSE)</f>
        <v>#VALUE!</v>
      </c>
      <c r="AG301" s="129" t="e">
        <f>VLOOKUP(VALUE($U301),test_out_xwalk!$C:$L,8,FALSE)</f>
        <v>#VALUE!</v>
      </c>
      <c r="AH301" s="129" t="e">
        <f>VLOOKUP(VALUE($U301),test_out_xwalk!$C:$L,7,FALSE)</f>
        <v>#VALUE!</v>
      </c>
      <c r="AI301" s="129" t="e">
        <f>VLOOKUP(VALUE($U301),test_out_xwalk!$C:$L,4,FALSE)</f>
        <v>#VALUE!</v>
      </c>
      <c r="AJ301" s="129" t="e">
        <f>VLOOKUP(VALUE($U301),test_out_xwalk!$C:$L,9,FALSE)</f>
        <v>#VALUE!</v>
      </c>
      <c r="AK301" t="e">
        <f>_xlfn.XLOOKUP(VALUE(U301),test_out_xwalk!C:C,test_out_xwalk!A:A)</f>
        <v>#VALUE!</v>
      </c>
    </row>
    <row r="302" spans="1:37" x14ac:dyDescent="0.55000000000000004">
      <c r="A302" s="121" t="str">
        <f>IF('summary_EPA Pond'!$A302="","Check Summary EPA POND worksheet Column A",'summary_EPA Pond'!$A302)</f>
        <v xml:space="preserve">23_104947-20380-37_Hay all-r10L-A_USEPA Pond_0055_median                              </v>
      </c>
      <c r="B302" s="121" t="str" cm="1">
        <f t="array" ref="B302:G302">IFERROR(_xlfn.TEXTSPLIT(A302,"_"),"")</f>
        <v>23</v>
      </c>
      <c r="C302" t="str">
        <v>104947-20380-37</v>
      </c>
      <c r="D302" t="str">
        <v>Hay all-r10L-A</v>
      </c>
      <c r="E302" t="str">
        <v>USEPA Pond</v>
      </c>
      <c r="F302" t="str">
        <v>0055</v>
      </c>
      <c r="G302" t="str">
        <v xml:space="preserve">median                              </v>
      </c>
      <c r="H302" s="121" t="str" cm="1">
        <f t="array" ref="H302:J302">IF(D302="","",(_xlfn.TEXTSPLIT(D302,"-")))</f>
        <v>Hay all</v>
      </c>
      <c r="I302" s="121" t="str">
        <v>r10L</v>
      </c>
      <c r="J302" t="str">
        <v>A</v>
      </c>
      <c r="K302" s="129" t="str">
        <f>VLOOKUP(VALUE($B302),test_out_xwalk!$C:$L,3,FALSE)</f>
        <v>Clover-9-23</v>
      </c>
      <c r="L302" s="129">
        <f>VLOOKUP(VALUE($B302),test_out_xwalk!$C:$L,5,FALSE)</f>
        <v>1</v>
      </c>
      <c r="M302" s="129">
        <f>VLOOKUP(VALUE($B302),test_out_xwalk!$C:$L,6,FALSE)</f>
        <v>2</v>
      </c>
      <c r="N302" s="129" t="str">
        <f>VLOOKUP(VALUE($B302),test_out_xwalk!$C:$L,8,FALSE)</f>
        <v>Ground_F-MC_HB</v>
      </c>
      <c r="O302" s="129" t="str">
        <f>VLOOKUP(VALUE($B302),test_out_xwalk!$C:$L,7,FALSE)</f>
        <v>Spray</v>
      </c>
      <c r="P302" s="129" t="str">
        <f>VLOOKUP(VALUE($B302),test_out_xwalk!$C:$L,4,FALSE)</f>
        <v>Post-emergence</v>
      </c>
      <c r="Q302" s="129" t="str">
        <f>VLOOKUP(VALUE($B302),test_out_xwalk!$C:$L,9,FALSE)</f>
        <v>Other crops</v>
      </c>
      <c r="R302">
        <f>_xlfn.XLOOKUP(VALUE(B302),test_out_xwalk!$C:$C,test_out_xwalk!$A:$A)</f>
        <v>9</v>
      </c>
      <c r="T302" s="121" t="str">
        <f>IF('summary_EPA Pond'!$O302="","Check Summary EPA POND worksheet Column O",'summary_EPA Pond'!$O302)</f>
        <v>Check Summary EPA POND worksheet Column O</v>
      </c>
      <c r="U302" s="121" t="str" cm="1">
        <f t="array" ref="U302">IFERROR(_xlfn.TEXTSPLIT(T302,"_"),"")</f>
        <v>Check Summary EPA POND worksheet Column O</v>
      </c>
      <c r="AA302" s="121" t="str" cm="1">
        <f t="array" ref="AA302">IF(W302="","",(_xlfn.TEXTSPLIT(W302,"-")))</f>
        <v/>
      </c>
      <c r="AD302" s="129" t="e">
        <f>VLOOKUP(VALUE($U302),test_out_xwalk!$C:$L,3,FALSE)</f>
        <v>#VALUE!</v>
      </c>
      <c r="AE302" s="129" t="e">
        <f>VLOOKUP(VALUE($U302),test_out_xwalk!$C:$L,5,FALSE)</f>
        <v>#VALUE!</v>
      </c>
      <c r="AF302" s="129" t="e">
        <f>VLOOKUP(VALUE($U302),test_out_xwalk!$C:$L,6,FALSE)</f>
        <v>#VALUE!</v>
      </c>
      <c r="AG302" s="129" t="e">
        <f>VLOOKUP(VALUE($U302),test_out_xwalk!$C:$L,8,FALSE)</f>
        <v>#VALUE!</v>
      </c>
      <c r="AH302" s="129" t="e">
        <f>VLOOKUP(VALUE($U302),test_out_xwalk!$C:$L,7,FALSE)</f>
        <v>#VALUE!</v>
      </c>
      <c r="AI302" s="129" t="e">
        <f>VLOOKUP(VALUE($U302),test_out_xwalk!$C:$L,4,FALSE)</f>
        <v>#VALUE!</v>
      </c>
      <c r="AJ302" s="129" t="e">
        <f>VLOOKUP(VALUE($U302),test_out_xwalk!$C:$L,9,FALSE)</f>
        <v>#VALUE!</v>
      </c>
      <c r="AK302" t="e">
        <f>_xlfn.XLOOKUP(VALUE(U302),test_out_xwalk!C:C,test_out_xwalk!A:A)</f>
        <v>#VALUE!</v>
      </c>
    </row>
    <row r="303" spans="1:37" x14ac:dyDescent="0.55000000000000004">
      <c r="A303" s="121" t="str">
        <f>IF('summary_EPA Pond'!$A303="","Check Summary EPA POND worksheet Column A",'summary_EPA Pond'!$A303)</f>
        <v xml:space="preserve">23_2580954-22752-37_Hay all-r10U-A_USEPA Pond_0055_median                             </v>
      </c>
      <c r="B303" s="121" t="str" cm="1">
        <f t="array" ref="B303:G303">IFERROR(_xlfn.TEXTSPLIT(A303,"_"),"")</f>
        <v>23</v>
      </c>
      <c r="C303" t="str">
        <v>2580954-22752-37</v>
      </c>
      <c r="D303" t="str">
        <v>Hay all-r10U-A</v>
      </c>
      <c r="E303" t="str">
        <v>USEPA Pond</v>
      </c>
      <c r="F303" t="str">
        <v>0055</v>
      </c>
      <c r="G303" t="str">
        <v xml:space="preserve">median                             </v>
      </c>
      <c r="H303" s="121" t="str" cm="1">
        <f t="array" ref="H303:J303">IF(D303="","",(_xlfn.TEXTSPLIT(D303,"-")))</f>
        <v>Hay all</v>
      </c>
      <c r="I303" s="121" t="str">
        <v>r10U</v>
      </c>
      <c r="J303" t="str">
        <v>A</v>
      </c>
      <c r="K303" s="129" t="str">
        <f>VLOOKUP(VALUE($B303),test_out_xwalk!$C:$L,3,FALSE)</f>
        <v>Clover-9-23</v>
      </c>
      <c r="L303" s="129">
        <f>VLOOKUP(VALUE($B303),test_out_xwalk!$C:$L,5,FALSE)</f>
        <v>1</v>
      </c>
      <c r="M303" s="129">
        <f>VLOOKUP(VALUE($B303),test_out_xwalk!$C:$L,6,FALSE)</f>
        <v>2</v>
      </c>
      <c r="N303" s="129" t="str">
        <f>VLOOKUP(VALUE($B303),test_out_xwalk!$C:$L,8,FALSE)</f>
        <v>Ground_F-MC_HB</v>
      </c>
      <c r="O303" s="129" t="str">
        <f>VLOOKUP(VALUE($B303),test_out_xwalk!$C:$L,7,FALSE)</f>
        <v>Spray</v>
      </c>
      <c r="P303" s="129" t="str">
        <f>VLOOKUP(VALUE($B303),test_out_xwalk!$C:$L,4,FALSE)</f>
        <v>Post-emergence</v>
      </c>
      <c r="Q303" s="129" t="str">
        <f>VLOOKUP(VALUE($B303),test_out_xwalk!$C:$L,9,FALSE)</f>
        <v>Other crops</v>
      </c>
      <c r="R303">
        <f>_xlfn.XLOOKUP(VALUE(B303),test_out_xwalk!$C:$C,test_out_xwalk!$A:$A)</f>
        <v>9</v>
      </c>
      <c r="T303" s="121" t="str">
        <f>IF('summary_EPA Pond'!$O303="","Check Summary EPA POND worksheet Column O",'summary_EPA Pond'!$O303)</f>
        <v>Check Summary EPA POND worksheet Column O</v>
      </c>
      <c r="U303" s="121" t="str" cm="1">
        <f t="array" ref="U303">IFERROR(_xlfn.TEXTSPLIT(T303,"_"),"")</f>
        <v>Check Summary EPA POND worksheet Column O</v>
      </c>
      <c r="AA303" s="121" t="str" cm="1">
        <f t="array" ref="AA303">IF(W303="","",(_xlfn.TEXTSPLIT(W303,"-")))</f>
        <v/>
      </c>
      <c r="AD303" s="129" t="e">
        <f>VLOOKUP(VALUE($U303),test_out_xwalk!$C:$L,3,FALSE)</f>
        <v>#VALUE!</v>
      </c>
      <c r="AE303" s="129" t="e">
        <f>VLOOKUP(VALUE($U303),test_out_xwalk!$C:$L,5,FALSE)</f>
        <v>#VALUE!</v>
      </c>
      <c r="AF303" s="129" t="e">
        <f>VLOOKUP(VALUE($U303),test_out_xwalk!$C:$L,6,FALSE)</f>
        <v>#VALUE!</v>
      </c>
      <c r="AG303" s="129" t="e">
        <f>VLOOKUP(VALUE($U303),test_out_xwalk!$C:$L,8,FALSE)</f>
        <v>#VALUE!</v>
      </c>
      <c r="AH303" s="129" t="e">
        <f>VLOOKUP(VALUE($U303),test_out_xwalk!$C:$L,7,FALSE)</f>
        <v>#VALUE!</v>
      </c>
      <c r="AI303" s="129" t="e">
        <f>VLOOKUP(VALUE($U303),test_out_xwalk!$C:$L,4,FALSE)</f>
        <v>#VALUE!</v>
      </c>
      <c r="AJ303" s="129" t="e">
        <f>VLOOKUP(VALUE($U303),test_out_xwalk!$C:$L,9,FALSE)</f>
        <v>#VALUE!</v>
      </c>
      <c r="AK303" t="e">
        <f>_xlfn.XLOOKUP(VALUE(U303),test_out_xwalk!C:C,test_out_xwalk!A:A)</f>
        <v>#VALUE!</v>
      </c>
    </row>
    <row r="304" spans="1:37" x14ac:dyDescent="0.55000000000000004">
      <c r="A304" s="121" t="str">
        <f>IF('summary_EPA Pond'!$A304="","Check Summary EPA POND worksheet Column A",'summary_EPA Pond'!$A304)</f>
        <v xml:space="preserve">23_2605767-16402-36_Hay all-r11-A_USEPA Pond_0055_median                              </v>
      </c>
      <c r="B304" s="121" t="str" cm="1">
        <f t="array" ref="B304:G304">IFERROR(_xlfn.TEXTSPLIT(A304,"_"),"")</f>
        <v>23</v>
      </c>
      <c r="C304" t="str">
        <v>2605767-16402-36</v>
      </c>
      <c r="D304" t="str">
        <v>Hay all-r11-A</v>
      </c>
      <c r="E304" t="str">
        <v>USEPA Pond</v>
      </c>
      <c r="F304" t="str">
        <v>0055</v>
      </c>
      <c r="G304" t="str">
        <v xml:space="preserve">median                              </v>
      </c>
      <c r="H304" s="121" t="str" cm="1">
        <f t="array" ref="H304:J304">IF(D304="","",(_xlfn.TEXTSPLIT(D304,"-")))</f>
        <v>Hay all</v>
      </c>
      <c r="I304" s="121" t="str">
        <v>r11</v>
      </c>
      <c r="J304" t="str">
        <v>A</v>
      </c>
      <c r="K304" s="129" t="str">
        <f>VLOOKUP(VALUE($B304),test_out_xwalk!$C:$L,3,FALSE)</f>
        <v>Clover-9-23</v>
      </c>
      <c r="L304" s="129">
        <f>VLOOKUP(VALUE($B304),test_out_xwalk!$C:$L,5,FALSE)</f>
        <v>1</v>
      </c>
      <c r="M304" s="129">
        <f>VLOOKUP(VALUE($B304),test_out_xwalk!$C:$L,6,FALSE)</f>
        <v>2</v>
      </c>
      <c r="N304" s="129" t="str">
        <f>VLOOKUP(VALUE($B304),test_out_xwalk!$C:$L,8,FALSE)</f>
        <v>Ground_F-MC_HB</v>
      </c>
      <c r="O304" s="129" t="str">
        <f>VLOOKUP(VALUE($B304),test_out_xwalk!$C:$L,7,FALSE)</f>
        <v>Spray</v>
      </c>
      <c r="P304" s="129" t="str">
        <f>VLOOKUP(VALUE($B304),test_out_xwalk!$C:$L,4,FALSE)</f>
        <v>Post-emergence</v>
      </c>
      <c r="Q304" s="129" t="str">
        <f>VLOOKUP(VALUE($B304),test_out_xwalk!$C:$L,9,FALSE)</f>
        <v>Other crops</v>
      </c>
      <c r="R304">
        <f>_xlfn.XLOOKUP(VALUE(B304),test_out_xwalk!$C:$C,test_out_xwalk!$A:$A)</f>
        <v>9</v>
      </c>
      <c r="T304" s="121" t="str">
        <f>IF('summary_EPA Pond'!$O304="","Check Summary EPA POND worksheet Column O",'summary_EPA Pond'!$O304)</f>
        <v>Check Summary EPA POND worksheet Column O</v>
      </c>
      <c r="U304" s="121" t="str" cm="1">
        <f t="array" ref="U304">IFERROR(_xlfn.TEXTSPLIT(T304,"_"),"")</f>
        <v>Check Summary EPA POND worksheet Column O</v>
      </c>
      <c r="AA304" s="121" t="str" cm="1">
        <f t="array" ref="AA304">IF(W304="","",(_xlfn.TEXTSPLIT(W304,"-")))</f>
        <v/>
      </c>
      <c r="AD304" s="129" t="e">
        <f>VLOOKUP(VALUE($U304),test_out_xwalk!$C:$L,3,FALSE)</f>
        <v>#VALUE!</v>
      </c>
      <c r="AE304" s="129" t="e">
        <f>VLOOKUP(VALUE($U304),test_out_xwalk!$C:$L,5,FALSE)</f>
        <v>#VALUE!</v>
      </c>
      <c r="AF304" s="129" t="e">
        <f>VLOOKUP(VALUE($U304),test_out_xwalk!$C:$L,6,FALSE)</f>
        <v>#VALUE!</v>
      </c>
      <c r="AG304" s="129" t="e">
        <f>VLOOKUP(VALUE($U304),test_out_xwalk!$C:$L,8,FALSE)</f>
        <v>#VALUE!</v>
      </c>
      <c r="AH304" s="129" t="e">
        <f>VLOOKUP(VALUE($U304),test_out_xwalk!$C:$L,7,FALSE)</f>
        <v>#VALUE!</v>
      </c>
      <c r="AI304" s="129" t="e">
        <f>VLOOKUP(VALUE($U304),test_out_xwalk!$C:$L,4,FALSE)</f>
        <v>#VALUE!</v>
      </c>
      <c r="AJ304" s="129" t="e">
        <f>VLOOKUP(VALUE($U304),test_out_xwalk!$C:$L,9,FALSE)</f>
        <v>#VALUE!</v>
      </c>
      <c r="AK304" t="e">
        <f>_xlfn.XLOOKUP(VALUE(U304),test_out_xwalk!C:C,test_out_xwalk!A:A)</f>
        <v>#VALUE!</v>
      </c>
    </row>
    <row r="305" spans="1:37" x14ac:dyDescent="0.55000000000000004">
      <c r="A305" s="121" t="str">
        <f>IF('summary_EPA Pond'!$A305="","Check Summary EPA POND worksheet Column A",'summary_EPA Pond'!$A305)</f>
        <v xml:space="preserve">23_365327-11680-37_Hay all-r12-A_USEPA Pond_0055_median                               </v>
      </c>
      <c r="B305" s="121" t="str" cm="1">
        <f t="array" ref="B305:G305">IFERROR(_xlfn.TEXTSPLIT(A305,"_"),"")</f>
        <v>23</v>
      </c>
      <c r="C305" t="str">
        <v>365327-11680-37</v>
      </c>
      <c r="D305" t="str">
        <v>Hay all-r12-A</v>
      </c>
      <c r="E305" t="str">
        <v>USEPA Pond</v>
      </c>
      <c r="F305" t="str">
        <v>0055</v>
      </c>
      <c r="G305" t="str">
        <v xml:space="preserve">median                               </v>
      </c>
      <c r="H305" s="121" t="str" cm="1">
        <f t="array" ref="H305:J305">IF(D305="","",(_xlfn.TEXTSPLIT(D305,"-")))</f>
        <v>Hay all</v>
      </c>
      <c r="I305" s="121" t="str">
        <v>r12</v>
      </c>
      <c r="J305" t="str">
        <v>A</v>
      </c>
      <c r="K305" s="129" t="str">
        <f>VLOOKUP(VALUE($B305),test_out_xwalk!$C:$L,3,FALSE)</f>
        <v>Clover-9-23</v>
      </c>
      <c r="L305" s="129">
        <f>VLOOKUP(VALUE($B305),test_out_xwalk!$C:$L,5,FALSE)</f>
        <v>1</v>
      </c>
      <c r="M305" s="129">
        <f>VLOOKUP(VALUE($B305),test_out_xwalk!$C:$L,6,FALSE)</f>
        <v>2</v>
      </c>
      <c r="N305" s="129" t="str">
        <f>VLOOKUP(VALUE($B305),test_out_xwalk!$C:$L,8,FALSE)</f>
        <v>Ground_F-MC_HB</v>
      </c>
      <c r="O305" s="129" t="str">
        <f>VLOOKUP(VALUE($B305),test_out_xwalk!$C:$L,7,FALSE)</f>
        <v>Spray</v>
      </c>
      <c r="P305" s="129" t="str">
        <f>VLOOKUP(VALUE($B305),test_out_xwalk!$C:$L,4,FALSE)</f>
        <v>Post-emergence</v>
      </c>
      <c r="Q305" s="129" t="str">
        <f>VLOOKUP(VALUE($B305),test_out_xwalk!$C:$L,9,FALSE)</f>
        <v>Other crops</v>
      </c>
      <c r="R305">
        <f>_xlfn.XLOOKUP(VALUE(B305),test_out_xwalk!$C:$C,test_out_xwalk!$A:$A)</f>
        <v>9</v>
      </c>
      <c r="T305" s="121" t="str">
        <f>IF('summary_EPA Pond'!$O305="","Check Summary EPA POND worksheet Column O",'summary_EPA Pond'!$O305)</f>
        <v>Check Summary EPA POND worksheet Column O</v>
      </c>
      <c r="U305" s="121" t="str" cm="1">
        <f t="array" ref="U305">IFERROR(_xlfn.TEXTSPLIT(T305,"_"),"")</f>
        <v>Check Summary EPA POND worksheet Column O</v>
      </c>
      <c r="AA305" s="121" t="str" cm="1">
        <f t="array" ref="AA305">IF(W305="","",(_xlfn.TEXTSPLIT(W305,"-")))</f>
        <v/>
      </c>
      <c r="AD305" s="129" t="e">
        <f>VLOOKUP(VALUE($U305),test_out_xwalk!$C:$L,3,FALSE)</f>
        <v>#VALUE!</v>
      </c>
      <c r="AE305" s="129" t="e">
        <f>VLOOKUP(VALUE($U305),test_out_xwalk!$C:$L,5,FALSE)</f>
        <v>#VALUE!</v>
      </c>
      <c r="AF305" s="129" t="e">
        <f>VLOOKUP(VALUE($U305),test_out_xwalk!$C:$L,6,FALSE)</f>
        <v>#VALUE!</v>
      </c>
      <c r="AG305" s="129" t="e">
        <f>VLOOKUP(VALUE($U305),test_out_xwalk!$C:$L,8,FALSE)</f>
        <v>#VALUE!</v>
      </c>
      <c r="AH305" s="129" t="e">
        <f>VLOOKUP(VALUE($U305),test_out_xwalk!$C:$L,7,FALSE)</f>
        <v>#VALUE!</v>
      </c>
      <c r="AI305" s="129" t="e">
        <f>VLOOKUP(VALUE($U305),test_out_xwalk!$C:$L,4,FALSE)</f>
        <v>#VALUE!</v>
      </c>
      <c r="AJ305" s="129" t="e">
        <f>VLOOKUP(VALUE($U305),test_out_xwalk!$C:$L,9,FALSE)</f>
        <v>#VALUE!</v>
      </c>
      <c r="AK305" t="e">
        <f>_xlfn.XLOOKUP(VALUE(U305),test_out_xwalk!C:C,test_out_xwalk!A:A)</f>
        <v>#VALUE!</v>
      </c>
    </row>
    <row r="306" spans="1:37" x14ac:dyDescent="0.55000000000000004">
      <c r="A306" s="121" t="str">
        <f>IF('summary_EPA Pond'!$A306="","Check Summary EPA POND worksheet Column A",'summary_EPA Pond'!$A306)</f>
        <v xml:space="preserve">23_55901-12123-36_Hay all-r13-A_USEPA Pond_0055_median                                </v>
      </c>
      <c r="B306" s="121" t="str" cm="1">
        <f t="array" ref="B306:G306">IFERROR(_xlfn.TEXTSPLIT(A306,"_"),"")</f>
        <v>23</v>
      </c>
      <c r="C306" t="str">
        <v>55901-12123-36</v>
      </c>
      <c r="D306" t="str">
        <v>Hay all-r13-A</v>
      </c>
      <c r="E306" t="str">
        <v>USEPA Pond</v>
      </c>
      <c r="F306" t="str">
        <v>0055</v>
      </c>
      <c r="G306" t="str">
        <v xml:space="preserve">median                                </v>
      </c>
      <c r="H306" s="121" t="str" cm="1">
        <f t="array" ref="H306:J306">IF(D306="","",(_xlfn.TEXTSPLIT(D306,"-")))</f>
        <v>Hay all</v>
      </c>
      <c r="I306" s="121" t="str">
        <v>r13</v>
      </c>
      <c r="J306" t="str">
        <v>A</v>
      </c>
      <c r="K306" s="129" t="str">
        <f>VLOOKUP(VALUE($B306),test_out_xwalk!$C:$L,3,FALSE)</f>
        <v>Clover-9-23</v>
      </c>
      <c r="L306" s="129">
        <f>VLOOKUP(VALUE($B306),test_out_xwalk!$C:$L,5,FALSE)</f>
        <v>1</v>
      </c>
      <c r="M306" s="129">
        <f>VLOOKUP(VALUE($B306),test_out_xwalk!$C:$L,6,FALSE)</f>
        <v>2</v>
      </c>
      <c r="N306" s="129" t="str">
        <f>VLOOKUP(VALUE($B306),test_out_xwalk!$C:$L,8,FALSE)</f>
        <v>Ground_F-MC_HB</v>
      </c>
      <c r="O306" s="129" t="str">
        <f>VLOOKUP(VALUE($B306),test_out_xwalk!$C:$L,7,FALSE)</f>
        <v>Spray</v>
      </c>
      <c r="P306" s="129" t="str">
        <f>VLOOKUP(VALUE($B306),test_out_xwalk!$C:$L,4,FALSE)</f>
        <v>Post-emergence</v>
      </c>
      <c r="Q306" s="129" t="str">
        <f>VLOOKUP(VALUE($B306),test_out_xwalk!$C:$L,9,FALSE)</f>
        <v>Other crops</v>
      </c>
      <c r="R306">
        <f>_xlfn.XLOOKUP(VALUE(B306),test_out_xwalk!$C:$C,test_out_xwalk!$A:$A)</f>
        <v>9</v>
      </c>
      <c r="T306" s="121" t="str">
        <f>IF('summary_EPA Pond'!$O306="","Check Summary EPA POND worksheet Column O",'summary_EPA Pond'!$O306)</f>
        <v>Check Summary EPA POND worksheet Column O</v>
      </c>
      <c r="U306" s="121" t="str" cm="1">
        <f t="array" ref="U306">IFERROR(_xlfn.TEXTSPLIT(T306,"_"),"")</f>
        <v>Check Summary EPA POND worksheet Column O</v>
      </c>
      <c r="AA306" s="121" t="str" cm="1">
        <f t="array" ref="AA306">IF(W306="","",(_xlfn.TEXTSPLIT(W306,"-")))</f>
        <v/>
      </c>
      <c r="AD306" s="129" t="e">
        <f>VLOOKUP(VALUE($U306),test_out_xwalk!$C:$L,3,FALSE)</f>
        <v>#VALUE!</v>
      </c>
      <c r="AE306" s="129" t="e">
        <f>VLOOKUP(VALUE($U306),test_out_xwalk!$C:$L,5,FALSE)</f>
        <v>#VALUE!</v>
      </c>
      <c r="AF306" s="129" t="e">
        <f>VLOOKUP(VALUE($U306),test_out_xwalk!$C:$L,6,FALSE)</f>
        <v>#VALUE!</v>
      </c>
      <c r="AG306" s="129" t="e">
        <f>VLOOKUP(VALUE($U306),test_out_xwalk!$C:$L,8,FALSE)</f>
        <v>#VALUE!</v>
      </c>
      <c r="AH306" s="129" t="e">
        <f>VLOOKUP(VALUE($U306),test_out_xwalk!$C:$L,7,FALSE)</f>
        <v>#VALUE!</v>
      </c>
      <c r="AI306" s="129" t="e">
        <f>VLOOKUP(VALUE($U306),test_out_xwalk!$C:$L,4,FALSE)</f>
        <v>#VALUE!</v>
      </c>
      <c r="AJ306" s="129" t="e">
        <f>VLOOKUP(VALUE($U306),test_out_xwalk!$C:$L,9,FALSE)</f>
        <v>#VALUE!</v>
      </c>
      <c r="AK306" t="e">
        <f>_xlfn.XLOOKUP(VALUE(U306),test_out_xwalk!C:C,test_out_xwalk!A:A)</f>
        <v>#VALUE!</v>
      </c>
    </row>
    <row r="307" spans="1:37" x14ac:dyDescent="0.55000000000000004">
      <c r="A307" s="121" t="str">
        <f>IF('summary_EPA Pond'!$A307="","Check Summary EPA POND worksheet Column A",'summary_EPA Pond'!$A307)</f>
        <v xml:space="preserve">23_508796-17301-36_Hay all-r14-A_USEPA Pond_0055_median                               </v>
      </c>
      <c r="B307" s="121" t="str" cm="1">
        <f t="array" ref="B307:G307">IFERROR(_xlfn.TEXTSPLIT(A307,"_"),"")</f>
        <v>23</v>
      </c>
      <c r="C307" t="str">
        <v>508796-17301-36</v>
      </c>
      <c r="D307" t="str">
        <v>Hay all-r14-A</v>
      </c>
      <c r="E307" t="str">
        <v>USEPA Pond</v>
      </c>
      <c r="F307" t="str">
        <v>0055</v>
      </c>
      <c r="G307" t="str">
        <v xml:space="preserve">median                               </v>
      </c>
      <c r="H307" s="121" t="str" cm="1">
        <f t="array" ref="H307:J307">IF(D307="","",(_xlfn.TEXTSPLIT(D307,"-")))</f>
        <v>Hay all</v>
      </c>
      <c r="I307" s="121" t="str">
        <v>r14</v>
      </c>
      <c r="J307" t="str">
        <v>A</v>
      </c>
      <c r="K307" s="129" t="str">
        <f>VLOOKUP(VALUE($B307),test_out_xwalk!$C:$L,3,FALSE)</f>
        <v>Clover-9-23</v>
      </c>
      <c r="L307" s="129">
        <f>VLOOKUP(VALUE($B307),test_out_xwalk!$C:$L,5,FALSE)</f>
        <v>1</v>
      </c>
      <c r="M307" s="129">
        <f>VLOOKUP(VALUE($B307),test_out_xwalk!$C:$L,6,FALSE)</f>
        <v>2</v>
      </c>
      <c r="N307" s="129" t="str">
        <f>VLOOKUP(VALUE($B307),test_out_xwalk!$C:$L,8,FALSE)</f>
        <v>Ground_F-MC_HB</v>
      </c>
      <c r="O307" s="129" t="str">
        <f>VLOOKUP(VALUE($B307),test_out_xwalk!$C:$L,7,FALSE)</f>
        <v>Spray</v>
      </c>
      <c r="P307" s="129" t="str">
        <f>VLOOKUP(VALUE($B307),test_out_xwalk!$C:$L,4,FALSE)</f>
        <v>Post-emergence</v>
      </c>
      <c r="Q307" s="129" t="str">
        <f>VLOOKUP(VALUE($B307),test_out_xwalk!$C:$L,9,FALSE)</f>
        <v>Other crops</v>
      </c>
      <c r="R307">
        <f>_xlfn.XLOOKUP(VALUE(B307),test_out_xwalk!$C:$C,test_out_xwalk!$A:$A)</f>
        <v>9</v>
      </c>
      <c r="T307" s="121" t="str">
        <f>IF('summary_EPA Pond'!$O307="","Check Summary EPA POND worksheet Column O",'summary_EPA Pond'!$O307)</f>
        <v>Check Summary EPA POND worksheet Column O</v>
      </c>
      <c r="U307" s="121" t="str" cm="1">
        <f t="array" ref="U307">IFERROR(_xlfn.TEXTSPLIT(T307,"_"),"")</f>
        <v>Check Summary EPA POND worksheet Column O</v>
      </c>
      <c r="AA307" s="121" t="str" cm="1">
        <f t="array" ref="AA307">IF(W307="","",(_xlfn.TEXTSPLIT(W307,"-")))</f>
        <v/>
      </c>
      <c r="AD307" s="129" t="e">
        <f>VLOOKUP(VALUE($U307),test_out_xwalk!$C:$L,3,FALSE)</f>
        <v>#VALUE!</v>
      </c>
      <c r="AE307" s="129" t="e">
        <f>VLOOKUP(VALUE($U307),test_out_xwalk!$C:$L,5,FALSE)</f>
        <v>#VALUE!</v>
      </c>
      <c r="AF307" s="129" t="e">
        <f>VLOOKUP(VALUE($U307),test_out_xwalk!$C:$L,6,FALSE)</f>
        <v>#VALUE!</v>
      </c>
      <c r="AG307" s="129" t="e">
        <f>VLOOKUP(VALUE($U307),test_out_xwalk!$C:$L,8,FALSE)</f>
        <v>#VALUE!</v>
      </c>
      <c r="AH307" s="129" t="e">
        <f>VLOOKUP(VALUE($U307),test_out_xwalk!$C:$L,7,FALSE)</f>
        <v>#VALUE!</v>
      </c>
      <c r="AI307" s="129" t="e">
        <f>VLOOKUP(VALUE($U307),test_out_xwalk!$C:$L,4,FALSE)</f>
        <v>#VALUE!</v>
      </c>
      <c r="AJ307" s="129" t="e">
        <f>VLOOKUP(VALUE($U307),test_out_xwalk!$C:$L,9,FALSE)</f>
        <v>#VALUE!</v>
      </c>
      <c r="AK307" t="e">
        <f>_xlfn.XLOOKUP(VALUE(U307),test_out_xwalk!C:C,test_out_xwalk!A:A)</f>
        <v>#VALUE!</v>
      </c>
    </row>
    <row r="308" spans="1:37" x14ac:dyDescent="0.55000000000000004">
      <c r="A308" s="121" t="str">
        <f>IF('summary_EPA Pond'!$A308="","Check Summary EPA POND worksheet Column A",'summary_EPA Pond'!$A308)</f>
        <v xml:space="preserve">23_464078-12554-36_Hay all-r15-A_USEPA Pond_0055_median                               </v>
      </c>
      <c r="B308" s="121" t="str" cm="1">
        <f t="array" ref="B308:G308">IFERROR(_xlfn.TEXTSPLIT(A308,"_"),"")</f>
        <v>23</v>
      </c>
      <c r="C308" t="str">
        <v>464078-12554-36</v>
      </c>
      <c r="D308" t="str">
        <v>Hay all-r15-A</v>
      </c>
      <c r="E308" t="str">
        <v>USEPA Pond</v>
      </c>
      <c r="F308" t="str">
        <v>0055</v>
      </c>
      <c r="G308" t="str">
        <v xml:space="preserve">median                               </v>
      </c>
      <c r="H308" s="121" t="str" cm="1">
        <f t="array" ref="H308:J308">IF(D308="","",(_xlfn.TEXTSPLIT(D308,"-")))</f>
        <v>Hay all</v>
      </c>
      <c r="I308" s="121" t="str">
        <v>r15</v>
      </c>
      <c r="J308" t="str">
        <v>A</v>
      </c>
      <c r="K308" s="129" t="str">
        <f>VLOOKUP(VALUE($B308),test_out_xwalk!$C:$L,3,FALSE)</f>
        <v>Clover-9-23</v>
      </c>
      <c r="L308" s="129">
        <f>VLOOKUP(VALUE($B308),test_out_xwalk!$C:$L,5,FALSE)</f>
        <v>1</v>
      </c>
      <c r="M308" s="129">
        <f>VLOOKUP(VALUE($B308),test_out_xwalk!$C:$L,6,FALSE)</f>
        <v>2</v>
      </c>
      <c r="N308" s="129" t="str">
        <f>VLOOKUP(VALUE($B308),test_out_xwalk!$C:$L,8,FALSE)</f>
        <v>Ground_F-MC_HB</v>
      </c>
      <c r="O308" s="129" t="str">
        <f>VLOOKUP(VALUE($B308),test_out_xwalk!$C:$L,7,FALSE)</f>
        <v>Spray</v>
      </c>
      <c r="P308" s="129" t="str">
        <f>VLOOKUP(VALUE($B308),test_out_xwalk!$C:$L,4,FALSE)</f>
        <v>Post-emergence</v>
      </c>
      <c r="Q308" s="129" t="str">
        <f>VLOOKUP(VALUE($B308),test_out_xwalk!$C:$L,9,FALSE)</f>
        <v>Other crops</v>
      </c>
      <c r="R308">
        <f>_xlfn.XLOOKUP(VALUE(B308),test_out_xwalk!$C:$C,test_out_xwalk!$A:$A)</f>
        <v>9</v>
      </c>
      <c r="T308" s="121" t="str">
        <f>IF('summary_EPA Pond'!$O308="","Check Summary EPA POND worksheet Column O",'summary_EPA Pond'!$O308)</f>
        <v>Check Summary EPA POND worksheet Column O</v>
      </c>
      <c r="U308" s="121" t="str" cm="1">
        <f t="array" ref="U308">IFERROR(_xlfn.TEXTSPLIT(T308,"_"),"")</f>
        <v>Check Summary EPA POND worksheet Column O</v>
      </c>
      <c r="AA308" s="121" t="str" cm="1">
        <f t="array" ref="AA308">IF(W308="","",(_xlfn.TEXTSPLIT(W308,"-")))</f>
        <v/>
      </c>
      <c r="AD308" s="129" t="e">
        <f>VLOOKUP(VALUE($U308),test_out_xwalk!$C:$L,3,FALSE)</f>
        <v>#VALUE!</v>
      </c>
      <c r="AE308" s="129" t="e">
        <f>VLOOKUP(VALUE($U308),test_out_xwalk!$C:$L,5,FALSE)</f>
        <v>#VALUE!</v>
      </c>
      <c r="AF308" s="129" t="e">
        <f>VLOOKUP(VALUE($U308),test_out_xwalk!$C:$L,6,FALSE)</f>
        <v>#VALUE!</v>
      </c>
      <c r="AG308" s="129" t="e">
        <f>VLOOKUP(VALUE($U308),test_out_xwalk!$C:$L,8,FALSE)</f>
        <v>#VALUE!</v>
      </c>
      <c r="AH308" s="129" t="e">
        <f>VLOOKUP(VALUE($U308),test_out_xwalk!$C:$L,7,FALSE)</f>
        <v>#VALUE!</v>
      </c>
      <c r="AI308" s="129" t="e">
        <f>VLOOKUP(VALUE($U308),test_out_xwalk!$C:$L,4,FALSE)</f>
        <v>#VALUE!</v>
      </c>
      <c r="AJ308" s="129" t="e">
        <f>VLOOKUP(VALUE($U308),test_out_xwalk!$C:$L,9,FALSE)</f>
        <v>#VALUE!</v>
      </c>
      <c r="AK308" t="e">
        <f>_xlfn.XLOOKUP(VALUE(U308),test_out_xwalk!C:C,test_out_xwalk!A:A)</f>
        <v>#VALUE!</v>
      </c>
    </row>
    <row r="309" spans="1:37" x14ac:dyDescent="0.55000000000000004">
      <c r="A309" s="121" t="str">
        <f>IF('summary_EPA Pond'!$A309="","Check Summary EPA POND worksheet Column A",'summary_EPA Pond'!$A309)</f>
        <v xml:space="preserve">23_476104-19392-36_Hay all-r16-A_USEPA Pond_0055_median                               </v>
      </c>
      <c r="B309" s="121" t="str" cm="1">
        <f t="array" ref="B309:G309">IFERROR(_xlfn.TEXTSPLIT(A309,"_"),"")</f>
        <v>23</v>
      </c>
      <c r="C309" t="str">
        <v>476104-19392-36</v>
      </c>
      <c r="D309" t="str">
        <v>Hay all-r16-A</v>
      </c>
      <c r="E309" t="str">
        <v>USEPA Pond</v>
      </c>
      <c r="F309" t="str">
        <v>0055</v>
      </c>
      <c r="G309" t="str">
        <v xml:space="preserve">median                               </v>
      </c>
      <c r="H309" s="121" t="str" cm="1">
        <f t="array" ref="H309:J309">IF(D309="","",(_xlfn.TEXTSPLIT(D309,"-")))</f>
        <v>Hay all</v>
      </c>
      <c r="I309" s="121" t="str">
        <v>r16</v>
      </c>
      <c r="J309" t="str">
        <v>A</v>
      </c>
      <c r="K309" s="129" t="str">
        <f>VLOOKUP(VALUE($B309),test_out_xwalk!$C:$L,3,FALSE)</f>
        <v>Clover-9-23</v>
      </c>
      <c r="L309" s="129">
        <f>VLOOKUP(VALUE($B309),test_out_xwalk!$C:$L,5,FALSE)</f>
        <v>1</v>
      </c>
      <c r="M309" s="129">
        <f>VLOOKUP(VALUE($B309),test_out_xwalk!$C:$L,6,FALSE)</f>
        <v>2</v>
      </c>
      <c r="N309" s="129" t="str">
        <f>VLOOKUP(VALUE($B309),test_out_xwalk!$C:$L,8,FALSE)</f>
        <v>Ground_F-MC_HB</v>
      </c>
      <c r="O309" s="129" t="str">
        <f>VLOOKUP(VALUE($B309),test_out_xwalk!$C:$L,7,FALSE)</f>
        <v>Spray</v>
      </c>
      <c r="P309" s="129" t="str">
        <f>VLOOKUP(VALUE($B309),test_out_xwalk!$C:$L,4,FALSE)</f>
        <v>Post-emergence</v>
      </c>
      <c r="Q309" s="129" t="str">
        <f>VLOOKUP(VALUE($B309),test_out_xwalk!$C:$L,9,FALSE)</f>
        <v>Other crops</v>
      </c>
      <c r="R309">
        <f>_xlfn.XLOOKUP(VALUE(B309),test_out_xwalk!$C:$C,test_out_xwalk!$A:$A)</f>
        <v>9</v>
      </c>
      <c r="T309" s="121" t="str">
        <f>IF('summary_EPA Pond'!$O309="","Check Summary EPA POND worksheet Column O",'summary_EPA Pond'!$O309)</f>
        <v>Check Summary EPA POND worksheet Column O</v>
      </c>
      <c r="U309" s="121" t="str" cm="1">
        <f t="array" ref="U309">IFERROR(_xlfn.TEXTSPLIT(T309,"_"),"")</f>
        <v>Check Summary EPA POND worksheet Column O</v>
      </c>
      <c r="AA309" s="121" t="str" cm="1">
        <f t="array" ref="AA309">IF(W309="","",(_xlfn.TEXTSPLIT(W309,"-")))</f>
        <v/>
      </c>
      <c r="AD309" s="129" t="e">
        <f>VLOOKUP(VALUE($U309),test_out_xwalk!$C:$L,3,FALSE)</f>
        <v>#VALUE!</v>
      </c>
      <c r="AE309" s="129" t="e">
        <f>VLOOKUP(VALUE($U309),test_out_xwalk!$C:$L,5,FALSE)</f>
        <v>#VALUE!</v>
      </c>
      <c r="AF309" s="129" t="e">
        <f>VLOOKUP(VALUE($U309),test_out_xwalk!$C:$L,6,FALSE)</f>
        <v>#VALUE!</v>
      </c>
      <c r="AG309" s="129" t="e">
        <f>VLOOKUP(VALUE($U309),test_out_xwalk!$C:$L,8,FALSE)</f>
        <v>#VALUE!</v>
      </c>
      <c r="AH309" s="129" t="e">
        <f>VLOOKUP(VALUE($U309),test_out_xwalk!$C:$L,7,FALSE)</f>
        <v>#VALUE!</v>
      </c>
      <c r="AI309" s="129" t="e">
        <f>VLOOKUP(VALUE($U309),test_out_xwalk!$C:$L,4,FALSE)</f>
        <v>#VALUE!</v>
      </c>
      <c r="AJ309" s="129" t="e">
        <f>VLOOKUP(VALUE($U309),test_out_xwalk!$C:$L,9,FALSE)</f>
        <v>#VALUE!</v>
      </c>
      <c r="AK309" t="e">
        <f>_xlfn.XLOOKUP(VALUE(U309),test_out_xwalk!C:C,test_out_xwalk!A:A)</f>
        <v>#VALUE!</v>
      </c>
    </row>
    <row r="310" spans="1:37" x14ac:dyDescent="0.55000000000000004">
      <c r="A310" s="121" t="str">
        <f>IF('summary_EPA Pond'!$A310="","Check Summary EPA POND worksheet Column A",'summary_EPA Pond'!$A310)</f>
        <v xml:space="preserve">23_155797-26007-37_Hay all-r17-A_USEPA Pond_0055_median                               </v>
      </c>
      <c r="B310" s="121" t="str" cm="1">
        <f t="array" ref="B310:G310">IFERROR(_xlfn.TEXTSPLIT(A310,"_"),"")</f>
        <v>23</v>
      </c>
      <c r="C310" t="str">
        <v>155797-26007-37</v>
      </c>
      <c r="D310" t="str">
        <v>Hay all-r17-A</v>
      </c>
      <c r="E310" t="str">
        <v>USEPA Pond</v>
      </c>
      <c r="F310" t="str">
        <v>0055</v>
      </c>
      <c r="G310" t="str">
        <v xml:space="preserve">median                               </v>
      </c>
      <c r="H310" s="121" t="str" cm="1">
        <f t="array" ref="H310:J310">IF(D310="","",(_xlfn.TEXTSPLIT(D310,"-")))</f>
        <v>Hay all</v>
      </c>
      <c r="I310" s="121" t="str">
        <v>r17</v>
      </c>
      <c r="J310" t="str">
        <v>A</v>
      </c>
      <c r="K310" s="129" t="str">
        <f>VLOOKUP(VALUE($B310),test_out_xwalk!$C:$L,3,FALSE)</f>
        <v>Clover-9-23</v>
      </c>
      <c r="L310" s="129">
        <f>VLOOKUP(VALUE($B310),test_out_xwalk!$C:$L,5,FALSE)</f>
        <v>1</v>
      </c>
      <c r="M310" s="129">
        <f>VLOOKUP(VALUE($B310),test_out_xwalk!$C:$L,6,FALSE)</f>
        <v>2</v>
      </c>
      <c r="N310" s="129" t="str">
        <f>VLOOKUP(VALUE($B310),test_out_xwalk!$C:$L,8,FALSE)</f>
        <v>Ground_F-MC_HB</v>
      </c>
      <c r="O310" s="129" t="str">
        <f>VLOOKUP(VALUE($B310),test_out_xwalk!$C:$L,7,FALSE)</f>
        <v>Spray</v>
      </c>
      <c r="P310" s="129" t="str">
        <f>VLOOKUP(VALUE($B310),test_out_xwalk!$C:$L,4,FALSE)</f>
        <v>Post-emergence</v>
      </c>
      <c r="Q310" s="129" t="str">
        <f>VLOOKUP(VALUE($B310),test_out_xwalk!$C:$L,9,FALSE)</f>
        <v>Other crops</v>
      </c>
      <c r="R310">
        <f>_xlfn.XLOOKUP(VALUE(B310),test_out_xwalk!$C:$C,test_out_xwalk!$A:$A)</f>
        <v>9</v>
      </c>
      <c r="T310" s="121" t="str">
        <f>IF('summary_EPA Pond'!$O310="","Check Summary EPA POND worksheet Column O",'summary_EPA Pond'!$O310)</f>
        <v>Check Summary EPA POND worksheet Column O</v>
      </c>
      <c r="U310" s="121" t="str" cm="1">
        <f t="array" ref="U310">IFERROR(_xlfn.TEXTSPLIT(T310,"_"),"")</f>
        <v>Check Summary EPA POND worksheet Column O</v>
      </c>
      <c r="AA310" s="121" t="str" cm="1">
        <f t="array" ref="AA310">IF(W310="","",(_xlfn.TEXTSPLIT(W310,"-")))</f>
        <v/>
      </c>
      <c r="AD310" s="129" t="e">
        <f>VLOOKUP(VALUE($U310),test_out_xwalk!$C:$L,3,FALSE)</f>
        <v>#VALUE!</v>
      </c>
      <c r="AE310" s="129" t="e">
        <f>VLOOKUP(VALUE($U310),test_out_xwalk!$C:$L,5,FALSE)</f>
        <v>#VALUE!</v>
      </c>
      <c r="AF310" s="129" t="e">
        <f>VLOOKUP(VALUE($U310),test_out_xwalk!$C:$L,6,FALSE)</f>
        <v>#VALUE!</v>
      </c>
      <c r="AG310" s="129" t="e">
        <f>VLOOKUP(VALUE($U310),test_out_xwalk!$C:$L,8,FALSE)</f>
        <v>#VALUE!</v>
      </c>
      <c r="AH310" s="129" t="e">
        <f>VLOOKUP(VALUE($U310),test_out_xwalk!$C:$L,7,FALSE)</f>
        <v>#VALUE!</v>
      </c>
      <c r="AI310" s="129" t="e">
        <f>VLOOKUP(VALUE($U310),test_out_xwalk!$C:$L,4,FALSE)</f>
        <v>#VALUE!</v>
      </c>
      <c r="AJ310" s="129" t="e">
        <f>VLOOKUP(VALUE($U310),test_out_xwalk!$C:$L,9,FALSE)</f>
        <v>#VALUE!</v>
      </c>
      <c r="AK310" t="e">
        <f>_xlfn.XLOOKUP(VALUE(U310),test_out_xwalk!C:C,test_out_xwalk!A:A)</f>
        <v>#VALUE!</v>
      </c>
    </row>
    <row r="311" spans="1:37" x14ac:dyDescent="0.55000000000000004">
      <c r="A311" s="121" t="str">
        <f>IF('summary_EPA Pond'!$A311="","Check Summary EPA POND worksheet Column A",'summary_EPA Pond'!$A311)</f>
        <v xml:space="preserve">23_488792-20788-37_Hay all-r18-A_USEPA Pond_0055_median                               </v>
      </c>
      <c r="B311" s="121" t="str" cm="1">
        <f t="array" ref="B311:G311">IFERROR(_xlfn.TEXTSPLIT(A311,"_"),"")</f>
        <v>23</v>
      </c>
      <c r="C311" t="str">
        <v>488792-20788-37</v>
      </c>
      <c r="D311" t="str">
        <v>Hay all-r18-A</v>
      </c>
      <c r="E311" t="str">
        <v>USEPA Pond</v>
      </c>
      <c r="F311" t="str">
        <v>0055</v>
      </c>
      <c r="G311" t="str">
        <v xml:space="preserve">median                               </v>
      </c>
      <c r="H311" s="121" t="str" cm="1">
        <f t="array" ref="H311:J311">IF(D311="","",(_xlfn.TEXTSPLIT(D311,"-")))</f>
        <v>Hay all</v>
      </c>
      <c r="I311" s="121" t="str">
        <v>r18</v>
      </c>
      <c r="J311" t="str">
        <v>A</v>
      </c>
      <c r="K311" s="129" t="str">
        <f>VLOOKUP(VALUE($B311),test_out_xwalk!$C:$L,3,FALSE)</f>
        <v>Clover-9-23</v>
      </c>
      <c r="L311" s="129">
        <f>VLOOKUP(VALUE($B311),test_out_xwalk!$C:$L,5,FALSE)</f>
        <v>1</v>
      </c>
      <c r="M311" s="129">
        <f>VLOOKUP(VALUE($B311),test_out_xwalk!$C:$L,6,FALSE)</f>
        <v>2</v>
      </c>
      <c r="N311" s="129" t="str">
        <f>VLOOKUP(VALUE($B311),test_out_xwalk!$C:$L,8,FALSE)</f>
        <v>Ground_F-MC_HB</v>
      </c>
      <c r="O311" s="129" t="str">
        <f>VLOOKUP(VALUE($B311),test_out_xwalk!$C:$L,7,FALSE)</f>
        <v>Spray</v>
      </c>
      <c r="P311" s="129" t="str">
        <f>VLOOKUP(VALUE($B311),test_out_xwalk!$C:$L,4,FALSE)</f>
        <v>Post-emergence</v>
      </c>
      <c r="Q311" s="129" t="str">
        <f>VLOOKUP(VALUE($B311),test_out_xwalk!$C:$L,9,FALSE)</f>
        <v>Other crops</v>
      </c>
      <c r="R311">
        <f>_xlfn.XLOOKUP(VALUE(B311),test_out_xwalk!$C:$C,test_out_xwalk!$A:$A)</f>
        <v>9</v>
      </c>
      <c r="T311" s="121" t="str">
        <f>IF('summary_EPA Pond'!$O311="","Check Summary EPA POND worksheet Column O",'summary_EPA Pond'!$O311)</f>
        <v>Check Summary EPA POND worksheet Column O</v>
      </c>
      <c r="U311" s="121" t="str" cm="1">
        <f t="array" ref="U311">IFERROR(_xlfn.TEXTSPLIT(T311,"_"),"")</f>
        <v>Check Summary EPA POND worksheet Column O</v>
      </c>
      <c r="AA311" s="121" t="str" cm="1">
        <f t="array" ref="AA311">IF(W311="","",(_xlfn.TEXTSPLIT(W311,"-")))</f>
        <v/>
      </c>
      <c r="AD311" s="129" t="e">
        <f>VLOOKUP(VALUE($U311),test_out_xwalk!$C:$L,3,FALSE)</f>
        <v>#VALUE!</v>
      </c>
      <c r="AE311" s="129" t="e">
        <f>VLOOKUP(VALUE($U311),test_out_xwalk!$C:$L,5,FALSE)</f>
        <v>#VALUE!</v>
      </c>
      <c r="AF311" s="129" t="e">
        <f>VLOOKUP(VALUE($U311),test_out_xwalk!$C:$L,6,FALSE)</f>
        <v>#VALUE!</v>
      </c>
      <c r="AG311" s="129" t="e">
        <f>VLOOKUP(VALUE($U311),test_out_xwalk!$C:$L,8,FALSE)</f>
        <v>#VALUE!</v>
      </c>
      <c r="AH311" s="129" t="e">
        <f>VLOOKUP(VALUE($U311),test_out_xwalk!$C:$L,7,FALSE)</f>
        <v>#VALUE!</v>
      </c>
      <c r="AI311" s="129" t="e">
        <f>VLOOKUP(VALUE($U311),test_out_xwalk!$C:$L,4,FALSE)</f>
        <v>#VALUE!</v>
      </c>
      <c r="AJ311" s="129" t="e">
        <f>VLOOKUP(VALUE($U311),test_out_xwalk!$C:$L,9,FALSE)</f>
        <v>#VALUE!</v>
      </c>
      <c r="AK311" t="e">
        <f>_xlfn.XLOOKUP(VALUE(U311),test_out_xwalk!C:C,test_out_xwalk!A:A)</f>
        <v>#VALUE!</v>
      </c>
    </row>
    <row r="312" spans="1:37" x14ac:dyDescent="0.55000000000000004">
      <c r="A312" s="121" t="str">
        <f>IF('summary_EPA Pond'!$A312="","Check Summary EPA POND worksheet Column A",'summary_EPA Pond'!$A312)</f>
        <v xml:space="preserve">25_286087-20273-68_Orchard deciduous-r01-A_USEPA Pond_0080_median                     </v>
      </c>
      <c r="B312" s="121" t="str" cm="1">
        <f t="array" ref="B312:G312">IFERROR(_xlfn.TEXTSPLIT(A312,"_"),"")</f>
        <v>25</v>
      </c>
      <c r="C312" t="str">
        <v>286087-20273-68</v>
      </c>
      <c r="D312" t="str">
        <v>Orchard deciduous-r01-A</v>
      </c>
      <c r="E312" t="str">
        <v>USEPA Pond</v>
      </c>
      <c r="F312" t="str">
        <v>0080</v>
      </c>
      <c r="G312" t="str">
        <v xml:space="preserve">median                     </v>
      </c>
      <c r="H312" s="121" t="str" cm="1">
        <f t="array" ref="H312:J312">IF(D312="","",(_xlfn.TEXTSPLIT(D312,"-")))</f>
        <v>Orchard deciduous</v>
      </c>
      <c r="I312" s="121" t="str">
        <v>r01</v>
      </c>
      <c r="J312" t="str">
        <v>A</v>
      </c>
      <c r="K312" s="129" t="str">
        <f>VLOOKUP(VALUE($B312),test_out_xwalk!$C:$L,3,FALSE)</f>
        <v>Apple-10-25</v>
      </c>
      <c r="L312" s="129">
        <f>VLOOKUP(VALUE($B312),test_out_xwalk!$C:$L,5,FALSE)</f>
        <v>2</v>
      </c>
      <c r="M312" s="129">
        <f>VLOOKUP(VALUE($B312),test_out_xwalk!$C:$L,6,FALSE)</f>
        <v>4</v>
      </c>
      <c r="N312" s="129" t="str">
        <f>VLOOKUP(VALUE($B312),test_out_xwalk!$C:$L,8,FALSE)</f>
        <v>Aerial_Medium</v>
      </c>
      <c r="O312" s="129" t="str">
        <f>VLOOKUP(VALUE($B312),test_out_xwalk!$C:$L,7,FALSE)</f>
        <v>Spray</v>
      </c>
      <c r="P312" s="129" t="str">
        <f>VLOOKUP(VALUE($B312),test_out_xwalk!$C:$L,4,FALSE)</f>
        <v>Post-emergence</v>
      </c>
      <c r="Q312" s="129" t="str">
        <f>VLOOKUP(VALUE($B312),test_out_xwalk!$C:$L,9,FALSE)</f>
        <v>Other Orchards</v>
      </c>
      <c r="R312">
        <f>_xlfn.XLOOKUP(VALUE(B312),test_out_xwalk!$C:$C,test_out_xwalk!$A:$A)</f>
        <v>10</v>
      </c>
      <c r="T312" s="121" t="str">
        <f>IF('summary_EPA Pond'!$O312="","Check Summary EPA POND worksheet Column O",'summary_EPA Pond'!$O312)</f>
        <v>Check Summary EPA POND worksheet Column O</v>
      </c>
      <c r="U312" s="121" t="str" cm="1">
        <f t="array" ref="U312">IFERROR(_xlfn.TEXTSPLIT(T312,"_"),"")</f>
        <v>Check Summary EPA POND worksheet Column O</v>
      </c>
      <c r="AA312" s="121" t="str" cm="1">
        <f t="array" ref="AA312">IF(W312="","",(_xlfn.TEXTSPLIT(W312,"-")))</f>
        <v/>
      </c>
      <c r="AD312" s="129" t="e">
        <f>VLOOKUP(VALUE($U312),test_out_xwalk!$C:$L,3,FALSE)</f>
        <v>#VALUE!</v>
      </c>
      <c r="AE312" s="129" t="e">
        <f>VLOOKUP(VALUE($U312),test_out_xwalk!$C:$L,5,FALSE)</f>
        <v>#VALUE!</v>
      </c>
      <c r="AF312" s="129" t="e">
        <f>VLOOKUP(VALUE($U312),test_out_xwalk!$C:$L,6,FALSE)</f>
        <v>#VALUE!</v>
      </c>
      <c r="AG312" s="129" t="e">
        <f>VLOOKUP(VALUE($U312),test_out_xwalk!$C:$L,8,FALSE)</f>
        <v>#VALUE!</v>
      </c>
      <c r="AH312" s="129" t="e">
        <f>VLOOKUP(VALUE($U312),test_out_xwalk!$C:$L,7,FALSE)</f>
        <v>#VALUE!</v>
      </c>
      <c r="AI312" s="129" t="e">
        <f>VLOOKUP(VALUE($U312),test_out_xwalk!$C:$L,4,FALSE)</f>
        <v>#VALUE!</v>
      </c>
      <c r="AJ312" s="129" t="e">
        <f>VLOOKUP(VALUE($U312),test_out_xwalk!$C:$L,9,FALSE)</f>
        <v>#VALUE!</v>
      </c>
      <c r="AK312" t="e">
        <f>_xlfn.XLOOKUP(VALUE(U312),test_out_xwalk!C:C,test_out_xwalk!A:A)</f>
        <v>#VALUE!</v>
      </c>
    </row>
    <row r="313" spans="1:37" x14ac:dyDescent="0.55000000000000004">
      <c r="A313" s="121" t="str">
        <f>IF('summary_EPA Pond'!$A313="","Check Summary EPA POND worksheet Column A",'summary_EPA Pond'!$A313)</f>
        <v xml:space="preserve">25_295501-20504-68_Orchard deciduous-r02-A_USEPA Pond_0080_median                     </v>
      </c>
      <c r="B313" s="121" t="str" cm="1">
        <f t="array" ref="B313:G313">IFERROR(_xlfn.TEXTSPLIT(A313,"_"),"")</f>
        <v>25</v>
      </c>
      <c r="C313" t="str">
        <v>295501-20504-68</v>
      </c>
      <c r="D313" t="str">
        <v>Orchard deciduous-r02-A</v>
      </c>
      <c r="E313" t="str">
        <v>USEPA Pond</v>
      </c>
      <c r="F313" t="str">
        <v>0080</v>
      </c>
      <c r="G313" t="str">
        <v xml:space="preserve">median                     </v>
      </c>
      <c r="H313" s="121" t="str" cm="1">
        <f t="array" ref="H313:J313">IF(D313="","",(_xlfn.TEXTSPLIT(D313,"-")))</f>
        <v>Orchard deciduous</v>
      </c>
      <c r="I313" s="121" t="str">
        <v>r02</v>
      </c>
      <c r="J313" t="str">
        <v>A</v>
      </c>
      <c r="K313" s="129" t="str">
        <f>VLOOKUP(VALUE($B313),test_out_xwalk!$C:$L,3,FALSE)</f>
        <v>Apple-10-25</v>
      </c>
      <c r="L313" s="129">
        <f>VLOOKUP(VALUE($B313),test_out_xwalk!$C:$L,5,FALSE)</f>
        <v>2</v>
      </c>
      <c r="M313" s="129">
        <f>VLOOKUP(VALUE($B313),test_out_xwalk!$C:$L,6,FALSE)</f>
        <v>4</v>
      </c>
      <c r="N313" s="129" t="str">
        <f>VLOOKUP(VALUE($B313),test_out_xwalk!$C:$L,8,FALSE)</f>
        <v>Aerial_Medium</v>
      </c>
      <c r="O313" s="129" t="str">
        <f>VLOOKUP(VALUE($B313),test_out_xwalk!$C:$L,7,FALSE)</f>
        <v>Spray</v>
      </c>
      <c r="P313" s="129" t="str">
        <f>VLOOKUP(VALUE($B313),test_out_xwalk!$C:$L,4,FALSE)</f>
        <v>Post-emergence</v>
      </c>
      <c r="Q313" s="129" t="str">
        <f>VLOOKUP(VALUE($B313),test_out_xwalk!$C:$L,9,FALSE)</f>
        <v>Other Orchards</v>
      </c>
      <c r="R313">
        <f>_xlfn.XLOOKUP(VALUE(B313),test_out_xwalk!$C:$C,test_out_xwalk!$A:$A)</f>
        <v>10</v>
      </c>
      <c r="T313" s="121" t="str">
        <f>IF('summary_EPA Pond'!$O313="","Check Summary EPA POND worksheet Column O",'summary_EPA Pond'!$O313)</f>
        <v>Check Summary EPA POND worksheet Column O</v>
      </c>
      <c r="U313" s="121" t="str" cm="1">
        <f t="array" ref="U313">IFERROR(_xlfn.TEXTSPLIT(T313,"_"),"")</f>
        <v>Check Summary EPA POND worksheet Column O</v>
      </c>
      <c r="AA313" s="121" t="str" cm="1">
        <f t="array" ref="AA313">IF(W313="","",(_xlfn.TEXTSPLIT(W313,"-")))</f>
        <v/>
      </c>
      <c r="AD313" s="129" t="e">
        <f>VLOOKUP(VALUE($U313),test_out_xwalk!$C:$L,3,FALSE)</f>
        <v>#VALUE!</v>
      </c>
      <c r="AE313" s="129" t="e">
        <f>VLOOKUP(VALUE($U313),test_out_xwalk!$C:$L,5,FALSE)</f>
        <v>#VALUE!</v>
      </c>
      <c r="AF313" s="129" t="e">
        <f>VLOOKUP(VALUE($U313),test_out_xwalk!$C:$L,6,FALSE)</f>
        <v>#VALUE!</v>
      </c>
      <c r="AG313" s="129" t="e">
        <f>VLOOKUP(VALUE($U313),test_out_xwalk!$C:$L,8,FALSE)</f>
        <v>#VALUE!</v>
      </c>
      <c r="AH313" s="129" t="e">
        <f>VLOOKUP(VALUE($U313),test_out_xwalk!$C:$L,7,FALSE)</f>
        <v>#VALUE!</v>
      </c>
      <c r="AI313" s="129" t="e">
        <f>VLOOKUP(VALUE($U313),test_out_xwalk!$C:$L,4,FALSE)</f>
        <v>#VALUE!</v>
      </c>
      <c r="AJ313" s="129" t="e">
        <f>VLOOKUP(VALUE($U313),test_out_xwalk!$C:$L,9,FALSE)</f>
        <v>#VALUE!</v>
      </c>
      <c r="AK313" t="e">
        <f>_xlfn.XLOOKUP(VALUE(U313),test_out_xwalk!C:C,test_out_xwalk!A:A)</f>
        <v>#VALUE!</v>
      </c>
    </row>
    <row r="314" spans="1:37" x14ac:dyDescent="0.55000000000000004">
      <c r="A314" s="121" t="str">
        <f>IF('summary_EPA Pond'!$A314="","Check Summary EPA POND worksheet Column A",'summary_EPA Pond'!$A314)</f>
        <v xml:space="preserve">25_130628-13873-74_Orchard deciduous-r03N-A_USEPA Pond_0080_median                    </v>
      </c>
      <c r="B314" s="121" t="str" cm="1">
        <f t="array" ref="B314:G314">IFERROR(_xlfn.TEXTSPLIT(A314,"_"),"")</f>
        <v>25</v>
      </c>
      <c r="C314" t="str">
        <v>130628-13873-74</v>
      </c>
      <c r="D314" t="str">
        <v>Orchard deciduous-r03N-A</v>
      </c>
      <c r="E314" t="str">
        <v>USEPA Pond</v>
      </c>
      <c r="F314" t="str">
        <v>0080</v>
      </c>
      <c r="G314" t="str">
        <v xml:space="preserve">median                    </v>
      </c>
      <c r="H314" s="121" t="str" cm="1">
        <f t="array" ref="H314:J314">IF(D314="","",(_xlfn.TEXTSPLIT(D314,"-")))</f>
        <v>Orchard deciduous</v>
      </c>
      <c r="I314" s="121" t="str">
        <v>r03N</v>
      </c>
      <c r="J314" t="str">
        <v>A</v>
      </c>
      <c r="K314" s="129" t="str">
        <f>VLOOKUP(VALUE($B314),test_out_xwalk!$C:$L,3,FALSE)</f>
        <v>Apple-10-25</v>
      </c>
      <c r="L314" s="129">
        <f>VLOOKUP(VALUE($B314),test_out_xwalk!$C:$L,5,FALSE)</f>
        <v>2</v>
      </c>
      <c r="M314" s="129">
        <f>VLOOKUP(VALUE($B314),test_out_xwalk!$C:$L,6,FALSE)</f>
        <v>4</v>
      </c>
      <c r="N314" s="129" t="str">
        <f>VLOOKUP(VALUE($B314),test_out_xwalk!$C:$L,8,FALSE)</f>
        <v>Aerial_Medium</v>
      </c>
      <c r="O314" s="129" t="str">
        <f>VLOOKUP(VALUE($B314),test_out_xwalk!$C:$L,7,FALSE)</f>
        <v>Spray</v>
      </c>
      <c r="P314" s="129" t="str">
        <f>VLOOKUP(VALUE($B314),test_out_xwalk!$C:$L,4,FALSE)</f>
        <v>Post-emergence</v>
      </c>
      <c r="Q314" s="129" t="str">
        <f>VLOOKUP(VALUE($B314),test_out_xwalk!$C:$L,9,FALSE)</f>
        <v>Other Orchards</v>
      </c>
      <c r="R314">
        <f>_xlfn.XLOOKUP(VALUE(B314),test_out_xwalk!$C:$C,test_out_xwalk!$A:$A)</f>
        <v>10</v>
      </c>
      <c r="T314" s="121" t="str">
        <f>IF('summary_EPA Pond'!$O314="","Check Summary EPA POND worksheet Column O",'summary_EPA Pond'!$O314)</f>
        <v>Check Summary EPA POND worksheet Column O</v>
      </c>
      <c r="U314" s="121" t="str" cm="1">
        <f t="array" ref="U314">IFERROR(_xlfn.TEXTSPLIT(T314,"_"),"")</f>
        <v>Check Summary EPA POND worksheet Column O</v>
      </c>
      <c r="AA314" s="121" t="str" cm="1">
        <f t="array" ref="AA314">IF(W314="","",(_xlfn.TEXTSPLIT(W314,"-")))</f>
        <v/>
      </c>
      <c r="AD314" s="129" t="e">
        <f>VLOOKUP(VALUE($U314),test_out_xwalk!$C:$L,3,FALSE)</f>
        <v>#VALUE!</v>
      </c>
      <c r="AE314" s="129" t="e">
        <f>VLOOKUP(VALUE($U314),test_out_xwalk!$C:$L,5,FALSE)</f>
        <v>#VALUE!</v>
      </c>
      <c r="AF314" s="129" t="e">
        <f>VLOOKUP(VALUE($U314),test_out_xwalk!$C:$L,6,FALSE)</f>
        <v>#VALUE!</v>
      </c>
      <c r="AG314" s="129" t="e">
        <f>VLOOKUP(VALUE($U314),test_out_xwalk!$C:$L,8,FALSE)</f>
        <v>#VALUE!</v>
      </c>
      <c r="AH314" s="129" t="e">
        <f>VLOOKUP(VALUE($U314),test_out_xwalk!$C:$L,7,FALSE)</f>
        <v>#VALUE!</v>
      </c>
      <c r="AI314" s="129" t="e">
        <f>VLOOKUP(VALUE($U314),test_out_xwalk!$C:$L,4,FALSE)</f>
        <v>#VALUE!</v>
      </c>
      <c r="AJ314" s="129" t="e">
        <f>VLOOKUP(VALUE($U314),test_out_xwalk!$C:$L,9,FALSE)</f>
        <v>#VALUE!</v>
      </c>
      <c r="AK314" t="e">
        <f>_xlfn.XLOOKUP(VALUE(U314),test_out_xwalk!C:C,test_out_xwalk!A:A)</f>
        <v>#VALUE!</v>
      </c>
    </row>
    <row r="315" spans="1:37" x14ac:dyDescent="0.55000000000000004">
      <c r="A315" s="121" t="str">
        <f>IF('summary_EPA Pond'!$A315="","Check Summary EPA POND worksheet Column A",'summary_EPA Pond'!$A315)</f>
        <v xml:space="preserve">25_125133-11268-74_Orchard deciduous-r03S-A_USEPA Pond_0080_median                    </v>
      </c>
      <c r="B315" s="121" t="str" cm="1">
        <f t="array" ref="B315:G315">IFERROR(_xlfn.TEXTSPLIT(A315,"_"),"")</f>
        <v>25</v>
      </c>
      <c r="C315" t="str">
        <v>125133-11268-74</v>
      </c>
      <c r="D315" t="str">
        <v>Orchard deciduous-r03S-A</v>
      </c>
      <c r="E315" t="str">
        <v>USEPA Pond</v>
      </c>
      <c r="F315" t="str">
        <v>0080</v>
      </c>
      <c r="G315" t="str">
        <v xml:space="preserve">median                    </v>
      </c>
      <c r="H315" s="121" t="str" cm="1">
        <f t="array" ref="H315:J315">IF(D315="","",(_xlfn.TEXTSPLIT(D315,"-")))</f>
        <v>Orchard deciduous</v>
      </c>
      <c r="I315" s="121" t="str">
        <v>r03S</v>
      </c>
      <c r="J315" t="str">
        <v>A</v>
      </c>
      <c r="K315" s="129" t="str">
        <f>VLOOKUP(VALUE($B315),test_out_xwalk!$C:$L,3,FALSE)</f>
        <v>Apple-10-25</v>
      </c>
      <c r="L315" s="129">
        <f>VLOOKUP(VALUE($B315),test_out_xwalk!$C:$L,5,FALSE)</f>
        <v>2</v>
      </c>
      <c r="M315" s="129">
        <f>VLOOKUP(VALUE($B315),test_out_xwalk!$C:$L,6,FALSE)</f>
        <v>4</v>
      </c>
      <c r="N315" s="129" t="str">
        <f>VLOOKUP(VALUE($B315),test_out_xwalk!$C:$L,8,FALSE)</f>
        <v>Aerial_Medium</v>
      </c>
      <c r="O315" s="129" t="str">
        <f>VLOOKUP(VALUE($B315),test_out_xwalk!$C:$L,7,FALSE)</f>
        <v>Spray</v>
      </c>
      <c r="P315" s="129" t="str">
        <f>VLOOKUP(VALUE($B315),test_out_xwalk!$C:$L,4,FALSE)</f>
        <v>Post-emergence</v>
      </c>
      <c r="Q315" s="129" t="str">
        <f>VLOOKUP(VALUE($B315),test_out_xwalk!$C:$L,9,FALSE)</f>
        <v>Other Orchards</v>
      </c>
      <c r="R315">
        <f>_xlfn.XLOOKUP(VALUE(B315),test_out_xwalk!$C:$C,test_out_xwalk!$A:$A)</f>
        <v>10</v>
      </c>
      <c r="T315" s="121" t="str">
        <f>IF('summary_EPA Pond'!$O315="","Check Summary EPA POND worksheet Column O",'summary_EPA Pond'!$O315)</f>
        <v>Check Summary EPA POND worksheet Column O</v>
      </c>
      <c r="U315" s="121" t="str" cm="1">
        <f t="array" ref="U315">IFERROR(_xlfn.TEXTSPLIT(T315,"_"),"")</f>
        <v>Check Summary EPA POND worksheet Column O</v>
      </c>
      <c r="AA315" s="121" t="str" cm="1">
        <f t="array" ref="AA315">IF(W315="","",(_xlfn.TEXTSPLIT(W315,"-")))</f>
        <v/>
      </c>
      <c r="AD315" s="129" t="e">
        <f>VLOOKUP(VALUE($U315),test_out_xwalk!$C:$L,3,FALSE)</f>
        <v>#VALUE!</v>
      </c>
      <c r="AE315" s="129" t="e">
        <f>VLOOKUP(VALUE($U315),test_out_xwalk!$C:$L,5,FALSE)</f>
        <v>#VALUE!</v>
      </c>
      <c r="AF315" s="129" t="e">
        <f>VLOOKUP(VALUE($U315),test_out_xwalk!$C:$L,6,FALSE)</f>
        <v>#VALUE!</v>
      </c>
      <c r="AG315" s="129" t="e">
        <f>VLOOKUP(VALUE($U315),test_out_xwalk!$C:$L,8,FALSE)</f>
        <v>#VALUE!</v>
      </c>
      <c r="AH315" s="129" t="e">
        <f>VLOOKUP(VALUE($U315),test_out_xwalk!$C:$L,7,FALSE)</f>
        <v>#VALUE!</v>
      </c>
      <c r="AI315" s="129" t="e">
        <f>VLOOKUP(VALUE($U315),test_out_xwalk!$C:$L,4,FALSE)</f>
        <v>#VALUE!</v>
      </c>
      <c r="AJ315" s="129" t="e">
        <f>VLOOKUP(VALUE($U315),test_out_xwalk!$C:$L,9,FALSE)</f>
        <v>#VALUE!</v>
      </c>
      <c r="AK315" t="e">
        <f>_xlfn.XLOOKUP(VALUE(U315),test_out_xwalk!C:C,test_out_xwalk!A:A)</f>
        <v>#VALUE!</v>
      </c>
    </row>
    <row r="316" spans="1:37" x14ac:dyDescent="0.55000000000000004">
      <c r="A316" s="121" t="str">
        <f>IF('summary_EPA Pond'!$A316="","Check Summary EPA POND worksheet Column A",'summary_EPA Pond'!$A316)</f>
        <v xml:space="preserve">25_2455410-11258-67_Orchard deciduous-r03W-A_USEPA Pond_0080_median                   </v>
      </c>
      <c r="B316" s="121" t="str" cm="1">
        <f t="array" ref="B316:G316">IFERROR(_xlfn.TEXTSPLIT(A316,"_"),"")</f>
        <v>25</v>
      </c>
      <c r="C316" t="str">
        <v>2455410-11258-67</v>
      </c>
      <c r="D316" t="str">
        <v>Orchard deciduous-r03W-A</v>
      </c>
      <c r="E316" t="str">
        <v>USEPA Pond</v>
      </c>
      <c r="F316" t="str">
        <v>0080</v>
      </c>
      <c r="G316" t="str">
        <v xml:space="preserve">median                   </v>
      </c>
      <c r="H316" s="121" t="str" cm="1">
        <f t="array" ref="H316:J316">IF(D316="","",(_xlfn.TEXTSPLIT(D316,"-")))</f>
        <v>Orchard deciduous</v>
      </c>
      <c r="I316" s="121" t="str">
        <v>r03W</v>
      </c>
      <c r="J316" t="str">
        <v>A</v>
      </c>
      <c r="K316" s="129" t="str">
        <f>VLOOKUP(VALUE($B316),test_out_xwalk!$C:$L,3,FALSE)</f>
        <v>Apple-10-25</v>
      </c>
      <c r="L316" s="129">
        <f>VLOOKUP(VALUE($B316),test_out_xwalk!$C:$L,5,FALSE)</f>
        <v>2</v>
      </c>
      <c r="M316" s="129">
        <f>VLOOKUP(VALUE($B316),test_out_xwalk!$C:$L,6,FALSE)</f>
        <v>4</v>
      </c>
      <c r="N316" s="129" t="str">
        <f>VLOOKUP(VALUE($B316),test_out_xwalk!$C:$L,8,FALSE)</f>
        <v>Aerial_Medium</v>
      </c>
      <c r="O316" s="129" t="str">
        <f>VLOOKUP(VALUE($B316),test_out_xwalk!$C:$L,7,FALSE)</f>
        <v>Spray</v>
      </c>
      <c r="P316" s="129" t="str">
        <f>VLOOKUP(VALUE($B316),test_out_xwalk!$C:$L,4,FALSE)</f>
        <v>Post-emergence</v>
      </c>
      <c r="Q316" s="129" t="str">
        <f>VLOOKUP(VALUE($B316),test_out_xwalk!$C:$L,9,FALSE)</f>
        <v>Other Orchards</v>
      </c>
      <c r="R316">
        <f>_xlfn.XLOOKUP(VALUE(B316),test_out_xwalk!$C:$C,test_out_xwalk!$A:$A)</f>
        <v>10</v>
      </c>
      <c r="T316" s="121" t="str">
        <f>IF('summary_EPA Pond'!$O316="","Check Summary EPA POND worksheet Column O",'summary_EPA Pond'!$O316)</f>
        <v>Check Summary EPA POND worksheet Column O</v>
      </c>
      <c r="U316" s="121" t="str" cm="1">
        <f t="array" ref="U316">IFERROR(_xlfn.TEXTSPLIT(T316,"_"),"")</f>
        <v>Check Summary EPA POND worksheet Column O</v>
      </c>
      <c r="AA316" s="121" t="str" cm="1">
        <f t="array" ref="AA316">IF(W316="","",(_xlfn.TEXTSPLIT(W316,"-")))</f>
        <v/>
      </c>
      <c r="AD316" s="129" t="e">
        <f>VLOOKUP(VALUE($U316),test_out_xwalk!$C:$L,3,FALSE)</f>
        <v>#VALUE!</v>
      </c>
      <c r="AE316" s="129" t="e">
        <f>VLOOKUP(VALUE($U316),test_out_xwalk!$C:$L,5,FALSE)</f>
        <v>#VALUE!</v>
      </c>
      <c r="AF316" s="129" t="e">
        <f>VLOOKUP(VALUE($U316),test_out_xwalk!$C:$L,6,FALSE)</f>
        <v>#VALUE!</v>
      </c>
      <c r="AG316" s="129" t="e">
        <f>VLOOKUP(VALUE($U316),test_out_xwalk!$C:$L,8,FALSE)</f>
        <v>#VALUE!</v>
      </c>
      <c r="AH316" s="129" t="e">
        <f>VLOOKUP(VALUE($U316),test_out_xwalk!$C:$L,7,FALSE)</f>
        <v>#VALUE!</v>
      </c>
      <c r="AI316" s="129" t="e">
        <f>VLOOKUP(VALUE($U316),test_out_xwalk!$C:$L,4,FALSE)</f>
        <v>#VALUE!</v>
      </c>
      <c r="AJ316" s="129" t="e">
        <f>VLOOKUP(VALUE($U316),test_out_xwalk!$C:$L,9,FALSE)</f>
        <v>#VALUE!</v>
      </c>
      <c r="AK316" t="e">
        <f>_xlfn.XLOOKUP(VALUE(U316),test_out_xwalk!C:C,test_out_xwalk!A:A)</f>
        <v>#VALUE!</v>
      </c>
    </row>
    <row r="317" spans="1:37" x14ac:dyDescent="0.55000000000000004">
      <c r="A317" s="121" t="str">
        <f>IF('summary_EPA Pond'!$A317="","Check Summary EPA POND worksheet Column A",'summary_EPA Pond'!$A317)</f>
        <v xml:space="preserve">25_292675-21905-68_Orchard deciduous-r04-A_USEPA Pond_0080_median                     </v>
      </c>
      <c r="B317" s="121" t="str" cm="1">
        <f t="array" ref="B317:G317">IFERROR(_xlfn.TEXTSPLIT(A317,"_"),"")</f>
        <v>25</v>
      </c>
      <c r="C317" t="str">
        <v>292675-21905-68</v>
      </c>
      <c r="D317" t="str">
        <v>Orchard deciduous-r04-A</v>
      </c>
      <c r="E317" t="str">
        <v>USEPA Pond</v>
      </c>
      <c r="F317" t="str">
        <v>0080</v>
      </c>
      <c r="G317" t="str">
        <v xml:space="preserve">median                     </v>
      </c>
      <c r="H317" s="121" t="str" cm="1">
        <f t="array" ref="H317:J317">IF(D317="","",(_xlfn.TEXTSPLIT(D317,"-")))</f>
        <v>Orchard deciduous</v>
      </c>
      <c r="I317" s="121" t="str">
        <v>r04</v>
      </c>
      <c r="J317" t="str">
        <v>A</v>
      </c>
      <c r="K317" s="129" t="str">
        <f>VLOOKUP(VALUE($B317),test_out_xwalk!$C:$L,3,FALSE)</f>
        <v>Apple-10-25</v>
      </c>
      <c r="L317" s="129">
        <f>VLOOKUP(VALUE($B317),test_out_xwalk!$C:$L,5,FALSE)</f>
        <v>2</v>
      </c>
      <c r="M317" s="129">
        <f>VLOOKUP(VALUE($B317),test_out_xwalk!$C:$L,6,FALSE)</f>
        <v>4</v>
      </c>
      <c r="N317" s="129" t="str">
        <f>VLOOKUP(VALUE($B317),test_out_xwalk!$C:$L,8,FALSE)</f>
        <v>Aerial_Medium</v>
      </c>
      <c r="O317" s="129" t="str">
        <f>VLOOKUP(VALUE($B317),test_out_xwalk!$C:$L,7,FALSE)</f>
        <v>Spray</v>
      </c>
      <c r="P317" s="129" t="str">
        <f>VLOOKUP(VALUE($B317),test_out_xwalk!$C:$L,4,FALSE)</f>
        <v>Post-emergence</v>
      </c>
      <c r="Q317" s="129" t="str">
        <f>VLOOKUP(VALUE($B317),test_out_xwalk!$C:$L,9,FALSE)</f>
        <v>Other Orchards</v>
      </c>
      <c r="R317">
        <f>_xlfn.XLOOKUP(VALUE(B317),test_out_xwalk!$C:$C,test_out_xwalk!$A:$A)</f>
        <v>10</v>
      </c>
      <c r="T317" s="121" t="str">
        <f>IF('summary_EPA Pond'!$O317="","Check Summary EPA POND worksheet Column O",'summary_EPA Pond'!$O317)</f>
        <v>Check Summary EPA POND worksheet Column O</v>
      </c>
      <c r="U317" s="121" t="str" cm="1">
        <f t="array" ref="U317">IFERROR(_xlfn.TEXTSPLIT(T317,"_"),"")</f>
        <v>Check Summary EPA POND worksheet Column O</v>
      </c>
      <c r="AA317" s="121" t="str" cm="1">
        <f t="array" ref="AA317">IF(W317="","",(_xlfn.TEXTSPLIT(W317,"-")))</f>
        <v/>
      </c>
      <c r="AD317" s="129" t="e">
        <f>VLOOKUP(VALUE($U317),test_out_xwalk!$C:$L,3,FALSE)</f>
        <v>#VALUE!</v>
      </c>
      <c r="AE317" s="129" t="e">
        <f>VLOOKUP(VALUE($U317),test_out_xwalk!$C:$L,5,FALSE)</f>
        <v>#VALUE!</v>
      </c>
      <c r="AF317" s="129" t="e">
        <f>VLOOKUP(VALUE($U317),test_out_xwalk!$C:$L,6,FALSE)</f>
        <v>#VALUE!</v>
      </c>
      <c r="AG317" s="129" t="e">
        <f>VLOOKUP(VALUE($U317),test_out_xwalk!$C:$L,8,FALSE)</f>
        <v>#VALUE!</v>
      </c>
      <c r="AH317" s="129" t="e">
        <f>VLOOKUP(VALUE($U317),test_out_xwalk!$C:$L,7,FALSE)</f>
        <v>#VALUE!</v>
      </c>
      <c r="AI317" s="129" t="e">
        <f>VLOOKUP(VALUE($U317),test_out_xwalk!$C:$L,4,FALSE)</f>
        <v>#VALUE!</v>
      </c>
      <c r="AJ317" s="129" t="e">
        <f>VLOOKUP(VALUE($U317),test_out_xwalk!$C:$L,9,FALSE)</f>
        <v>#VALUE!</v>
      </c>
      <c r="AK317" t="e">
        <f>_xlfn.XLOOKUP(VALUE(U317),test_out_xwalk!C:C,test_out_xwalk!A:A)</f>
        <v>#VALUE!</v>
      </c>
    </row>
    <row r="318" spans="1:37" x14ac:dyDescent="0.55000000000000004">
      <c r="A318" s="121" t="str">
        <f>IF('summary_EPA Pond'!$A318="","Check Summary EPA POND worksheet Column A",'summary_EPA Pond'!$A318)</f>
        <v xml:space="preserve">25_298742-19770-68_Orchard deciduous-r05-A_USEPA Pond_0080_median                     </v>
      </c>
      <c r="B318" s="121" t="str" cm="1">
        <f t="array" ref="B318:G318">IFERROR(_xlfn.TEXTSPLIT(A318,"_"),"")</f>
        <v>25</v>
      </c>
      <c r="C318" t="str">
        <v>298742-19770-68</v>
      </c>
      <c r="D318" t="str">
        <v>Orchard deciduous-r05-A</v>
      </c>
      <c r="E318" t="str">
        <v>USEPA Pond</v>
      </c>
      <c r="F318" t="str">
        <v>0080</v>
      </c>
      <c r="G318" t="str">
        <v xml:space="preserve">median                     </v>
      </c>
      <c r="H318" s="121" t="str" cm="1">
        <f t="array" ref="H318:J318">IF(D318="","",(_xlfn.TEXTSPLIT(D318,"-")))</f>
        <v>Orchard deciduous</v>
      </c>
      <c r="I318" s="121" t="str">
        <v>r05</v>
      </c>
      <c r="J318" t="str">
        <v>A</v>
      </c>
      <c r="K318" s="129" t="str">
        <f>VLOOKUP(VALUE($B318),test_out_xwalk!$C:$L,3,FALSE)</f>
        <v>Apple-10-25</v>
      </c>
      <c r="L318" s="129">
        <f>VLOOKUP(VALUE($B318),test_out_xwalk!$C:$L,5,FALSE)</f>
        <v>2</v>
      </c>
      <c r="M318" s="129">
        <f>VLOOKUP(VALUE($B318),test_out_xwalk!$C:$L,6,FALSE)</f>
        <v>4</v>
      </c>
      <c r="N318" s="129" t="str">
        <f>VLOOKUP(VALUE($B318),test_out_xwalk!$C:$L,8,FALSE)</f>
        <v>Aerial_Medium</v>
      </c>
      <c r="O318" s="129" t="str">
        <f>VLOOKUP(VALUE($B318),test_out_xwalk!$C:$L,7,FALSE)</f>
        <v>Spray</v>
      </c>
      <c r="P318" s="129" t="str">
        <f>VLOOKUP(VALUE($B318),test_out_xwalk!$C:$L,4,FALSE)</f>
        <v>Post-emergence</v>
      </c>
      <c r="Q318" s="129" t="str">
        <f>VLOOKUP(VALUE($B318),test_out_xwalk!$C:$L,9,FALSE)</f>
        <v>Other Orchards</v>
      </c>
      <c r="R318">
        <f>_xlfn.XLOOKUP(VALUE(B318),test_out_xwalk!$C:$C,test_out_xwalk!$A:$A)</f>
        <v>10</v>
      </c>
      <c r="T318" s="121" t="str">
        <f>IF('summary_EPA Pond'!$O318="","Check Summary EPA POND worksheet Column O",'summary_EPA Pond'!$O318)</f>
        <v>Check Summary EPA POND worksheet Column O</v>
      </c>
      <c r="U318" s="121" t="str" cm="1">
        <f t="array" ref="U318">IFERROR(_xlfn.TEXTSPLIT(T318,"_"),"")</f>
        <v>Check Summary EPA POND worksheet Column O</v>
      </c>
      <c r="AA318" s="121" t="str" cm="1">
        <f t="array" ref="AA318">IF(W318="","",(_xlfn.TEXTSPLIT(W318,"-")))</f>
        <v/>
      </c>
      <c r="AD318" s="129" t="e">
        <f>VLOOKUP(VALUE($U318),test_out_xwalk!$C:$L,3,FALSE)</f>
        <v>#VALUE!</v>
      </c>
      <c r="AE318" s="129" t="e">
        <f>VLOOKUP(VALUE($U318),test_out_xwalk!$C:$L,5,FALSE)</f>
        <v>#VALUE!</v>
      </c>
      <c r="AF318" s="129" t="e">
        <f>VLOOKUP(VALUE($U318),test_out_xwalk!$C:$L,6,FALSE)</f>
        <v>#VALUE!</v>
      </c>
      <c r="AG318" s="129" t="e">
        <f>VLOOKUP(VALUE($U318),test_out_xwalk!$C:$L,8,FALSE)</f>
        <v>#VALUE!</v>
      </c>
      <c r="AH318" s="129" t="e">
        <f>VLOOKUP(VALUE($U318),test_out_xwalk!$C:$L,7,FALSE)</f>
        <v>#VALUE!</v>
      </c>
      <c r="AI318" s="129" t="e">
        <f>VLOOKUP(VALUE($U318),test_out_xwalk!$C:$L,4,FALSE)</f>
        <v>#VALUE!</v>
      </c>
      <c r="AJ318" s="129" t="e">
        <f>VLOOKUP(VALUE($U318),test_out_xwalk!$C:$L,9,FALSE)</f>
        <v>#VALUE!</v>
      </c>
      <c r="AK318" t="e">
        <f>_xlfn.XLOOKUP(VALUE(U318),test_out_xwalk!C:C,test_out_xwalk!A:A)</f>
        <v>#VALUE!</v>
      </c>
    </row>
    <row r="319" spans="1:37" x14ac:dyDescent="0.55000000000000004">
      <c r="A319" s="121" t="str">
        <f>IF('summary_EPA Pond'!$A319="","Check Summary EPA POND worksheet Column A",'summary_EPA Pond'!$A319)</f>
        <v xml:space="preserve">25_546865-14571-68_Orchard deciduous-r06-A_USEPA Pond_0080_median                     </v>
      </c>
      <c r="B319" s="121" t="str" cm="1">
        <f t="array" ref="B319:G319">IFERROR(_xlfn.TEXTSPLIT(A319,"_"),"")</f>
        <v>25</v>
      </c>
      <c r="C319" t="str">
        <v>546865-14571-68</v>
      </c>
      <c r="D319" t="str">
        <v>Orchard deciduous-r06-A</v>
      </c>
      <c r="E319" t="str">
        <v>USEPA Pond</v>
      </c>
      <c r="F319" t="str">
        <v>0080</v>
      </c>
      <c r="G319" t="str">
        <v xml:space="preserve">median                     </v>
      </c>
      <c r="H319" s="121" t="str" cm="1">
        <f t="array" ref="H319:J319">IF(D319="","",(_xlfn.TEXTSPLIT(D319,"-")))</f>
        <v>Orchard deciduous</v>
      </c>
      <c r="I319" s="121" t="str">
        <v>r06</v>
      </c>
      <c r="J319" t="str">
        <v>A</v>
      </c>
      <c r="K319" s="129" t="str">
        <f>VLOOKUP(VALUE($B319),test_out_xwalk!$C:$L,3,FALSE)</f>
        <v>Apple-10-25</v>
      </c>
      <c r="L319" s="129">
        <f>VLOOKUP(VALUE($B319),test_out_xwalk!$C:$L,5,FALSE)</f>
        <v>2</v>
      </c>
      <c r="M319" s="129">
        <f>VLOOKUP(VALUE($B319),test_out_xwalk!$C:$L,6,FALSE)</f>
        <v>4</v>
      </c>
      <c r="N319" s="129" t="str">
        <f>VLOOKUP(VALUE($B319),test_out_xwalk!$C:$L,8,FALSE)</f>
        <v>Aerial_Medium</v>
      </c>
      <c r="O319" s="129" t="str">
        <f>VLOOKUP(VALUE($B319),test_out_xwalk!$C:$L,7,FALSE)</f>
        <v>Spray</v>
      </c>
      <c r="P319" s="129" t="str">
        <f>VLOOKUP(VALUE($B319),test_out_xwalk!$C:$L,4,FALSE)</f>
        <v>Post-emergence</v>
      </c>
      <c r="Q319" s="129" t="str">
        <f>VLOOKUP(VALUE($B319),test_out_xwalk!$C:$L,9,FALSE)</f>
        <v>Other Orchards</v>
      </c>
      <c r="R319">
        <f>_xlfn.XLOOKUP(VALUE(B319),test_out_xwalk!$C:$C,test_out_xwalk!$A:$A)</f>
        <v>10</v>
      </c>
      <c r="T319" s="121" t="str">
        <f>IF('summary_EPA Pond'!$O319="","Check Summary EPA POND worksheet Column O",'summary_EPA Pond'!$O319)</f>
        <v>Check Summary EPA POND worksheet Column O</v>
      </c>
      <c r="U319" s="121" t="str" cm="1">
        <f t="array" ref="U319">IFERROR(_xlfn.TEXTSPLIT(T319,"_"),"")</f>
        <v>Check Summary EPA POND worksheet Column O</v>
      </c>
      <c r="AA319" s="121" t="str" cm="1">
        <f t="array" ref="AA319">IF(W319="","",(_xlfn.TEXTSPLIT(W319,"-")))</f>
        <v/>
      </c>
      <c r="AD319" s="129" t="e">
        <f>VLOOKUP(VALUE($U319),test_out_xwalk!$C:$L,3,FALSE)</f>
        <v>#VALUE!</v>
      </c>
      <c r="AE319" s="129" t="e">
        <f>VLOOKUP(VALUE($U319),test_out_xwalk!$C:$L,5,FALSE)</f>
        <v>#VALUE!</v>
      </c>
      <c r="AF319" s="129" t="e">
        <f>VLOOKUP(VALUE($U319),test_out_xwalk!$C:$L,6,FALSE)</f>
        <v>#VALUE!</v>
      </c>
      <c r="AG319" s="129" t="e">
        <f>VLOOKUP(VALUE($U319),test_out_xwalk!$C:$L,8,FALSE)</f>
        <v>#VALUE!</v>
      </c>
      <c r="AH319" s="129" t="e">
        <f>VLOOKUP(VALUE($U319),test_out_xwalk!$C:$L,7,FALSE)</f>
        <v>#VALUE!</v>
      </c>
      <c r="AI319" s="129" t="e">
        <f>VLOOKUP(VALUE($U319),test_out_xwalk!$C:$L,4,FALSE)</f>
        <v>#VALUE!</v>
      </c>
      <c r="AJ319" s="129" t="e">
        <f>VLOOKUP(VALUE($U319),test_out_xwalk!$C:$L,9,FALSE)</f>
        <v>#VALUE!</v>
      </c>
      <c r="AK319" t="e">
        <f>_xlfn.XLOOKUP(VALUE(U319),test_out_xwalk!C:C,test_out_xwalk!A:A)</f>
        <v>#VALUE!</v>
      </c>
    </row>
    <row r="320" spans="1:37" x14ac:dyDescent="0.55000000000000004">
      <c r="A320" s="121" t="str">
        <f>IF('summary_EPA Pond'!$A320="","Check Summary EPA POND worksheet Column A",'summary_EPA Pond'!$A320)</f>
        <v xml:space="preserve">25_396439-23493-68_Orchard deciduous-r07-A_USEPA Pond_0080_median                     </v>
      </c>
      <c r="B320" s="121" t="str" cm="1">
        <f t="array" ref="B320:G320">IFERROR(_xlfn.TEXTSPLIT(A320,"_"),"")</f>
        <v>25</v>
      </c>
      <c r="C320" t="str">
        <v>396439-23493-68</v>
      </c>
      <c r="D320" t="str">
        <v>Orchard deciduous-r07-A</v>
      </c>
      <c r="E320" t="str">
        <v>USEPA Pond</v>
      </c>
      <c r="F320" t="str">
        <v>0080</v>
      </c>
      <c r="G320" t="str">
        <v xml:space="preserve">median                     </v>
      </c>
      <c r="H320" s="121" t="str" cm="1">
        <f t="array" ref="H320:J320">IF(D320="","",(_xlfn.TEXTSPLIT(D320,"-")))</f>
        <v>Orchard deciduous</v>
      </c>
      <c r="I320" s="121" t="str">
        <v>r07</v>
      </c>
      <c r="J320" t="str">
        <v>A</v>
      </c>
      <c r="K320" s="129" t="str">
        <f>VLOOKUP(VALUE($B320),test_out_xwalk!$C:$L,3,FALSE)</f>
        <v>Apple-10-25</v>
      </c>
      <c r="L320" s="129">
        <f>VLOOKUP(VALUE($B320),test_out_xwalk!$C:$L,5,FALSE)</f>
        <v>2</v>
      </c>
      <c r="M320" s="129">
        <f>VLOOKUP(VALUE($B320),test_out_xwalk!$C:$L,6,FALSE)</f>
        <v>4</v>
      </c>
      <c r="N320" s="129" t="str">
        <f>VLOOKUP(VALUE($B320),test_out_xwalk!$C:$L,8,FALSE)</f>
        <v>Aerial_Medium</v>
      </c>
      <c r="O320" s="129" t="str">
        <f>VLOOKUP(VALUE($B320),test_out_xwalk!$C:$L,7,FALSE)</f>
        <v>Spray</v>
      </c>
      <c r="P320" s="129" t="str">
        <f>VLOOKUP(VALUE($B320),test_out_xwalk!$C:$L,4,FALSE)</f>
        <v>Post-emergence</v>
      </c>
      <c r="Q320" s="129" t="str">
        <f>VLOOKUP(VALUE($B320),test_out_xwalk!$C:$L,9,FALSE)</f>
        <v>Other Orchards</v>
      </c>
      <c r="R320">
        <f>_xlfn.XLOOKUP(VALUE(B320),test_out_xwalk!$C:$C,test_out_xwalk!$A:$A)</f>
        <v>10</v>
      </c>
      <c r="T320" s="121" t="str">
        <f>IF('summary_EPA Pond'!$O320="","Check Summary EPA POND worksheet Column O",'summary_EPA Pond'!$O320)</f>
        <v>Check Summary EPA POND worksheet Column O</v>
      </c>
      <c r="U320" s="121" t="str" cm="1">
        <f t="array" ref="U320">IFERROR(_xlfn.TEXTSPLIT(T320,"_"),"")</f>
        <v>Check Summary EPA POND worksheet Column O</v>
      </c>
      <c r="AA320" s="121" t="str" cm="1">
        <f t="array" ref="AA320">IF(W320="","",(_xlfn.TEXTSPLIT(W320,"-")))</f>
        <v/>
      </c>
      <c r="AD320" s="129" t="e">
        <f>VLOOKUP(VALUE($U320),test_out_xwalk!$C:$L,3,FALSE)</f>
        <v>#VALUE!</v>
      </c>
      <c r="AE320" s="129" t="e">
        <f>VLOOKUP(VALUE($U320),test_out_xwalk!$C:$L,5,FALSE)</f>
        <v>#VALUE!</v>
      </c>
      <c r="AF320" s="129" t="e">
        <f>VLOOKUP(VALUE($U320),test_out_xwalk!$C:$L,6,FALSE)</f>
        <v>#VALUE!</v>
      </c>
      <c r="AG320" s="129" t="e">
        <f>VLOOKUP(VALUE($U320),test_out_xwalk!$C:$L,8,FALSE)</f>
        <v>#VALUE!</v>
      </c>
      <c r="AH320" s="129" t="e">
        <f>VLOOKUP(VALUE($U320),test_out_xwalk!$C:$L,7,FALSE)</f>
        <v>#VALUE!</v>
      </c>
      <c r="AI320" s="129" t="e">
        <f>VLOOKUP(VALUE($U320),test_out_xwalk!$C:$L,4,FALSE)</f>
        <v>#VALUE!</v>
      </c>
      <c r="AJ320" s="129" t="e">
        <f>VLOOKUP(VALUE($U320),test_out_xwalk!$C:$L,9,FALSE)</f>
        <v>#VALUE!</v>
      </c>
      <c r="AK320" t="e">
        <f>_xlfn.XLOOKUP(VALUE(U320),test_out_xwalk!C:C,test_out_xwalk!A:A)</f>
        <v>#VALUE!</v>
      </c>
    </row>
    <row r="321" spans="1:37" x14ac:dyDescent="0.55000000000000004">
      <c r="A321" s="121" t="str">
        <f>IF('summary_EPA Pond'!$A321="","Check Summary EPA POND worksheet Column A",'summary_EPA Pond'!$A321)</f>
        <v xml:space="preserve">25_567494-13121-74_Orchard deciduous-r08-A_USEPA Pond_0080_median                     </v>
      </c>
      <c r="B321" s="121" t="str" cm="1">
        <f t="array" ref="B321:G321">IFERROR(_xlfn.TEXTSPLIT(A321,"_"),"")</f>
        <v>25</v>
      </c>
      <c r="C321" t="str">
        <v>567494-13121-74</v>
      </c>
      <c r="D321" t="str">
        <v>Orchard deciduous-r08-A</v>
      </c>
      <c r="E321" t="str">
        <v>USEPA Pond</v>
      </c>
      <c r="F321" t="str">
        <v>0080</v>
      </c>
      <c r="G321" t="str">
        <v xml:space="preserve">median                     </v>
      </c>
      <c r="H321" s="121" t="str" cm="1">
        <f t="array" ref="H321:J321">IF(D321="","",(_xlfn.TEXTSPLIT(D321,"-")))</f>
        <v>Orchard deciduous</v>
      </c>
      <c r="I321" s="121" t="str">
        <v>r08</v>
      </c>
      <c r="J321" t="str">
        <v>A</v>
      </c>
      <c r="K321" s="129" t="str">
        <f>VLOOKUP(VALUE($B321),test_out_xwalk!$C:$L,3,FALSE)</f>
        <v>Apple-10-25</v>
      </c>
      <c r="L321" s="129">
        <f>VLOOKUP(VALUE($B321),test_out_xwalk!$C:$L,5,FALSE)</f>
        <v>2</v>
      </c>
      <c r="M321" s="129">
        <f>VLOOKUP(VALUE($B321),test_out_xwalk!$C:$L,6,FALSE)</f>
        <v>4</v>
      </c>
      <c r="N321" s="129" t="str">
        <f>VLOOKUP(VALUE($B321),test_out_xwalk!$C:$L,8,FALSE)</f>
        <v>Aerial_Medium</v>
      </c>
      <c r="O321" s="129" t="str">
        <f>VLOOKUP(VALUE($B321),test_out_xwalk!$C:$L,7,FALSE)</f>
        <v>Spray</v>
      </c>
      <c r="P321" s="129" t="str">
        <f>VLOOKUP(VALUE($B321),test_out_xwalk!$C:$L,4,FALSE)</f>
        <v>Post-emergence</v>
      </c>
      <c r="Q321" s="129" t="str">
        <f>VLOOKUP(VALUE($B321),test_out_xwalk!$C:$L,9,FALSE)</f>
        <v>Other Orchards</v>
      </c>
      <c r="R321">
        <f>_xlfn.XLOOKUP(VALUE(B321),test_out_xwalk!$C:$C,test_out_xwalk!$A:$A)</f>
        <v>10</v>
      </c>
      <c r="T321" s="121" t="str">
        <f>IF('summary_EPA Pond'!$O321="","Check Summary EPA POND worksheet Column O",'summary_EPA Pond'!$O321)</f>
        <v>Check Summary EPA POND worksheet Column O</v>
      </c>
      <c r="U321" s="121" t="str" cm="1">
        <f t="array" ref="U321">IFERROR(_xlfn.TEXTSPLIT(T321,"_"),"")</f>
        <v>Check Summary EPA POND worksheet Column O</v>
      </c>
      <c r="AA321" s="121" t="str" cm="1">
        <f t="array" ref="AA321">IF(W321="","",(_xlfn.TEXTSPLIT(W321,"-")))</f>
        <v/>
      </c>
      <c r="AD321" s="129" t="e">
        <f>VLOOKUP(VALUE($U321),test_out_xwalk!$C:$L,3,FALSE)</f>
        <v>#VALUE!</v>
      </c>
      <c r="AE321" s="129" t="e">
        <f>VLOOKUP(VALUE($U321),test_out_xwalk!$C:$L,5,FALSE)</f>
        <v>#VALUE!</v>
      </c>
      <c r="AF321" s="129" t="e">
        <f>VLOOKUP(VALUE($U321),test_out_xwalk!$C:$L,6,FALSE)</f>
        <v>#VALUE!</v>
      </c>
      <c r="AG321" s="129" t="e">
        <f>VLOOKUP(VALUE($U321),test_out_xwalk!$C:$L,8,FALSE)</f>
        <v>#VALUE!</v>
      </c>
      <c r="AH321" s="129" t="e">
        <f>VLOOKUP(VALUE($U321),test_out_xwalk!$C:$L,7,FALSE)</f>
        <v>#VALUE!</v>
      </c>
      <c r="AI321" s="129" t="e">
        <f>VLOOKUP(VALUE($U321),test_out_xwalk!$C:$L,4,FALSE)</f>
        <v>#VALUE!</v>
      </c>
      <c r="AJ321" s="129" t="e">
        <f>VLOOKUP(VALUE($U321),test_out_xwalk!$C:$L,9,FALSE)</f>
        <v>#VALUE!</v>
      </c>
      <c r="AK321" t="e">
        <f>_xlfn.XLOOKUP(VALUE(U321),test_out_xwalk!C:C,test_out_xwalk!A:A)</f>
        <v>#VALUE!</v>
      </c>
    </row>
    <row r="322" spans="1:37" x14ac:dyDescent="0.55000000000000004">
      <c r="A322" s="121" t="str">
        <f>IF('summary_EPA Pond'!$A322="","Check Summary EPA POND worksheet Column A",'summary_EPA Pond'!$A322)</f>
        <v xml:space="preserve">25_2774572-26572-68_Orchard deciduous-r09-A_USEPA Pond_0080_median                    </v>
      </c>
      <c r="B322" s="121" t="str" cm="1">
        <f t="array" ref="B322:G322">IFERROR(_xlfn.TEXTSPLIT(A322,"_"),"")</f>
        <v>25</v>
      </c>
      <c r="C322" t="str">
        <v>2774572-26572-68</v>
      </c>
      <c r="D322" t="str">
        <v>Orchard deciduous-r09-A</v>
      </c>
      <c r="E322" t="str">
        <v>USEPA Pond</v>
      </c>
      <c r="F322" t="str">
        <v>0080</v>
      </c>
      <c r="G322" t="str">
        <v xml:space="preserve">median                    </v>
      </c>
      <c r="H322" s="121" t="str" cm="1">
        <f t="array" ref="H322:J322">IF(D322="","",(_xlfn.TEXTSPLIT(D322,"-")))</f>
        <v>Orchard deciduous</v>
      </c>
      <c r="I322" s="121" t="str">
        <v>r09</v>
      </c>
      <c r="J322" t="str">
        <v>A</v>
      </c>
      <c r="K322" s="129" t="str">
        <f>VLOOKUP(VALUE($B322),test_out_xwalk!$C:$L,3,FALSE)</f>
        <v>Apple-10-25</v>
      </c>
      <c r="L322" s="129">
        <f>VLOOKUP(VALUE($B322),test_out_xwalk!$C:$L,5,FALSE)</f>
        <v>2</v>
      </c>
      <c r="M322" s="129">
        <f>VLOOKUP(VALUE($B322),test_out_xwalk!$C:$L,6,FALSE)</f>
        <v>4</v>
      </c>
      <c r="N322" s="129" t="str">
        <f>VLOOKUP(VALUE($B322),test_out_xwalk!$C:$L,8,FALSE)</f>
        <v>Aerial_Medium</v>
      </c>
      <c r="O322" s="129" t="str">
        <f>VLOOKUP(VALUE($B322),test_out_xwalk!$C:$L,7,FALSE)</f>
        <v>Spray</v>
      </c>
      <c r="P322" s="129" t="str">
        <f>VLOOKUP(VALUE($B322),test_out_xwalk!$C:$L,4,FALSE)</f>
        <v>Post-emergence</v>
      </c>
      <c r="Q322" s="129" t="str">
        <f>VLOOKUP(VALUE($B322),test_out_xwalk!$C:$L,9,FALSE)</f>
        <v>Other Orchards</v>
      </c>
      <c r="R322">
        <f>_xlfn.XLOOKUP(VALUE(B322),test_out_xwalk!$C:$C,test_out_xwalk!$A:$A)</f>
        <v>10</v>
      </c>
      <c r="T322" s="121" t="str">
        <f>IF('summary_EPA Pond'!$O322="","Check Summary EPA POND worksheet Column O",'summary_EPA Pond'!$O322)</f>
        <v>Check Summary EPA POND worksheet Column O</v>
      </c>
      <c r="U322" s="121" t="str" cm="1">
        <f t="array" ref="U322">IFERROR(_xlfn.TEXTSPLIT(T322,"_"),"")</f>
        <v>Check Summary EPA POND worksheet Column O</v>
      </c>
      <c r="AA322" s="121" t="str" cm="1">
        <f t="array" ref="AA322">IF(W322="","",(_xlfn.TEXTSPLIT(W322,"-")))</f>
        <v/>
      </c>
      <c r="AD322" s="129" t="e">
        <f>VLOOKUP(VALUE($U322),test_out_xwalk!$C:$L,3,FALSE)</f>
        <v>#VALUE!</v>
      </c>
      <c r="AE322" s="129" t="e">
        <f>VLOOKUP(VALUE($U322),test_out_xwalk!$C:$L,5,FALSE)</f>
        <v>#VALUE!</v>
      </c>
      <c r="AF322" s="129" t="e">
        <f>VLOOKUP(VALUE($U322),test_out_xwalk!$C:$L,6,FALSE)</f>
        <v>#VALUE!</v>
      </c>
      <c r="AG322" s="129" t="e">
        <f>VLOOKUP(VALUE($U322),test_out_xwalk!$C:$L,8,FALSE)</f>
        <v>#VALUE!</v>
      </c>
      <c r="AH322" s="129" t="e">
        <f>VLOOKUP(VALUE($U322),test_out_xwalk!$C:$L,7,FALSE)</f>
        <v>#VALUE!</v>
      </c>
      <c r="AI322" s="129" t="e">
        <f>VLOOKUP(VALUE($U322),test_out_xwalk!$C:$L,4,FALSE)</f>
        <v>#VALUE!</v>
      </c>
      <c r="AJ322" s="129" t="e">
        <f>VLOOKUP(VALUE($U322),test_out_xwalk!$C:$L,9,FALSE)</f>
        <v>#VALUE!</v>
      </c>
      <c r="AK322" t="e">
        <f>_xlfn.XLOOKUP(VALUE(U322),test_out_xwalk!C:C,test_out_xwalk!A:A)</f>
        <v>#VALUE!</v>
      </c>
    </row>
    <row r="323" spans="1:37" x14ac:dyDescent="0.55000000000000004">
      <c r="A323" s="121" t="str">
        <f>IF('summary_EPA Pond'!$A323="","Check Summary EPA POND worksheet Column A",'summary_EPA Pond'!$A323)</f>
        <v xml:space="preserve">25_2532369-16882-74_Orchard deciduous-r10L-A_USEPA Pond_0080_median                   </v>
      </c>
      <c r="B323" s="121" t="str" cm="1">
        <f t="array" ref="B323:G323">IFERROR(_xlfn.TEXTSPLIT(A323,"_"),"")</f>
        <v>25</v>
      </c>
      <c r="C323" t="str">
        <v>2532369-16882-74</v>
      </c>
      <c r="D323" t="str">
        <v>Orchard deciduous-r10L-A</v>
      </c>
      <c r="E323" t="str">
        <v>USEPA Pond</v>
      </c>
      <c r="F323" t="str">
        <v>0080</v>
      </c>
      <c r="G323" t="str">
        <v xml:space="preserve">median                   </v>
      </c>
      <c r="H323" s="121" t="str" cm="1">
        <f t="array" ref="H323:J323">IF(D323="","",(_xlfn.TEXTSPLIT(D323,"-")))</f>
        <v>Orchard deciduous</v>
      </c>
      <c r="I323" s="121" t="str">
        <v>r10L</v>
      </c>
      <c r="J323" t="str">
        <v>A</v>
      </c>
      <c r="K323" s="129" t="str">
        <f>VLOOKUP(VALUE($B323),test_out_xwalk!$C:$L,3,FALSE)</f>
        <v>Apple-10-25</v>
      </c>
      <c r="L323" s="129">
        <f>VLOOKUP(VALUE($B323),test_out_xwalk!$C:$L,5,FALSE)</f>
        <v>2</v>
      </c>
      <c r="M323" s="129">
        <f>VLOOKUP(VALUE($B323),test_out_xwalk!$C:$L,6,FALSE)</f>
        <v>4</v>
      </c>
      <c r="N323" s="129" t="str">
        <f>VLOOKUP(VALUE($B323),test_out_xwalk!$C:$L,8,FALSE)</f>
        <v>Aerial_Medium</v>
      </c>
      <c r="O323" s="129" t="str">
        <f>VLOOKUP(VALUE($B323),test_out_xwalk!$C:$L,7,FALSE)</f>
        <v>Spray</v>
      </c>
      <c r="P323" s="129" t="str">
        <f>VLOOKUP(VALUE($B323),test_out_xwalk!$C:$L,4,FALSE)</f>
        <v>Post-emergence</v>
      </c>
      <c r="Q323" s="129" t="str">
        <f>VLOOKUP(VALUE($B323),test_out_xwalk!$C:$L,9,FALSE)</f>
        <v>Other Orchards</v>
      </c>
      <c r="R323">
        <f>_xlfn.XLOOKUP(VALUE(B323),test_out_xwalk!$C:$C,test_out_xwalk!$A:$A)</f>
        <v>10</v>
      </c>
      <c r="T323" s="121" t="str">
        <f>IF('summary_EPA Pond'!$O323="","Check Summary EPA POND worksheet Column O",'summary_EPA Pond'!$O323)</f>
        <v>Check Summary EPA POND worksheet Column O</v>
      </c>
      <c r="U323" s="121" t="str" cm="1">
        <f t="array" ref="U323">IFERROR(_xlfn.TEXTSPLIT(T323,"_"),"")</f>
        <v>Check Summary EPA POND worksheet Column O</v>
      </c>
      <c r="AA323" s="121" t="str" cm="1">
        <f t="array" ref="AA323">IF(W323="","",(_xlfn.TEXTSPLIT(W323,"-")))</f>
        <v/>
      </c>
      <c r="AD323" s="129" t="e">
        <f>VLOOKUP(VALUE($U323),test_out_xwalk!$C:$L,3,FALSE)</f>
        <v>#VALUE!</v>
      </c>
      <c r="AE323" s="129" t="e">
        <f>VLOOKUP(VALUE($U323),test_out_xwalk!$C:$L,5,FALSE)</f>
        <v>#VALUE!</v>
      </c>
      <c r="AF323" s="129" t="e">
        <f>VLOOKUP(VALUE($U323),test_out_xwalk!$C:$L,6,FALSE)</f>
        <v>#VALUE!</v>
      </c>
      <c r="AG323" s="129" t="e">
        <f>VLOOKUP(VALUE($U323),test_out_xwalk!$C:$L,8,FALSE)</f>
        <v>#VALUE!</v>
      </c>
      <c r="AH323" s="129" t="e">
        <f>VLOOKUP(VALUE($U323),test_out_xwalk!$C:$L,7,FALSE)</f>
        <v>#VALUE!</v>
      </c>
      <c r="AI323" s="129" t="e">
        <f>VLOOKUP(VALUE($U323),test_out_xwalk!$C:$L,4,FALSE)</f>
        <v>#VALUE!</v>
      </c>
      <c r="AJ323" s="129" t="e">
        <f>VLOOKUP(VALUE($U323),test_out_xwalk!$C:$L,9,FALSE)</f>
        <v>#VALUE!</v>
      </c>
      <c r="AK323" t="e">
        <f>_xlfn.XLOOKUP(VALUE(U323),test_out_xwalk!C:C,test_out_xwalk!A:A)</f>
        <v>#VALUE!</v>
      </c>
    </row>
    <row r="324" spans="1:37" x14ac:dyDescent="0.55000000000000004">
      <c r="A324" s="121" t="str">
        <f>IF('summary_EPA Pond'!$A324="","Check Summary EPA POND worksheet Column A",'summary_EPA Pond'!$A324)</f>
        <v xml:space="preserve">25_146775-27192-66_Orchard deciduous-r10U-A_USEPA Pond_0080_median                    </v>
      </c>
      <c r="B324" s="121" t="str" cm="1">
        <f t="array" ref="B324:G324">IFERROR(_xlfn.TEXTSPLIT(A324,"_"),"")</f>
        <v>25</v>
      </c>
      <c r="C324" t="str">
        <v>146775-27192-66</v>
      </c>
      <c r="D324" t="str">
        <v>Orchard deciduous-r10U-A</v>
      </c>
      <c r="E324" t="str">
        <v>USEPA Pond</v>
      </c>
      <c r="F324" t="str">
        <v>0080</v>
      </c>
      <c r="G324" t="str">
        <v xml:space="preserve">median                    </v>
      </c>
      <c r="H324" s="121" t="str" cm="1">
        <f t="array" ref="H324:J324">IF(D324="","",(_xlfn.TEXTSPLIT(D324,"-")))</f>
        <v>Orchard deciduous</v>
      </c>
      <c r="I324" s="121" t="str">
        <v>r10U</v>
      </c>
      <c r="J324" t="str">
        <v>A</v>
      </c>
      <c r="K324" s="129" t="str">
        <f>VLOOKUP(VALUE($B324),test_out_xwalk!$C:$L,3,FALSE)</f>
        <v>Apple-10-25</v>
      </c>
      <c r="L324" s="129">
        <f>VLOOKUP(VALUE($B324),test_out_xwalk!$C:$L,5,FALSE)</f>
        <v>2</v>
      </c>
      <c r="M324" s="129">
        <f>VLOOKUP(VALUE($B324),test_out_xwalk!$C:$L,6,FALSE)</f>
        <v>4</v>
      </c>
      <c r="N324" s="129" t="str">
        <f>VLOOKUP(VALUE($B324),test_out_xwalk!$C:$L,8,FALSE)</f>
        <v>Aerial_Medium</v>
      </c>
      <c r="O324" s="129" t="str">
        <f>VLOOKUP(VALUE($B324),test_out_xwalk!$C:$L,7,FALSE)</f>
        <v>Spray</v>
      </c>
      <c r="P324" s="129" t="str">
        <f>VLOOKUP(VALUE($B324),test_out_xwalk!$C:$L,4,FALSE)</f>
        <v>Post-emergence</v>
      </c>
      <c r="Q324" s="129" t="str">
        <f>VLOOKUP(VALUE($B324),test_out_xwalk!$C:$L,9,FALSE)</f>
        <v>Other Orchards</v>
      </c>
      <c r="R324">
        <f>_xlfn.XLOOKUP(VALUE(B324),test_out_xwalk!$C:$C,test_out_xwalk!$A:$A)</f>
        <v>10</v>
      </c>
      <c r="T324" s="121" t="str">
        <f>IF('summary_EPA Pond'!$O324="","Check Summary EPA POND worksheet Column O",'summary_EPA Pond'!$O324)</f>
        <v>Check Summary EPA POND worksheet Column O</v>
      </c>
      <c r="U324" s="121" t="str" cm="1">
        <f t="array" ref="U324">IFERROR(_xlfn.TEXTSPLIT(T324,"_"),"")</f>
        <v>Check Summary EPA POND worksheet Column O</v>
      </c>
      <c r="AA324" s="121" t="str" cm="1">
        <f t="array" ref="AA324">IF(W324="","",(_xlfn.TEXTSPLIT(W324,"-")))</f>
        <v/>
      </c>
      <c r="AD324" s="129" t="e">
        <f>VLOOKUP(VALUE($U324),test_out_xwalk!$C:$L,3,FALSE)</f>
        <v>#VALUE!</v>
      </c>
      <c r="AE324" s="129" t="e">
        <f>VLOOKUP(VALUE($U324),test_out_xwalk!$C:$L,5,FALSE)</f>
        <v>#VALUE!</v>
      </c>
      <c r="AF324" s="129" t="e">
        <f>VLOOKUP(VALUE($U324),test_out_xwalk!$C:$L,6,FALSE)</f>
        <v>#VALUE!</v>
      </c>
      <c r="AG324" s="129" t="e">
        <f>VLOOKUP(VALUE($U324),test_out_xwalk!$C:$L,8,FALSE)</f>
        <v>#VALUE!</v>
      </c>
      <c r="AH324" s="129" t="e">
        <f>VLOOKUP(VALUE($U324),test_out_xwalk!$C:$L,7,FALSE)</f>
        <v>#VALUE!</v>
      </c>
      <c r="AI324" s="129" t="e">
        <f>VLOOKUP(VALUE($U324),test_out_xwalk!$C:$L,4,FALSE)</f>
        <v>#VALUE!</v>
      </c>
      <c r="AJ324" s="129" t="e">
        <f>VLOOKUP(VALUE($U324),test_out_xwalk!$C:$L,9,FALSE)</f>
        <v>#VALUE!</v>
      </c>
      <c r="AK324" t="e">
        <f>_xlfn.XLOOKUP(VALUE(U324),test_out_xwalk!C:C,test_out_xwalk!A:A)</f>
        <v>#VALUE!</v>
      </c>
    </row>
    <row r="325" spans="1:37" x14ac:dyDescent="0.55000000000000004">
      <c r="A325" s="121" t="str">
        <f>IF('summary_EPA Pond'!$A325="","Check Summary EPA POND worksheet Column A",'summary_EPA Pond'!$A325)</f>
        <v xml:space="preserve">25_106593-15934-74_Orchard deciduous-r11-A_USEPA Pond_0080_median                     </v>
      </c>
      <c r="B325" s="121" t="str" cm="1">
        <f t="array" ref="B325:G325">IFERROR(_xlfn.TEXTSPLIT(A325,"_"),"")</f>
        <v>25</v>
      </c>
      <c r="C325" t="str">
        <v>106593-15934-74</v>
      </c>
      <c r="D325" t="str">
        <v>Orchard deciduous-r11-A</v>
      </c>
      <c r="E325" t="str">
        <v>USEPA Pond</v>
      </c>
      <c r="F325" t="str">
        <v>0080</v>
      </c>
      <c r="G325" t="str">
        <v xml:space="preserve">median                     </v>
      </c>
      <c r="H325" s="121" t="str" cm="1">
        <f t="array" ref="H325:J325">IF(D325="","",(_xlfn.TEXTSPLIT(D325,"-")))</f>
        <v>Orchard deciduous</v>
      </c>
      <c r="I325" s="121" t="str">
        <v>r11</v>
      </c>
      <c r="J325" t="str">
        <v>A</v>
      </c>
      <c r="K325" s="129" t="str">
        <f>VLOOKUP(VALUE($B325),test_out_xwalk!$C:$L,3,FALSE)</f>
        <v>Apple-10-25</v>
      </c>
      <c r="L325" s="129">
        <f>VLOOKUP(VALUE($B325),test_out_xwalk!$C:$L,5,FALSE)</f>
        <v>2</v>
      </c>
      <c r="M325" s="129">
        <f>VLOOKUP(VALUE($B325),test_out_xwalk!$C:$L,6,FALSE)</f>
        <v>4</v>
      </c>
      <c r="N325" s="129" t="str">
        <f>VLOOKUP(VALUE($B325),test_out_xwalk!$C:$L,8,FALSE)</f>
        <v>Aerial_Medium</v>
      </c>
      <c r="O325" s="129" t="str">
        <f>VLOOKUP(VALUE($B325),test_out_xwalk!$C:$L,7,FALSE)</f>
        <v>Spray</v>
      </c>
      <c r="P325" s="129" t="str">
        <f>VLOOKUP(VALUE($B325),test_out_xwalk!$C:$L,4,FALSE)</f>
        <v>Post-emergence</v>
      </c>
      <c r="Q325" s="129" t="str">
        <f>VLOOKUP(VALUE($B325),test_out_xwalk!$C:$L,9,FALSE)</f>
        <v>Other Orchards</v>
      </c>
      <c r="R325">
        <f>_xlfn.XLOOKUP(VALUE(B325),test_out_xwalk!$C:$C,test_out_xwalk!$A:$A)</f>
        <v>10</v>
      </c>
      <c r="T325" s="121" t="str">
        <f>IF('summary_EPA Pond'!$O325="","Check Summary EPA POND worksheet Column O",'summary_EPA Pond'!$O325)</f>
        <v>Check Summary EPA POND worksheet Column O</v>
      </c>
      <c r="U325" s="121" t="str" cm="1">
        <f t="array" ref="U325">IFERROR(_xlfn.TEXTSPLIT(T325,"_"),"")</f>
        <v>Check Summary EPA POND worksheet Column O</v>
      </c>
      <c r="AA325" s="121" t="str" cm="1">
        <f t="array" ref="AA325">IF(W325="","",(_xlfn.TEXTSPLIT(W325,"-")))</f>
        <v/>
      </c>
      <c r="AD325" s="129" t="e">
        <f>VLOOKUP(VALUE($U325),test_out_xwalk!$C:$L,3,FALSE)</f>
        <v>#VALUE!</v>
      </c>
      <c r="AE325" s="129" t="e">
        <f>VLOOKUP(VALUE($U325),test_out_xwalk!$C:$L,5,FALSE)</f>
        <v>#VALUE!</v>
      </c>
      <c r="AF325" s="129" t="e">
        <f>VLOOKUP(VALUE($U325),test_out_xwalk!$C:$L,6,FALSE)</f>
        <v>#VALUE!</v>
      </c>
      <c r="AG325" s="129" t="e">
        <f>VLOOKUP(VALUE($U325),test_out_xwalk!$C:$L,8,FALSE)</f>
        <v>#VALUE!</v>
      </c>
      <c r="AH325" s="129" t="e">
        <f>VLOOKUP(VALUE($U325),test_out_xwalk!$C:$L,7,FALSE)</f>
        <v>#VALUE!</v>
      </c>
      <c r="AI325" s="129" t="e">
        <f>VLOOKUP(VALUE($U325),test_out_xwalk!$C:$L,4,FALSE)</f>
        <v>#VALUE!</v>
      </c>
      <c r="AJ325" s="129" t="e">
        <f>VLOOKUP(VALUE($U325),test_out_xwalk!$C:$L,9,FALSE)</f>
        <v>#VALUE!</v>
      </c>
      <c r="AK325" t="e">
        <f>_xlfn.XLOOKUP(VALUE(U325),test_out_xwalk!C:C,test_out_xwalk!A:A)</f>
        <v>#VALUE!</v>
      </c>
    </row>
    <row r="326" spans="1:37" x14ac:dyDescent="0.55000000000000004">
      <c r="A326" s="121" t="str">
        <f>IF('summary_EPA Pond'!$A326="","Check Summary EPA POND worksheet Column A",'summary_EPA Pond'!$A326)</f>
        <v xml:space="preserve">25_367880-12156-74_Orchard deciduous-r12-A_USEPA Pond_0080_median                     </v>
      </c>
      <c r="B326" s="121" t="str" cm="1">
        <f t="array" ref="B326:G326">IFERROR(_xlfn.TEXTSPLIT(A326,"_"),"")</f>
        <v>25</v>
      </c>
      <c r="C326" t="str">
        <v>367880-12156-74</v>
      </c>
      <c r="D326" t="str">
        <v>Orchard deciduous-r12-A</v>
      </c>
      <c r="E326" t="str">
        <v>USEPA Pond</v>
      </c>
      <c r="F326" t="str">
        <v>0080</v>
      </c>
      <c r="G326" t="str">
        <v xml:space="preserve">median                     </v>
      </c>
      <c r="H326" s="121" t="str" cm="1">
        <f t="array" ref="H326:J326">IF(D326="","",(_xlfn.TEXTSPLIT(D326,"-")))</f>
        <v>Orchard deciduous</v>
      </c>
      <c r="I326" s="121" t="str">
        <v>r12</v>
      </c>
      <c r="J326" t="str">
        <v>A</v>
      </c>
      <c r="K326" s="129" t="str">
        <f>VLOOKUP(VALUE($B326),test_out_xwalk!$C:$L,3,FALSE)</f>
        <v>Apple-10-25</v>
      </c>
      <c r="L326" s="129">
        <f>VLOOKUP(VALUE($B326),test_out_xwalk!$C:$L,5,FALSE)</f>
        <v>2</v>
      </c>
      <c r="M326" s="129">
        <f>VLOOKUP(VALUE($B326),test_out_xwalk!$C:$L,6,FALSE)</f>
        <v>4</v>
      </c>
      <c r="N326" s="129" t="str">
        <f>VLOOKUP(VALUE($B326),test_out_xwalk!$C:$L,8,FALSE)</f>
        <v>Aerial_Medium</v>
      </c>
      <c r="O326" s="129" t="str">
        <f>VLOOKUP(VALUE($B326),test_out_xwalk!$C:$L,7,FALSE)</f>
        <v>Spray</v>
      </c>
      <c r="P326" s="129" t="str">
        <f>VLOOKUP(VALUE($B326),test_out_xwalk!$C:$L,4,FALSE)</f>
        <v>Post-emergence</v>
      </c>
      <c r="Q326" s="129" t="str">
        <f>VLOOKUP(VALUE($B326),test_out_xwalk!$C:$L,9,FALSE)</f>
        <v>Other Orchards</v>
      </c>
      <c r="R326">
        <f>_xlfn.XLOOKUP(VALUE(B326),test_out_xwalk!$C:$C,test_out_xwalk!$A:$A)</f>
        <v>10</v>
      </c>
      <c r="T326" s="121" t="str">
        <f>IF('summary_EPA Pond'!$O326="","Check Summary EPA POND worksheet Column O",'summary_EPA Pond'!$O326)</f>
        <v>Check Summary EPA POND worksheet Column O</v>
      </c>
      <c r="U326" s="121" t="str" cm="1">
        <f t="array" ref="U326">IFERROR(_xlfn.TEXTSPLIT(T326,"_"),"")</f>
        <v>Check Summary EPA POND worksheet Column O</v>
      </c>
      <c r="AA326" s="121" t="str" cm="1">
        <f t="array" ref="AA326">IF(W326="","",(_xlfn.TEXTSPLIT(W326,"-")))</f>
        <v/>
      </c>
      <c r="AD326" s="129" t="e">
        <f>VLOOKUP(VALUE($U326),test_out_xwalk!$C:$L,3,FALSE)</f>
        <v>#VALUE!</v>
      </c>
      <c r="AE326" s="129" t="e">
        <f>VLOOKUP(VALUE($U326),test_out_xwalk!$C:$L,5,FALSE)</f>
        <v>#VALUE!</v>
      </c>
      <c r="AF326" s="129" t="e">
        <f>VLOOKUP(VALUE($U326),test_out_xwalk!$C:$L,6,FALSE)</f>
        <v>#VALUE!</v>
      </c>
      <c r="AG326" s="129" t="e">
        <f>VLOOKUP(VALUE($U326),test_out_xwalk!$C:$L,8,FALSE)</f>
        <v>#VALUE!</v>
      </c>
      <c r="AH326" s="129" t="e">
        <f>VLOOKUP(VALUE($U326),test_out_xwalk!$C:$L,7,FALSE)</f>
        <v>#VALUE!</v>
      </c>
      <c r="AI326" s="129" t="e">
        <f>VLOOKUP(VALUE($U326),test_out_xwalk!$C:$L,4,FALSE)</f>
        <v>#VALUE!</v>
      </c>
      <c r="AJ326" s="129" t="e">
        <f>VLOOKUP(VALUE($U326),test_out_xwalk!$C:$L,9,FALSE)</f>
        <v>#VALUE!</v>
      </c>
      <c r="AK326" t="e">
        <f>_xlfn.XLOOKUP(VALUE(U326),test_out_xwalk!C:C,test_out_xwalk!A:A)</f>
        <v>#VALUE!</v>
      </c>
    </row>
    <row r="327" spans="1:37" x14ac:dyDescent="0.55000000000000004">
      <c r="A327" s="121" t="str">
        <f>IF('summary_EPA Pond'!$A327="","Check Summary EPA POND worksheet Column A",'summary_EPA Pond'!$A327)</f>
        <v xml:space="preserve">25_712158-9291-74_Orchard deciduous-r13-A_USEPA Pond_0080_median                      </v>
      </c>
      <c r="B327" s="121" t="str" cm="1">
        <f t="array" ref="B327:G327">IFERROR(_xlfn.TEXTSPLIT(A327,"_"),"")</f>
        <v>25</v>
      </c>
      <c r="C327" t="str">
        <v>712158-9291-74</v>
      </c>
      <c r="D327" t="str">
        <v>Orchard deciduous-r13-A</v>
      </c>
      <c r="E327" t="str">
        <v>USEPA Pond</v>
      </c>
      <c r="F327" t="str">
        <v>0080</v>
      </c>
      <c r="G327" t="str">
        <v xml:space="preserve">median                      </v>
      </c>
      <c r="H327" s="121" t="str" cm="1">
        <f t="array" ref="H327:J327">IF(D327="","",(_xlfn.TEXTSPLIT(D327,"-")))</f>
        <v>Orchard deciduous</v>
      </c>
      <c r="I327" s="121" t="str">
        <v>r13</v>
      </c>
      <c r="J327" t="str">
        <v>A</v>
      </c>
      <c r="K327" s="129" t="str">
        <f>VLOOKUP(VALUE($B327),test_out_xwalk!$C:$L,3,FALSE)</f>
        <v>Apple-10-25</v>
      </c>
      <c r="L327" s="129">
        <f>VLOOKUP(VALUE($B327),test_out_xwalk!$C:$L,5,FALSE)</f>
        <v>2</v>
      </c>
      <c r="M327" s="129">
        <f>VLOOKUP(VALUE($B327),test_out_xwalk!$C:$L,6,FALSE)</f>
        <v>4</v>
      </c>
      <c r="N327" s="129" t="str">
        <f>VLOOKUP(VALUE($B327),test_out_xwalk!$C:$L,8,FALSE)</f>
        <v>Aerial_Medium</v>
      </c>
      <c r="O327" s="129" t="str">
        <f>VLOOKUP(VALUE($B327),test_out_xwalk!$C:$L,7,FALSE)</f>
        <v>Spray</v>
      </c>
      <c r="P327" s="129" t="str">
        <f>VLOOKUP(VALUE($B327),test_out_xwalk!$C:$L,4,FALSE)</f>
        <v>Post-emergence</v>
      </c>
      <c r="Q327" s="129" t="str">
        <f>VLOOKUP(VALUE($B327),test_out_xwalk!$C:$L,9,FALSE)</f>
        <v>Other Orchards</v>
      </c>
      <c r="R327">
        <f>_xlfn.XLOOKUP(VALUE(B327),test_out_xwalk!$C:$C,test_out_xwalk!$A:$A)</f>
        <v>10</v>
      </c>
      <c r="T327" s="121" t="str">
        <f>IF('summary_EPA Pond'!$O327="","Check Summary EPA POND worksheet Column O",'summary_EPA Pond'!$O327)</f>
        <v>Check Summary EPA POND worksheet Column O</v>
      </c>
      <c r="U327" s="121" t="str" cm="1">
        <f t="array" ref="U327">IFERROR(_xlfn.TEXTSPLIT(T327,"_"),"")</f>
        <v>Check Summary EPA POND worksheet Column O</v>
      </c>
      <c r="AA327" s="121" t="str" cm="1">
        <f t="array" ref="AA327">IF(W327="","",(_xlfn.TEXTSPLIT(W327,"-")))</f>
        <v/>
      </c>
      <c r="AD327" s="129" t="e">
        <f>VLOOKUP(VALUE($U327),test_out_xwalk!$C:$L,3,FALSE)</f>
        <v>#VALUE!</v>
      </c>
      <c r="AE327" s="129" t="e">
        <f>VLOOKUP(VALUE($U327),test_out_xwalk!$C:$L,5,FALSE)</f>
        <v>#VALUE!</v>
      </c>
      <c r="AF327" s="129" t="e">
        <f>VLOOKUP(VALUE($U327),test_out_xwalk!$C:$L,6,FALSE)</f>
        <v>#VALUE!</v>
      </c>
      <c r="AG327" s="129" t="e">
        <f>VLOOKUP(VALUE($U327),test_out_xwalk!$C:$L,8,FALSE)</f>
        <v>#VALUE!</v>
      </c>
      <c r="AH327" s="129" t="e">
        <f>VLOOKUP(VALUE($U327),test_out_xwalk!$C:$L,7,FALSE)</f>
        <v>#VALUE!</v>
      </c>
      <c r="AI327" s="129" t="e">
        <f>VLOOKUP(VALUE($U327),test_out_xwalk!$C:$L,4,FALSE)</f>
        <v>#VALUE!</v>
      </c>
      <c r="AJ327" s="129" t="e">
        <f>VLOOKUP(VALUE($U327),test_out_xwalk!$C:$L,9,FALSE)</f>
        <v>#VALUE!</v>
      </c>
      <c r="AK327" t="e">
        <f>_xlfn.XLOOKUP(VALUE(U327),test_out_xwalk!C:C,test_out_xwalk!A:A)</f>
        <v>#VALUE!</v>
      </c>
    </row>
    <row r="328" spans="1:37" x14ac:dyDescent="0.55000000000000004">
      <c r="A328" s="121" t="str">
        <f>IF('summary_EPA Pond'!$A328="","Check Summary EPA POND worksheet Column A",'summary_EPA Pond'!$A328)</f>
        <v xml:space="preserve">25_496634-17773-67_Orchard deciduous-r14-A_USEPA Pond_0080_median                     </v>
      </c>
      <c r="B328" s="121" t="str" cm="1">
        <f t="array" ref="B328:G328">IFERROR(_xlfn.TEXTSPLIT(A328,"_"),"")</f>
        <v>25</v>
      </c>
      <c r="C328" t="str">
        <v>496634-17773-67</v>
      </c>
      <c r="D328" t="str">
        <v>Orchard deciduous-r14-A</v>
      </c>
      <c r="E328" t="str">
        <v>USEPA Pond</v>
      </c>
      <c r="F328" t="str">
        <v>0080</v>
      </c>
      <c r="G328" t="str">
        <v xml:space="preserve">median                     </v>
      </c>
      <c r="H328" s="121" t="str" cm="1">
        <f t="array" ref="H328:J328">IF(D328="","",(_xlfn.TEXTSPLIT(D328,"-")))</f>
        <v>Orchard deciduous</v>
      </c>
      <c r="I328" s="121" t="str">
        <v>r14</v>
      </c>
      <c r="J328" t="str">
        <v>A</v>
      </c>
      <c r="K328" s="129" t="str">
        <f>VLOOKUP(VALUE($B328),test_out_xwalk!$C:$L,3,FALSE)</f>
        <v>Apple-10-25</v>
      </c>
      <c r="L328" s="129">
        <f>VLOOKUP(VALUE($B328),test_out_xwalk!$C:$L,5,FALSE)</f>
        <v>2</v>
      </c>
      <c r="M328" s="129">
        <f>VLOOKUP(VALUE($B328),test_out_xwalk!$C:$L,6,FALSE)</f>
        <v>4</v>
      </c>
      <c r="N328" s="129" t="str">
        <f>VLOOKUP(VALUE($B328),test_out_xwalk!$C:$L,8,FALSE)</f>
        <v>Aerial_Medium</v>
      </c>
      <c r="O328" s="129" t="str">
        <f>VLOOKUP(VALUE($B328),test_out_xwalk!$C:$L,7,FALSE)</f>
        <v>Spray</v>
      </c>
      <c r="P328" s="129" t="str">
        <f>VLOOKUP(VALUE($B328),test_out_xwalk!$C:$L,4,FALSE)</f>
        <v>Post-emergence</v>
      </c>
      <c r="Q328" s="129" t="str">
        <f>VLOOKUP(VALUE($B328),test_out_xwalk!$C:$L,9,FALSE)</f>
        <v>Other Orchards</v>
      </c>
      <c r="R328">
        <f>_xlfn.XLOOKUP(VALUE(B328),test_out_xwalk!$C:$C,test_out_xwalk!$A:$A)</f>
        <v>10</v>
      </c>
      <c r="T328" s="121" t="str">
        <f>IF('summary_EPA Pond'!$O328="","Check Summary EPA POND worksheet Column O",'summary_EPA Pond'!$O328)</f>
        <v>Check Summary EPA POND worksheet Column O</v>
      </c>
      <c r="U328" s="121" t="str" cm="1">
        <f t="array" ref="U328">IFERROR(_xlfn.TEXTSPLIT(T328,"_"),"")</f>
        <v>Check Summary EPA POND worksheet Column O</v>
      </c>
      <c r="AA328" s="121" t="str" cm="1">
        <f t="array" ref="AA328">IF(W328="","",(_xlfn.TEXTSPLIT(W328,"-")))</f>
        <v/>
      </c>
      <c r="AD328" s="129" t="e">
        <f>VLOOKUP(VALUE($U328),test_out_xwalk!$C:$L,3,FALSE)</f>
        <v>#VALUE!</v>
      </c>
      <c r="AE328" s="129" t="e">
        <f>VLOOKUP(VALUE($U328),test_out_xwalk!$C:$L,5,FALSE)</f>
        <v>#VALUE!</v>
      </c>
      <c r="AF328" s="129" t="e">
        <f>VLOOKUP(VALUE($U328),test_out_xwalk!$C:$L,6,FALSE)</f>
        <v>#VALUE!</v>
      </c>
      <c r="AG328" s="129" t="e">
        <f>VLOOKUP(VALUE($U328),test_out_xwalk!$C:$L,8,FALSE)</f>
        <v>#VALUE!</v>
      </c>
      <c r="AH328" s="129" t="e">
        <f>VLOOKUP(VALUE($U328),test_out_xwalk!$C:$L,7,FALSE)</f>
        <v>#VALUE!</v>
      </c>
      <c r="AI328" s="129" t="e">
        <f>VLOOKUP(VALUE($U328),test_out_xwalk!$C:$L,4,FALSE)</f>
        <v>#VALUE!</v>
      </c>
      <c r="AJ328" s="129" t="e">
        <f>VLOOKUP(VALUE($U328),test_out_xwalk!$C:$L,9,FALSE)</f>
        <v>#VALUE!</v>
      </c>
      <c r="AK328" t="e">
        <f>_xlfn.XLOOKUP(VALUE(U328),test_out_xwalk!C:C,test_out_xwalk!A:A)</f>
        <v>#VALUE!</v>
      </c>
    </row>
    <row r="329" spans="1:37" x14ac:dyDescent="0.55000000000000004">
      <c r="A329" s="121" t="str">
        <f>IF('summary_EPA Pond'!$A329="","Check Summary EPA POND worksheet Column A",'summary_EPA Pond'!$A329)</f>
        <v xml:space="preserve">25_53675-11396-74_Orchard deciduous-r15-A_USEPA Pond_0080_median                      </v>
      </c>
      <c r="B329" s="121" t="str" cm="1">
        <f t="array" ref="B329:G329">IFERROR(_xlfn.TEXTSPLIT(A329,"_"),"")</f>
        <v>25</v>
      </c>
      <c r="C329" t="str">
        <v>53675-11396-74</v>
      </c>
      <c r="D329" t="str">
        <v>Orchard deciduous-r15-A</v>
      </c>
      <c r="E329" t="str">
        <v>USEPA Pond</v>
      </c>
      <c r="F329" t="str">
        <v>0080</v>
      </c>
      <c r="G329" t="str">
        <v xml:space="preserve">median                      </v>
      </c>
      <c r="H329" s="121" t="str" cm="1">
        <f t="array" ref="H329:J329">IF(D329="","",(_xlfn.TEXTSPLIT(D329,"-")))</f>
        <v>Orchard deciduous</v>
      </c>
      <c r="I329" s="121" t="str">
        <v>r15</v>
      </c>
      <c r="J329" t="str">
        <v>A</v>
      </c>
      <c r="K329" s="129" t="str">
        <f>VLOOKUP(VALUE($B329),test_out_xwalk!$C:$L,3,FALSE)</f>
        <v>Apple-10-25</v>
      </c>
      <c r="L329" s="129">
        <f>VLOOKUP(VALUE($B329),test_out_xwalk!$C:$L,5,FALSE)</f>
        <v>2</v>
      </c>
      <c r="M329" s="129">
        <f>VLOOKUP(VALUE($B329),test_out_xwalk!$C:$L,6,FALSE)</f>
        <v>4</v>
      </c>
      <c r="N329" s="129" t="str">
        <f>VLOOKUP(VALUE($B329),test_out_xwalk!$C:$L,8,FALSE)</f>
        <v>Aerial_Medium</v>
      </c>
      <c r="O329" s="129" t="str">
        <f>VLOOKUP(VALUE($B329),test_out_xwalk!$C:$L,7,FALSE)</f>
        <v>Spray</v>
      </c>
      <c r="P329" s="129" t="str">
        <f>VLOOKUP(VALUE($B329),test_out_xwalk!$C:$L,4,FALSE)</f>
        <v>Post-emergence</v>
      </c>
      <c r="Q329" s="129" t="str">
        <f>VLOOKUP(VALUE($B329),test_out_xwalk!$C:$L,9,FALSE)</f>
        <v>Other Orchards</v>
      </c>
      <c r="R329">
        <f>_xlfn.XLOOKUP(VALUE(B329),test_out_xwalk!$C:$C,test_out_xwalk!$A:$A)</f>
        <v>10</v>
      </c>
      <c r="T329" s="121" t="str">
        <f>IF('summary_EPA Pond'!$O329="","Check Summary EPA POND worksheet Column O",'summary_EPA Pond'!$O329)</f>
        <v>Check Summary EPA POND worksheet Column O</v>
      </c>
      <c r="U329" s="121" t="str" cm="1">
        <f t="array" ref="U329">IFERROR(_xlfn.TEXTSPLIT(T329,"_"),"")</f>
        <v>Check Summary EPA POND worksheet Column O</v>
      </c>
      <c r="AA329" s="121" t="str" cm="1">
        <f t="array" ref="AA329">IF(W329="","",(_xlfn.TEXTSPLIT(W329,"-")))</f>
        <v/>
      </c>
      <c r="AD329" s="129" t="e">
        <f>VLOOKUP(VALUE($U329),test_out_xwalk!$C:$L,3,FALSE)</f>
        <v>#VALUE!</v>
      </c>
      <c r="AE329" s="129" t="e">
        <f>VLOOKUP(VALUE($U329),test_out_xwalk!$C:$L,5,FALSE)</f>
        <v>#VALUE!</v>
      </c>
      <c r="AF329" s="129" t="e">
        <f>VLOOKUP(VALUE($U329),test_out_xwalk!$C:$L,6,FALSE)</f>
        <v>#VALUE!</v>
      </c>
      <c r="AG329" s="129" t="e">
        <f>VLOOKUP(VALUE($U329),test_out_xwalk!$C:$L,8,FALSE)</f>
        <v>#VALUE!</v>
      </c>
      <c r="AH329" s="129" t="e">
        <f>VLOOKUP(VALUE($U329),test_out_xwalk!$C:$L,7,FALSE)</f>
        <v>#VALUE!</v>
      </c>
      <c r="AI329" s="129" t="e">
        <f>VLOOKUP(VALUE($U329),test_out_xwalk!$C:$L,4,FALSE)</f>
        <v>#VALUE!</v>
      </c>
      <c r="AJ329" s="129" t="e">
        <f>VLOOKUP(VALUE($U329),test_out_xwalk!$C:$L,9,FALSE)</f>
        <v>#VALUE!</v>
      </c>
      <c r="AK329" t="e">
        <f>_xlfn.XLOOKUP(VALUE(U329),test_out_xwalk!C:C,test_out_xwalk!A:A)</f>
        <v>#VALUE!</v>
      </c>
    </row>
    <row r="330" spans="1:37" x14ac:dyDescent="0.55000000000000004">
      <c r="A330" s="121" t="str">
        <f>IF('summary_EPA Pond'!$A330="","Check Summary EPA POND worksheet Column A",'summary_EPA Pond'!$A330)</f>
        <v xml:space="preserve">25_483390-18938-66_Orchard deciduous-r16-A_USEPA Pond_0080_median                     </v>
      </c>
      <c r="B330" s="121" t="str" cm="1">
        <f t="array" ref="B330:G330">IFERROR(_xlfn.TEXTSPLIT(A330,"_"),"")</f>
        <v>25</v>
      </c>
      <c r="C330" t="str">
        <v>483390-18938-66</v>
      </c>
      <c r="D330" t="str">
        <v>Orchard deciduous-r16-A</v>
      </c>
      <c r="E330" t="str">
        <v>USEPA Pond</v>
      </c>
      <c r="F330" t="str">
        <v>0080</v>
      </c>
      <c r="G330" t="str">
        <v xml:space="preserve">median                     </v>
      </c>
      <c r="H330" s="121" t="str" cm="1">
        <f t="array" ref="H330:J330">IF(D330="","",(_xlfn.TEXTSPLIT(D330,"-")))</f>
        <v>Orchard deciduous</v>
      </c>
      <c r="I330" s="121" t="str">
        <v>r16</v>
      </c>
      <c r="J330" t="str">
        <v>A</v>
      </c>
      <c r="K330" s="129" t="str">
        <f>VLOOKUP(VALUE($B330),test_out_xwalk!$C:$L,3,FALSE)</f>
        <v>Apple-10-25</v>
      </c>
      <c r="L330" s="129">
        <f>VLOOKUP(VALUE($B330),test_out_xwalk!$C:$L,5,FALSE)</f>
        <v>2</v>
      </c>
      <c r="M330" s="129">
        <f>VLOOKUP(VALUE($B330),test_out_xwalk!$C:$L,6,FALSE)</f>
        <v>4</v>
      </c>
      <c r="N330" s="129" t="str">
        <f>VLOOKUP(VALUE($B330),test_out_xwalk!$C:$L,8,FALSE)</f>
        <v>Aerial_Medium</v>
      </c>
      <c r="O330" s="129" t="str">
        <f>VLOOKUP(VALUE($B330),test_out_xwalk!$C:$L,7,FALSE)</f>
        <v>Spray</v>
      </c>
      <c r="P330" s="129" t="str">
        <f>VLOOKUP(VALUE($B330),test_out_xwalk!$C:$L,4,FALSE)</f>
        <v>Post-emergence</v>
      </c>
      <c r="Q330" s="129" t="str">
        <f>VLOOKUP(VALUE($B330),test_out_xwalk!$C:$L,9,FALSE)</f>
        <v>Other Orchards</v>
      </c>
      <c r="R330">
        <f>_xlfn.XLOOKUP(VALUE(B330),test_out_xwalk!$C:$C,test_out_xwalk!$A:$A)</f>
        <v>10</v>
      </c>
      <c r="T330" s="121" t="str">
        <f>IF('summary_EPA Pond'!$O330="","Check Summary EPA POND worksheet Column O",'summary_EPA Pond'!$O330)</f>
        <v>Check Summary EPA POND worksheet Column O</v>
      </c>
      <c r="U330" s="121" t="str" cm="1">
        <f t="array" ref="U330">IFERROR(_xlfn.TEXTSPLIT(T330,"_"),"")</f>
        <v>Check Summary EPA POND worksheet Column O</v>
      </c>
      <c r="AA330" s="121" t="str" cm="1">
        <f t="array" ref="AA330">IF(W330="","",(_xlfn.TEXTSPLIT(W330,"-")))</f>
        <v/>
      </c>
      <c r="AD330" s="129" t="e">
        <f>VLOOKUP(VALUE($U330),test_out_xwalk!$C:$L,3,FALSE)</f>
        <v>#VALUE!</v>
      </c>
      <c r="AE330" s="129" t="e">
        <f>VLOOKUP(VALUE($U330),test_out_xwalk!$C:$L,5,FALSE)</f>
        <v>#VALUE!</v>
      </c>
      <c r="AF330" s="129" t="e">
        <f>VLOOKUP(VALUE($U330),test_out_xwalk!$C:$L,6,FALSE)</f>
        <v>#VALUE!</v>
      </c>
      <c r="AG330" s="129" t="e">
        <f>VLOOKUP(VALUE($U330),test_out_xwalk!$C:$L,8,FALSE)</f>
        <v>#VALUE!</v>
      </c>
      <c r="AH330" s="129" t="e">
        <f>VLOOKUP(VALUE($U330),test_out_xwalk!$C:$L,7,FALSE)</f>
        <v>#VALUE!</v>
      </c>
      <c r="AI330" s="129" t="e">
        <f>VLOOKUP(VALUE($U330),test_out_xwalk!$C:$L,4,FALSE)</f>
        <v>#VALUE!</v>
      </c>
      <c r="AJ330" s="129" t="e">
        <f>VLOOKUP(VALUE($U330),test_out_xwalk!$C:$L,9,FALSE)</f>
        <v>#VALUE!</v>
      </c>
      <c r="AK330" t="e">
        <f>_xlfn.XLOOKUP(VALUE(U330),test_out_xwalk!C:C,test_out_xwalk!A:A)</f>
        <v>#VALUE!</v>
      </c>
    </row>
    <row r="331" spans="1:37" x14ac:dyDescent="0.55000000000000004">
      <c r="A331" s="121" t="str">
        <f>IF('summary_EPA Pond'!$A331="","Check Summary EPA POND worksheet Column A",'summary_EPA Pond'!$A331)</f>
        <v xml:space="preserve">25_62699-22668-71_Orchard deciduous-r17-A_USEPA Pond_0080_median                      </v>
      </c>
      <c r="B331" s="121" t="str" cm="1">
        <f t="array" ref="B331:G331">IFERROR(_xlfn.TEXTSPLIT(A331,"_"),"")</f>
        <v>25</v>
      </c>
      <c r="C331" t="str">
        <v>62699-22668-71</v>
      </c>
      <c r="D331" t="str">
        <v>Orchard deciduous-r17-A</v>
      </c>
      <c r="E331" t="str">
        <v>USEPA Pond</v>
      </c>
      <c r="F331" t="str">
        <v>0080</v>
      </c>
      <c r="G331" t="str">
        <v xml:space="preserve">median                      </v>
      </c>
      <c r="H331" s="121" t="str" cm="1">
        <f t="array" ref="H331:J331">IF(D331="","",(_xlfn.TEXTSPLIT(D331,"-")))</f>
        <v>Orchard deciduous</v>
      </c>
      <c r="I331" s="121" t="str">
        <v>r17</v>
      </c>
      <c r="J331" t="str">
        <v>A</v>
      </c>
      <c r="K331" s="129" t="str">
        <f>VLOOKUP(VALUE($B331),test_out_xwalk!$C:$L,3,FALSE)</f>
        <v>Apple-10-25</v>
      </c>
      <c r="L331" s="129">
        <f>VLOOKUP(VALUE($B331),test_out_xwalk!$C:$L,5,FALSE)</f>
        <v>2</v>
      </c>
      <c r="M331" s="129">
        <f>VLOOKUP(VALUE($B331),test_out_xwalk!$C:$L,6,FALSE)</f>
        <v>4</v>
      </c>
      <c r="N331" s="129" t="str">
        <f>VLOOKUP(VALUE($B331),test_out_xwalk!$C:$L,8,FALSE)</f>
        <v>Aerial_Medium</v>
      </c>
      <c r="O331" s="129" t="str">
        <f>VLOOKUP(VALUE($B331),test_out_xwalk!$C:$L,7,FALSE)</f>
        <v>Spray</v>
      </c>
      <c r="P331" s="129" t="str">
        <f>VLOOKUP(VALUE($B331),test_out_xwalk!$C:$L,4,FALSE)</f>
        <v>Post-emergence</v>
      </c>
      <c r="Q331" s="129" t="str">
        <f>VLOOKUP(VALUE($B331),test_out_xwalk!$C:$L,9,FALSE)</f>
        <v>Other Orchards</v>
      </c>
      <c r="R331">
        <f>_xlfn.XLOOKUP(VALUE(B331),test_out_xwalk!$C:$C,test_out_xwalk!$A:$A)</f>
        <v>10</v>
      </c>
      <c r="T331" s="121" t="str">
        <f>IF('summary_EPA Pond'!$O331="","Check Summary EPA POND worksheet Column O",'summary_EPA Pond'!$O331)</f>
        <v>Check Summary EPA POND worksheet Column O</v>
      </c>
      <c r="U331" s="121" t="str" cm="1">
        <f t="array" ref="U331">IFERROR(_xlfn.TEXTSPLIT(T331,"_"),"")</f>
        <v>Check Summary EPA POND worksheet Column O</v>
      </c>
      <c r="AA331" s="121" t="str" cm="1">
        <f t="array" ref="AA331">IF(W331="","",(_xlfn.TEXTSPLIT(W331,"-")))</f>
        <v/>
      </c>
      <c r="AD331" s="129" t="e">
        <f>VLOOKUP(VALUE($U331),test_out_xwalk!$C:$L,3,FALSE)</f>
        <v>#VALUE!</v>
      </c>
      <c r="AE331" s="129" t="e">
        <f>VLOOKUP(VALUE($U331),test_out_xwalk!$C:$L,5,FALSE)</f>
        <v>#VALUE!</v>
      </c>
      <c r="AF331" s="129" t="e">
        <f>VLOOKUP(VALUE($U331),test_out_xwalk!$C:$L,6,FALSE)</f>
        <v>#VALUE!</v>
      </c>
      <c r="AG331" s="129" t="e">
        <f>VLOOKUP(VALUE($U331),test_out_xwalk!$C:$L,8,FALSE)</f>
        <v>#VALUE!</v>
      </c>
      <c r="AH331" s="129" t="e">
        <f>VLOOKUP(VALUE($U331),test_out_xwalk!$C:$L,7,FALSE)</f>
        <v>#VALUE!</v>
      </c>
      <c r="AI331" s="129" t="e">
        <f>VLOOKUP(VALUE($U331),test_out_xwalk!$C:$L,4,FALSE)</f>
        <v>#VALUE!</v>
      </c>
      <c r="AJ331" s="129" t="e">
        <f>VLOOKUP(VALUE($U331),test_out_xwalk!$C:$L,9,FALSE)</f>
        <v>#VALUE!</v>
      </c>
      <c r="AK331" t="e">
        <f>_xlfn.XLOOKUP(VALUE(U331),test_out_xwalk!C:C,test_out_xwalk!A:A)</f>
        <v>#VALUE!</v>
      </c>
    </row>
    <row r="332" spans="1:37" x14ac:dyDescent="0.55000000000000004">
      <c r="A332" s="121" t="str">
        <f>IF('summary_EPA Pond'!$A332="","Check Summary EPA POND worksheet Column A",'summary_EPA Pond'!$A332)</f>
        <v xml:space="preserve">25_462066-17012-75_Orchard deciduous-r18-A_USEPA Pond_0080_median                     </v>
      </c>
      <c r="B332" s="121" t="str" cm="1">
        <f t="array" ref="B332:G332">IFERROR(_xlfn.TEXTSPLIT(A332,"_"),"")</f>
        <v>25</v>
      </c>
      <c r="C332" t="str">
        <v>462066-17012-75</v>
      </c>
      <c r="D332" t="str">
        <v>Orchard deciduous-r18-A</v>
      </c>
      <c r="E332" t="str">
        <v>USEPA Pond</v>
      </c>
      <c r="F332" t="str">
        <v>0080</v>
      </c>
      <c r="G332" t="str">
        <v xml:space="preserve">median                     </v>
      </c>
      <c r="H332" s="121" t="str" cm="1">
        <f t="array" ref="H332:J332">IF(D332="","",(_xlfn.TEXTSPLIT(D332,"-")))</f>
        <v>Orchard deciduous</v>
      </c>
      <c r="I332" s="121" t="str">
        <v>r18</v>
      </c>
      <c r="J332" t="str">
        <v>A</v>
      </c>
      <c r="K332" s="129" t="str">
        <f>VLOOKUP(VALUE($B332),test_out_xwalk!$C:$L,3,FALSE)</f>
        <v>Apple-10-25</v>
      </c>
      <c r="L332" s="129">
        <f>VLOOKUP(VALUE($B332),test_out_xwalk!$C:$L,5,FALSE)</f>
        <v>2</v>
      </c>
      <c r="M332" s="129">
        <f>VLOOKUP(VALUE($B332),test_out_xwalk!$C:$L,6,FALSE)</f>
        <v>4</v>
      </c>
      <c r="N332" s="129" t="str">
        <f>VLOOKUP(VALUE($B332),test_out_xwalk!$C:$L,8,FALSE)</f>
        <v>Aerial_Medium</v>
      </c>
      <c r="O332" s="129" t="str">
        <f>VLOOKUP(VALUE($B332),test_out_xwalk!$C:$L,7,FALSE)</f>
        <v>Spray</v>
      </c>
      <c r="P332" s="129" t="str">
        <f>VLOOKUP(VALUE($B332),test_out_xwalk!$C:$L,4,FALSE)</f>
        <v>Post-emergence</v>
      </c>
      <c r="Q332" s="129" t="str">
        <f>VLOOKUP(VALUE($B332),test_out_xwalk!$C:$L,9,FALSE)</f>
        <v>Other Orchards</v>
      </c>
      <c r="R332">
        <f>_xlfn.XLOOKUP(VALUE(B332),test_out_xwalk!$C:$C,test_out_xwalk!$A:$A)</f>
        <v>10</v>
      </c>
      <c r="T332" s="121" t="str">
        <f>IF('summary_EPA Pond'!$O332="","Check Summary EPA POND worksheet Column O",'summary_EPA Pond'!$O332)</f>
        <v>Check Summary EPA POND worksheet Column O</v>
      </c>
      <c r="U332" s="121" t="str" cm="1">
        <f t="array" ref="U332">IFERROR(_xlfn.TEXTSPLIT(T332,"_"),"")</f>
        <v>Check Summary EPA POND worksheet Column O</v>
      </c>
      <c r="AA332" s="121" t="str" cm="1">
        <f t="array" ref="AA332">IF(W332="","",(_xlfn.TEXTSPLIT(W332,"-")))</f>
        <v/>
      </c>
      <c r="AD332" s="129" t="e">
        <f>VLOOKUP(VALUE($U332),test_out_xwalk!$C:$L,3,FALSE)</f>
        <v>#VALUE!</v>
      </c>
      <c r="AE332" s="129" t="e">
        <f>VLOOKUP(VALUE($U332),test_out_xwalk!$C:$L,5,FALSE)</f>
        <v>#VALUE!</v>
      </c>
      <c r="AF332" s="129" t="e">
        <f>VLOOKUP(VALUE($U332),test_out_xwalk!$C:$L,6,FALSE)</f>
        <v>#VALUE!</v>
      </c>
      <c r="AG332" s="129" t="e">
        <f>VLOOKUP(VALUE($U332),test_out_xwalk!$C:$L,8,FALSE)</f>
        <v>#VALUE!</v>
      </c>
      <c r="AH332" s="129" t="e">
        <f>VLOOKUP(VALUE($U332),test_out_xwalk!$C:$L,7,FALSE)</f>
        <v>#VALUE!</v>
      </c>
      <c r="AI332" s="129" t="e">
        <f>VLOOKUP(VALUE($U332),test_out_xwalk!$C:$L,4,FALSE)</f>
        <v>#VALUE!</v>
      </c>
      <c r="AJ332" s="129" t="e">
        <f>VLOOKUP(VALUE($U332),test_out_xwalk!$C:$L,9,FALSE)</f>
        <v>#VALUE!</v>
      </c>
      <c r="AK332" t="e">
        <f>_xlfn.XLOOKUP(VALUE(U332),test_out_xwalk!C:C,test_out_xwalk!A:A)</f>
        <v>#VALUE!</v>
      </c>
    </row>
    <row r="333" spans="1:37" x14ac:dyDescent="0.55000000000000004">
      <c r="A333" s="121" t="str">
        <f>IF('summary_EPA Pond'!$A333="","Check Summary EPA POND worksheet Column A",'summary_EPA Pond'!$A333)</f>
        <v xml:space="preserve">26_286087-20273-68_Orchard deciduous-r01-A_USEPA Pond_0080_median                     </v>
      </c>
      <c r="B333" s="121" t="str" cm="1">
        <f t="array" ref="B333:G333">IFERROR(_xlfn.TEXTSPLIT(A333,"_"),"")</f>
        <v>26</v>
      </c>
      <c r="C333" t="str">
        <v>286087-20273-68</v>
      </c>
      <c r="D333" t="str">
        <v>Orchard deciduous-r01-A</v>
      </c>
      <c r="E333" t="str">
        <v>USEPA Pond</v>
      </c>
      <c r="F333" t="str">
        <v>0080</v>
      </c>
      <c r="G333" t="str">
        <v xml:space="preserve">median                     </v>
      </c>
      <c r="H333" s="121" t="str" cm="1">
        <f t="array" ref="H333:J333">IF(D333="","",(_xlfn.TEXTSPLIT(D333,"-")))</f>
        <v>Orchard deciduous</v>
      </c>
      <c r="I333" s="121" t="str">
        <v>r01</v>
      </c>
      <c r="J333" t="str">
        <v>A</v>
      </c>
      <c r="K333" s="129" t="str">
        <f>VLOOKUP(VALUE($B333),test_out_xwalk!$C:$L,3,FALSE)</f>
        <v>Apple-10-26</v>
      </c>
      <c r="L333" s="129">
        <f>VLOOKUP(VALUE($B333),test_out_xwalk!$C:$L,5,FALSE)</f>
        <v>2</v>
      </c>
      <c r="M333" s="129">
        <f>VLOOKUP(VALUE($B333),test_out_xwalk!$C:$L,6,FALSE)</f>
        <v>4</v>
      </c>
      <c r="N333" s="129" t="str">
        <f>VLOOKUP(VALUE($B333),test_out_xwalk!$C:$L,8,FALSE)</f>
        <v>Ground_F-MC_HB</v>
      </c>
      <c r="O333" s="129" t="str">
        <f>VLOOKUP(VALUE($B333),test_out_xwalk!$C:$L,7,FALSE)</f>
        <v>Spray</v>
      </c>
      <c r="P333" s="129" t="str">
        <f>VLOOKUP(VALUE($B333),test_out_xwalk!$C:$L,4,FALSE)</f>
        <v>Post-emergence</v>
      </c>
      <c r="Q333" s="129" t="str">
        <f>VLOOKUP(VALUE($B333),test_out_xwalk!$C:$L,9,FALSE)</f>
        <v>Other Orchards</v>
      </c>
      <c r="R333">
        <f>_xlfn.XLOOKUP(VALUE(B333),test_out_xwalk!$C:$C,test_out_xwalk!$A:$A)</f>
        <v>10</v>
      </c>
      <c r="T333" s="121" t="str">
        <f>IF('summary_EPA Pond'!$O333="","Check Summary EPA POND worksheet Column O",'summary_EPA Pond'!$O333)</f>
        <v>Check Summary EPA POND worksheet Column O</v>
      </c>
      <c r="U333" s="121" t="str" cm="1">
        <f t="array" ref="U333">IFERROR(_xlfn.TEXTSPLIT(T333,"_"),"")</f>
        <v>Check Summary EPA POND worksheet Column O</v>
      </c>
      <c r="AA333" s="121" t="str" cm="1">
        <f t="array" ref="AA333">IF(W333="","",(_xlfn.TEXTSPLIT(W333,"-")))</f>
        <v/>
      </c>
      <c r="AD333" s="129" t="e">
        <f>VLOOKUP(VALUE($U333),test_out_xwalk!$C:$L,3,FALSE)</f>
        <v>#VALUE!</v>
      </c>
      <c r="AE333" s="129" t="e">
        <f>VLOOKUP(VALUE($U333),test_out_xwalk!$C:$L,5,FALSE)</f>
        <v>#VALUE!</v>
      </c>
      <c r="AF333" s="129" t="e">
        <f>VLOOKUP(VALUE($U333),test_out_xwalk!$C:$L,6,FALSE)</f>
        <v>#VALUE!</v>
      </c>
      <c r="AG333" s="129" t="e">
        <f>VLOOKUP(VALUE($U333),test_out_xwalk!$C:$L,8,FALSE)</f>
        <v>#VALUE!</v>
      </c>
      <c r="AH333" s="129" t="e">
        <f>VLOOKUP(VALUE($U333),test_out_xwalk!$C:$L,7,FALSE)</f>
        <v>#VALUE!</v>
      </c>
      <c r="AI333" s="129" t="e">
        <f>VLOOKUP(VALUE($U333),test_out_xwalk!$C:$L,4,FALSE)</f>
        <v>#VALUE!</v>
      </c>
      <c r="AJ333" s="129" t="e">
        <f>VLOOKUP(VALUE($U333),test_out_xwalk!$C:$L,9,FALSE)</f>
        <v>#VALUE!</v>
      </c>
      <c r="AK333" t="e">
        <f>_xlfn.XLOOKUP(VALUE(U333),test_out_xwalk!C:C,test_out_xwalk!A:A)</f>
        <v>#VALUE!</v>
      </c>
    </row>
    <row r="334" spans="1:37" x14ac:dyDescent="0.55000000000000004">
      <c r="A334" s="121" t="str">
        <f>IF('summary_EPA Pond'!$A334="","Check Summary EPA POND worksheet Column A",'summary_EPA Pond'!$A334)</f>
        <v xml:space="preserve">26_295501-20504-68_Orchard deciduous-r02-A_USEPA Pond_0080_median                     </v>
      </c>
      <c r="B334" s="121" t="str" cm="1">
        <f t="array" ref="B334:G334">IFERROR(_xlfn.TEXTSPLIT(A334,"_"),"")</f>
        <v>26</v>
      </c>
      <c r="C334" t="str">
        <v>295501-20504-68</v>
      </c>
      <c r="D334" t="str">
        <v>Orchard deciduous-r02-A</v>
      </c>
      <c r="E334" t="str">
        <v>USEPA Pond</v>
      </c>
      <c r="F334" t="str">
        <v>0080</v>
      </c>
      <c r="G334" t="str">
        <v xml:space="preserve">median                     </v>
      </c>
      <c r="H334" s="121" t="str" cm="1">
        <f t="array" ref="H334:J334">IF(D334="","",(_xlfn.TEXTSPLIT(D334,"-")))</f>
        <v>Orchard deciduous</v>
      </c>
      <c r="I334" s="121" t="str">
        <v>r02</v>
      </c>
      <c r="J334" t="str">
        <v>A</v>
      </c>
      <c r="K334" s="129" t="str">
        <f>VLOOKUP(VALUE($B334),test_out_xwalk!$C:$L,3,FALSE)</f>
        <v>Apple-10-26</v>
      </c>
      <c r="L334" s="129">
        <f>VLOOKUP(VALUE($B334),test_out_xwalk!$C:$L,5,FALSE)</f>
        <v>2</v>
      </c>
      <c r="M334" s="129">
        <f>VLOOKUP(VALUE($B334),test_out_xwalk!$C:$L,6,FALSE)</f>
        <v>4</v>
      </c>
      <c r="N334" s="129" t="str">
        <f>VLOOKUP(VALUE($B334),test_out_xwalk!$C:$L,8,FALSE)</f>
        <v>Ground_F-MC_HB</v>
      </c>
      <c r="O334" s="129" t="str">
        <f>VLOOKUP(VALUE($B334),test_out_xwalk!$C:$L,7,FALSE)</f>
        <v>Spray</v>
      </c>
      <c r="P334" s="129" t="str">
        <f>VLOOKUP(VALUE($B334),test_out_xwalk!$C:$L,4,FALSE)</f>
        <v>Post-emergence</v>
      </c>
      <c r="Q334" s="129" t="str">
        <f>VLOOKUP(VALUE($B334),test_out_xwalk!$C:$L,9,FALSE)</f>
        <v>Other Orchards</v>
      </c>
      <c r="R334">
        <f>_xlfn.XLOOKUP(VALUE(B334),test_out_xwalk!$C:$C,test_out_xwalk!$A:$A)</f>
        <v>10</v>
      </c>
      <c r="T334" s="121" t="str">
        <f>IF('summary_EPA Pond'!$O334="","Check Summary EPA POND worksheet Column O",'summary_EPA Pond'!$O334)</f>
        <v>Check Summary EPA POND worksheet Column O</v>
      </c>
      <c r="U334" s="121" t="str" cm="1">
        <f t="array" ref="U334">IFERROR(_xlfn.TEXTSPLIT(T334,"_"),"")</f>
        <v>Check Summary EPA POND worksheet Column O</v>
      </c>
      <c r="AA334" s="121" t="str" cm="1">
        <f t="array" ref="AA334">IF(W334="","",(_xlfn.TEXTSPLIT(W334,"-")))</f>
        <v/>
      </c>
      <c r="AD334" s="129" t="e">
        <f>VLOOKUP(VALUE($U334),test_out_xwalk!$C:$L,3,FALSE)</f>
        <v>#VALUE!</v>
      </c>
      <c r="AE334" s="129" t="e">
        <f>VLOOKUP(VALUE($U334),test_out_xwalk!$C:$L,5,FALSE)</f>
        <v>#VALUE!</v>
      </c>
      <c r="AF334" s="129" t="e">
        <f>VLOOKUP(VALUE($U334),test_out_xwalk!$C:$L,6,FALSE)</f>
        <v>#VALUE!</v>
      </c>
      <c r="AG334" s="129" t="e">
        <f>VLOOKUP(VALUE($U334),test_out_xwalk!$C:$L,8,FALSE)</f>
        <v>#VALUE!</v>
      </c>
      <c r="AH334" s="129" t="e">
        <f>VLOOKUP(VALUE($U334),test_out_xwalk!$C:$L,7,FALSE)</f>
        <v>#VALUE!</v>
      </c>
      <c r="AI334" s="129" t="e">
        <f>VLOOKUP(VALUE($U334),test_out_xwalk!$C:$L,4,FALSE)</f>
        <v>#VALUE!</v>
      </c>
      <c r="AJ334" s="129" t="e">
        <f>VLOOKUP(VALUE($U334),test_out_xwalk!$C:$L,9,FALSE)</f>
        <v>#VALUE!</v>
      </c>
      <c r="AK334" t="e">
        <f>_xlfn.XLOOKUP(VALUE(U334),test_out_xwalk!C:C,test_out_xwalk!A:A)</f>
        <v>#VALUE!</v>
      </c>
    </row>
    <row r="335" spans="1:37" x14ac:dyDescent="0.55000000000000004">
      <c r="A335" s="121" t="str">
        <f>IF('summary_EPA Pond'!$A335="","Check Summary EPA POND worksheet Column A",'summary_EPA Pond'!$A335)</f>
        <v xml:space="preserve">26_130628-13873-74_Orchard deciduous-r03N-A_USEPA Pond_0080_median                    </v>
      </c>
      <c r="B335" s="121" t="str" cm="1">
        <f t="array" ref="B335:G335">IFERROR(_xlfn.TEXTSPLIT(A335,"_"),"")</f>
        <v>26</v>
      </c>
      <c r="C335" t="str">
        <v>130628-13873-74</v>
      </c>
      <c r="D335" t="str">
        <v>Orchard deciduous-r03N-A</v>
      </c>
      <c r="E335" t="str">
        <v>USEPA Pond</v>
      </c>
      <c r="F335" t="str">
        <v>0080</v>
      </c>
      <c r="G335" t="str">
        <v xml:space="preserve">median                    </v>
      </c>
      <c r="H335" s="121" t="str" cm="1">
        <f t="array" ref="H335:J335">IF(D335="","",(_xlfn.TEXTSPLIT(D335,"-")))</f>
        <v>Orchard deciduous</v>
      </c>
      <c r="I335" s="121" t="str">
        <v>r03N</v>
      </c>
      <c r="J335" t="str">
        <v>A</v>
      </c>
      <c r="K335" s="129" t="str">
        <f>VLOOKUP(VALUE($B335),test_out_xwalk!$C:$L,3,FALSE)</f>
        <v>Apple-10-26</v>
      </c>
      <c r="L335" s="129">
        <f>VLOOKUP(VALUE($B335),test_out_xwalk!$C:$L,5,FALSE)</f>
        <v>2</v>
      </c>
      <c r="M335" s="129">
        <f>VLOOKUP(VALUE($B335),test_out_xwalk!$C:$L,6,FALSE)</f>
        <v>4</v>
      </c>
      <c r="N335" s="129" t="str">
        <f>VLOOKUP(VALUE($B335),test_out_xwalk!$C:$L,8,FALSE)</f>
        <v>Ground_F-MC_HB</v>
      </c>
      <c r="O335" s="129" t="str">
        <f>VLOOKUP(VALUE($B335),test_out_xwalk!$C:$L,7,FALSE)</f>
        <v>Spray</v>
      </c>
      <c r="P335" s="129" t="str">
        <f>VLOOKUP(VALUE($B335),test_out_xwalk!$C:$L,4,FALSE)</f>
        <v>Post-emergence</v>
      </c>
      <c r="Q335" s="129" t="str">
        <f>VLOOKUP(VALUE($B335),test_out_xwalk!$C:$L,9,FALSE)</f>
        <v>Other Orchards</v>
      </c>
      <c r="R335">
        <f>_xlfn.XLOOKUP(VALUE(B335),test_out_xwalk!$C:$C,test_out_xwalk!$A:$A)</f>
        <v>10</v>
      </c>
      <c r="T335" s="121" t="str">
        <f>IF('summary_EPA Pond'!$O335="","Check Summary EPA POND worksheet Column O",'summary_EPA Pond'!$O335)</f>
        <v>Check Summary EPA POND worksheet Column O</v>
      </c>
      <c r="U335" s="121" t="str" cm="1">
        <f t="array" ref="U335">IFERROR(_xlfn.TEXTSPLIT(T335,"_"),"")</f>
        <v>Check Summary EPA POND worksheet Column O</v>
      </c>
      <c r="AA335" s="121" t="str" cm="1">
        <f t="array" ref="AA335">IF(W335="","",(_xlfn.TEXTSPLIT(W335,"-")))</f>
        <v/>
      </c>
      <c r="AD335" s="129" t="e">
        <f>VLOOKUP(VALUE($U335),test_out_xwalk!$C:$L,3,FALSE)</f>
        <v>#VALUE!</v>
      </c>
      <c r="AE335" s="129" t="e">
        <f>VLOOKUP(VALUE($U335),test_out_xwalk!$C:$L,5,FALSE)</f>
        <v>#VALUE!</v>
      </c>
      <c r="AF335" s="129" t="e">
        <f>VLOOKUP(VALUE($U335),test_out_xwalk!$C:$L,6,FALSE)</f>
        <v>#VALUE!</v>
      </c>
      <c r="AG335" s="129" t="e">
        <f>VLOOKUP(VALUE($U335),test_out_xwalk!$C:$L,8,FALSE)</f>
        <v>#VALUE!</v>
      </c>
      <c r="AH335" s="129" t="e">
        <f>VLOOKUP(VALUE($U335),test_out_xwalk!$C:$L,7,FALSE)</f>
        <v>#VALUE!</v>
      </c>
      <c r="AI335" s="129" t="e">
        <f>VLOOKUP(VALUE($U335),test_out_xwalk!$C:$L,4,FALSE)</f>
        <v>#VALUE!</v>
      </c>
      <c r="AJ335" s="129" t="e">
        <f>VLOOKUP(VALUE($U335),test_out_xwalk!$C:$L,9,FALSE)</f>
        <v>#VALUE!</v>
      </c>
      <c r="AK335" t="e">
        <f>_xlfn.XLOOKUP(VALUE(U335),test_out_xwalk!C:C,test_out_xwalk!A:A)</f>
        <v>#VALUE!</v>
      </c>
    </row>
    <row r="336" spans="1:37" x14ac:dyDescent="0.55000000000000004">
      <c r="A336" s="121" t="str">
        <f>IF('summary_EPA Pond'!$A336="","Check Summary EPA POND worksheet Column A",'summary_EPA Pond'!$A336)</f>
        <v xml:space="preserve">26_125133-11268-74_Orchard deciduous-r03S-A_USEPA Pond_0080_median                    </v>
      </c>
      <c r="B336" s="121" t="str" cm="1">
        <f t="array" ref="B336:G336">IFERROR(_xlfn.TEXTSPLIT(A336,"_"),"")</f>
        <v>26</v>
      </c>
      <c r="C336" t="str">
        <v>125133-11268-74</v>
      </c>
      <c r="D336" t="str">
        <v>Orchard deciduous-r03S-A</v>
      </c>
      <c r="E336" t="str">
        <v>USEPA Pond</v>
      </c>
      <c r="F336" t="str">
        <v>0080</v>
      </c>
      <c r="G336" t="str">
        <v xml:space="preserve">median                    </v>
      </c>
      <c r="H336" s="121" t="str" cm="1">
        <f t="array" ref="H336:J336">IF(D336="","",(_xlfn.TEXTSPLIT(D336,"-")))</f>
        <v>Orchard deciduous</v>
      </c>
      <c r="I336" s="121" t="str">
        <v>r03S</v>
      </c>
      <c r="J336" t="str">
        <v>A</v>
      </c>
      <c r="K336" s="129" t="str">
        <f>VLOOKUP(VALUE($B336),test_out_xwalk!$C:$L,3,FALSE)</f>
        <v>Apple-10-26</v>
      </c>
      <c r="L336" s="129">
        <f>VLOOKUP(VALUE($B336),test_out_xwalk!$C:$L,5,FALSE)</f>
        <v>2</v>
      </c>
      <c r="M336" s="129">
        <f>VLOOKUP(VALUE($B336),test_out_xwalk!$C:$L,6,FALSE)</f>
        <v>4</v>
      </c>
      <c r="N336" s="129" t="str">
        <f>VLOOKUP(VALUE($B336),test_out_xwalk!$C:$L,8,FALSE)</f>
        <v>Ground_F-MC_HB</v>
      </c>
      <c r="O336" s="129" t="str">
        <f>VLOOKUP(VALUE($B336),test_out_xwalk!$C:$L,7,FALSE)</f>
        <v>Spray</v>
      </c>
      <c r="P336" s="129" t="str">
        <f>VLOOKUP(VALUE($B336),test_out_xwalk!$C:$L,4,FALSE)</f>
        <v>Post-emergence</v>
      </c>
      <c r="Q336" s="129" t="str">
        <f>VLOOKUP(VALUE($B336),test_out_xwalk!$C:$L,9,FALSE)</f>
        <v>Other Orchards</v>
      </c>
      <c r="R336">
        <f>_xlfn.XLOOKUP(VALUE(B336),test_out_xwalk!$C:$C,test_out_xwalk!$A:$A)</f>
        <v>10</v>
      </c>
      <c r="T336" s="121" t="str">
        <f>IF('summary_EPA Pond'!$O336="","Check Summary EPA POND worksheet Column O",'summary_EPA Pond'!$O336)</f>
        <v>Check Summary EPA POND worksheet Column O</v>
      </c>
      <c r="U336" s="121" t="str" cm="1">
        <f t="array" ref="U336">IFERROR(_xlfn.TEXTSPLIT(T336,"_"),"")</f>
        <v>Check Summary EPA POND worksheet Column O</v>
      </c>
      <c r="AA336" s="121" t="str" cm="1">
        <f t="array" ref="AA336">IF(W336="","",(_xlfn.TEXTSPLIT(W336,"-")))</f>
        <v/>
      </c>
      <c r="AD336" s="129" t="e">
        <f>VLOOKUP(VALUE($U336),test_out_xwalk!$C:$L,3,FALSE)</f>
        <v>#VALUE!</v>
      </c>
      <c r="AE336" s="129" t="e">
        <f>VLOOKUP(VALUE($U336),test_out_xwalk!$C:$L,5,FALSE)</f>
        <v>#VALUE!</v>
      </c>
      <c r="AF336" s="129" t="e">
        <f>VLOOKUP(VALUE($U336),test_out_xwalk!$C:$L,6,FALSE)</f>
        <v>#VALUE!</v>
      </c>
      <c r="AG336" s="129" t="e">
        <f>VLOOKUP(VALUE($U336),test_out_xwalk!$C:$L,8,FALSE)</f>
        <v>#VALUE!</v>
      </c>
      <c r="AH336" s="129" t="e">
        <f>VLOOKUP(VALUE($U336),test_out_xwalk!$C:$L,7,FALSE)</f>
        <v>#VALUE!</v>
      </c>
      <c r="AI336" s="129" t="e">
        <f>VLOOKUP(VALUE($U336),test_out_xwalk!$C:$L,4,FALSE)</f>
        <v>#VALUE!</v>
      </c>
      <c r="AJ336" s="129" t="e">
        <f>VLOOKUP(VALUE($U336),test_out_xwalk!$C:$L,9,FALSE)</f>
        <v>#VALUE!</v>
      </c>
      <c r="AK336" t="e">
        <f>_xlfn.XLOOKUP(VALUE(U336),test_out_xwalk!C:C,test_out_xwalk!A:A)</f>
        <v>#VALUE!</v>
      </c>
    </row>
    <row r="337" spans="1:37" x14ac:dyDescent="0.55000000000000004">
      <c r="A337" s="121" t="str">
        <f>IF('summary_EPA Pond'!$A337="","Check Summary EPA POND worksheet Column A",'summary_EPA Pond'!$A337)</f>
        <v xml:space="preserve">26_2455410-11258-67_Orchard deciduous-r03W-A_USEPA Pond_0080_median                   </v>
      </c>
      <c r="B337" s="121" t="str" cm="1">
        <f t="array" ref="B337:G337">IFERROR(_xlfn.TEXTSPLIT(A337,"_"),"")</f>
        <v>26</v>
      </c>
      <c r="C337" t="str">
        <v>2455410-11258-67</v>
      </c>
      <c r="D337" t="str">
        <v>Orchard deciduous-r03W-A</v>
      </c>
      <c r="E337" t="str">
        <v>USEPA Pond</v>
      </c>
      <c r="F337" t="str">
        <v>0080</v>
      </c>
      <c r="G337" t="str">
        <v xml:space="preserve">median                   </v>
      </c>
      <c r="H337" s="121" t="str" cm="1">
        <f t="array" ref="H337:J337">IF(D337="","",(_xlfn.TEXTSPLIT(D337,"-")))</f>
        <v>Orchard deciduous</v>
      </c>
      <c r="I337" s="121" t="str">
        <v>r03W</v>
      </c>
      <c r="J337" t="str">
        <v>A</v>
      </c>
      <c r="K337" s="129" t="str">
        <f>VLOOKUP(VALUE($B337),test_out_xwalk!$C:$L,3,FALSE)</f>
        <v>Apple-10-26</v>
      </c>
      <c r="L337" s="129">
        <f>VLOOKUP(VALUE($B337),test_out_xwalk!$C:$L,5,FALSE)</f>
        <v>2</v>
      </c>
      <c r="M337" s="129">
        <f>VLOOKUP(VALUE($B337),test_out_xwalk!$C:$L,6,FALSE)</f>
        <v>4</v>
      </c>
      <c r="N337" s="129" t="str">
        <f>VLOOKUP(VALUE($B337),test_out_xwalk!$C:$L,8,FALSE)</f>
        <v>Ground_F-MC_HB</v>
      </c>
      <c r="O337" s="129" t="str">
        <f>VLOOKUP(VALUE($B337),test_out_xwalk!$C:$L,7,FALSE)</f>
        <v>Spray</v>
      </c>
      <c r="P337" s="129" t="str">
        <f>VLOOKUP(VALUE($B337),test_out_xwalk!$C:$L,4,FALSE)</f>
        <v>Post-emergence</v>
      </c>
      <c r="Q337" s="129" t="str">
        <f>VLOOKUP(VALUE($B337),test_out_xwalk!$C:$L,9,FALSE)</f>
        <v>Other Orchards</v>
      </c>
      <c r="R337">
        <f>_xlfn.XLOOKUP(VALUE(B337),test_out_xwalk!$C:$C,test_out_xwalk!$A:$A)</f>
        <v>10</v>
      </c>
      <c r="T337" s="121" t="str">
        <f>IF('summary_EPA Pond'!$O337="","Check Summary EPA POND worksheet Column O",'summary_EPA Pond'!$O337)</f>
        <v>Check Summary EPA POND worksheet Column O</v>
      </c>
      <c r="U337" s="121" t="str" cm="1">
        <f t="array" ref="U337">IFERROR(_xlfn.TEXTSPLIT(T337,"_"),"")</f>
        <v>Check Summary EPA POND worksheet Column O</v>
      </c>
      <c r="AA337" s="121" t="str" cm="1">
        <f t="array" ref="AA337">IF(W337="","",(_xlfn.TEXTSPLIT(W337,"-")))</f>
        <v/>
      </c>
      <c r="AD337" s="129" t="e">
        <f>VLOOKUP(VALUE($U337),test_out_xwalk!$C:$L,3,FALSE)</f>
        <v>#VALUE!</v>
      </c>
      <c r="AE337" s="129" t="e">
        <f>VLOOKUP(VALUE($U337),test_out_xwalk!$C:$L,5,FALSE)</f>
        <v>#VALUE!</v>
      </c>
      <c r="AF337" s="129" t="e">
        <f>VLOOKUP(VALUE($U337),test_out_xwalk!$C:$L,6,FALSE)</f>
        <v>#VALUE!</v>
      </c>
      <c r="AG337" s="129" t="e">
        <f>VLOOKUP(VALUE($U337),test_out_xwalk!$C:$L,8,FALSE)</f>
        <v>#VALUE!</v>
      </c>
      <c r="AH337" s="129" t="e">
        <f>VLOOKUP(VALUE($U337),test_out_xwalk!$C:$L,7,FALSE)</f>
        <v>#VALUE!</v>
      </c>
      <c r="AI337" s="129" t="e">
        <f>VLOOKUP(VALUE($U337),test_out_xwalk!$C:$L,4,FALSE)</f>
        <v>#VALUE!</v>
      </c>
      <c r="AJ337" s="129" t="e">
        <f>VLOOKUP(VALUE($U337),test_out_xwalk!$C:$L,9,FALSE)</f>
        <v>#VALUE!</v>
      </c>
      <c r="AK337" t="e">
        <f>_xlfn.XLOOKUP(VALUE(U337),test_out_xwalk!C:C,test_out_xwalk!A:A)</f>
        <v>#VALUE!</v>
      </c>
    </row>
    <row r="338" spans="1:37" x14ac:dyDescent="0.55000000000000004">
      <c r="A338" s="121" t="str">
        <f>IF('summary_EPA Pond'!$A338="","Check Summary EPA POND worksheet Column A",'summary_EPA Pond'!$A338)</f>
        <v xml:space="preserve">26_292675-21905-68_Orchard deciduous-r04-A_USEPA Pond_0080_median                     </v>
      </c>
      <c r="B338" s="121" t="str" cm="1">
        <f t="array" ref="B338:G338">IFERROR(_xlfn.TEXTSPLIT(A338,"_"),"")</f>
        <v>26</v>
      </c>
      <c r="C338" t="str">
        <v>292675-21905-68</v>
      </c>
      <c r="D338" t="str">
        <v>Orchard deciduous-r04-A</v>
      </c>
      <c r="E338" t="str">
        <v>USEPA Pond</v>
      </c>
      <c r="F338" t="str">
        <v>0080</v>
      </c>
      <c r="G338" t="str">
        <v xml:space="preserve">median                     </v>
      </c>
      <c r="H338" s="121" t="str" cm="1">
        <f t="array" ref="H338:J338">IF(D338="","",(_xlfn.TEXTSPLIT(D338,"-")))</f>
        <v>Orchard deciduous</v>
      </c>
      <c r="I338" s="121" t="str">
        <v>r04</v>
      </c>
      <c r="J338" t="str">
        <v>A</v>
      </c>
      <c r="K338" s="129" t="str">
        <f>VLOOKUP(VALUE($B338),test_out_xwalk!$C:$L,3,FALSE)</f>
        <v>Apple-10-26</v>
      </c>
      <c r="L338" s="129">
        <f>VLOOKUP(VALUE($B338),test_out_xwalk!$C:$L,5,FALSE)</f>
        <v>2</v>
      </c>
      <c r="M338" s="129">
        <f>VLOOKUP(VALUE($B338),test_out_xwalk!$C:$L,6,FALSE)</f>
        <v>4</v>
      </c>
      <c r="N338" s="129" t="str">
        <f>VLOOKUP(VALUE($B338),test_out_xwalk!$C:$L,8,FALSE)</f>
        <v>Ground_F-MC_HB</v>
      </c>
      <c r="O338" s="129" t="str">
        <f>VLOOKUP(VALUE($B338),test_out_xwalk!$C:$L,7,FALSE)</f>
        <v>Spray</v>
      </c>
      <c r="P338" s="129" t="str">
        <f>VLOOKUP(VALUE($B338),test_out_xwalk!$C:$L,4,FALSE)</f>
        <v>Post-emergence</v>
      </c>
      <c r="Q338" s="129" t="str">
        <f>VLOOKUP(VALUE($B338),test_out_xwalk!$C:$L,9,FALSE)</f>
        <v>Other Orchards</v>
      </c>
      <c r="R338">
        <f>_xlfn.XLOOKUP(VALUE(B338),test_out_xwalk!$C:$C,test_out_xwalk!$A:$A)</f>
        <v>10</v>
      </c>
      <c r="T338" s="121" t="str">
        <f>IF('summary_EPA Pond'!$O338="","Check Summary EPA POND worksheet Column O",'summary_EPA Pond'!$O338)</f>
        <v>Check Summary EPA POND worksheet Column O</v>
      </c>
      <c r="U338" s="121" t="str" cm="1">
        <f t="array" ref="U338">IFERROR(_xlfn.TEXTSPLIT(T338,"_"),"")</f>
        <v>Check Summary EPA POND worksheet Column O</v>
      </c>
      <c r="AA338" s="121" t="str" cm="1">
        <f t="array" ref="AA338">IF(W338="","",(_xlfn.TEXTSPLIT(W338,"-")))</f>
        <v/>
      </c>
      <c r="AD338" s="129" t="e">
        <f>VLOOKUP(VALUE($U338),test_out_xwalk!$C:$L,3,FALSE)</f>
        <v>#VALUE!</v>
      </c>
      <c r="AE338" s="129" t="e">
        <f>VLOOKUP(VALUE($U338),test_out_xwalk!$C:$L,5,FALSE)</f>
        <v>#VALUE!</v>
      </c>
      <c r="AF338" s="129" t="e">
        <f>VLOOKUP(VALUE($U338),test_out_xwalk!$C:$L,6,FALSE)</f>
        <v>#VALUE!</v>
      </c>
      <c r="AG338" s="129" t="e">
        <f>VLOOKUP(VALUE($U338),test_out_xwalk!$C:$L,8,FALSE)</f>
        <v>#VALUE!</v>
      </c>
      <c r="AH338" s="129" t="e">
        <f>VLOOKUP(VALUE($U338),test_out_xwalk!$C:$L,7,FALSE)</f>
        <v>#VALUE!</v>
      </c>
      <c r="AI338" s="129" t="e">
        <f>VLOOKUP(VALUE($U338),test_out_xwalk!$C:$L,4,FALSE)</f>
        <v>#VALUE!</v>
      </c>
      <c r="AJ338" s="129" t="e">
        <f>VLOOKUP(VALUE($U338),test_out_xwalk!$C:$L,9,FALSE)</f>
        <v>#VALUE!</v>
      </c>
      <c r="AK338" t="e">
        <f>_xlfn.XLOOKUP(VALUE(U338),test_out_xwalk!C:C,test_out_xwalk!A:A)</f>
        <v>#VALUE!</v>
      </c>
    </row>
    <row r="339" spans="1:37" x14ac:dyDescent="0.55000000000000004">
      <c r="A339" s="121" t="str">
        <f>IF('summary_EPA Pond'!$A339="","Check Summary EPA POND worksheet Column A",'summary_EPA Pond'!$A339)</f>
        <v xml:space="preserve">26_298742-19770-68_Orchard deciduous-r05-A_USEPA Pond_0080_median                     </v>
      </c>
      <c r="B339" s="121" t="str" cm="1">
        <f t="array" ref="B339:G339">IFERROR(_xlfn.TEXTSPLIT(A339,"_"),"")</f>
        <v>26</v>
      </c>
      <c r="C339" t="str">
        <v>298742-19770-68</v>
      </c>
      <c r="D339" t="str">
        <v>Orchard deciduous-r05-A</v>
      </c>
      <c r="E339" t="str">
        <v>USEPA Pond</v>
      </c>
      <c r="F339" t="str">
        <v>0080</v>
      </c>
      <c r="G339" t="str">
        <v xml:space="preserve">median                     </v>
      </c>
      <c r="H339" s="121" t="str" cm="1">
        <f t="array" ref="H339:J339">IF(D339="","",(_xlfn.TEXTSPLIT(D339,"-")))</f>
        <v>Orchard deciduous</v>
      </c>
      <c r="I339" s="121" t="str">
        <v>r05</v>
      </c>
      <c r="J339" t="str">
        <v>A</v>
      </c>
      <c r="K339" s="129" t="str">
        <f>VLOOKUP(VALUE($B339),test_out_xwalk!$C:$L,3,FALSE)</f>
        <v>Apple-10-26</v>
      </c>
      <c r="L339" s="129">
        <f>VLOOKUP(VALUE($B339),test_out_xwalk!$C:$L,5,FALSE)</f>
        <v>2</v>
      </c>
      <c r="M339" s="129">
        <f>VLOOKUP(VALUE($B339),test_out_xwalk!$C:$L,6,FALSE)</f>
        <v>4</v>
      </c>
      <c r="N339" s="129" t="str">
        <f>VLOOKUP(VALUE($B339),test_out_xwalk!$C:$L,8,FALSE)</f>
        <v>Ground_F-MC_HB</v>
      </c>
      <c r="O339" s="129" t="str">
        <f>VLOOKUP(VALUE($B339),test_out_xwalk!$C:$L,7,FALSE)</f>
        <v>Spray</v>
      </c>
      <c r="P339" s="129" t="str">
        <f>VLOOKUP(VALUE($B339),test_out_xwalk!$C:$L,4,FALSE)</f>
        <v>Post-emergence</v>
      </c>
      <c r="Q339" s="129" t="str">
        <f>VLOOKUP(VALUE($B339),test_out_xwalk!$C:$L,9,FALSE)</f>
        <v>Other Orchards</v>
      </c>
      <c r="R339">
        <f>_xlfn.XLOOKUP(VALUE(B339),test_out_xwalk!$C:$C,test_out_xwalk!$A:$A)</f>
        <v>10</v>
      </c>
      <c r="T339" s="121" t="str">
        <f>IF('summary_EPA Pond'!$O339="","Check Summary EPA POND worksheet Column O",'summary_EPA Pond'!$O339)</f>
        <v>Check Summary EPA POND worksheet Column O</v>
      </c>
      <c r="U339" s="121" t="str" cm="1">
        <f t="array" ref="U339">IFERROR(_xlfn.TEXTSPLIT(T339,"_"),"")</f>
        <v>Check Summary EPA POND worksheet Column O</v>
      </c>
      <c r="AA339" s="121" t="str" cm="1">
        <f t="array" ref="AA339">IF(W339="","",(_xlfn.TEXTSPLIT(W339,"-")))</f>
        <v/>
      </c>
      <c r="AD339" s="129" t="e">
        <f>VLOOKUP(VALUE($U339),test_out_xwalk!$C:$L,3,FALSE)</f>
        <v>#VALUE!</v>
      </c>
      <c r="AE339" s="129" t="e">
        <f>VLOOKUP(VALUE($U339),test_out_xwalk!$C:$L,5,FALSE)</f>
        <v>#VALUE!</v>
      </c>
      <c r="AF339" s="129" t="e">
        <f>VLOOKUP(VALUE($U339),test_out_xwalk!$C:$L,6,FALSE)</f>
        <v>#VALUE!</v>
      </c>
      <c r="AG339" s="129" t="e">
        <f>VLOOKUP(VALUE($U339),test_out_xwalk!$C:$L,8,FALSE)</f>
        <v>#VALUE!</v>
      </c>
      <c r="AH339" s="129" t="e">
        <f>VLOOKUP(VALUE($U339),test_out_xwalk!$C:$L,7,FALSE)</f>
        <v>#VALUE!</v>
      </c>
      <c r="AI339" s="129" t="e">
        <f>VLOOKUP(VALUE($U339),test_out_xwalk!$C:$L,4,FALSE)</f>
        <v>#VALUE!</v>
      </c>
      <c r="AJ339" s="129" t="e">
        <f>VLOOKUP(VALUE($U339),test_out_xwalk!$C:$L,9,FALSE)</f>
        <v>#VALUE!</v>
      </c>
      <c r="AK339" t="e">
        <f>_xlfn.XLOOKUP(VALUE(U339),test_out_xwalk!C:C,test_out_xwalk!A:A)</f>
        <v>#VALUE!</v>
      </c>
    </row>
    <row r="340" spans="1:37" x14ac:dyDescent="0.55000000000000004">
      <c r="A340" s="121" t="str">
        <f>IF('summary_EPA Pond'!$A340="","Check Summary EPA POND worksheet Column A",'summary_EPA Pond'!$A340)</f>
        <v xml:space="preserve">26_546865-14571-68_Orchard deciduous-r06-A_USEPA Pond_0080_median                     </v>
      </c>
      <c r="B340" s="121" t="str" cm="1">
        <f t="array" ref="B340:G340">IFERROR(_xlfn.TEXTSPLIT(A340,"_"),"")</f>
        <v>26</v>
      </c>
      <c r="C340" t="str">
        <v>546865-14571-68</v>
      </c>
      <c r="D340" t="str">
        <v>Orchard deciduous-r06-A</v>
      </c>
      <c r="E340" t="str">
        <v>USEPA Pond</v>
      </c>
      <c r="F340" t="str">
        <v>0080</v>
      </c>
      <c r="G340" t="str">
        <v xml:space="preserve">median                     </v>
      </c>
      <c r="H340" s="121" t="str" cm="1">
        <f t="array" ref="H340:J340">IF(D340="","",(_xlfn.TEXTSPLIT(D340,"-")))</f>
        <v>Orchard deciduous</v>
      </c>
      <c r="I340" s="121" t="str">
        <v>r06</v>
      </c>
      <c r="J340" t="str">
        <v>A</v>
      </c>
      <c r="K340" s="129" t="str">
        <f>VLOOKUP(VALUE($B340),test_out_xwalk!$C:$L,3,FALSE)</f>
        <v>Apple-10-26</v>
      </c>
      <c r="L340" s="129">
        <f>VLOOKUP(VALUE($B340),test_out_xwalk!$C:$L,5,FALSE)</f>
        <v>2</v>
      </c>
      <c r="M340" s="129">
        <f>VLOOKUP(VALUE($B340),test_out_xwalk!$C:$L,6,FALSE)</f>
        <v>4</v>
      </c>
      <c r="N340" s="129" t="str">
        <f>VLOOKUP(VALUE($B340),test_out_xwalk!$C:$L,8,FALSE)</f>
        <v>Ground_F-MC_HB</v>
      </c>
      <c r="O340" s="129" t="str">
        <f>VLOOKUP(VALUE($B340),test_out_xwalk!$C:$L,7,FALSE)</f>
        <v>Spray</v>
      </c>
      <c r="P340" s="129" t="str">
        <f>VLOOKUP(VALUE($B340),test_out_xwalk!$C:$L,4,FALSE)</f>
        <v>Post-emergence</v>
      </c>
      <c r="Q340" s="129" t="str">
        <f>VLOOKUP(VALUE($B340),test_out_xwalk!$C:$L,9,FALSE)</f>
        <v>Other Orchards</v>
      </c>
      <c r="R340">
        <f>_xlfn.XLOOKUP(VALUE(B340),test_out_xwalk!$C:$C,test_out_xwalk!$A:$A)</f>
        <v>10</v>
      </c>
      <c r="T340" s="121" t="str">
        <f>IF('summary_EPA Pond'!$O340="","Check Summary EPA POND worksheet Column O",'summary_EPA Pond'!$O340)</f>
        <v>Check Summary EPA POND worksheet Column O</v>
      </c>
      <c r="U340" s="121" t="str" cm="1">
        <f t="array" ref="U340">IFERROR(_xlfn.TEXTSPLIT(T340,"_"),"")</f>
        <v>Check Summary EPA POND worksheet Column O</v>
      </c>
      <c r="AA340" s="121" t="str" cm="1">
        <f t="array" ref="AA340">IF(W340="","",(_xlfn.TEXTSPLIT(W340,"-")))</f>
        <v/>
      </c>
      <c r="AD340" s="129" t="e">
        <f>VLOOKUP(VALUE($U340),test_out_xwalk!$C:$L,3,FALSE)</f>
        <v>#VALUE!</v>
      </c>
      <c r="AE340" s="129" t="e">
        <f>VLOOKUP(VALUE($U340),test_out_xwalk!$C:$L,5,FALSE)</f>
        <v>#VALUE!</v>
      </c>
      <c r="AF340" s="129" t="e">
        <f>VLOOKUP(VALUE($U340),test_out_xwalk!$C:$L,6,FALSE)</f>
        <v>#VALUE!</v>
      </c>
      <c r="AG340" s="129" t="e">
        <f>VLOOKUP(VALUE($U340),test_out_xwalk!$C:$L,8,FALSE)</f>
        <v>#VALUE!</v>
      </c>
      <c r="AH340" s="129" t="e">
        <f>VLOOKUP(VALUE($U340),test_out_xwalk!$C:$L,7,FALSE)</f>
        <v>#VALUE!</v>
      </c>
      <c r="AI340" s="129" t="e">
        <f>VLOOKUP(VALUE($U340),test_out_xwalk!$C:$L,4,FALSE)</f>
        <v>#VALUE!</v>
      </c>
      <c r="AJ340" s="129" t="e">
        <f>VLOOKUP(VALUE($U340),test_out_xwalk!$C:$L,9,FALSE)</f>
        <v>#VALUE!</v>
      </c>
      <c r="AK340" t="e">
        <f>_xlfn.XLOOKUP(VALUE(U340),test_out_xwalk!C:C,test_out_xwalk!A:A)</f>
        <v>#VALUE!</v>
      </c>
    </row>
    <row r="341" spans="1:37" x14ac:dyDescent="0.55000000000000004">
      <c r="A341" s="121" t="str">
        <f>IF('summary_EPA Pond'!$A341="","Check Summary EPA POND worksheet Column A",'summary_EPA Pond'!$A341)</f>
        <v xml:space="preserve">26_396439-23493-68_Orchard deciduous-r07-A_USEPA Pond_0080_median                     </v>
      </c>
      <c r="B341" s="121" t="str" cm="1">
        <f t="array" ref="B341:G341">IFERROR(_xlfn.TEXTSPLIT(A341,"_"),"")</f>
        <v>26</v>
      </c>
      <c r="C341" t="str">
        <v>396439-23493-68</v>
      </c>
      <c r="D341" t="str">
        <v>Orchard deciduous-r07-A</v>
      </c>
      <c r="E341" t="str">
        <v>USEPA Pond</v>
      </c>
      <c r="F341" t="str">
        <v>0080</v>
      </c>
      <c r="G341" t="str">
        <v xml:space="preserve">median                     </v>
      </c>
      <c r="H341" s="121" t="str" cm="1">
        <f t="array" ref="H341:J341">IF(D341="","",(_xlfn.TEXTSPLIT(D341,"-")))</f>
        <v>Orchard deciduous</v>
      </c>
      <c r="I341" s="121" t="str">
        <v>r07</v>
      </c>
      <c r="J341" t="str">
        <v>A</v>
      </c>
      <c r="K341" s="129" t="str">
        <f>VLOOKUP(VALUE($B341),test_out_xwalk!$C:$L,3,FALSE)</f>
        <v>Apple-10-26</v>
      </c>
      <c r="L341" s="129">
        <f>VLOOKUP(VALUE($B341),test_out_xwalk!$C:$L,5,FALSE)</f>
        <v>2</v>
      </c>
      <c r="M341" s="129">
        <f>VLOOKUP(VALUE($B341),test_out_xwalk!$C:$L,6,FALSE)</f>
        <v>4</v>
      </c>
      <c r="N341" s="129" t="str">
        <f>VLOOKUP(VALUE($B341),test_out_xwalk!$C:$L,8,FALSE)</f>
        <v>Ground_F-MC_HB</v>
      </c>
      <c r="O341" s="129" t="str">
        <f>VLOOKUP(VALUE($B341),test_out_xwalk!$C:$L,7,FALSE)</f>
        <v>Spray</v>
      </c>
      <c r="P341" s="129" t="str">
        <f>VLOOKUP(VALUE($B341),test_out_xwalk!$C:$L,4,FALSE)</f>
        <v>Post-emergence</v>
      </c>
      <c r="Q341" s="129" t="str">
        <f>VLOOKUP(VALUE($B341),test_out_xwalk!$C:$L,9,FALSE)</f>
        <v>Other Orchards</v>
      </c>
      <c r="R341">
        <f>_xlfn.XLOOKUP(VALUE(B341),test_out_xwalk!$C:$C,test_out_xwalk!$A:$A)</f>
        <v>10</v>
      </c>
      <c r="T341" s="121" t="str">
        <f>IF('summary_EPA Pond'!$O341="","Check Summary EPA POND worksheet Column O",'summary_EPA Pond'!$O341)</f>
        <v>Check Summary EPA POND worksheet Column O</v>
      </c>
      <c r="U341" s="121" t="str" cm="1">
        <f t="array" ref="U341">IFERROR(_xlfn.TEXTSPLIT(T341,"_"),"")</f>
        <v>Check Summary EPA POND worksheet Column O</v>
      </c>
      <c r="AA341" s="121" t="str" cm="1">
        <f t="array" ref="AA341">IF(W341="","",(_xlfn.TEXTSPLIT(W341,"-")))</f>
        <v/>
      </c>
      <c r="AD341" s="129" t="e">
        <f>VLOOKUP(VALUE($U341),test_out_xwalk!$C:$L,3,FALSE)</f>
        <v>#VALUE!</v>
      </c>
      <c r="AE341" s="129" t="e">
        <f>VLOOKUP(VALUE($U341),test_out_xwalk!$C:$L,5,FALSE)</f>
        <v>#VALUE!</v>
      </c>
      <c r="AF341" s="129" t="e">
        <f>VLOOKUP(VALUE($U341),test_out_xwalk!$C:$L,6,FALSE)</f>
        <v>#VALUE!</v>
      </c>
      <c r="AG341" s="129" t="e">
        <f>VLOOKUP(VALUE($U341),test_out_xwalk!$C:$L,8,FALSE)</f>
        <v>#VALUE!</v>
      </c>
      <c r="AH341" s="129" t="e">
        <f>VLOOKUP(VALUE($U341),test_out_xwalk!$C:$L,7,FALSE)</f>
        <v>#VALUE!</v>
      </c>
      <c r="AI341" s="129" t="e">
        <f>VLOOKUP(VALUE($U341),test_out_xwalk!$C:$L,4,FALSE)</f>
        <v>#VALUE!</v>
      </c>
      <c r="AJ341" s="129" t="e">
        <f>VLOOKUP(VALUE($U341),test_out_xwalk!$C:$L,9,FALSE)</f>
        <v>#VALUE!</v>
      </c>
      <c r="AK341" t="e">
        <f>_xlfn.XLOOKUP(VALUE(U341),test_out_xwalk!C:C,test_out_xwalk!A:A)</f>
        <v>#VALUE!</v>
      </c>
    </row>
    <row r="342" spans="1:37" x14ac:dyDescent="0.55000000000000004">
      <c r="A342" s="121" t="str">
        <f>IF('summary_EPA Pond'!$A342="","Check Summary EPA POND worksheet Column A",'summary_EPA Pond'!$A342)</f>
        <v xml:space="preserve">26_567494-13121-74_Orchard deciduous-r08-A_USEPA Pond_0080_median                     </v>
      </c>
      <c r="B342" s="121" t="str" cm="1">
        <f t="array" ref="B342:G342">IFERROR(_xlfn.TEXTSPLIT(A342,"_"),"")</f>
        <v>26</v>
      </c>
      <c r="C342" t="str">
        <v>567494-13121-74</v>
      </c>
      <c r="D342" t="str">
        <v>Orchard deciduous-r08-A</v>
      </c>
      <c r="E342" t="str">
        <v>USEPA Pond</v>
      </c>
      <c r="F342" t="str">
        <v>0080</v>
      </c>
      <c r="G342" t="str">
        <v xml:space="preserve">median                     </v>
      </c>
      <c r="H342" s="121" t="str" cm="1">
        <f t="array" ref="H342:J342">IF(D342="","",(_xlfn.TEXTSPLIT(D342,"-")))</f>
        <v>Orchard deciduous</v>
      </c>
      <c r="I342" s="121" t="str">
        <v>r08</v>
      </c>
      <c r="J342" t="str">
        <v>A</v>
      </c>
      <c r="K342" s="129" t="str">
        <f>VLOOKUP(VALUE($B342),test_out_xwalk!$C:$L,3,FALSE)</f>
        <v>Apple-10-26</v>
      </c>
      <c r="L342" s="129">
        <f>VLOOKUP(VALUE($B342),test_out_xwalk!$C:$L,5,FALSE)</f>
        <v>2</v>
      </c>
      <c r="M342" s="129">
        <f>VLOOKUP(VALUE($B342),test_out_xwalk!$C:$L,6,FALSE)</f>
        <v>4</v>
      </c>
      <c r="N342" s="129" t="str">
        <f>VLOOKUP(VALUE($B342),test_out_xwalk!$C:$L,8,FALSE)</f>
        <v>Ground_F-MC_HB</v>
      </c>
      <c r="O342" s="129" t="str">
        <f>VLOOKUP(VALUE($B342),test_out_xwalk!$C:$L,7,FALSE)</f>
        <v>Spray</v>
      </c>
      <c r="P342" s="129" t="str">
        <f>VLOOKUP(VALUE($B342),test_out_xwalk!$C:$L,4,FALSE)</f>
        <v>Post-emergence</v>
      </c>
      <c r="Q342" s="129" t="str">
        <f>VLOOKUP(VALUE($B342),test_out_xwalk!$C:$L,9,FALSE)</f>
        <v>Other Orchards</v>
      </c>
      <c r="R342">
        <f>_xlfn.XLOOKUP(VALUE(B342),test_out_xwalk!$C:$C,test_out_xwalk!$A:$A)</f>
        <v>10</v>
      </c>
      <c r="T342" s="121" t="str">
        <f>IF('summary_EPA Pond'!$O342="","Check Summary EPA POND worksheet Column O",'summary_EPA Pond'!$O342)</f>
        <v>Check Summary EPA POND worksheet Column O</v>
      </c>
      <c r="U342" s="121" t="str" cm="1">
        <f t="array" ref="U342">IFERROR(_xlfn.TEXTSPLIT(T342,"_"),"")</f>
        <v>Check Summary EPA POND worksheet Column O</v>
      </c>
      <c r="AA342" s="121" t="str" cm="1">
        <f t="array" ref="AA342">IF(W342="","",(_xlfn.TEXTSPLIT(W342,"-")))</f>
        <v/>
      </c>
      <c r="AD342" s="129" t="e">
        <f>VLOOKUP(VALUE($U342),test_out_xwalk!$C:$L,3,FALSE)</f>
        <v>#VALUE!</v>
      </c>
      <c r="AE342" s="129" t="e">
        <f>VLOOKUP(VALUE($U342),test_out_xwalk!$C:$L,5,FALSE)</f>
        <v>#VALUE!</v>
      </c>
      <c r="AF342" s="129" t="e">
        <f>VLOOKUP(VALUE($U342),test_out_xwalk!$C:$L,6,FALSE)</f>
        <v>#VALUE!</v>
      </c>
      <c r="AG342" s="129" t="e">
        <f>VLOOKUP(VALUE($U342),test_out_xwalk!$C:$L,8,FALSE)</f>
        <v>#VALUE!</v>
      </c>
      <c r="AH342" s="129" t="e">
        <f>VLOOKUP(VALUE($U342),test_out_xwalk!$C:$L,7,FALSE)</f>
        <v>#VALUE!</v>
      </c>
      <c r="AI342" s="129" t="e">
        <f>VLOOKUP(VALUE($U342),test_out_xwalk!$C:$L,4,FALSE)</f>
        <v>#VALUE!</v>
      </c>
      <c r="AJ342" s="129" t="e">
        <f>VLOOKUP(VALUE($U342),test_out_xwalk!$C:$L,9,FALSE)</f>
        <v>#VALUE!</v>
      </c>
      <c r="AK342" t="e">
        <f>_xlfn.XLOOKUP(VALUE(U342),test_out_xwalk!C:C,test_out_xwalk!A:A)</f>
        <v>#VALUE!</v>
      </c>
    </row>
    <row r="343" spans="1:37" x14ac:dyDescent="0.55000000000000004">
      <c r="A343" s="121" t="str">
        <f>IF('summary_EPA Pond'!$A343="","Check Summary EPA POND worksheet Column A",'summary_EPA Pond'!$A343)</f>
        <v xml:space="preserve">26_2774572-26572-68_Orchard deciduous-r09-A_USEPA Pond_0080_median                    </v>
      </c>
      <c r="B343" s="121" t="str" cm="1">
        <f t="array" ref="B343:G343">IFERROR(_xlfn.TEXTSPLIT(A343,"_"),"")</f>
        <v>26</v>
      </c>
      <c r="C343" t="str">
        <v>2774572-26572-68</v>
      </c>
      <c r="D343" t="str">
        <v>Orchard deciduous-r09-A</v>
      </c>
      <c r="E343" t="str">
        <v>USEPA Pond</v>
      </c>
      <c r="F343" t="str">
        <v>0080</v>
      </c>
      <c r="G343" t="str">
        <v xml:space="preserve">median                    </v>
      </c>
      <c r="H343" s="121" t="str" cm="1">
        <f t="array" ref="H343:J343">IF(D343="","",(_xlfn.TEXTSPLIT(D343,"-")))</f>
        <v>Orchard deciduous</v>
      </c>
      <c r="I343" s="121" t="str">
        <v>r09</v>
      </c>
      <c r="J343" t="str">
        <v>A</v>
      </c>
      <c r="K343" s="129" t="str">
        <f>VLOOKUP(VALUE($B343),test_out_xwalk!$C:$L,3,FALSE)</f>
        <v>Apple-10-26</v>
      </c>
      <c r="L343" s="129">
        <f>VLOOKUP(VALUE($B343),test_out_xwalk!$C:$L,5,FALSE)</f>
        <v>2</v>
      </c>
      <c r="M343" s="129">
        <f>VLOOKUP(VALUE($B343),test_out_xwalk!$C:$L,6,FALSE)</f>
        <v>4</v>
      </c>
      <c r="N343" s="129" t="str">
        <f>VLOOKUP(VALUE($B343),test_out_xwalk!$C:$L,8,FALSE)</f>
        <v>Ground_F-MC_HB</v>
      </c>
      <c r="O343" s="129" t="str">
        <f>VLOOKUP(VALUE($B343),test_out_xwalk!$C:$L,7,FALSE)</f>
        <v>Spray</v>
      </c>
      <c r="P343" s="129" t="str">
        <f>VLOOKUP(VALUE($B343),test_out_xwalk!$C:$L,4,FALSE)</f>
        <v>Post-emergence</v>
      </c>
      <c r="Q343" s="129" t="str">
        <f>VLOOKUP(VALUE($B343),test_out_xwalk!$C:$L,9,FALSE)</f>
        <v>Other Orchards</v>
      </c>
      <c r="R343">
        <f>_xlfn.XLOOKUP(VALUE(B343),test_out_xwalk!$C:$C,test_out_xwalk!$A:$A)</f>
        <v>10</v>
      </c>
      <c r="T343" s="121" t="str">
        <f>IF('summary_EPA Pond'!$O343="","Check Summary EPA POND worksheet Column O",'summary_EPA Pond'!$O343)</f>
        <v>Check Summary EPA POND worksheet Column O</v>
      </c>
      <c r="U343" s="121" t="str" cm="1">
        <f t="array" ref="U343">IFERROR(_xlfn.TEXTSPLIT(T343,"_"),"")</f>
        <v>Check Summary EPA POND worksheet Column O</v>
      </c>
      <c r="AA343" s="121" t="str" cm="1">
        <f t="array" ref="AA343">IF(W343="","",(_xlfn.TEXTSPLIT(W343,"-")))</f>
        <v/>
      </c>
      <c r="AD343" s="129" t="e">
        <f>VLOOKUP(VALUE($U343),test_out_xwalk!$C:$L,3,FALSE)</f>
        <v>#VALUE!</v>
      </c>
      <c r="AE343" s="129" t="e">
        <f>VLOOKUP(VALUE($U343),test_out_xwalk!$C:$L,5,FALSE)</f>
        <v>#VALUE!</v>
      </c>
      <c r="AF343" s="129" t="e">
        <f>VLOOKUP(VALUE($U343),test_out_xwalk!$C:$L,6,FALSE)</f>
        <v>#VALUE!</v>
      </c>
      <c r="AG343" s="129" t="e">
        <f>VLOOKUP(VALUE($U343),test_out_xwalk!$C:$L,8,FALSE)</f>
        <v>#VALUE!</v>
      </c>
      <c r="AH343" s="129" t="e">
        <f>VLOOKUP(VALUE($U343),test_out_xwalk!$C:$L,7,FALSE)</f>
        <v>#VALUE!</v>
      </c>
      <c r="AI343" s="129" t="e">
        <f>VLOOKUP(VALUE($U343),test_out_xwalk!$C:$L,4,FALSE)</f>
        <v>#VALUE!</v>
      </c>
      <c r="AJ343" s="129" t="e">
        <f>VLOOKUP(VALUE($U343),test_out_xwalk!$C:$L,9,FALSE)</f>
        <v>#VALUE!</v>
      </c>
      <c r="AK343" t="e">
        <f>_xlfn.XLOOKUP(VALUE(U343),test_out_xwalk!C:C,test_out_xwalk!A:A)</f>
        <v>#VALUE!</v>
      </c>
    </row>
    <row r="344" spans="1:37" x14ac:dyDescent="0.55000000000000004">
      <c r="A344" s="121" t="str">
        <f>IF('summary_EPA Pond'!$A344="","Check Summary EPA POND worksheet Column A",'summary_EPA Pond'!$A344)</f>
        <v xml:space="preserve">26_2532369-16882-74_Orchard deciduous-r10L-A_USEPA Pond_0080_median                   </v>
      </c>
      <c r="B344" s="121" t="str" cm="1">
        <f t="array" ref="B344:G344">IFERROR(_xlfn.TEXTSPLIT(A344,"_"),"")</f>
        <v>26</v>
      </c>
      <c r="C344" t="str">
        <v>2532369-16882-74</v>
      </c>
      <c r="D344" t="str">
        <v>Orchard deciduous-r10L-A</v>
      </c>
      <c r="E344" t="str">
        <v>USEPA Pond</v>
      </c>
      <c r="F344" t="str">
        <v>0080</v>
      </c>
      <c r="G344" t="str">
        <v xml:space="preserve">median                   </v>
      </c>
      <c r="H344" s="121" t="str" cm="1">
        <f t="array" ref="H344:J344">IF(D344="","",(_xlfn.TEXTSPLIT(D344,"-")))</f>
        <v>Orchard deciduous</v>
      </c>
      <c r="I344" s="121" t="str">
        <v>r10L</v>
      </c>
      <c r="J344" t="str">
        <v>A</v>
      </c>
      <c r="K344" s="129" t="str">
        <f>VLOOKUP(VALUE($B344),test_out_xwalk!$C:$L,3,FALSE)</f>
        <v>Apple-10-26</v>
      </c>
      <c r="L344" s="129">
        <f>VLOOKUP(VALUE($B344),test_out_xwalk!$C:$L,5,FALSE)</f>
        <v>2</v>
      </c>
      <c r="M344" s="129">
        <f>VLOOKUP(VALUE($B344),test_out_xwalk!$C:$L,6,FALSE)</f>
        <v>4</v>
      </c>
      <c r="N344" s="129" t="str">
        <f>VLOOKUP(VALUE($B344),test_out_xwalk!$C:$L,8,FALSE)</f>
        <v>Ground_F-MC_HB</v>
      </c>
      <c r="O344" s="129" t="str">
        <f>VLOOKUP(VALUE($B344),test_out_xwalk!$C:$L,7,FALSE)</f>
        <v>Spray</v>
      </c>
      <c r="P344" s="129" t="str">
        <f>VLOOKUP(VALUE($B344),test_out_xwalk!$C:$L,4,FALSE)</f>
        <v>Post-emergence</v>
      </c>
      <c r="Q344" s="129" t="str">
        <f>VLOOKUP(VALUE($B344),test_out_xwalk!$C:$L,9,FALSE)</f>
        <v>Other Orchards</v>
      </c>
      <c r="R344">
        <f>_xlfn.XLOOKUP(VALUE(B344),test_out_xwalk!$C:$C,test_out_xwalk!$A:$A)</f>
        <v>10</v>
      </c>
      <c r="T344" s="121" t="str">
        <f>IF('summary_EPA Pond'!$O344="","Check Summary EPA POND worksheet Column O",'summary_EPA Pond'!$O344)</f>
        <v>Check Summary EPA POND worksheet Column O</v>
      </c>
      <c r="U344" s="121" t="str" cm="1">
        <f t="array" ref="U344">IFERROR(_xlfn.TEXTSPLIT(T344,"_"),"")</f>
        <v>Check Summary EPA POND worksheet Column O</v>
      </c>
      <c r="AA344" s="121" t="str" cm="1">
        <f t="array" ref="AA344">IF(W344="","",(_xlfn.TEXTSPLIT(W344,"-")))</f>
        <v/>
      </c>
      <c r="AD344" s="129" t="e">
        <f>VLOOKUP(VALUE($U344),test_out_xwalk!$C:$L,3,FALSE)</f>
        <v>#VALUE!</v>
      </c>
      <c r="AE344" s="129" t="e">
        <f>VLOOKUP(VALUE($U344),test_out_xwalk!$C:$L,5,FALSE)</f>
        <v>#VALUE!</v>
      </c>
      <c r="AF344" s="129" t="e">
        <f>VLOOKUP(VALUE($U344),test_out_xwalk!$C:$L,6,FALSE)</f>
        <v>#VALUE!</v>
      </c>
      <c r="AG344" s="129" t="e">
        <f>VLOOKUP(VALUE($U344),test_out_xwalk!$C:$L,8,FALSE)</f>
        <v>#VALUE!</v>
      </c>
      <c r="AH344" s="129" t="e">
        <f>VLOOKUP(VALUE($U344),test_out_xwalk!$C:$L,7,FALSE)</f>
        <v>#VALUE!</v>
      </c>
      <c r="AI344" s="129" t="e">
        <f>VLOOKUP(VALUE($U344),test_out_xwalk!$C:$L,4,FALSE)</f>
        <v>#VALUE!</v>
      </c>
      <c r="AJ344" s="129" t="e">
        <f>VLOOKUP(VALUE($U344),test_out_xwalk!$C:$L,9,FALSE)</f>
        <v>#VALUE!</v>
      </c>
      <c r="AK344" t="e">
        <f>_xlfn.XLOOKUP(VALUE(U344),test_out_xwalk!C:C,test_out_xwalk!A:A)</f>
        <v>#VALUE!</v>
      </c>
    </row>
    <row r="345" spans="1:37" x14ac:dyDescent="0.55000000000000004">
      <c r="A345" s="121" t="str">
        <f>IF('summary_EPA Pond'!$A345="","Check Summary EPA POND worksheet Column A",'summary_EPA Pond'!$A345)</f>
        <v xml:space="preserve">26_146775-27192-66_Orchard deciduous-r10U-A_USEPA Pond_0080_median                    </v>
      </c>
      <c r="B345" s="121" t="str" cm="1">
        <f t="array" ref="B345:G345">IFERROR(_xlfn.TEXTSPLIT(A345,"_"),"")</f>
        <v>26</v>
      </c>
      <c r="C345" t="str">
        <v>146775-27192-66</v>
      </c>
      <c r="D345" t="str">
        <v>Orchard deciduous-r10U-A</v>
      </c>
      <c r="E345" t="str">
        <v>USEPA Pond</v>
      </c>
      <c r="F345" t="str">
        <v>0080</v>
      </c>
      <c r="G345" t="str">
        <v xml:space="preserve">median                    </v>
      </c>
      <c r="H345" s="121" t="str" cm="1">
        <f t="array" ref="H345:J345">IF(D345="","",(_xlfn.TEXTSPLIT(D345,"-")))</f>
        <v>Orchard deciduous</v>
      </c>
      <c r="I345" s="121" t="str">
        <v>r10U</v>
      </c>
      <c r="J345" t="str">
        <v>A</v>
      </c>
      <c r="K345" s="129" t="str">
        <f>VLOOKUP(VALUE($B345),test_out_xwalk!$C:$L,3,FALSE)</f>
        <v>Apple-10-26</v>
      </c>
      <c r="L345" s="129">
        <f>VLOOKUP(VALUE($B345),test_out_xwalk!$C:$L,5,FALSE)</f>
        <v>2</v>
      </c>
      <c r="M345" s="129">
        <f>VLOOKUP(VALUE($B345),test_out_xwalk!$C:$L,6,FALSE)</f>
        <v>4</v>
      </c>
      <c r="N345" s="129" t="str">
        <f>VLOOKUP(VALUE($B345),test_out_xwalk!$C:$L,8,FALSE)</f>
        <v>Ground_F-MC_HB</v>
      </c>
      <c r="O345" s="129" t="str">
        <f>VLOOKUP(VALUE($B345),test_out_xwalk!$C:$L,7,FALSE)</f>
        <v>Spray</v>
      </c>
      <c r="P345" s="129" t="str">
        <f>VLOOKUP(VALUE($B345),test_out_xwalk!$C:$L,4,FALSE)</f>
        <v>Post-emergence</v>
      </c>
      <c r="Q345" s="129" t="str">
        <f>VLOOKUP(VALUE($B345),test_out_xwalk!$C:$L,9,FALSE)</f>
        <v>Other Orchards</v>
      </c>
      <c r="R345">
        <f>_xlfn.XLOOKUP(VALUE(B345),test_out_xwalk!$C:$C,test_out_xwalk!$A:$A)</f>
        <v>10</v>
      </c>
      <c r="T345" s="121" t="str">
        <f>IF('summary_EPA Pond'!$O345="","Check Summary EPA POND worksheet Column O",'summary_EPA Pond'!$O345)</f>
        <v>Check Summary EPA POND worksheet Column O</v>
      </c>
      <c r="U345" s="121" t="str" cm="1">
        <f t="array" ref="U345">IFERROR(_xlfn.TEXTSPLIT(T345,"_"),"")</f>
        <v>Check Summary EPA POND worksheet Column O</v>
      </c>
      <c r="AA345" s="121" t="str" cm="1">
        <f t="array" ref="AA345">IF(W345="","",(_xlfn.TEXTSPLIT(W345,"-")))</f>
        <v/>
      </c>
      <c r="AD345" s="129" t="e">
        <f>VLOOKUP(VALUE($U345),test_out_xwalk!$C:$L,3,FALSE)</f>
        <v>#VALUE!</v>
      </c>
      <c r="AE345" s="129" t="e">
        <f>VLOOKUP(VALUE($U345),test_out_xwalk!$C:$L,5,FALSE)</f>
        <v>#VALUE!</v>
      </c>
      <c r="AF345" s="129" t="e">
        <f>VLOOKUP(VALUE($U345),test_out_xwalk!$C:$L,6,FALSE)</f>
        <v>#VALUE!</v>
      </c>
      <c r="AG345" s="129" t="e">
        <f>VLOOKUP(VALUE($U345),test_out_xwalk!$C:$L,8,FALSE)</f>
        <v>#VALUE!</v>
      </c>
      <c r="AH345" s="129" t="e">
        <f>VLOOKUP(VALUE($U345),test_out_xwalk!$C:$L,7,FALSE)</f>
        <v>#VALUE!</v>
      </c>
      <c r="AI345" s="129" t="e">
        <f>VLOOKUP(VALUE($U345),test_out_xwalk!$C:$L,4,FALSE)</f>
        <v>#VALUE!</v>
      </c>
      <c r="AJ345" s="129" t="e">
        <f>VLOOKUP(VALUE($U345),test_out_xwalk!$C:$L,9,FALSE)</f>
        <v>#VALUE!</v>
      </c>
      <c r="AK345" t="e">
        <f>_xlfn.XLOOKUP(VALUE(U345),test_out_xwalk!C:C,test_out_xwalk!A:A)</f>
        <v>#VALUE!</v>
      </c>
    </row>
    <row r="346" spans="1:37" x14ac:dyDescent="0.55000000000000004">
      <c r="A346" s="121" t="str">
        <f>IF('summary_EPA Pond'!$A346="","Check Summary EPA POND worksheet Column A",'summary_EPA Pond'!$A346)</f>
        <v xml:space="preserve">26_106593-15934-74_Orchard deciduous-r11-A_USEPA Pond_0080_median                     </v>
      </c>
      <c r="B346" s="121" t="str" cm="1">
        <f t="array" ref="B346:G346">IFERROR(_xlfn.TEXTSPLIT(A346,"_"),"")</f>
        <v>26</v>
      </c>
      <c r="C346" t="str">
        <v>106593-15934-74</v>
      </c>
      <c r="D346" t="str">
        <v>Orchard deciduous-r11-A</v>
      </c>
      <c r="E346" t="str">
        <v>USEPA Pond</v>
      </c>
      <c r="F346" t="str">
        <v>0080</v>
      </c>
      <c r="G346" t="str">
        <v xml:space="preserve">median                     </v>
      </c>
      <c r="H346" s="121" t="str" cm="1">
        <f t="array" ref="H346:J346">IF(D346="","",(_xlfn.TEXTSPLIT(D346,"-")))</f>
        <v>Orchard deciduous</v>
      </c>
      <c r="I346" s="121" t="str">
        <v>r11</v>
      </c>
      <c r="J346" t="str">
        <v>A</v>
      </c>
      <c r="K346" s="129" t="str">
        <f>VLOOKUP(VALUE($B346),test_out_xwalk!$C:$L,3,FALSE)</f>
        <v>Apple-10-26</v>
      </c>
      <c r="L346" s="129">
        <f>VLOOKUP(VALUE($B346),test_out_xwalk!$C:$L,5,FALSE)</f>
        <v>2</v>
      </c>
      <c r="M346" s="129">
        <f>VLOOKUP(VALUE($B346),test_out_xwalk!$C:$L,6,FALSE)</f>
        <v>4</v>
      </c>
      <c r="N346" s="129" t="str">
        <f>VLOOKUP(VALUE($B346),test_out_xwalk!$C:$L,8,FALSE)</f>
        <v>Ground_F-MC_HB</v>
      </c>
      <c r="O346" s="129" t="str">
        <f>VLOOKUP(VALUE($B346),test_out_xwalk!$C:$L,7,FALSE)</f>
        <v>Spray</v>
      </c>
      <c r="P346" s="129" t="str">
        <f>VLOOKUP(VALUE($B346),test_out_xwalk!$C:$L,4,FALSE)</f>
        <v>Post-emergence</v>
      </c>
      <c r="Q346" s="129" t="str">
        <f>VLOOKUP(VALUE($B346),test_out_xwalk!$C:$L,9,FALSE)</f>
        <v>Other Orchards</v>
      </c>
      <c r="R346">
        <f>_xlfn.XLOOKUP(VALUE(B346),test_out_xwalk!$C:$C,test_out_xwalk!$A:$A)</f>
        <v>10</v>
      </c>
      <c r="T346" s="121" t="str">
        <f>IF('summary_EPA Pond'!$O346="","Check Summary EPA POND worksheet Column O",'summary_EPA Pond'!$O346)</f>
        <v>Check Summary EPA POND worksheet Column O</v>
      </c>
      <c r="U346" s="121" t="str" cm="1">
        <f t="array" ref="U346">IFERROR(_xlfn.TEXTSPLIT(T346,"_"),"")</f>
        <v>Check Summary EPA POND worksheet Column O</v>
      </c>
      <c r="AA346" s="121" t="str" cm="1">
        <f t="array" ref="AA346">IF(W346="","",(_xlfn.TEXTSPLIT(W346,"-")))</f>
        <v/>
      </c>
      <c r="AD346" s="129" t="e">
        <f>VLOOKUP(VALUE($U346),test_out_xwalk!$C:$L,3,FALSE)</f>
        <v>#VALUE!</v>
      </c>
      <c r="AE346" s="129" t="e">
        <f>VLOOKUP(VALUE($U346),test_out_xwalk!$C:$L,5,FALSE)</f>
        <v>#VALUE!</v>
      </c>
      <c r="AF346" s="129" t="e">
        <f>VLOOKUP(VALUE($U346),test_out_xwalk!$C:$L,6,FALSE)</f>
        <v>#VALUE!</v>
      </c>
      <c r="AG346" s="129" t="e">
        <f>VLOOKUP(VALUE($U346),test_out_xwalk!$C:$L,8,FALSE)</f>
        <v>#VALUE!</v>
      </c>
      <c r="AH346" s="129" t="e">
        <f>VLOOKUP(VALUE($U346),test_out_xwalk!$C:$L,7,FALSE)</f>
        <v>#VALUE!</v>
      </c>
      <c r="AI346" s="129" t="e">
        <f>VLOOKUP(VALUE($U346),test_out_xwalk!$C:$L,4,FALSE)</f>
        <v>#VALUE!</v>
      </c>
      <c r="AJ346" s="129" t="e">
        <f>VLOOKUP(VALUE($U346),test_out_xwalk!$C:$L,9,FALSE)</f>
        <v>#VALUE!</v>
      </c>
      <c r="AK346" t="e">
        <f>_xlfn.XLOOKUP(VALUE(U346),test_out_xwalk!C:C,test_out_xwalk!A:A)</f>
        <v>#VALUE!</v>
      </c>
    </row>
    <row r="347" spans="1:37" x14ac:dyDescent="0.55000000000000004">
      <c r="A347" s="121" t="str">
        <f>IF('summary_EPA Pond'!$A347="","Check Summary EPA POND worksheet Column A",'summary_EPA Pond'!$A347)</f>
        <v xml:space="preserve">26_367880-12156-74_Orchard deciduous-r12-A_USEPA Pond_0080_median                     </v>
      </c>
      <c r="B347" s="121" t="str" cm="1">
        <f t="array" ref="B347:G347">IFERROR(_xlfn.TEXTSPLIT(A347,"_"),"")</f>
        <v>26</v>
      </c>
      <c r="C347" t="str">
        <v>367880-12156-74</v>
      </c>
      <c r="D347" t="str">
        <v>Orchard deciduous-r12-A</v>
      </c>
      <c r="E347" t="str">
        <v>USEPA Pond</v>
      </c>
      <c r="F347" t="str">
        <v>0080</v>
      </c>
      <c r="G347" t="str">
        <v xml:space="preserve">median                     </v>
      </c>
      <c r="H347" s="121" t="str" cm="1">
        <f t="array" ref="H347:J347">IF(D347="","",(_xlfn.TEXTSPLIT(D347,"-")))</f>
        <v>Orchard deciduous</v>
      </c>
      <c r="I347" s="121" t="str">
        <v>r12</v>
      </c>
      <c r="J347" t="str">
        <v>A</v>
      </c>
      <c r="K347" s="129" t="str">
        <f>VLOOKUP(VALUE($B347),test_out_xwalk!$C:$L,3,FALSE)</f>
        <v>Apple-10-26</v>
      </c>
      <c r="L347" s="129">
        <f>VLOOKUP(VALUE($B347),test_out_xwalk!$C:$L,5,FALSE)</f>
        <v>2</v>
      </c>
      <c r="M347" s="129">
        <f>VLOOKUP(VALUE($B347),test_out_xwalk!$C:$L,6,FALSE)</f>
        <v>4</v>
      </c>
      <c r="N347" s="129" t="str">
        <f>VLOOKUP(VALUE($B347),test_out_xwalk!$C:$L,8,FALSE)</f>
        <v>Ground_F-MC_HB</v>
      </c>
      <c r="O347" s="129" t="str">
        <f>VLOOKUP(VALUE($B347),test_out_xwalk!$C:$L,7,FALSE)</f>
        <v>Spray</v>
      </c>
      <c r="P347" s="129" t="str">
        <f>VLOOKUP(VALUE($B347),test_out_xwalk!$C:$L,4,FALSE)</f>
        <v>Post-emergence</v>
      </c>
      <c r="Q347" s="129" t="str">
        <f>VLOOKUP(VALUE($B347),test_out_xwalk!$C:$L,9,FALSE)</f>
        <v>Other Orchards</v>
      </c>
      <c r="R347">
        <f>_xlfn.XLOOKUP(VALUE(B347),test_out_xwalk!$C:$C,test_out_xwalk!$A:$A)</f>
        <v>10</v>
      </c>
      <c r="T347" s="121" t="str">
        <f>IF('summary_EPA Pond'!$O347="","Check Summary EPA POND worksheet Column O",'summary_EPA Pond'!$O347)</f>
        <v>Check Summary EPA POND worksheet Column O</v>
      </c>
      <c r="U347" s="121" t="str" cm="1">
        <f t="array" ref="U347">IFERROR(_xlfn.TEXTSPLIT(T347,"_"),"")</f>
        <v>Check Summary EPA POND worksheet Column O</v>
      </c>
      <c r="AA347" s="121" t="str" cm="1">
        <f t="array" ref="AA347">IF(W347="","",(_xlfn.TEXTSPLIT(W347,"-")))</f>
        <v/>
      </c>
      <c r="AD347" s="129" t="e">
        <f>VLOOKUP(VALUE($U347),test_out_xwalk!$C:$L,3,FALSE)</f>
        <v>#VALUE!</v>
      </c>
      <c r="AE347" s="129" t="e">
        <f>VLOOKUP(VALUE($U347),test_out_xwalk!$C:$L,5,FALSE)</f>
        <v>#VALUE!</v>
      </c>
      <c r="AF347" s="129" t="e">
        <f>VLOOKUP(VALUE($U347),test_out_xwalk!$C:$L,6,FALSE)</f>
        <v>#VALUE!</v>
      </c>
      <c r="AG347" s="129" t="e">
        <f>VLOOKUP(VALUE($U347),test_out_xwalk!$C:$L,8,FALSE)</f>
        <v>#VALUE!</v>
      </c>
      <c r="AH347" s="129" t="e">
        <f>VLOOKUP(VALUE($U347),test_out_xwalk!$C:$L,7,FALSE)</f>
        <v>#VALUE!</v>
      </c>
      <c r="AI347" s="129" t="e">
        <f>VLOOKUP(VALUE($U347),test_out_xwalk!$C:$L,4,FALSE)</f>
        <v>#VALUE!</v>
      </c>
      <c r="AJ347" s="129" t="e">
        <f>VLOOKUP(VALUE($U347),test_out_xwalk!$C:$L,9,FALSE)</f>
        <v>#VALUE!</v>
      </c>
      <c r="AK347" t="e">
        <f>_xlfn.XLOOKUP(VALUE(U347),test_out_xwalk!C:C,test_out_xwalk!A:A)</f>
        <v>#VALUE!</v>
      </c>
    </row>
    <row r="348" spans="1:37" x14ac:dyDescent="0.55000000000000004">
      <c r="A348" s="121" t="str">
        <f>IF('summary_EPA Pond'!$A348="","Check Summary EPA POND worksheet Column A",'summary_EPA Pond'!$A348)</f>
        <v xml:space="preserve">26_712158-9291-74_Orchard deciduous-r13-A_USEPA Pond_0080_median                      </v>
      </c>
      <c r="B348" s="121" t="str" cm="1">
        <f t="array" ref="B348:G348">IFERROR(_xlfn.TEXTSPLIT(A348,"_"),"")</f>
        <v>26</v>
      </c>
      <c r="C348" t="str">
        <v>712158-9291-74</v>
      </c>
      <c r="D348" t="str">
        <v>Orchard deciduous-r13-A</v>
      </c>
      <c r="E348" t="str">
        <v>USEPA Pond</v>
      </c>
      <c r="F348" t="str">
        <v>0080</v>
      </c>
      <c r="G348" t="str">
        <v xml:space="preserve">median                      </v>
      </c>
      <c r="H348" s="121" t="str" cm="1">
        <f t="array" ref="H348:J348">IF(D348="","",(_xlfn.TEXTSPLIT(D348,"-")))</f>
        <v>Orchard deciduous</v>
      </c>
      <c r="I348" s="121" t="str">
        <v>r13</v>
      </c>
      <c r="J348" t="str">
        <v>A</v>
      </c>
      <c r="K348" s="129" t="str">
        <f>VLOOKUP(VALUE($B348),test_out_xwalk!$C:$L,3,FALSE)</f>
        <v>Apple-10-26</v>
      </c>
      <c r="L348" s="129">
        <f>VLOOKUP(VALUE($B348),test_out_xwalk!$C:$L,5,FALSE)</f>
        <v>2</v>
      </c>
      <c r="M348" s="129">
        <f>VLOOKUP(VALUE($B348),test_out_xwalk!$C:$L,6,FALSE)</f>
        <v>4</v>
      </c>
      <c r="N348" s="129" t="str">
        <f>VLOOKUP(VALUE($B348),test_out_xwalk!$C:$L,8,FALSE)</f>
        <v>Ground_F-MC_HB</v>
      </c>
      <c r="O348" s="129" t="str">
        <f>VLOOKUP(VALUE($B348),test_out_xwalk!$C:$L,7,FALSE)</f>
        <v>Spray</v>
      </c>
      <c r="P348" s="129" t="str">
        <f>VLOOKUP(VALUE($B348),test_out_xwalk!$C:$L,4,FALSE)</f>
        <v>Post-emergence</v>
      </c>
      <c r="Q348" s="129" t="str">
        <f>VLOOKUP(VALUE($B348),test_out_xwalk!$C:$L,9,FALSE)</f>
        <v>Other Orchards</v>
      </c>
      <c r="R348">
        <f>_xlfn.XLOOKUP(VALUE(B348),test_out_xwalk!$C:$C,test_out_xwalk!$A:$A)</f>
        <v>10</v>
      </c>
      <c r="T348" s="121" t="str">
        <f>IF('summary_EPA Pond'!$O348="","Check Summary EPA POND worksheet Column O",'summary_EPA Pond'!$O348)</f>
        <v>Check Summary EPA POND worksheet Column O</v>
      </c>
      <c r="U348" s="121" t="str" cm="1">
        <f t="array" ref="U348">IFERROR(_xlfn.TEXTSPLIT(T348,"_"),"")</f>
        <v>Check Summary EPA POND worksheet Column O</v>
      </c>
      <c r="AA348" s="121" t="str" cm="1">
        <f t="array" ref="AA348">IF(W348="","",(_xlfn.TEXTSPLIT(W348,"-")))</f>
        <v/>
      </c>
      <c r="AD348" s="129" t="e">
        <f>VLOOKUP(VALUE($U348),test_out_xwalk!$C:$L,3,FALSE)</f>
        <v>#VALUE!</v>
      </c>
      <c r="AE348" s="129" t="e">
        <f>VLOOKUP(VALUE($U348),test_out_xwalk!$C:$L,5,FALSE)</f>
        <v>#VALUE!</v>
      </c>
      <c r="AF348" s="129" t="e">
        <f>VLOOKUP(VALUE($U348),test_out_xwalk!$C:$L,6,FALSE)</f>
        <v>#VALUE!</v>
      </c>
      <c r="AG348" s="129" t="e">
        <f>VLOOKUP(VALUE($U348),test_out_xwalk!$C:$L,8,FALSE)</f>
        <v>#VALUE!</v>
      </c>
      <c r="AH348" s="129" t="e">
        <f>VLOOKUP(VALUE($U348),test_out_xwalk!$C:$L,7,FALSE)</f>
        <v>#VALUE!</v>
      </c>
      <c r="AI348" s="129" t="e">
        <f>VLOOKUP(VALUE($U348),test_out_xwalk!$C:$L,4,FALSE)</f>
        <v>#VALUE!</v>
      </c>
      <c r="AJ348" s="129" t="e">
        <f>VLOOKUP(VALUE($U348),test_out_xwalk!$C:$L,9,FALSE)</f>
        <v>#VALUE!</v>
      </c>
      <c r="AK348" t="e">
        <f>_xlfn.XLOOKUP(VALUE(U348),test_out_xwalk!C:C,test_out_xwalk!A:A)</f>
        <v>#VALUE!</v>
      </c>
    </row>
    <row r="349" spans="1:37" x14ac:dyDescent="0.55000000000000004">
      <c r="A349" s="121" t="str">
        <f>IF('summary_EPA Pond'!$A349="","Check Summary EPA POND worksheet Column A",'summary_EPA Pond'!$A349)</f>
        <v xml:space="preserve">26_496634-17773-67_Orchard deciduous-r14-A_USEPA Pond_0080_median                     </v>
      </c>
      <c r="B349" s="121" t="str" cm="1">
        <f t="array" ref="B349:G349">IFERROR(_xlfn.TEXTSPLIT(A349,"_"),"")</f>
        <v>26</v>
      </c>
      <c r="C349" t="str">
        <v>496634-17773-67</v>
      </c>
      <c r="D349" t="str">
        <v>Orchard deciduous-r14-A</v>
      </c>
      <c r="E349" t="str">
        <v>USEPA Pond</v>
      </c>
      <c r="F349" t="str">
        <v>0080</v>
      </c>
      <c r="G349" t="str">
        <v xml:space="preserve">median                     </v>
      </c>
      <c r="H349" s="121" t="str" cm="1">
        <f t="array" ref="H349:J349">IF(D349="","",(_xlfn.TEXTSPLIT(D349,"-")))</f>
        <v>Orchard deciduous</v>
      </c>
      <c r="I349" s="121" t="str">
        <v>r14</v>
      </c>
      <c r="J349" t="str">
        <v>A</v>
      </c>
      <c r="K349" s="129" t="str">
        <f>VLOOKUP(VALUE($B349),test_out_xwalk!$C:$L,3,FALSE)</f>
        <v>Apple-10-26</v>
      </c>
      <c r="L349" s="129">
        <f>VLOOKUP(VALUE($B349),test_out_xwalk!$C:$L,5,FALSE)</f>
        <v>2</v>
      </c>
      <c r="M349" s="129">
        <f>VLOOKUP(VALUE($B349),test_out_xwalk!$C:$L,6,FALSE)</f>
        <v>4</v>
      </c>
      <c r="N349" s="129" t="str">
        <f>VLOOKUP(VALUE($B349),test_out_xwalk!$C:$L,8,FALSE)</f>
        <v>Ground_F-MC_HB</v>
      </c>
      <c r="O349" s="129" t="str">
        <f>VLOOKUP(VALUE($B349),test_out_xwalk!$C:$L,7,FALSE)</f>
        <v>Spray</v>
      </c>
      <c r="P349" s="129" t="str">
        <f>VLOOKUP(VALUE($B349),test_out_xwalk!$C:$L,4,FALSE)</f>
        <v>Post-emergence</v>
      </c>
      <c r="Q349" s="129" t="str">
        <f>VLOOKUP(VALUE($B349),test_out_xwalk!$C:$L,9,FALSE)</f>
        <v>Other Orchards</v>
      </c>
      <c r="R349">
        <f>_xlfn.XLOOKUP(VALUE(B349),test_out_xwalk!$C:$C,test_out_xwalk!$A:$A)</f>
        <v>10</v>
      </c>
      <c r="T349" s="121" t="str">
        <f>IF('summary_EPA Pond'!$O349="","Check Summary EPA POND worksheet Column O",'summary_EPA Pond'!$O349)</f>
        <v>Check Summary EPA POND worksheet Column O</v>
      </c>
      <c r="U349" s="121" t="str" cm="1">
        <f t="array" ref="U349">IFERROR(_xlfn.TEXTSPLIT(T349,"_"),"")</f>
        <v>Check Summary EPA POND worksheet Column O</v>
      </c>
      <c r="AA349" s="121" t="str" cm="1">
        <f t="array" ref="AA349">IF(W349="","",(_xlfn.TEXTSPLIT(W349,"-")))</f>
        <v/>
      </c>
      <c r="AD349" s="129" t="e">
        <f>VLOOKUP(VALUE($U349),test_out_xwalk!$C:$L,3,FALSE)</f>
        <v>#VALUE!</v>
      </c>
      <c r="AE349" s="129" t="e">
        <f>VLOOKUP(VALUE($U349),test_out_xwalk!$C:$L,5,FALSE)</f>
        <v>#VALUE!</v>
      </c>
      <c r="AF349" s="129" t="e">
        <f>VLOOKUP(VALUE($U349),test_out_xwalk!$C:$L,6,FALSE)</f>
        <v>#VALUE!</v>
      </c>
      <c r="AG349" s="129" t="e">
        <f>VLOOKUP(VALUE($U349),test_out_xwalk!$C:$L,8,FALSE)</f>
        <v>#VALUE!</v>
      </c>
      <c r="AH349" s="129" t="e">
        <f>VLOOKUP(VALUE($U349),test_out_xwalk!$C:$L,7,FALSE)</f>
        <v>#VALUE!</v>
      </c>
      <c r="AI349" s="129" t="e">
        <f>VLOOKUP(VALUE($U349),test_out_xwalk!$C:$L,4,FALSE)</f>
        <v>#VALUE!</v>
      </c>
      <c r="AJ349" s="129" t="e">
        <f>VLOOKUP(VALUE($U349),test_out_xwalk!$C:$L,9,FALSE)</f>
        <v>#VALUE!</v>
      </c>
      <c r="AK349" t="e">
        <f>_xlfn.XLOOKUP(VALUE(U349),test_out_xwalk!C:C,test_out_xwalk!A:A)</f>
        <v>#VALUE!</v>
      </c>
    </row>
    <row r="350" spans="1:37" x14ac:dyDescent="0.55000000000000004">
      <c r="A350" s="121" t="str">
        <f>IF('summary_EPA Pond'!$A350="","Check Summary EPA POND worksheet Column A",'summary_EPA Pond'!$A350)</f>
        <v xml:space="preserve">26_53675-11396-74_Orchard deciduous-r15-A_USEPA Pond_0080_median                      </v>
      </c>
      <c r="B350" s="121" t="str" cm="1">
        <f t="array" ref="B350:G350">IFERROR(_xlfn.TEXTSPLIT(A350,"_"),"")</f>
        <v>26</v>
      </c>
      <c r="C350" t="str">
        <v>53675-11396-74</v>
      </c>
      <c r="D350" t="str">
        <v>Orchard deciduous-r15-A</v>
      </c>
      <c r="E350" t="str">
        <v>USEPA Pond</v>
      </c>
      <c r="F350" t="str">
        <v>0080</v>
      </c>
      <c r="G350" t="str">
        <v xml:space="preserve">median                      </v>
      </c>
      <c r="H350" s="121" t="str" cm="1">
        <f t="array" ref="H350:J350">IF(D350="","",(_xlfn.TEXTSPLIT(D350,"-")))</f>
        <v>Orchard deciduous</v>
      </c>
      <c r="I350" s="121" t="str">
        <v>r15</v>
      </c>
      <c r="J350" t="str">
        <v>A</v>
      </c>
      <c r="K350" s="129" t="str">
        <f>VLOOKUP(VALUE($B350),test_out_xwalk!$C:$L,3,FALSE)</f>
        <v>Apple-10-26</v>
      </c>
      <c r="L350" s="129">
        <f>VLOOKUP(VALUE($B350),test_out_xwalk!$C:$L,5,FALSE)</f>
        <v>2</v>
      </c>
      <c r="M350" s="129">
        <f>VLOOKUP(VALUE($B350),test_out_xwalk!$C:$L,6,FALSE)</f>
        <v>4</v>
      </c>
      <c r="N350" s="129" t="str">
        <f>VLOOKUP(VALUE($B350),test_out_xwalk!$C:$L,8,FALSE)</f>
        <v>Ground_F-MC_HB</v>
      </c>
      <c r="O350" s="129" t="str">
        <f>VLOOKUP(VALUE($B350),test_out_xwalk!$C:$L,7,FALSE)</f>
        <v>Spray</v>
      </c>
      <c r="P350" s="129" t="str">
        <f>VLOOKUP(VALUE($B350),test_out_xwalk!$C:$L,4,FALSE)</f>
        <v>Post-emergence</v>
      </c>
      <c r="Q350" s="129" t="str">
        <f>VLOOKUP(VALUE($B350),test_out_xwalk!$C:$L,9,FALSE)</f>
        <v>Other Orchards</v>
      </c>
      <c r="R350">
        <f>_xlfn.XLOOKUP(VALUE(B350),test_out_xwalk!$C:$C,test_out_xwalk!$A:$A)</f>
        <v>10</v>
      </c>
      <c r="T350" s="121" t="str">
        <f>IF('summary_EPA Pond'!$O350="","Check Summary EPA POND worksheet Column O",'summary_EPA Pond'!$O350)</f>
        <v>Check Summary EPA POND worksheet Column O</v>
      </c>
      <c r="U350" s="121" t="str" cm="1">
        <f t="array" ref="U350">IFERROR(_xlfn.TEXTSPLIT(T350,"_"),"")</f>
        <v>Check Summary EPA POND worksheet Column O</v>
      </c>
      <c r="AA350" s="121" t="str" cm="1">
        <f t="array" ref="AA350">IF(W350="","",(_xlfn.TEXTSPLIT(W350,"-")))</f>
        <v/>
      </c>
      <c r="AD350" s="129" t="e">
        <f>VLOOKUP(VALUE($U350),test_out_xwalk!$C:$L,3,FALSE)</f>
        <v>#VALUE!</v>
      </c>
      <c r="AE350" s="129" t="e">
        <f>VLOOKUP(VALUE($U350),test_out_xwalk!$C:$L,5,FALSE)</f>
        <v>#VALUE!</v>
      </c>
      <c r="AF350" s="129" t="e">
        <f>VLOOKUP(VALUE($U350),test_out_xwalk!$C:$L,6,FALSE)</f>
        <v>#VALUE!</v>
      </c>
      <c r="AG350" s="129" t="e">
        <f>VLOOKUP(VALUE($U350),test_out_xwalk!$C:$L,8,FALSE)</f>
        <v>#VALUE!</v>
      </c>
      <c r="AH350" s="129" t="e">
        <f>VLOOKUP(VALUE($U350),test_out_xwalk!$C:$L,7,FALSE)</f>
        <v>#VALUE!</v>
      </c>
      <c r="AI350" s="129" t="e">
        <f>VLOOKUP(VALUE($U350),test_out_xwalk!$C:$L,4,FALSE)</f>
        <v>#VALUE!</v>
      </c>
      <c r="AJ350" s="129" t="e">
        <f>VLOOKUP(VALUE($U350),test_out_xwalk!$C:$L,9,FALSE)</f>
        <v>#VALUE!</v>
      </c>
      <c r="AK350" t="e">
        <f>_xlfn.XLOOKUP(VALUE(U350),test_out_xwalk!C:C,test_out_xwalk!A:A)</f>
        <v>#VALUE!</v>
      </c>
    </row>
    <row r="351" spans="1:37" x14ac:dyDescent="0.55000000000000004">
      <c r="A351" s="121" t="str">
        <f>IF('summary_EPA Pond'!$A351="","Check Summary EPA POND worksheet Column A",'summary_EPA Pond'!$A351)</f>
        <v xml:space="preserve">26_483390-18938-66_Orchard deciduous-r16-A_USEPA Pond_0080_median                     </v>
      </c>
      <c r="B351" s="121" t="str" cm="1">
        <f t="array" ref="B351:G351">IFERROR(_xlfn.TEXTSPLIT(A351,"_"),"")</f>
        <v>26</v>
      </c>
      <c r="C351" t="str">
        <v>483390-18938-66</v>
      </c>
      <c r="D351" t="str">
        <v>Orchard deciduous-r16-A</v>
      </c>
      <c r="E351" t="str">
        <v>USEPA Pond</v>
      </c>
      <c r="F351" t="str">
        <v>0080</v>
      </c>
      <c r="G351" t="str">
        <v xml:space="preserve">median                     </v>
      </c>
      <c r="H351" s="121" t="str" cm="1">
        <f t="array" ref="H351:J351">IF(D351="","",(_xlfn.TEXTSPLIT(D351,"-")))</f>
        <v>Orchard deciduous</v>
      </c>
      <c r="I351" s="121" t="str">
        <v>r16</v>
      </c>
      <c r="J351" t="str">
        <v>A</v>
      </c>
      <c r="K351" s="129" t="str">
        <f>VLOOKUP(VALUE($B351),test_out_xwalk!$C:$L,3,FALSE)</f>
        <v>Apple-10-26</v>
      </c>
      <c r="L351" s="129">
        <f>VLOOKUP(VALUE($B351),test_out_xwalk!$C:$L,5,FALSE)</f>
        <v>2</v>
      </c>
      <c r="M351" s="129">
        <f>VLOOKUP(VALUE($B351),test_out_xwalk!$C:$L,6,FALSE)</f>
        <v>4</v>
      </c>
      <c r="N351" s="129" t="str">
        <f>VLOOKUP(VALUE($B351),test_out_xwalk!$C:$L,8,FALSE)</f>
        <v>Ground_F-MC_HB</v>
      </c>
      <c r="O351" s="129" t="str">
        <f>VLOOKUP(VALUE($B351),test_out_xwalk!$C:$L,7,FALSE)</f>
        <v>Spray</v>
      </c>
      <c r="P351" s="129" t="str">
        <f>VLOOKUP(VALUE($B351),test_out_xwalk!$C:$L,4,FALSE)</f>
        <v>Post-emergence</v>
      </c>
      <c r="Q351" s="129" t="str">
        <f>VLOOKUP(VALUE($B351),test_out_xwalk!$C:$L,9,FALSE)</f>
        <v>Other Orchards</v>
      </c>
      <c r="R351">
        <f>_xlfn.XLOOKUP(VALUE(B351),test_out_xwalk!$C:$C,test_out_xwalk!$A:$A)</f>
        <v>10</v>
      </c>
      <c r="T351" s="121" t="str">
        <f>IF('summary_EPA Pond'!$O351="","Check Summary EPA POND worksheet Column O",'summary_EPA Pond'!$O351)</f>
        <v>Check Summary EPA POND worksheet Column O</v>
      </c>
      <c r="U351" s="121" t="str" cm="1">
        <f t="array" ref="U351">IFERROR(_xlfn.TEXTSPLIT(T351,"_"),"")</f>
        <v>Check Summary EPA POND worksheet Column O</v>
      </c>
      <c r="AA351" s="121" t="str" cm="1">
        <f t="array" ref="AA351">IF(W351="","",(_xlfn.TEXTSPLIT(W351,"-")))</f>
        <v/>
      </c>
      <c r="AD351" s="129" t="e">
        <f>VLOOKUP(VALUE($U351),test_out_xwalk!$C:$L,3,FALSE)</f>
        <v>#VALUE!</v>
      </c>
      <c r="AE351" s="129" t="e">
        <f>VLOOKUP(VALUE($U351),test_out_xwalk!$C:$L,5,FALSE)</f>
        <v>#VALUE!</v>
      </c>
      <c r="AF351" s="129" t="e">
        <f>VLOOKUP(VALUE($U351),test_out_xwalk!$C:$L,6,FALSE)</f>
        <v>#VALUE!</v>
      </c>
      <c r="AG351" s="129" t="e">
        <f>VLOOKUP(VALUE($U351),test_out_xwalk!$C:$L,8,FALSE)</f>
        <v>#VALUE!</v>
      </c>
      <c r="AH351" s="129" t="e">
        <f>VLOOKUP(VALUE($U351),test_out_xwalk!$C:$L,7,FALSE)</f>
        <v>#VALUE!</v>
      </c>
      <c r="AI351" s="129" t="e">
        <f>VLOOKUP(VALUE($U351),test_out_xwalk!$C:$L,4,FALSE)</f>
        <v>#VALUE!</v>
      </c>
      <c r="AJ351" s="129" t="e">
        <f>VLOOKUP(VALUE($U351),test_out_xwalk!$C:$L,9,FALSE)</f>
        <v>#VALUE!</v>
      </c>
      <c r="AK351" t="e">
        <f>_xlfn.XLOOKUP(VALUE(U351),test_out_xwalk!C:C,test_out_xwalk!A:A)</f>
        <v>#VALUE!</v>
      </c>
    </row>
    <row r="352" spans="1:37" x14ac:dyDescent="0.55000000000000004">
      <c r="A352" s="121" t="str">
        <f>IF('summary_EPA Pond'!$A352="","Check Summary EPA POND worksheet Column A",'summary_EPA Pond'!$A352)</f>
        <v xml:space="preserve">26_62699-22668-71_Orchard deciduous-r17-A_USEPA Pond_0080_median                      </v>
      </c>
      <c r="B352" s="121" t="str" cm="1">
        <f t="array" ref="B352:G352">IFERROR(_xlfn.TEXTSPLIT(A352,"_"),"")</f>
        <v>26</v>
      </c>
      <c r="C352" t="str">
        <v>62699-22668-71</v>
      </c>
      <c r="D352" t="str">
        <v>Orchard deciduous-r17-A</v>
      </c>
      <c r="E352" t="str">
        <v>USEPA Pond</v>
      </c>
      <c r="F352" t="str">
        <v>0080</v>
      </c>
      <c r="G352" t="str">
        <v xml:space="preserve">median                      </v>
      </c>
      <c r="H352" s="121" t="str" cm="1">
        <f t="array" ref="H352:J352">IF(D352="","",(_xlfn.TEXTSPLIT(D352,"-")))</f>
        <v>Orchard deciduous</v>
      </c>
      <c r="I352" s="121" t="str">
        <v>r17</v>
      </c>
      <c r="J352" t="str">
        <v>A</v>
      </c>
      <c r="K352" s="129" t="str">
        <f>VLOOKUP(VALUE($B352),test_out_xwalk!$C:$L,3,FALSE)</f>
        <v>Apple-10-26</v>
      </c>
      <c r="L352" s="129">
        <f>VLOOKUP(VALUE($B352),test_out_xwalk!$C:$L,5,FALSE)</f>
        <v>2</v>
      </c>
      <c r="M352" s="129">
        <f>VLOOKUP(VALUE($B352),test_out_xwalk!$C:$L,6,FALSE)</f>
        <v>4</v>
      </c>
      <c r="N352" s="129" t="str">
        <f>VLOOKUP(VALUE($B352),test_out_xwalk!$C:$L,8,FALSE)</f>
        <v>Ground_F-MC_HB</v>
      </c>
      <c r="O352" s="129" t="str">
        <f>VLOOKUP(VALUE($B352),test_out_xwalk!$C:$L,7,FALSE)</f>
        <v>Spray</v>
      </c>
      <c r="P352" s="129" t="str">
        <f>VLOOKUP(VALUE($B352),test_out_xwalk!$C:$L,4,FALSE)</f>
        <v>Post-emergence</v>
      </c>
      <c r="Q352" s="129" t="str">
        <f>VLOOKUP(VALUE($B352),test_out_xwalk!$C:$L,9,FALSE)</f>
        <v>Other Orchards</v>
      </c>
      <c r="R352">
        <f>_xlfn.XLOOKUP(VALUE(B352),test_out_xwalk!$C:$C,test_out_xwalk!$A:$A)</f>
        <v>10</v>
      </c>
      <c r="T352" s="121" t="str">
        <f>IF('summary_EPA Pond'!$O352="","Check Summary EPA POND worksheet Column O",'summary_EPA Pond'!$O352)</f>
        <v>Check Summary EPA POND worksheet Column O</v>
      </c>
      <c r="U352" s="121" t="str" cm="1">
        <f t="array" ref="U352">IFERROR(_xlfn.TEXTSPLIT(T352,"_"),"")</f>
        <v>Check Summary EPA POND worksheet Column O</v>
      </c>
      <c r="AA352" s="121" t="str" cm="1">
        <f t="array" ref="AA352">IF(W352="","",(_xlfn.TEXTSPLIT(W352,"-")))</f>
        <v/>
      </c>
      <c r="AD352" s="129" t="e">
        <f>VLOOKUP(VALUE($U352),test_out_xwalk!$C:$L,3,FALSE)</f>
        <v>#VALUE!</v>
      </c>
      <c r="AE352" s="129" t="e">
        <f>VLOOKUP(VALUE($U352),test_out_xwalk!$C:$L,5,FALSE)</f>
        <v>#VALUE!</v>
      </c>
      <c r="AF352" s="129" t="e">
        <f>VLOOKUP(VALUE($U352),test_out_xwalk!$C:$L,6,FALSE)</f>
        <v>#VALUE!</v>
      </c>
      <c r="AG352" s="129" t="e">
        <f>VLOOKUP(VALUE($U352),test_out_xwalk!$C:$L,8,FALSE)</f>
        <v>#VALUE!</v>
      </c>
      <c r="AH352" s="129" t="e">
        <f>VLOOKUP(VALUE($U352),test_out_xwalk!$C:$L,7,FALSE)</f>
        <v>#VALUE!</v>
      </c>
      <c r="AI352" s="129" t="e">
        <f>VLOOKUP(VALUE($U352),test_out_xwalk!$C:$L,4,FALSE)</f>
        <v>#VALUE!</v>
      </c>
      <c r="AJ352" s="129" t="e">
        <f>VLOOKUP(VALUE($U352),test_out_xwalk!$C:$L,9,FALSE)</f>
        <v>#VALUE!</v>
      </c>
      <c r="AK352" t="e">
        <f>_xlfn.XLOOKUP(VALUE(U352),test_out_xwalk!C:C,test_out_xwalk!A:A)</f>
        <v>#VALUE!</v>
      </c>
    </row>
    <row r="353" spans="1:37" x14ac:dyDescent="0.55000000000000004">
      <c r="A353" s="121" t="str">
        <f>IF('summary_EPA Pond'!$A353="","Check Summary EPA POND worksheet Column A",'summary_EPA Pond'!$A353)</f>
        <v xml:space="preserve">26_462066-17012-75_Orchard deciduous-r18-A_USEPA Pond_0080_median                     </v>
      </c>
      <c r="B353" s="121" t="str" cm="1">
        <f t="array" ref="B353:G353">IFERROR(_xlfn.TEXTSPLIT(A353,"_"),"")</f>
        <v>26</v>
      </c>
      <c r="C353" t="str">
        <v>462066-17012-75</v>
      </c>
      <c r="D353" t="str">
        <v>Orchard deciduous-r18-A</v>
      </c>
      <c r="E353" t="str">
        <v>USEPA Pond</v>
      </c>
      <c r="F353" t="str">
        <v>0080</v>
      </c>
      <c r="G353" t="str">
        <v xml:space="preserve">median                     </v>
      </c>
      <c r="H353" s="121" t="str" cm="1">
        <f t="array" ref="H353:J353">IF(D353="","",(_xlfn.TEXTSPLIT(D353,"-")))</f>
        <v>Orchard deciduous</v>
      </c>
      <c r="I353" s="121" t="str">
        <v>r18</v>
      </c>
      <c r="J353" t="str">
        <v>A</v>
      </c>
      <c r="K353" s="129" t="str">
        <f>VLOOKUP(VALUE($B353),test_out_xwalk!$C:$L,3,FALSE)</f>
        <v>Apple-10-26</v>
      </c>
      <c r="L353" s="129">
        <f>VLOOKUP(VALUE($B353),test_out_xwalk!$C:$L,5,FALSE)</f>
        <v>2</v>
      </c>
      <c r="M353" s="129">
        <f>VLOOKUP(VALUE($B353),test_out_xwalk!$C:$L,6,FALSE)</f>
        <v>4</v>
      </c>
      <c r="N353" s="129" t="str">
        <f>VLOOKUP(VALUE($B353),test_out_xwalk!$C:$L,8,FALSE)</f>
        <v>Ground_F-MC_HB</v>
      </c>
      <c r="O353" s="129" t="str">
        <f>VLOOKUP(VALUE($B353),test_out_xwalk!$C:$L,7,FALSE)</f>
        <v>Spray</v>
      </c>
      <c r="P353" s="129" t="str">
        <f>VLOOKUP(VALUE($B353),test_out_xwalk!$C:$L,4,FALSE)</f>
        <v>Post-emergence</v>
      </c>
      <c r="Q353" s="129" t="str">
        <f>VLOOKUP(VALUE($B353),test_out_xwalk!$C:$L,9,FALSE)</f>
        <v>Other Orchards</v>
      </c>
      <c r="R353">
        <f>_xlfn.XLOOKUP(VALUE(B353),test_out_xwalk!$C:$C,test_out_xwalk!$A:$A)</f>
        <v>10</v>
      </c>
      <c r="T353" s="121" t="str">
        <f>IF('summary_EPA Pond'!$O353="","Check Summary EPA POND worksheet Column O",'summary_EPA Pond'!$O353)</f>
        <v>Check Summary EPA POND worksheet Column O</v>
      </c>
      <c r="U353" s="121" t="str" cm="1">
        <f t="array" ref="U353">IFERROR(_xlfn.TEXTSPLIT(T353,"_"),"")</f>
        <v>Check Summary EPA POND worksheet Column O</v>
      </c>
      <c r="AA353" s="121" t="str" cm="1">
        <f t="array" ref="AA353">IF(W353="","",(_xlfn.TEXTSPLIT(W353,"-")))</f>
        <v/>
      </c>
      <c r="AD353" s="129" t="e">
        <f>VLOOKUP(VALUE($U353),test_out_xwalk!$C:$L,3,FALSE)</f>
        <v>#VALUE!</v>
      </c>
      <c r="AE353" s="129" t="e">
        <f>VLOOKUP(VALUE($U353),test_out_xwalk!$C:$L,5,FALSE)</f>
        <v>#VALUE!</v>
      </c>
      <c r="AF353" s="129" t="e">
        <f>VLOOKUP(VALUE($U353),test_out_xwalk!$C:$L,6,FALSE)</f>
        <v>#VALUE!</v>
      </c>
      <c r="AG353" s="129" t="e">
        <f>VLOOKUP(VALUE($U353),test_out_xwalk!$C:$L,8,FALSE)</f>
        <v>#VALUE!</v>
      </c>
      <c r="AH353" s="129" t="e">
        <f>VLOOKUP(VALUE($U353),test_out_xwalk!$C:$L,7,FALSE)</f>
        <v>#VALUE!</v>
      </c>
      <c r="AI353" s="129" t="e">
        <f>VLOOKUP(VALUE($U353),test_out_xwalk!$C:$L,4,FALSE)</f>
        <v>#VALUE!</v>
      </c>
      <c r="AJ353" s="129" t="e">
        <f>VLOOKUP(VALUE($U353),test_out_xwalk!$C:$L,9,FALSE)</f>
        <v>#VALUE!</v>
      </c>
      <c r="AK353" t="e">
        <f>_xlfn.XLOOKUP(VALUE(U353),test_out_xwalk!C:C,test_out_xwalk!A:A)</f>
        <v>#VALUE!</v>
      </c>
    </row>
    <row r="354" spans="1:37" x14ac:dyDescent="0.55000000000000004">
      <c r="A354" s="121" t="str">
        <f>IF('summary_EPA Pond'!$A354="","Check Summary EPA POND worksheet Column A",'summary_EPA Pond'!$A354)</f>
        <v xml:space="preserve">27_286087-20273-68_Orchard deciduous-r01-A_USEPA Pond_0080_median                     </v>
      </c>
      <c r="B354" s="121" t="str" cm="1">
        <f t="array" ref="B354:G354">IFERROR(_xlfn.TEXTSPLIT(A354,"_"),"")</f>
        <v>27</v>
      </c>
      <c r="C354" t="str">
        <v>286087-20273-68</v>
      </c>
      <c r="D354" t="str">
        <v>Orchard deciduous-r01-A</v>
      </c>
      <c r="E354" t="str">
        <v>USEPA Pond</v>
      </c>
      <c r="F354" t="str">
        <v>0080</v>
      </c>
      <c r="G354" t="str">
        <v xml:space="preserve">median                     </v>
      </c>
      <c r="H354" s="121" t="str" cm="1">
        <f t="array" ref="H354:J354">IF(D354="","",(_xlfn.TEXTSPLIT(D354,"-")))</f>
        <v>Orchard deciduous</v>
      </c>
      <c r="I354" s="121" t="str">
        <v>r01</v>
      </c>
      <c r="J354" t="str">
        <v>A</v>
      </c>
      <c r="K354" s="129" t="str">
        <f>VLOOKUP(VALUE($B354),test_out_xwalk!$C:$L,3,FALSE)</f>
        <v>Apple-10-27</v>
      </c>
      <c r="L354" s="129">
        <f>VLOOKUP(VALUE($B354),test_out_xwalk!$C:$L,5,FALSE)</f>
        <v>2</v>
      </c>
      <c r="M354" s="129">
        <f>VLOOKUP(VALUE($B354),test_out_xwalk!$C:$L,6,FALSE)</f>
        <v>4</v>
      </c>
      <c r="N354" s="129" t="str">
        <f>VLOOKUP(VALUE($B354),test_out_xwalk!$C:$L,8,FALSE)</f>
        <v>Airblast_Sparse</v>
      </c>
      <c r="O354" s="129" t="str">
        <f>VLOOKUP(VALUE($B354),test_out_xwalk!$C:$L,7,FALSE)</f>
        <v>Spray</v>
      </c>
      <c r="P354" s="129" t="str">
        <f>VLOOKUP(VALUE($B354),test_out_xwalk!$C:$L,4,FALSE)</f>
        <v>Post-emergence</v>
      </c>
      <c r="Q354" s="129" t="str">
        <f>VLOOKUP(VALUE($B354),test_out_xwalk!$C:$L,9,FALSE)</f>
        <v>Other Orchards</v>
      </c>
      <c r="R354">
        <f>_xlfn.XLOOKUP(VALUE(B354),test_out_xwalk!$C:$C,test_out_xwalk!$A:$A)</f>
        <v>10</v>
      </c>
      <c r="T354" s="121" t="str">
        <f>IF('summary_EPA Pond'!$O354="","Check Summary EPA POND worksheet Column O",'summary_EPA Pond'!$O354)</f>
        <v>Check Summary EPA POND worksheet Column O</v>
      </c>
      <c r="U354" s="121" t="str" cm="1">
        <f t="array" ref="U354">IFERROR(_xlfn.TEXTSPLIT(T354,"_"),"")</f>
        <v>Check Summary EPA POND worksheet Column O</v>
      </c>
      <c r="AA354" s="121" t="str" cm="1">
        <f t="array" ref="AA354">IF(W354="","",(_xlfn.TEXTSPLIT(W354,"-")))</f>
        <v/>
      </c>
      <c r="AD354" s="129" t="e">
        <f>VLOOKUP(VALUE($U354),test_out_xwalk!$C:$L,3,FALSE)</f>
        <v>#VALUE!</v>
      </c>
      <c r="AE354" s="129" t="e">
        <f>VLOOKUP(VALUE($U354),test_out_xwalk!$C:$L,5,FALSE)</f>
        <v>#VALUE!</v>
      </c>
      <c r="AF354" s="129" t="e">
        <f>VLOOKUP(VALUE($U354),test_out_xwalk!$C:$L,6,FALSE)</f>
        <v>#VALUE!</v>
      </c>
      <c r="AG354" s="129" t="e">
        <f>VLOOKUP(VALUE($U354),test_out_xwalk!$C:$L,8,FALSE)</f>
        <v>#VALUE!</v>
      </c>
      <c r="AH354" s="129" t="e">
        <f>VLOOKUP(VALUE($U354),test_out_xwalk!$C:$L,7,FALSE)</f>
        <v>#VALUE!</v>
      </c>
      <c r="AI354" s="129" t="e">
        <f>VLOOKUP(VALUE($U354),test_out_xwalk!$C:$L,4,FALSE)</f>
        <v>#VALUE!</v>
      </c>
      <c r="AJ354" s="129" t="e">
        <f>VLOOKUP(VALUE($U354),test_out_xwalk!$C:$L,9,FALSE)</f>
        <v>#VALUE!</v>
      </c>
      <c r="AK354" t="e">
        <f>_xlfn.XLOOKUP(VALUE(U354),test_out_xwalk!C:C,test_out_xwalk!A:A)</f>
        <v>#VALUE!</v>
      </c>
    </row>
    <row r="355" spans="1:37" x14ac:dyDescent="0.55000000000000004">
      <c r="A355" s="121" t="str">
        <f>IF('summary_EPA Pond'!$A355="","Check Summary EPA POND worksheet Column A",'summary_EPA Pond'!$A355)</f>
        <v xml:space="preserve">27_295501-20504-68_Orchard deciduous-r02-A_USEPA Pond_0080_median                     </v>
      </c>
      <c r="B355" s="121" t="str" cm="1">
        <f t="array" ref="B355:G355">IFERROR(_xlfn.TEXTSPLIT(A355,"_"),"")</f>
        <v>27</v>
      </c>
      <c r="C355" t="str">
        <v>295501-20504-68</v>
      </c>
      <c r="D355" t="str">
        <v>Orchard deciduous-r02-A</v>
      </c>
      <c r="E355" t="str">
        <v>USEPA Pond</v>
      </c>
      <c r="F355" t="str">
        <v>0080</v>
      </c>
      <c r="G355" t="str">
        <v xml:space="preserve">median                     </v>
      </c>
      <c r="H355" s="121" t="str" cm="1">
        <f t="array" ref="H355:J355">IF(D355="","",(_xlfn.TEXTSPLIT(D355,"-")))</f>
        <v>Orchard deciduous</v>
      </c>
      <c r="I355" s="121" t="str">
        <v>r02</v>
      </c>
      <c r="J355" t="str">
        <v>A</v>
      </c>
      <c r="K355" s="129" t="str">
        <f>VLOOKUP(VALUE($B355),test_out_xwalk!$C:$L,3,FALSE)</f>
        <v>Apple-10-27</v>
      </c>
      <c r="L355" s="129">
        <f>VLOOKUP(VALUE($B355),test_out_xwalk!$C:$L,5,FALSE)</f>
        <v>2</v>
      </c>
      <c r="M355" s="129">
        <f>VLOOKUP(VALUE($B355),test_out_xwalk!$C:$L,6,FALSE)</f>
        <v>4</v>
      </c>
      <c r="N355" s="129" t="str">
        <f>VLOOKUP(VALUE($B355),test_out_xwalk!$C:$L,8,FALSE)</f>
        <v>Airblast_Sparse</v>
      </c>
      <c r="O355" s="129" t="str">
        <f>VLOOKUP(VALUE($B355),test_out_xwalk!$C:$L,7,FALSE)</f>
        <v>Spray</v>
      </c>
      <c r="P355" s="129" t="str">
        <f>VLOOKUP(VALUE($B355),test_out_xwalk!$C:$L,4,FALSE)</f>
        <v>Post-emergence</v>
      </c>
      <c r="Q355" s="129" t="str">
        <f>VLOOKUP(VALUE($B355),test_out_xwalk!$C:$L,9,FALSE)</f>
        <v>Other Orchards</v>
      </c>
      <c r="R355">
        <f>_xlfn.XLOOKUP(VALUE(B355),test_out_xwalk!$C:$C,test_out_xwalk!$A:$A)</f>
        <v>10</v>
      </c>
      <c r="T355" s="121" t="str">
        <f>IF('summary_EPA Pond'!$O355="","Check Summary EPA POND worksheet Column O",'summary_EPA Pond'!$O355)</f>
        <v>Check Summary EPA POND worksheet Column O</v>
      </c>
      <c r="U355" s="121" t="str" cm="1">
        <f t="array" ref="U355">IFERROR(_xlfn.TEXTSPLIT(T355,"_"),"")</f>
        <v>Check Summary EPA POND worksheet Column O</v>
      </c>
      <c r="AA355" s="121" t="str" cm="1">
        <f t="array" ref="AA355">IF(W355="","",(_xlfn.TEXTSPLIT(W355,"-")))</f>
        <v/>
      </c>
      <c r="AD355" s="129" t="e">
        <f>VLOOKUP(VALUE($U355),test_out_xwalk!$C:$L,3,FALSE)</f>
        <v>#VALUE!</v>
      </c>
      <c r="AE355" s="129" t="e">
        <f>VLOOKUP(VALUE($U355),test_out_xwalk!$C:$L,5,FALSE)</f>
        <v>#VALUE!</v>
      </c>
      <c r="AF355" s="129" t="e">
        <f>VLOOKUP(VALUE($U355),test_out_xwalk!$C:$L,6,FALSE)</f>
        <v>#VALUE!</v>
      </c>
      <c r="AG355" s="129" t="e">
        <f>VLOOKUP(VALUE($U355),test_out_xwalk!$C:$L,8,FALSE)</f>
        <v>#VALUE!</v>
      </c>
      <c r="AH355" s="129" t="e">
        <f>VLOOKUP(VALUE($U355),test_out_xwalk!$C:$L,7,FALSE)</f>
        <v>#VALUE!</v>
      </c>
      <c r="AI355" s="129" t="e">
        <f>VLOOKUP(VALUE($U355),test_out_xwalk!$C:$L,4,FALSE)</f>
        <v>#VALUE!</v>
      </c>
      <c r="AJ355" s="129" t="e">
        <f>VLOOKUP(VALUE($U355),test_out_xwalk!$C:$L,9,FALSE)</f>
        <v>#VALUE!</v>
      </c>
      <c r="AK355" t="e">
        <f>_xlfn.XLOOKUP(VALUE(U355),test_out_xwalk!C:C,test_out_xwalk!A:A)</f>
        <v>#VALUE!</v>
      </c>
    </row>
    <row r="356" spans="1:37" x14ac:dyDescent="0.55000000000000004">
      <c r="A356" s="121" t="str">
        <f>IF('summary_EPA Pond'!$A356="","Check Summary EPA POND worksheet Column A",'summary_EPA Pond'!$A356)</f>
        <v xml:space="preserve">27_130628-13873-74_Orchard deciduous-r03N-A_USEPA Pond_0080_median                    </v>
      </c>
      <c r="B356" s="121" t="str" cm="1">
        <f t="array" ref="B356:G356">IFERROR(_xlfn.TEXTSPLIT(A356,"_"),"")</f>
        <v>27</v>
      </c>
      <c r="C356" t="str">
        <v>130628-13873-74</v>
      </c>
      <c r="D356" t="str">
        <v>Orchard deciduous-r03N-A</v>
      </c>
      <c r="E356" t="str">
        <v>USEPA Pond</v>
      </c>
      <c r="F356" t="str">
        <v>0080</v>
      </c>
      <c r="G356" t="str">
        <v xml:space="preserve">median                    </v>
      </c>
      <c r="H356" s="121" t="str" cm="1">
        <f t="array" ref="H356:J356">IF(D356="","",(_xlfn.TEXTSPLIT(D356,"-")))</f>
        <v>Orchard deciduous</v>
      </c>
      <c r="I356" s="121" t="str">
        <v>r03N</v>
      </c>
      <c r="J356" t="str">
        <v>A</v>
      </c>
      <c r="K356" s="129" t="str">
        <f>VLOOKUP(VALUE($B356),test_out_xwalk!$C:$L,3,FALSE)</f>
        <v>Apple-10-27</v>
      </c>
      <c r="L356" s="129">
        <f>VLOOKUP(VALUE($B356),test_out_xwalk!$C:$L,5,FALSE)</f>
        <v>2</v>
      </c>
      <c r="M356" s="129">
        <f>VLOOKUP(VALUE($B356),test_out_xwalk!$C:$L,6,FALSE)</f>
        <v>4</v>
      </c>
      <c r="N356" s="129" t="str">
        <f>VLOOKUP(VALUE($B356),test_out_xwalk!$C:$L,8,FALSE)</f>
        <v>Airblast_Sparse</v>
      </c>
      <c r="O356" s="129" t="str">
        <f>VLOOKUP(VALUE($B356),test_out_xwalk!$C:$L,7,FALSE)</f>
        <v>Spray</v>
      </c>
      <c r="P356" s="129" t="str">
        <f>VLOOKUP(VALUE($B356),test_out_xwalk!$C:$L,4,FALSE)</f>
        <v>Post-emergence</v>
      </c>
      <c r="Q356" s="129" t="str">
        <f>VLOOKUP(VALUE($B356),test_out_xwalk!$C:$L,9,FALSE)</f>
        <v>Other Orchards</v>
      </c>
      <c r="R356">
        <f>_xlfn.XLOOKUP(VALUE(B356),test_out_xwalk!$C:$C,test_out_xwalk!$A:$A)</f>
        <v>10</v>
      </c>
      <c r="T356" s="121" t="str">
        <f>IF('summary_EPA Pond'!$O356="","Check Summary EPA POND worksheet Column O",'summary_EPA Pond'!$O356)</f>
        <v>Check Summary EPA POND worksheet Column O</v>
      </c>
      <c r="U356" s="121" t="str" cm="1">
        <f t="array" ref="U356">IFERROR(_xlfn.TEXTSPLIT(T356,"_"),"")</f>
        <v>Check Summary EPA POND worksheet Column O</v>
      </c>
      <c r="AA356" s="121" t="str" cm="1">
        <f t="array" ref="AA356">IF(W356="","",(_xlfn.TEXTSPLIT(W356,"-")))</f>
        <v/>
      </c>
      <c r="AD356" s="129" t="e">
        <f>VLOOKUP(VALUE($U356),test_out_xwalk!$C:$L,3,FALSE)</f>
        <v>#VALUE!</v>
      </c>
      <c r="AE356" s="129" t="e">
        <f>VLOOKUP(VALUE($U356),test_out_xwalk!$C:$L,5,FALSE)</f>
        <v>#VALUE!</v>
      </c>
      <c r="AF356" s="129" t="e">
        <f>VLOOKUP(VALUE($U356),test_out_xwalk!$C:$L,6,FALSE)</f>
        <v>#VALUE!</v>
      </c>
      <c r="AG356" s="129" t="e">
        <f>VLOOKUP(VALUE($U356),test_out_xwalk!$C:$L,8,FALSE)</f>
        <v>#VALUE!</v>
      </c>
      <c r="AH356" s="129" t="e">
        <f>VLOOKUP(VALUE($U356),test_out_xwalk!$C:$L,7,FALSE)</f>
        <v>#VALUE!</v>
      </c>
      <c r="AI356" s="129" t="e">
        <f>VLOOKUP(VALUE($U356),test_out_xwalk!$C:$L,4,FALSE)</f>
        <v>#VALUE!</v>
      </c>
      <c r="AJ356" s="129" t="e">
        <f>VLOOKUP(VALUE($U356),test_out_xwalk!$C:$L,9,FALSE)</f>
        <v>#VALUE!</v>
      </c>
      <c r="AK356" t="e">
        <f>_xlfn.XLOOKUP(VALUE(U356),test_out_xwalk!C:C,test_out_xwalk!A:A)</f>
        <v>#VALUE!</v>
      </c>
    </row>
    <row r="357" spans="1:37" x14ac:dyDescent="0.55000000000000004">
      <c r="A357" s="121" t="str">
        <f>IF('summary_EPA Pond'!$A357="","Check Summary EPA POND worksheet Column A",'summary_EPA Pond'!$A357)</f>
        <v xml:space="preserve">27_125133-11268-74_Orchard deciduous-r03S-A_USEPA Pond_0080_median                    </v>
      </c>
      <c r="B357" s="121" t="str" cm="1">
        <f t="array" ref="B357:G357">IFERROR(_xlfn.TEXTSPLIT(A357,"_"),"")</f>
        <v>27</v>
      </c>
      <c r="C357" t="str">
        <v>125133-11268-74</v>
      </c>
      <c r="D357" t="str">
        <v>Orchard deciduous-r03S-A</v>
      </c>
      <c r="E357" t="str">
        <v>USEPA Pond</v>
      </c>
      <c r="F357" t="str">
        <v>0080</v>
      </c>
      <c r="G357" t="str">
        <v xml:space="preserve">median                    </v>
      </c>
      <c r="H357" s="121" t="str" cm="1">
        <f t="array" ref="H357:J357">IF(D357="","",(_xlfn.TEXTSPLIT(D357,"-")))</f>
        <v>Orchard deciduous</v>
      </c>
      <c r="I357" s="121" t="str">
        <v>r03S</v>
      </c>
      <c r="J357" t="str">
        <v>A</v>
      </c>
      <c r="K357" s="129" t="str">
        <f>VLOOKUP(VALUE($B357),test_out_xwalk!$C:$L,3,FALSE)</f>
        <v>Apple-10-27</v>
      </c>
      <c r="L357" s="129">
        <f>VLOOKUP(VALUE($B357),test_out_xwalk!$C:$L,5,FALSE)</f>
        <v>2</v>
      </c>
      <c r="M357" s="129">
        <f>VLOOKUP(VALUE($B357),test_out_xwalk!$C:$L,6,FALSE)</f>
        <v>4</v>
      </c>
      <c r="N357" s="129" t="str">
        <f>VLOOKUP(VALUE($B357),test_out_xwalk!$C:$L,8,FALSE)</f>
        <v>Airblast_Sparse</v>
      </c>
      <c r="O357" s="129" t="str">
        <f>VLOOKUP(VALUE($B357),test_out_xwalk!$C:$L,7,FALSE)</f>
        <v>Spray</v>
      </c>
      <c r="P357" s="129" t="str">
        <f>VLOOKUP(VALUE($B357),test_out_xwalk!$C:$L,4,FALSE)</f>
        <v>Post-emergence</v>
      </c>
      <c r="Q357" s="129" t="str">
        <f>VLOOKUP(VALUE($B357),test_out_xwalk!$C:$L,9,FALSE)</f>
        <v>Other Orchards</v>
      </c>
      <c r="R357">
        <f>_xlfn.XLOOKUP(VALUE(B357),test_out_xwalk!$C:$C,test_out_xwalk!$A:$A)</f>
        <v>10</v>
      </c>
      <c r="T357" s="121" t="str">
        <f>IF('summary_EPA Pond'!$O357="","Check Summary EPA POND worksheet Column O",'summary_EPA Pond'!$O357)</f>
        <v>Check Summary EPA POND worksheet Column O</v>
      </c>
      <c r="U357" s="121" t="str" cm="1">
        <f t="array" ref="U357">IFERROR(_xlfn.TEXTSPLIT(T357,"_"),"")</f>
        <v>Check Summary EPA POND worksheet Column O</v>
      </c>
      <c r="AA357" s="121" t="str" cm="1">
        <f t="array" ref="AA357">IF(W357="","",(_xlfn.TEXTSPLIT(W357,"-")))</f>
        <v/>
      </c>
      <c r="AD357" s="129" t="e">
        <f>VLOOKUP(VALUE($U357),test_out_xwalk!$C:$L,3,FALSE)</f>
        <v>#VALUE!</v>
      </c>
      <c r="AE357" s="129" t="e">
        <f>VLOOKUP(VALUE($U357),test_out_xwalk!$C:$L,5,FALSE)</f>
        <v>#VALUE!</v>
      </c>
      <c r="AF357" s="129" t="e">
        <f>VLOOKUP(VALUE($U357),test_out_xwalk!$C:$L,6,FALSE)</f>
        <v>#VALUE!</v>
      </c>
      <c r="AG357" s="129" t="e">
        <f>VLOOKUP(VALUE($U357),test_out_xwalk!$C:$L,8,FALSE)</f>
        <v>#VALUE!</v>
      </c>
      <c r="AH357" s="129" t="e">
        <f>VLOOKUP(VALUE($U357),test_out_xwalk!$C:$L,7,FALSE)</f>
        <v>#VALUE!</v>
      </c>
      <c r="AI357" s="129" t="e">
        <f>VLOOKUP(VALUE($U357),test_out_xwalk!$C:$L,4,FALSE)</f>
        <v>#VALUE!</v>
      </c>
      <c r="AJ357" s="129" t="e">
        <f>VLOOKUP(VALUE($U357),test_out_xwalk!$C:$L,9,FALSE)</f>
        <v>#VALUE!</v>
      </c>
      <c r="AK357" t="e">
        <f>_xlfn.XLOOKUP(VALUE(U357),test_out_xwalk!C:C,test_out_xwalk!A:A)</f>
        <v>#VALUE!</v>
      </c>
    </row>
    <row r="358" spans="1:37" x14ac:dyDescent="0.55000000000000004">
      <c r="A358" s="121" t="str">
        <f>IF('summary_EPA Pond'!$A358="","Check Summary EPA POND worksheet Column A",'summary_EPA Pond'!$A358)</f>
        <v xml:space="preserve">27_2455410-11258-67_Orchard deciduous-r03W-A_USEPA Pond_0080_median                   </v>
      </c>
      <c r="B358" s="121" t="str" cm="1">
        <f t="array" ref="B358:G358">IFERROR(_xlfn.TEXTSPLIT(A358,"_"),"")</f>
        <v>27</v>
      </c>
      <c r="C358" t="str">
        <v>2455410-11258-67</v>
      </c>
      <c r="D358" t="str">
        <v>Orchard deciduous-r03W-A</v>
      </c>
      <c r="E358" t="str">
        <v>USEPA Pond</v>
      </c>
      <c r="F358" t="str">
        <v>0080</v>
      </c>
      <c r="G358" t="str">
        <v xml:space="preserve">median                   </v>
      </c>
      <c r="H358" s="121" t="str" cm="1">
        <f t="array" ref="H358:J358">IF(D358="","",(_xlfn.TEXTSPLIT(D358,"-")))</f>
        <v>Orchard deciduous</v>
      </c>
      <c r="I358" s="121" t="str">
        <v>r03W</v>
      </c>
      <c r="J358" t="str">
        <v>A</v>
      </c>
      <c r="K358" s="129" t="str">
        <f>VLOOKUP(VALUE($B358),test_out_xwalk!$C:$L,3,FALSE)</f>
        <v>Apple-10-27</v>
      </c>
      <c r="L358" s="129">
        <f>VLOOKUP(VALUE($B358),test_out_xwalk!$C:$L,5,FALSE)</f>
        <v>2</v>
      </c>
      <c r="M358" s="129">
        <f>VLOOKUP(VALUE($B358),test_out_xwalk!$C:$L,6,FALSE)</f>
        <v>4</v>
      </c>
      <c r="N358" s="129" t="str">
        <f>VLOOKUP(VALUE($B358),test_out_xwalk!$C:$L,8,FALSE)</f>
        <v>Airblast_Sparse</v>
      </c>
      <c r="O358" s="129" t="str">
        <f>VLOOKUP(VALUE($B358),test_out_xwalk!$C:$L,7,FALSE)</f>
        <v>Spray</v>
      </c>
      <c r="P358" s="129" t="str">
        <f>VLOOKUP(VALUE($B358),test_out_xwalk!$C:$L,4,FALSE)</f>
        <v>Post-emergence</v>
      </c>
      <c r="Q358" s="129" t="str">
        <f>VLOOKUP(VALUE($B358),test_out_xwalk!$C:$L,9,FALSE)</f>
        <v>Other Orchards</v>
      </c>
      <c r="R358">
        <f>_xlfn.XLOOKUP(VALUE(B358),test_out_xwalk!$C:$C,test_out_xwalk!$A:$A)</f>
        <v>10</v>
      </c>
      <c r="T358" s="121" t="str">
        <f>IF('summary_EPA Pond'!$O358="","Check Summary EPA POND worksheet Column O",'summary_EPA Pond'!$O358)</f>
        <v>Check Summary EPA POND worksheet Column O</v>
      </c>
      <c r="U358" s="121" t="str" cm="1">
        <f t="array" ref="U358">IFERROR(_xlfn.TEXTSPLIT(T358,"_"),"")</f>
        <v>Check Summary EPA POND worksheet Column O</v>
      </c>
      <c r="AA358" s="121" t="str" cm="1">
        <f t="array" ref="AA358">IF(W358="","",(_xlfn.TEXTSPLIT(W358,"-")))</f>
        <v/>
      </c>
      <c r="AD358" s="129" t="e">
        <f>VLOOKUP(VALUE($U358),test_out_xwalk!$C:$L,3,FALSE)</f>
        <v>#VALUE!</v>
      </c>
      <c r="AE358" s="129" t="e">
        <f>VLOOKUP(VALUE($U358),test_out_xwalk!$C:$L,5,FALSE)</f>
        <v>#VALUE!</v>
      </c>
      <c r="AF358" s="129" t="e">
        <f>VLOOKUP(VALUE($U358),test_out_xwalk!$C:$L,6,FALSE)</f>
        <v>#VALUE!</v>
      </c>
      <c r="AG358" s="129" t="e">
        <f>VLOOKUP(VALUE($U358),test_out_xwalk!$C:$L,8,FALSE)</f>
        <v>#VALUE!</v>
      </c>
      <c r="AH358" s="129" t="e">
        <f>VLOOKUP(VALUE($U358),test_out_xwalk!$C:$L,7,FALSE)</f>
        <v>#VALUE!</v>
      </c>
      <c r="AI358" s="129" t="e">
        <f>VLOOKUP(VALUE($U358),test_out_xwalk!$C:$L,4,FALSE)</f>
        <v>#VALUE!</v>
      </c>
      <c r="AJ358" s="129" t="e">
        <f>VLOOKUP(VALUE($U358),test_out_xwalk!$C:$L,9,FALSE)</f>
        <v>#VALUE!</v>
      </c>
      <c r="AK358" t="e">
        <f>_xlfn.XLOOKUP(VALUE(U358),test_out_xwalk!C:C,test_out_xwalk!A:A)</f>
        <v>#VALUE!</v>
      </c>
    </row>
    <row r="359" spans="1:37" x14ac:dyDescent="0.55000000000000004">
      <c r="A359" s="121" t="str">
        <f>IF('summary_EPA Pond'!$A359="","Check Summary EPA POND worksheet Column A",'summary_EPA Pond'!$A359)</f>
        <v xml:space="preserve">27_292675-21905-68_Orchard deciduous-r04-A_USEPA Pond_0080_median                     </v>
      </c>
      <c r="B359" s="121" t="str" cm="1">
        <f t="array" ref="B359:G359">IFERROR(_xlfn.TEXTSPLIT(A359,"_"),"")</f>
        <v>27</v>
      </c>
      <c r="C359" t="str">
        <v>292675-21905-68</v>
      </c>
      <c r="D359" t="str">
        <v>Orchard deciduous-r04-A</v>
      </c>
      <c r="E359" t="str">
        <v>USEPA Pond</v>
      </c>
      <c r="F359" t="str">
        <v>0080</v>
      </c>
      <c r="G359" t="str">
        <v xml:space="preserve">median                     </v>
      </c>
      <c r="H359" s="121" t="str" cm="1">
        <f t="array" ref="H359:J359">IF(D359="","",(_xlfn.TEXTSPLIT(D359,"-")))</f>
        <v>Orchard deciduous</v>
      </c>
      <c r="I359" s="121" t="str">
        <v>r04</v>
      </c>
      <c r="J359" t="str">
        <v>A</v>
      </c>
      <c r="K359" s="129" t="str">
        <f>VLOOKUP(VALUE($B359),test_out_xwalk!$C:$L,3,FALSE)</f>
        <v>Apple-10-27</v>
      </c>
      <c r="L359" s="129">
        <f>VLOOKUP(VALUE($B359),test_out_xwalk!$C:$L,5,FALSE)</f>
        <v>2</v>
      </c>
      <c r="M359" s="129">
        <f>VLOOKUP(VALUE($B359),test_out_xwalk!$C:$L,6,FALSE)</f>
        <v>4</v>
      </c>
      <c r="N359" s="129" t="str">
        <f>VLOOKUP(VALUE($B359),test_out_xwalk!$C:$L,8,FALSE)</f>
        <v>Airblast_Sparse</v>
      </c>
      <c r="O359" s="129" t="str">
        <f>VLOOKUP(VALUE($B359),test_out_xwalk!$C:$L,7,FALSE)</f>
        <v>Spray</v>
      </c>
      <c r="P359" s="129" t="str">
        <f>VLOOKUP(VALUE($B359),test_out_xwalk!$C:$L,4,FALSE)</f>
        <v>Post-emergence</v>
      </c>
      <c r="Q359" s="129" t="str">
        <f>VLOOKUP(VALUE($B359),test_out_xwalk!$C:$L,9,FALSE)</f>
        <v>Other Orchards</v>
      </c>
      <c r="R359">
        <f>_xlfn.XLOOKUP(VALUE(B359),test_out_xwalk!$C:$C,test_out_xwalk!$A:$A)</f>
        <v>10</v>
      </c>
      <c r="T359" s="121" t="str">
        <f>IF('summary_EPA Pond'!$O359="","Check Summary EPA POND worksheet Column O",'summary_EPA Pond'!$O359)</f>
        <v>Check Summary EPA POND worksheet Column O</v>
      </c>
      <c r="U359" s="121" t="str" cm="1">
        <f t="array" ref="U359">IFERROR(_xlfn.TEXTSPLIT(T359,"_"),"")</f>
        <v>Check Summary EPA POND worksheet Column O</v>
      </c>
      <c r="AA359" s="121" t="str" cm="1">
        <f t="array" ref="AA359">IF(W359="","",(_xlfn.TEXTSPLIT(W359,"-")))</f>
        <v/>
      </c>
      <c r="AD359" s="129" t="e">
        <f>VLOOKUP(VALUE($U359),test_out_xwalk!$C:$L,3,FALSE)</f>
        <v>#VALUE!</v>
      </c>
      <c r="AE359" s="129" t="e">
        <f>VLOOKUP(VALUE($U359),test_out_xwalk!$C:$L,5,FALSE)</f>
        <v>#VALUE!</v>
      </c>
      <c r="AF359" s="129" t="e">
        <f>VLOOKUP(VALUE($U359),test_out_xwalk!$C:$L,6,FALSE)</f>
        <v>#VALUE!</v>
      </c>
      <c r="AG359" s="129" t="e">
        <f>VLOOKUP(VALUE($U359),test_out_xwalk!$C:$L,8,FALSE)</f>
        <v>#VALUE!</v>
      </c>
      <c r="AH359" s="129" t="e">
        <f>VLOOKUP(VALUE($U359),test_out_xwalk!$C:$L,7,FALSE)</f>
        <v>#VALUE!</v>
      </c>
      <c r="AI359" s="129" t="e">
        <f>VLOOKUP(VALUE($U359),test_out_xwalk!$C:$L,4,FALSE)</f>
        <v>#VALUE!</v>
      </c>
      <c r="AJ359" s="129" t="e">
        <f>VLOOKUP(VALUE($U359),test_out_xwalk!$C:$L,9,FALSE)</f>
        <v>#VALUE!</v>
      </c>
      <c r="AK359" t="e">
        <f>_xlfn.XLOOKUP(VALUE(U359),test_out_xwalk!C:C,test_out_xwalk!A:A)</f>
        <v>#VALUE!</v>
      </c>
    </row>
    <row r="360" spans="1:37" x14ac:dyDescent="0.55000000000000004">
      <c r="A360" s="121" t="str">
        <f>IF('summary_EPA Pond'!$A360="","Check Summary EPA POND worksheet Column A",'summary_EPA Pond'!$A360)</f>
        <v xml:space="preserve">27_298742-19770-68_Orchard deciduous-r05-A_USEPA Pond_0080_median                     </v>
      </c>
      <c r="B360" s="121" t="str" cm="1">
        <f t="array" ref="B360:G360">IFERROR(_xlfn.TEXTSPLIT(A360,"_"),"")</f>
        <v>27</v>
      </c>
      <c r="C360" t="str">
        <v>298742-19770-68</v>
      </c>
      <c r="D360" t="str">
        <v>Orchard deciduous-r05-A</v>
      </c>
      <c r="E360" t="str">
        <v>USEPA Pond</v>
      </c>
      <c r="F360" t="str">
        <v>0080</v>
      </c>
      <c r="G360" t="str">
        <v xml:space="preserve">median                     </v>
      </c>
      <c r="H360" s="121" t="str" cm="1">
        <f t="array" ref="H360:J360">IF(D360="","",(_xlfn.TEXTSPLIT(D360,"-")))</f>
        <v>Orchard deciduous</v>
      </c>
      <c r="I360" s="121" t="str">
        <v>r05</v>
      </c>
      <c r="J360" t="str">
        <v>A</v>
      </c>
      <c r="K360" s="129" t="str">
        <f>VLOOKUP(VALUE($B360),test_out_xwalk!$C:$L,3,FALSE)</f>
        <v>Apple-10-27</v>
      </c>
      <c r="L360" s="129">
        <f>VLOOKUP(VALUE($B360),test_out_xwalk!$C:$L,5,FALSE)</f>
        <v>2</v>
      </c>
      <c r="M360" s="129">
        <f>VLOOKUP(VALUE($B360),test_out_xwalk!$C:$L,6,FALSE)</f>
        <v>4</v>
      </c>
      <c r="N360" s="129" t="str">
        <f>VLOOKUP(VALUE($B360),test_out_xwalk!$C:$L,8,FALSE)</f>
        <v>Airblast_Sparse</v>
      </c>
      <c r="O360" s="129" t="str">
        <f>VLOOKUP(VALUE($B360),test_out_xwalk!$C:$L,7,FALSE)</f>
        <v>Spray</v>
      </c>
      <c r="P360" s="129" t="str">
        <f>VLOOKUP(VALUE($B360),test_out_xwalk!$C:$L,4,FALSE)</f>
        <v>Post-emergence</v>
      </c>
      <c r="Q360" s="129" t="str">
        <f>VLOOKUP(VALUE($B360),test_out_xwalk!$C:$L,9,FALSE)</f>
        <v>Other Orchards</v>
      </c>
      <c r="R360">
        <f>_xlfn.XLOOKUP(VALUE(B360),test_out_xwalk!$C:$C,test_out_xwalk!$A:$A)</f>
        <v>10</v>
      </c>
      <c r="T360" s="121" t="str">
        <f>IF('summary_EPA Pond'!$O360="","Check Summary EPA POND worksheet Column O",'summary_EPA Pond'!$O360)</f>
        <v>Check Summary EPA POND worksheet Column O</v>
      </c>
      <c r="U360" s="121" t="str" cm="1">
        <f t="array" ref="U360">IFERROR(_xlfn.TEXTSPLIT(T360,"_"),"")</f>
        <v>Check Summary EPA POND worksheet Column O</v>
      </c>
      <c r="AA360" s="121" t="str" cm="1">
        <f t="array" ref="AA360">IF(W360="","",(_xlfn.TEXTSPLIT(W360,"-")))</f>
        <v/>
      </c>
      <c r="AD360" s="129" t="e">
        <f>VLOOKUP(VALUE($U360),test_out_xwalk!$C:$L,3,FALSE)</f>
        <v>#VALUE!</v>
      </c>
      <c r="AE360" s="129" t="e">
        <f>VLOOKUP(VALUE($U360),test_out_xwalk!$C:$L,5,FALSE)</f>
        <v>#VALUE!</v>
      </c>
      <c r="AF360" s="129" t="e">
        <f>VLOOKUP(VALUE($U360),test_out_xwalk!$C:$L,6,FALSE)</f>
        <v>#VALUE!</v>
      </c>
      <c r="AG360" s="129" t="e">
        <f>VLOOKUP(VALUE($U360),test_out_xwalk!$C:$L,8,FALSE)</f>
        <v>#VALUE!</v>
      </c>
      <c r="AH360" s="129" t="e">
        <f>VLOOKUP(VALUE($U360),test_out_xwalk!$C:$L,7,FALSE)</f>
        <v>#VALUE!</v>
      </c>
      <c r="AI360" s="129" t="e">
        <f>VLOOKUP(VALUE($U360),test_out_xwalk!$C:$L,4,FALSE)</f>
        <v>#VALUE!</v>
      </c>
      <c r="AJ360" s="129" t="e">
        <f>VLOOKUP(VALUE($U360),test_out_xwalk!$C:$L,9,FALSE)</f>
        <v>#VALUE!</v>
      </c>
      <c r="AK360" t="e">
        <f>_xlfn.XLOOKUP(VALUE(U360),test_out_xwalk!C:C,test_out_xwalk!A:A)</f>
        <v>#VALUE!</v>
      </c>
    </row>
    <row r="361" spans="1:37" x14ac:dyDescent="0.55000000000000004">
      <c r="A361" s="121" t="str">
        <f>IF('summary_EPA Pond'!$A361="","Check Summary EPA POND worksheet Column A",'summary_EPA Pond'!$A361)</f>
        <v xml:space="preserve">27_546865-14571-68_Orchard deciduous-r06-A_USEPA Pond_0080_median                     </v>
      </c>
      <c r="B361" s="121" t="str" cm="1">
        <f t="array" ref="B361:G361">IFERROR(_xlfn.TEXTSPLIT(A361,"_"),"")</f>
        <v>27</v>
      </c>
      <c r="C361" t="str">
        <v>546865-14571-68</v>
      </c>
      <c r="D361" t="str">
        <v>Orchard deciduous-r06-A</v>
      </c>
      <c r="E361" t="str">
        <v>USEPA Pond</v>
      </c>
      <c r="F361" t="str">
        <v>0080</v>
      </c>
      <c r="G361" t="str">
        <v xml:space="preserve">median                     </v>
      </c>
      <c r="H361" s="121" t="str" cm="1">
        <f t="array" ref="H361:J361">IF(D361="","",(_xlfn.TEXTSPLIT(D361,"-")))</f>
        <v>Orchard deciduous</v>
      </c>
      <c r="I361" s="121" t="str">
        <v>r06</v>
      </c>
      <c r="J361" t="str">
        <v>A</v>
      </c>
      <c r="K361" s="129" t="str">
        <f>VLOOKUP(VALUE($B361),test_out_xwalk!$C:$L,3,FALSE)</f>
        <v>Apple-10-27</v>
      </c>
      <c r="L361" s="129">
        <f>VLOOKUP(VALUE($B361),test_out_xwalk!$C:$L,5,FALSE)</f>
        <v>2</v>
      </c>
      <c r="M361" s="129">
        <f>VLOOKUP(VALUE($B361),test_out_xwalk!$C:$L,6,FALSE)</f>
        <v>4</v>
      </c>
      <c r="N361" s="129" t="str">
        <f>VLOOKUP(VALUE($B361),test_out_xwalk!$C:$L,8,FALSE)</f>
        <v>Airblast_Sparse</v>
      </c>
      <c r="O361" s="129" t="str">
        <f>VLOOKUP(VALUE($B361),test_out_xwalk!$C:$L,7,FALSE)</f>
        <v>Spray</v>
      </c>
      <c r="P361" s="129" t="str">
        <f>VLOOKUP(VALUE($B361),test_out_xwalk!$C:$L,4,FALSE)</f>
        <v>Post-emergence</v>
      </c>
      <c r="Q361" s="129" t="str">
        <f>VLOOKUP(VALUE($B361),test_out_xwalk!$C:$L,9,FALSE)</f>
        <v>Other Orchards</v>
      </c>
      <c r="R361">
        <f>_xlfn.XLOOKUP(VALUE(B361),test_out_xwalk!$C:$C,test_out_xwalk!$A:$A)</f>
        <v>10</v>
      </c>
      <c r="T361" s="121" t="str">
        <f>IF('summary_EPA Pond'!$O361="","Check Summary EPA POND worksheet Column O",'summary_EPA Pond'!$O361)</f>
        <v>Check Summary EPA POND worksheet Column O</v>
      </c>
      <c r="U361" s="121" t="str" cm="1">
        <f t="array" ref="U361">IFERROR(_xlfn.TEXTSPLIT(T361,"_"),"")</f>
        <v>Check Summary EPA POND worksheet Column O</v>
      </c>
      <c r="AA361" s="121" t="str" cm="1">
        <f t="array" ref="AA361">IF(W361="","",(_xlfn.TEXTSPLIT(W361,"-")))</f>
        <v/>
      </c>
      <c r="AD361" s="129" t="e">
        <f>VLOOKUP(VALUE($U361),test_out_xwalk!$C:$L,3,FALSE)</f>
        <v>#VALUE!</v>
      </c>
      <c r="AE361" s="129" t="e">
        <f>VLOOKUP(VALUE($U361),test_out_xwalk!$C:$L,5,FALSE)</f>
        <v>#VALUE!</v>
      </c>
      <c r="AF361" s="129" t="e">
        <f>VLOOKUP(VALUE($U361),test_out_xwalk!$C:$L,6,FALSE)</f>
        <v>#VALUE!</v>
      </c>
      <c r="AG361" s="129" t="e">
        <f>VLOOKUP(VALUE($U361),test_out_xwalk!$C:$L,8,FALSE)</f>
        <v>#VALUE!</v>
      </c>
      <c r="AH361" s="129" t="e">
        <f>VLOOKUP(VALUE($U361),test_out_xwalk!$C:$L,7,FALSE)</f>
        <v>#VALUE!</v>
      </c>
      <c r="AI361" s="129" t="e">
        <f>VLOOKUP(VALUE($U361),test_out_xwalk!$C:$L,4,FALSE)</f>
        <v>#VALUE!</v>
      </c>
      <c r="AJ361" s="129" t="e">
        <f>VLOOKUP(VALUE($U361),test_out_xwalk!$C:$L,9,FALSE)</f>
        <v>#VALUE!</v>
      </c>
      <c r="AK361" t="e">
        <f>_xlfn.XLOOKUP(VALUE(U361),test_out_xwalk!C:C,test_out_xwalk!A:A)</f>
        <v>#VALUE!</v>
      </c>
    </row>
    <row r="362" spans="1:37" x14ac:dyDescent="0.55000000000000004">
      <c r="A362" s="121" t="str">
        <f>IF('summary_EPA Pond'!$A362="","Check Summary EPA POND worksheet Column A",'summary_EPA Pond'!$A362)</f>
        <v xml:space="preserve">27_396439-23493-68_Orchard deciduous-r07-A_USEPA Pond_0080_median                     </v>
      </c>
      <c r="B362" s="121" t="str" cm="1">
        <f t="array" ref="B362:G362">IFERROR(_xlfn.TEXTSPLIT(A362,"_"),"")</f>
        <v>27</v>
      </c>
      <c r="C362" t="str">
        <v>396439-23493-68</v>
      </c>
      <c r="D362" t="str">
        <v>Orchard deciduous-r07-A</v>
      </c>
      <c r="E362" t="str">
        <v>USEPA Pond</v>
      </c>
      <c r="F362" t="str">
        <v>0080</v>
      </c>
      <c r="G362" t="str">
        <v xml:space="preserve">median                     </v>
      </c>
      <c r="H362" s="121" t="str" cm="1">
        <f t="array" ref="H362:J362">IF(D362="","",(_xlfn.TEXTSPLIT(D362,"-")))</f>
        <v>Orchard deciduous</v>
      </c>
      <c r="I362" s="121" t="str">
        <v>r07</v>
      </c>
      <c r="J362" t="str">
        <v>A</v>
      </c>
      <c r="K362" s="129" t="str">
        <f>VLOOKUP(VALUE($B362),test_out_xwalk!$C:$L,3,FALSE)</f>
        <v>Apple-10-27</v>
      </c>
      <c r="L362" s="129">
        <f>VLOOKUP(VALUE($B362),test_out_xwalk!$C:$L,5,FALSE)</f>
        <v>2</v>
      </c>
      <c r="M362" s="129">
        <f>VLOOKUP(VALUE($B362),test_out_xwalk!$C:$L,6,FALSE)</f>
        <v>4</v>
      </c>
      <c r="N362" s="129" t="str">
        <f>VLOOKUP(VALUE($B362),test_out_xwalk!$C:$L,8,FALSE)</f>
        <v>Airblast_Sparse</v>
      </c>
      <c r="O362" s="129" t="str">
        <f>VLOOKUP(VALUE($B362),test_out_xwalk!$C:$L,7,FALSE)</f>
        <v>Spray</v>
      </c>
      <c r="P362" s="129" t="str">
        <f>VLOOKUP(VALUE($B362),test_out_xwalk!$C:$L,4,FALSE)</f>
        <v>Post-emergence</v>
      </c>
      <c r="Q362" s="129" t="str">
        <f>VLOOKUP(VALUE($B362),test_out_xwalk!$C:$L,9,FALSE)</f>
        <v>Other Orchards</v>
      </c>
      <c r="R362">
        <f>_xlfn.XLOOKUP(VALUE(B362),test_out_xwalk!$C:$C,test_out_xwalk!$A:$A)</f>
        <v>10</v>
      </c>
      <c r="T362" s="121" t="str">
        <f>IF('summary_EPA Pond'!$O362="","Check Summary EPA POND worksheet Column O",'summary_EPA Pond'!$O362)</f>
        <v>Check Summary EPA POND worksheet Column O</v>
      </c>
      <c r="U362" s="121" t="str" cm="1">
        <f t="array" ref="U362">IFERROR(_xlfn.TEXTSPLIT(T362,"_"),"")</f>
        <v>Check Summary EPA POND worksheet Column O</v>
      </c>
      <c r="AA362" s="121" t="str" cm="1">
        <f t="array" ref="AA362">IF(W362="","",(_xlfn.TEXTSPLIT(W362,"-")))</f>
        <v/>
      </c>
      <c r="AD362" s="129" t="e">
        <f>VLOOKUP(VALUE($U362),test_out_xwalk!$C:$L,3,FALSE)</f>
        <v>#VALUE!</v>
      </c>
      <c r="AE362" s="129" t="e">
        <f>VLOOKUP(VALUE($U362),test_out_xwalk!$C:$L,5,FALSE)</f>
        <v>#VALUE!</v>
      </c>
      <c r="AF362" s="129" t="e">
        <f>VLOOKUP(VALUE($U362),test_out_xwalk!$C:$L,6,FALSE)</f>
        <v>#VALUE!</v>
      </c>
      <c r="AG362" s="129" t="e">
        <f>VLOOKUP(VALUE($U362),test_out_xwalk!$C:$L,8,FALSE)</f>
        <v>#VALUE!</v>
      </c>
      <c r="AH362" s="129" t="e">
        <f>VLOOKUP(VALUE($U362),test_out_xwalk!$C:$L,7,FALSE)</f>
        <v>#VALUE!</v>
      </c>
      <c r="AI362" s="129" t="e">
        <f>VLOOKUP(VALUE($U362),test_out_xwalk!$C:$L,4,FALSE)</f>
        <v>#VALUE!</v>
      </c>
      <c r="AJ362" s="129" t="e">
        <f>VLOOKUP(VALUE($U362),test_out_xwalk!$C:$L,9,FALSE)</f>
        <v>#VALUE!</v>
      </c>
      <c r="AK362" t="e">
        <f>_xlfn.XLOOKUP(VALUE(U362),test_out_xwalk!C:C,test_out_xwalk!A:A)</f>
        <v>#VALUE!</v>
      </c>
    </row>
    <row r="363" spans="1:37" x14ac:dyDescent="0.55000000000000004">
      <c r="A363" s="121" t="str">
        <f>IF('summary_EPA Pond'!$A363="","Check Summary EPA POND worksheet Column A",'summary_EPA Pond'!$A363)</f>
        <v xml:space="preserve">27_567494-13121-74_Orchard deciduous-r08-A_USEPA Pond_0080_median                     </v>
      </c>
      <c r="B363" s="121" t="str" cm="1">
        <f t="array" ref="B363:G363">IFERROR(_xlfn.TEXTSPLIT(A363,"_"),"")</f>
        <v>27</v>
      </c>
      <c r="C363" t="str">
        <v>567494-13121-74</v>
      </c>
      <c r="D363" t="str">
        <v>Orchard deciduous-r08-A</v>
      </c>
      <c r="E363" t="str">
        <v>USEPA Pond</v>
      </c>
      <c r="F363" t="str">
        <v>0080</v>
      </c>
      <c r="G363" t="str">
        <v xml:space="preserve">median                     </v>
      </c>
      <c r="H363" s="121" t="str" cm="1">
        <f t="array" ref="H363:J363">IF(D363="","",(_xlfn.TEXTSPLIT(D363,"-")))</f>
        <v>Orchard deciduous</v>
      </c>
      <c r="I363" s="121" t="str">
        <v>r08</v>
      </c>
      <c r="J363" t="str">
        <v>A</v>
      </c>
      <c r="K363" s="129" t="str">
        <f>VLOOKUP(VALUE($B363),test_out_xwalk!$C:$L,3,FALSE)</f>
        <v>Apple-10-27</v>
      </c>
      <c r="L363" s="129">
        <f>VLOOKUP(VALUE($B363),test_out_xwalk!$C:$L,5,FALSE)</f>
        <v>2</v>
      </c>
      <c r="M363" s="129">
        <f>VLOOKUP(VALUE($B363),test_out_xwalk!$C:$L,6,FALSE)</f>
        <v>4</v>
      </c>
      <c r="N363" s="129" t="str">
        <f>VLOOKUP(VALUE($B363),test_out_xwalk!$C:$L,8,FALSE)</f>
        <v>Airblast_Sparse</v>
      </c>
      <c r="O363" s="129" t="str">
        <f>VLOOKUP(VALUE($B363),test_out_xwalk!$C:$L,7,FALSE)</f>
        <v>Spray</v>
      </c>
      <c r="P363" s="129" t="str">
        <f>VLOOKUP(VALUE($B363),test_out_xwalk!$C:$L,4,FALSE)</f>
        <v>Post-emergence</v>
      </c>
      <c r="Q363" s="129" t="str">
        <f>VLOOKUP(VALUE($B363),test_out_xwalk!$C:$L,9,FALSE)</f>
        <v>Other Orchards</v>
      </c>
      <c r="R363">
        <f>_xlfn.XLOOKUP(VALUE(B363),test_out_xwalk!$C:$C,test_out_xwalk!$A:$A)</f>
        <v>10</v>
      </c>
      <c r="T363" s="121" t="str">
        <f>IF('summary_EPA Pond'!$O363="","Check Summary EPA POND worksheet Column O",'summary_EPA Pond'!$O363)</f>
        <v>Check Summary EPA POND worksheet Column O</v>
      </c>
      <c r="U363" s="121" t="str" cm="1">
        <f t="array" ref="U363">IFERROR(_xlfn.TEXTSPLIT(T363,"_"),"")</f>
        <v>Check Summary EPA POND worksheet Column O</v>
      </c>
      <c r="AA363" s="121" t="str" cm="1">
        <f t="array" ref="AA363">IF(W363="","",(_xlfn.TEXTSPLIT(W363,"-")))</f>
        <v/>
      </c>
      <c r="AD363" s="129" t="e">
        <f>VLOOKUP(VALUE($U363),test_out_xwalk!$C:$L,3,FALSE)</f>
        <v>#VALUE!</v>
      </c>
      <c r="AE363" s="129" t="e">
        <f>VLOOKUP(VALUE($U363),test_out_xwalk!$C:$L,5,FALSE)</f>
        <v>#VALUE!</v>
      </c>
      <c r="AF363" s="129" t="e">
        <f>VLOOKUP(VALUE($U363),test_out_xwalk!$C:$L,6,FALSE)</f>
        <v>#VALUE!</v>
      </c>
      <c r="AG363" s="129" t="e">
        <f>VLOOKUP(VALUE($U363),test_out_xwalk!$C:$L,8,FALSE)</f>
        <v>#VALUE!</v>
      </c>
      <c r="AH363" s="129" t="e">
        <f>VLOOKUP(VALUE($U363),test_out_xwalk!$C:$L,7,FALSE)</f>
        <v>#VALUE!</v>
      </c>
      <c r="AI363" s="129" t="e">
        <f>VLOOKUP(VALUE($U363),test_out_xwalk!$C:$L,4,FALSE)</f>
        <v>#VALUE!</v>
      </c>
      <c r="AJ363" s="129" t="e">
        <f>VLOOKUP(VALUE($U363),test_out_xwalk!$C:$L,9,FALSE)</f>
        <v>#VALUE!</v>
      </c>
      <c r="AK363" t="e">
        <f>_xlfn.XLOOKUP(VALUE(U363),test_out_xwalk!C:C,test_out_xwalk!A:A)</f>
        <v>#VALUE!</v>
      </c>
    </row>
    <row r="364" spans="1:37" x14ac:dyDescent="0.55000000000000004">
      <c r="A364" s="121" t="str">
        <f>IF('summary_EPA Pond'!$A364="","Check Summary EPA POND worksheet Column A",'summary_EPA Pond'!$A364)</f>
        <v xml:space="preserve">27_2774572-26572-68_Orchard deciduous-r09-A_USEPA Pond_0080_median                    </v>
      </c>
      <c r="B364" s="121" t="str" cm="1">
        <f t="array" ref="B364:G364">IFERROR(_xlfn.TEXTSPLIT(A364,"_"),"")</f>
        <v>27</v>
      </c>
      <c r="C364" t="str">
        <v>2774572-26572-68</v>
      </c>
      <c r="D364" t="str">
        <v>Orchard deciduous-r09-A</v>
      </c>
      <c r="E364" t="str">
        <v>USEPA Pond</v>
      </c>
      <c r="F364" t="str">
        <v>0080</v>
      </c>
      <c r="G364" t="str">
        <v xml:space="preserve">median                    </v>
      </c>
      <c r="H364" s="121" t="str" cm="1">
        <f t="array" ref="H364:J364">IF(D364="","",(_xlfn.TEXTSPLIT(D364,"-")))</f>
        <v>Orchard deciduous</v>
      </c>
      <c r="I364" s="121" t="str">
        <v>r09</v>
      </c>
      <c r="J364" t="str">
        <v>A</v>
      </c>
      <c r="K364" s="129" t="str">
        <f>VLOOKUP(VALUE($B364),test_out_xwalk!$C:$L,3,FALSE)</f>
        <v>Apple-10-27</v>
      </c>
      <c r="L364" s="129">
        <f>VLOOKUP(VALUE($B364),test_out_xwalk!$C:$L,5,FALSE)</f>
        <v>2</v>
      </c>
      <c r="M364" s="129">
        <f>VLOOKUP(VALUE($B364),test_out_xwalk!$C:$L,6,FALSE)</f>
        <v>4</v>
      </c>
      <c r="N364" s="129" t="str">
        <f>VLOOKUP(VALUE($B364),test_out_xwalk!$C:$L,8,FALSE)</f>
        <v>Airblast_Sparse</v>
      </c>
      <c r="O364" s="129" t="str">
        <f>VLOOKUP(VALUE($B364),test_out_xwalk!$C:$L,7,FALSE)</f>
        <v>Spray</v>
      </c>
      <c r="P364" s="129" t="str">
        <f>VLOOKUP(VALUE($B364),test_out_xwalk!$C:$L,4,FALSE)</f>
        <v>Post-emergence</v>
      </c>
      <c r="Q364" s="129" t="str">
        <f>VLOOKUP(VALUE($B364),test_out_xwalk!$C:$L,9,FALSE)</f>
        <v>Other Orchards</v>
      </c>
      <c r="R364">
        <f>_xlfn.XLOOKUP(VALUE(B364),test_out_xwalk!$C:$C,test_out_xwalk!$A:$A)</f>
        <v>10</v>
      </c>
      <c r="T364" s="121" t="str">
        <f>IF('summary_EPA Pond'!$O364="","Check Summary EPA POND worksheet Column O",'summary_EPA Pond'!$O364)</f>
        <v>Check Summary EPA POND worksheet Column O</v>
      </c>
      <c r="U364" s="121" t="str" cm="1">
        <f t="array" ref="U364">IFERROR(_xlfn.TEXTSPLIT(T364,"_"),"")</f>
        <v>Check Summary EPA POND worksheet Column O</v>
      </c>
      <c r="AA364" s="121" t="str" cm="1">
        <f t="array" ref="AA364">IF(W364="","",(_xlfn.TEXTSPLIT(W364,"-")))</f>
        <v/>
      </c>
      <c r="AD364" s="129" t="e">
        <f>VLOOKUP(VALUE($U364),test_out_xwalk!$C:$L,3,FALSE)</f>
        <v>#VALUE!</v>
      </c>
      <c r="AE364" s="129" t="e">
        <f>VLOOKUP(VALUE($U364),test_out_xwalk!$C:$L,5,FALSE)</f>
        <v>#VALUE!</v>
      </c>
      <c r="AF364" s="129" t="e">
        <f>VLOOKUP(VALUE($U364),test_out_xwalk!$C:$L,6,FALSE)</f>
        <v>#VALUE!</v>
      </c>
      <c r="AG364" s="129" t="e">
        <f>VLOOKUP(VALUE($U364),test_out_xwalk!$C:$L,8,FALSE)</f>
        <v>#VALUE!</v>
      </c>
      <c r="AH364" s="129" t="e">
        <f>VLOOKUP(VALUE($U364),test_out_xwalk!$C:$L,7,FALSE)</f>
        <v>#VALUE!</v>
      </c>
      <c r="AI364" s="129" t="e">
        <f>VLOOKUP(VALUE($U364),test_out_xwalk!$C:$L,4,FALSE)</f>
        <v>#VALUE!</v>
      </c>
      <c r="AJ364" s="129" t="e">
        <f>VLOOKUP(VALUE($U364),test_out_xwalk!$C:$L,9,FALSE)</f>
        <v>#VALUE!</v>
      </c>
      <c r="AK364" t="e">
        <f>_xlfn.XLOOKUP(VALUE(U364),test_out_xwalk!C:C,test_out_xwalk!A:A)</f>
        <v>#VALUE!</v>
      </c>
    </row>
    <row r="365" spans="1:37" x14ac:dyDescent="0.55000000000000004">
      <c r="A365" s="121" t="str">
        <f>IF('summary_EPA Pond'!$A365="","Check Summary EPA POND worksheet Column A",'summary_EPA Pond'!$A365)</f>
        <v xml:space="preserve">27_2532369-16882-74_Orchard deciduous-r10L-A_USEPA Pond_0080_median                   </v>
      </c>
      <c r="B365" s="121" t="str" cm="1">
        <f t="array" ref="B365:G365">IFERROR(_xlfn.TEXTSPLIT(A365,"_"),"")</f>
        <v>27</v>
      </c>
      <c r="C365" t="str">
        <v>2532369-16882-74</v>
      </c>
      <c r="D365" t="str">
        <v>Orchard deciduous-r10L-A</v>
      </c>
      <c r="E365" t="str">
        <v>USEPA Pond</v>
      </c>
      <c r="F365" t="str">
        <v>0080</v>
      </c>
      <c r="G365" t="str">
        <v xml:space="preserve">median                   </v>
      </c>
      <c r="H365" s="121" t="str" cm="1">
        <f t="array" ref="H365:J365">IF(D365="","",(_xlfn.TEXTSPLIT(D365,"-")))</f>
        <v>Orchard deciduous</v>
      </c>
      <c r="I365" s="121" t="str">
        <v>r10L</v>
      </c>
      <c r="J365" t="str">
        <v>A</v>
      </c>
      <c r="K365" s="129" t="str">
        <f>VLOOKUP(VALUE($B365),test_out_xwalk!$C:$L,3,FALSE)</f>
        <v>Apple-10-27</v>
      </c>
      <c r="L365" s="129">
        <f>VLOOKUP(VALUE($B365),test_out_xwalk!$C:$L,5,FALSE)</f>
        <v>2</v>
      </c>
      <c r="M365" s="129">
        <f>VLOOKUP(VALUE($B365),test_out_xwalk!$C:$L,6,FALSE)</f>
        <v>4</v>
      </c>
      <c r="N365" s="129" t="str">
        <f>VLOOKUP(VALUE($B365),test_out_xwalk!$C:$L,8,FALSE)</f>
        <v>Airblast_Sparse</v>
      </c>
      <c r="O365" s="129" t="str">
        <f>VLOOKUP(VALUE($B365),test_out_xwalk!$C:$L,7,FALSE)</f>
        <v>Spray</v>
      </c>
      <c r="P365" s="129" t="str">
        <f>VLOOKUP(VALUE($B365),test_out_xwalk!$C:$L,4,FALSE)</f>
        <v>Post-emergence</v>
      </c>
      <c r="Q365" s="129" t="str">
        <f>VLOOKUP(VALUE($B365),test_out_xwalk!$C:$L,9,FALSE)</f>
        <v>Other Orchards</v>
      </c>
      <c r="R365">
        <f>_xlfn.XLOOKUP(VALUE(B365),test_out_xwalk!$C:$C,test_out_xwalk!$A:$A)</f>
        <v>10</v>
      </c>
      <c r="T365" s="121" t="str">
        <f>IF('summary_EPA Pond'!$O365="","Check Summary EPA POND worksheet Column O",'summary_EPA Pond'!$O365)</f>
        <v>Check Summary EPA POND worksheet Column O</v>
      </c>
      <c r="U365" s="121" t="str" cm="1">
        <f t="array" ref="U365">IFERROR(_xlfn.TEXTSPLIT(T365,"_"),"")</f>
        <v>Check Summary EPA POND worksheet Column O</v>
      </c>
      <c r="AA365" s="121" t="str" cm="1">
        <f t="array" ref="AA365">IF(W365="","",(_xlfn.TEXTSPLIT(W365,"-")))</f>
        <v/>
      </c>
      <c r="AD365" s="129" t="e">
        <f>VLOOKUP(VALUE($U365),test_out_xwalk!$C:$L,3,FALSE)</f>
        <v>#VALUE!</v>
      </c>
      <c r="AE365" s="129" t="e">
        <f>VLOOKUP(VALUE($U365),test_out_xwalk!$C:$L,5,FALSE)</f>
        <v>#VALUE!</v>
      </c>
      <c r="AF365" s="129" t="e">
        <f>VLOOKUP(VALUE($U365),test_out_xwalk!$C:$L,6,FALSE)</f>
        <v>#VALUE!</v>
      </c>
      <c r="AG365" s="129" t="e">
        <f>VLOOKUP(VALUE($U365),test_out_xwalk!$C:$L,8,FALSE)</f>
        <v>#VALUE!</v>
      </c>
      <c r="AH365" s="129" t="e">
        <f>VLOOKUP(VALUE($U365),test_out_xwalk!$C:$L,7,FALSE)</f>
        <v>#VALUE!</v>
      </c>
      <c r="AI365" s="129" t="e">
        <f>VLOOKUP(VALUE($U365),test_out_xwalk!$C:$L,4,FALSE)</f>
        <v>#VALUE!</v>
      </c>
      <c r="AJ365" s="129" t="e">
        <f>VLOOKUP(VALUE($U365),test_out_xwalk!$C:$L,9,FALSE)</f>
        <v>#VALUE!</v>
      </c>
      <c r="AK365" t="e">
        <f>_xlfn.XLOOKUP(VALUE(U365),test_out_xwalk!C:C,test_out_xwalk!A:A)</f>
        <v>#VALUE!</v>
      </c>
    </row>
    <row r="366" spans="1:37" x14ac:dyDescent="0.55000000000000004">
      <c r="A366" s="121" t="str">
        <f>IF('summary_EPA Pond'!$A366="","Check Summary EPA POND worksheet Column A",'summary_EPA Pond'!$A366)</f>
        <v xml:space="preserve">27_146775-27192-66_Orchard deciduous-r10U-A_USEPA Pond_0080_median                    </v>
      </c>
      <c r="B366" s="121" t="str" cm="1">
        <f t="array" ref="B366:G366">IFERROR(_xlfn.TEXTSPLIT(A366,"_"),"")</f>
        <v>27</v>
      </c>
      <c r="C366" t="str">
        <v>146775-27192-66</v>
      </c>
      <c r="D366" t="str">
        <v>Orchard deciduous-r10U-A</v>
      </c>
      <c r="E366" t="str">
        <v>USEPA Pond</v>
      </c>
      <c r="F366" t="str">
        <v>0080</v>
      </c>
      <c r="G366" t="str">
        <v xml:space="preserve">median                    </v>
      </c>
      <c r="H366" s="121" t="str" cm="1">
        <f t="array" ref="H366:J366">IF(D366="","",(_xlfn.TEXTSPLIT(D366,"-")))</f>
        <v>Orchard deciduous</v>
      </c>
      <c r="I366" s="121" t="str">
        <v>r10U</v>
      </c>
      <c r="J366" t="str">
        <v>A</v>
      </c>
      <c r="K366" s="129" t="str">
        <f>VLOOKUP(VALUE($B366),test_out_xwalk!$C:$L,3,FALSE)</f>
        <v>Apple-10-27</v>
      </c>
      <c r="L366" s="129">
        <f>VLOOKUP(VALUE($B366),test_out_xwalk!$C:$L,5,FALSE)</f>
        <v>2</v>
      </c>
      <c r="M366" s="129">
        <f>VLOOKUP(VALUE($B366),test_out_xwalk!$C:$L,6,FALSE)</f>
        <v>4</v>
      </c>
      <c r="N366" s="129" t="str">
        <f>VLOOKUP(VALUE($B366),test_out_xwalk!$C:$L,8,FALSE)</f>
        <v>Airblast_Sparse</v>
      </c>
      <c r="O366" s="129" t="str">
        <f>VLOOKUP(VALUE($B366),test_out_xwalk!$C:$L,7,FALSE)</f>
        <v>Spray</v>
      </c>
      <c r="P366" s="129" t="str">
        <f>VLOOKUP(VALUE($B366),test_out_xwalk!$C:$L,4,FALSE)</f>
        <v>Post-emergence</v>
      </c>
      <c r="Q366" s="129" t="str">
        <f>VLOOKUP(VALUE($B366),test_out_xwalk!$C:$L,9,FALSE)</f>
        <v>Other Orchards</v>
      </c>
      <c r="R366">
        <f>_xlfn.XLOOKUP(VALUE(B366),test_out_xwalk!$C:$C,test_out_xwalk!$A:$A)</f>
        <v>10</v>
      </c>
      <c r="T366" s="121" t="str">
        <f>IF('summary_EPA Pond'!$O366="","Check Summary EPA POND worksheet Column O",'summary_EPA Pond'!$O366)</f>
        <v>Check Summary EPA POND worksheet Column O</v>
      </c>
      <c r="U366" s="121" t="str" cm="1">
        <f t="array" ref="U366">IFERROR(_xlfn.TEXTSPLIT(T366,"_"),"")</f>
        <v>Check Summary EPA POND worksheet Column O</v>
      </c>
      <c r="AA366" s="121" t="str" cm="1">
        <f t="array" ref="AA366">IF(W366="","",(_xlfn.TEXTSPLIT(W366,"-")))</f>
        <v/>
      </c>
      <c r="AD366" s="129" t="e">
        <f>VLOOKUP(VALUE($U366),test_out_xwalk!$C:$L,3,FALSE)</f>
        <v>#VALUE!</v>
      </c>
      <c r="AE366" s="129" t="e">
        <f>VLOOKUP(VALUE($U366),test_out_xwalk!$C:$L,5,FALSE)</f>
        <v>#VALUE!</v>
      </c>
      <c r="AF366" s="129" t="e">
        <f>VLOOKUP(VALUE($U366),test_out_xwalk!$C:$L,6,FALSE)</f>
        <v>#VALUE!</v>
      </c>
      <c r="AG366" s="129" t="e">
        <f>VLOOKUP(VALUE($U366),test_out_xwalk!$C:$L,8,FALSE)</f>
        <v>#VALUE!</v>
      </c>
      <c r="AH366" s="129" t="e">
        <f>VLOOKUP(VALUE($U366),test_out_xwalk!$C:$L,7,FALSE)</f>
        <v>#VALUE!</v>
      </c>
      <c r="AI366" s="129" t="e">
        <f>VLOOKUP(VALUE($U366),test_out_xwalk!$C:$L,4,FALSE)</f>
        <v>#VALUE!</v>
      </c>
      <c r="AJ366" s="129" t="e">
        <f>VLOOKUP(VALUE($U366),test_out_xwalk!$C:$L,9,FALSE)</f>
        <v>#VALUE!</v>
      </c>
      <c r="AK366" t="e">
        <f>_xlfn.XLOOKUP(VALUE(U366),test_out_xwalk!C:C,test_out_xwalk!A:A)</f>
        <v>#VALUE!</v>
      </c>
    </row>
    <row r="367" spans="1:37" x14ac:dyDescent="0.55000000000000004">
      <c r="A367" s="121" t="str">
        <f>IF('summary_EPA Pond'!$A367="","Check Summary EPA POND worksheet Column A",'summary_EPA Pond'!$A367)</f>
        <v xml:space="preserve">27_106593-15934-74_Orchard deciduous-r11-A_USEPA Pond_0080_median                     </v>
      </c>
      <c r="B367" s="121" t="str" cm="1">
        <f t="array" ref="B367:G367">IFERROR(_xlfn.TEXTSPLIT(A367,"_"),"")</f>
        <v>27</v>
      </c>
      <c r="C367" t="str">
        <v>106593-15934-74</v>
      </c>
      <c r="D367" t="str">
        <v>Orchard deciduous-r11-A</v>
      </c>
      <c r="E367" t="str">
        <v>USEPA Pond</v>
      </c>
      <c r="F367" t="str">
        <v>0080</v>
      </c>
      <c r="G367" t="str">
        <v xml:space="preserve">median                     </v>
      </c>
      <c r="H367" s="121" t="str" cm="1">
        <f t="array" ref="H367:J367">IF(D367="","",(_xlfn.TEXTSPLIT(D367,"-")))</f>
        <v>Orchard deciduous</v>
      </c>
      <c r="I367" s="121" t="str">
        <v>r11</v>
      </c>
      <c r="J367" t="str">
        <v>A</v>
      </c>
      <c r="K367" s="129" t="str">
        <f>VLOOKUP(VALUE($B367),test_out_xwalk!$C:$L,3,FALSE)</f>
        <v>Apple-10-27</v>
      </c>
      <c r="L367" s="129">
        <f>VLOOKUP(VALUE($B367),test_out_xwalk!$C:$L,5,FALSE)</f>
        <v>2</v>
      </c>
      <c r="M367" s="129">
        <f>VLOOKUP(VALUE($B367),test_out_xwalk!$C:$L,6,FALSE)</f>
        <v>4</v>
      </c>
      <c r="N367" s="129" t="str">
        <f>VLOOKUP(VALUE($B367),test_out_xwalk!$C:$L,8,FALSE)</f>
        <v>Airblast_Sparse</v>
      </c>
      <c r="O367" s="129" t="str">
        <f>VLOOKUP(VALUE($B367),test_out_xwalk!$C:$L,7,FALSE)</f>
        <v>Spray</v>
      </c>
      <c r="P367" s="129" t="str">
        <f>VLOOKUP(VALUE($B367),test_out_xwalk!$C:$L,4,FALSE)</f>
        <v>Post-emergence</v>
      </c>
      <c r="Q367" s="129" t="str">
        <f>VLOOKUP(VALUE($B367),test_out_xwalk!$C:$L,9,FALSE)</f>
        <v>Other Orchards</v>
      </c>
      <c r="R367">
        <f>_xlfn.XLOOKUP(VALUE(B367),test_out_xwalk!$C:$C,test_out_xwalk!$A:$A)</f>
        <v>10</v>
      </c>
      <c r="T367" s="121" t="str">
        <f>IF('summary_EPA Pond'!$O367="","Check Summary EPA POND worksheet Column O",'summary_EPA Pond'!$O367)</f>
        <v>Check Summary EPA POND worksheet Column O</v>
      </c>
      <c r="U367" s="121" t="str" cm="1">
        <f t="array" ref="U367">IFERROR(_xlfn.TEXTSPLIT(T367,"_"),"")</f>
        <v>Check Summary EPA POND worksheet Column O</v>
      </c>
      <c r="AA367" s="121" t="str" cm="1">
        <f t="array" ref="AA367">IF(W367="","",(_xlfn.TEXTSPLIT(W367,"-")))</f>
        <v/>
      </c>
      <c r="AD367" s="129" t="e">
        <f>VLOOKUP(VALUE($U367),test_out_xwalk!$C:$L,3,FALSE)</f>
        <v>#VALUE!</v>
      </c>
      <c r="AE367" s="129" t="e">
        <f>VLOOKUP(VALUE($U367),test_out_xwalk!$C:$L,5,FALSE)</f>
        <v>#VALUE!</v>
      </c>
      <c r="AF367" s="129" t="e">
        <f>VLOOKUP(VALUE($U367),test_out_xwalk!$C:$L,6,FALSE)</f>
        <v>#VALUE!</v>
      </c>
      <c r="AG367" s="129" t="e">
        <f>VLOOKUP(VALUE($U367),test_out_xwalk!$C:$L,8,FALSE)</f>
        <v>#VALUE!</v>
      </c>
      <c r="AH367" s="129" t="e">
        <f>VLOOKUP(VALUE($U367),test_out_xwalk!$C:$L,7,FALSE)</f>
        <v>#VALUE!</v>
      </c>
      <c r="AI367" s="129" t="e">
        <f>VLOOKUP(VALUE($U367),test_out_xwalk!$C:$L,4,FALSE)</f>
        <v>#VALUE!</v>
      </c>
      <c r="AJ367" s="129" t="e">
        <f>VLOOKUP(VALUE($U367),test_out_xwalk!$C:$L,9,FALSE)</f>
        <v>#VALUE!</v>
      </c>
      <c r="AK367" t="e">
        <f>_xlfn.XLOOKUP(VALUE(U367),test_out_xwalk!C:C,test_out_xwalk!A:A)</f>
        <v>#VALUE!</v>
      </c>
    </row>
    <row r="368" spans="1:37" x14ac:dyDescent="0.55000000000000004">
      <c r="A368" s="121" t="str">
        <f>IF('summary_EPA Pond'!$A368="","Check Summary EPA POND worksheet Column A",'summary_EPA Pond'!$A368)</f>
        <v xml:space="preserve">27_367880-12156-74_Orchard deciduous-r12-A_USEPA Pond_0080_median                     </v>
      </c>
      <c r="B368" s="121" t="str" cm="1">
        <f t="array" ref="B368:G368">IFERROR(_xlfn.TEXTSPLIT(A368,"_"),"")</f>
        <v>27</v>
      </c>
      <c r="C368" t="str">
        <v>367880-12156-74</v>
      </c>
      <c r="D368" t="str">
        <v>Orchard deciduous-r12-A</v>
      </c>
      <c r="E368" t="str">
        <v>USEPA Pond</v>
      </c>
      <c r="F368" t="str">
        <v>0080</v>
      </c>
      <c r="G368" t="str">
        <v xml:space="preserve">median                     </v>
      </c>
      <c r="H368" s="121" t="str" cm="1">
        <f t="array" ref="H368:J368">IF(D368="","",(_xlfn.TEXTSPLIT(D368,"-")))</f>
        <v>Orchard deciduous</v>
      </c>
      <c r="I368" s="121" t="str">
        <v>r12</v>
      </c>
      <c r="J368" t="str">
        <v>A</v>
      </c>
      <c r="K368" s="129" t="str">
        <f>VLOOKUP(VALUE($B368),test_out_xwalk!$C:$L,3,FALSE)</f>
        <v>Apple-10-27</v>
      </c>
      <c r="L368" s="129">
        <f>VLOOKUP(VALUE($B368),test_out_xwalk!$C:$L,5,FALSE)</f>
        <v>2</v>
      </c>
      <c r="M368" s="129">
        <f>VLOOKUP(VALUE($B368),test_out_xwalk!$C:$L,6,FALSE)</f>
        <v>4</v>
      </c>
      <c r="N368" s="129" t="str">
        <f>VLOOKUP(VALUE($B368),test_out_xwalk!$C:$L,8,FALSE)</f>
        <v>Airblast_Sparse</v>
      </c>
      <c r="O368" s="129" t="str">
        <f>VLOOKUP(VALUE($B368),test_out_xwalk!$C:$L,7,FALSE)</f>
        <v>Spray</v>
      </c>
      <c r="P368" s="129" t="str">
        <f>VLOOKUP(VALUE($B368),test_out_xwalk!$C:$L,4,FALSE)</f>
        <v>Post-emergence</v>
      </c>
      <c r="Q368" s="129" t="str">
        <f>VLOOKUP(VALUE($B368),test_out_xwalk!$C:$L,9,FALSE)</f>
        <v>Other Orchards</v>
      </c>
      <c r="R368">
        <f>_xlfn.XLOOKUP(VALUE(B368),test_out_xwalk!$C:$C,test_out_xwalk!$A:$A)</f>
        <v>10</v>
      </c>
      <c r="T368" s="121" t="str">
        <f>IF('summary_EPA Pond'!$O368="","Check Summary EPA POND worksheet Column O",'summary_EPA Pond'!$O368)</f>
        <v>Check Summary EPA POND worksheet Column O</v>
      </c>
      <c r="U368" s="121" t="str" cm="1">
        <f t="array" ref="U368">IFERROR(_xlfn.TEXTSPLIT(T368,"_"),"")</f>
        <v>Check Summary EPA POND worksheet Column O</v>
      </c>
      <c r="AA368" s="121" t="str" cm="1">
        <f t="array" ref="AA368">IF(W368="","",(_xlfn.TEXTSPLIT(W368,"-")))</f>
        <v/>
      </c>
      <c r="AD368" s="129" t="e">
        <f>VLOOKUP(VALUE($U368),test_out_xwalk!$C:$L,3,FALSE)</f>
        <v>#VALUE!</v>
      </c>
      <c r="AE368" s="129" t="e">
        <f>VLOOKUP(VALUE($U368),test_out_xwalk!$C:$L,5,FALSE)</f>
        <v>#VALUE!</v>
      </c>
      <c r="AF368" s="129" t="e">
        <f>VLOOKUP(VALUE($U368),test_out_xwalk!$C:$L,6,FALSE)</f>
        <v>#VALUE!</v>
      </c>
      <c r="AG368" s="129" t="e">
        <f>VLOOKUP(VALUE($U368),test_out_xwalk!$C:$L,8,FALSE)</f>
        <v>#VALUE!</v>
      </c>
      <c r="AH368" s="129" t="e">
        <f>VLOOKUP(VALUE($U368),test_out_xwalk!$C:$L,7,FALSE)</f>
        <v>#VALUE!</v>
      </c>
      <c r="AI368" s="129" t="e">
        <f>VLOOKUP(VALUE($U368),test_out_xwalk!$C:$L,4,FALSE)</f>
        <v>#VALUE!</v>
      </c>
      <c r="AJ368" s="129" t="e">
        <f>VLOOKUP(VALUE($U368),test_out_xwalk!$C:$L,9,FALSE)</f>
        <v>#VALUE!</v>
      </c>
      <c r="AK368" t="e">
        <f>_xlfn.XLOOKUP(VALUE(U368),test_out_xwalk!C:C,test_out_xwalk!A:A)</f>
        <v>#VALUE!</v>
      </c>
    </row>
    <row r="369" spans="1:37" x14ac:dyDescent="0.55000000000000004">
      <c r="A369" s="121" t="str">
        <f>IF('summary_EPA Pond'!$A369="","Check Summary EPA POND worksheet Column A",'summary_EPA Pond'!$A369)</f>
        <v xml:space="preserve">27_712158-9291-74_Orchard deciduous-r13-A_USEPA Pond_0080_median                      </v>
      </c>
      <c r="B369" s="121" t="str" cm="1">
        <f t="array" ref="B369:G369">IFERROR(_xlfn.TEXTSPLIT(A369,"_"),"")</f>
        <v>27</v>
      </c>
      <c r="C369" t="str">
        <v>712158-9291-74</v>
      </c>
      <c r="D369" t="str">
        <v>Orchard deciduous-r13-A</v>
      </c>
      <c r="E369" t="str">
        <v>USEPA Pond</v>
      </c>
      <c r="F369" t="str">
        <v>0080</v>
      </c>
      <c r="G369" t="str">
        <v xml:space="preserve">median                      </v>
      </c>
      <c r="H369" s="121" t="str" cm="1">
        <f t="array" ref="H369:J369">IF(D369="","",(_xlfn.TEXTSPLIT(D369,"-")))</f>
        <v>Orchard deciduous</v>
      </c>
      <c r="I369" s="121" t="str">
        <v>r13</v>
      </c>
      <c r="J369" t="str">
        <v>A</v>
      </c>
      <c r="K369" s="129" t="str">
        <f>VLOOKUP(VALUE($B369),test_out_xwalk!$C:$L,3,FALSE)</f>
        <v>Apple-10-27</v>
      </c>
      <c r="L369" s="129">
        <f>VLOOKUP(VALUE($B369),test_out_xwalk!$C:$L,5,FALSE)</f>
        <v>2</v>
      </c>
      <c r="M369" s="129">
        <f>VLOOKUP(VALUE($B369),test_out_xwalk!$C:$L,6,FALSE)</f>
        <v>4</v>
      </c>
      <c r="N369" s="129" t="str">
        <f>VLOOKUP(VALUE($B369),test_out_xwalk!$C:$L,8,FALSE)</f>
        <v>Airblast_Sparse</v>
      </c>
      <c r="O369" s="129" t="str">
        <f>VLOOKUP(VALUE($B369),test_out_xwalk!$C:$L,7,FALSE)</f>
        <v>Spray</v>
      </c>
      <c r="P369" s="129" t="str">
        <f>VLOOKUP(VALUE($B369),test_out_xwalk!$C:$L,4,FALSE)</f>
        <v>Post-emergence</v>
      </c>
      <c r="Q369" s="129" t="str">
        <f>VLOOKUP(VALUE($B369),test_out_xwalk!$C:$L,9,FALSE)</f>
        <v>Other Orchards</v>
      </c>
      <c r="R369">
        <f>_xlfn.XLOOKUP(VALUE(B369),test_out_xwalk!$C:$C,test_out_xwalk!$A:$A)</f>
        <v>10</v>
      </c>
      <c r="T369" s="121" t="str">
        <f>IF('summary_EPA Pond'!$O369="","Check Summary EPA POND worksheet Column O",'summary_EPA Pond'!$O369)</f>
        <v>Check Summary EPA POND worksheet Column O</v>
      </c>
      <c r="U369" s="121" t="str" cm="1">
        <f t="array" ref="U369">IFERROR(_xlfn.TEXTSPLIT(T369,"_"),"")</f>
        <v>Check Summary EPA POND worksheet Column O</v>
      </c>
      <c r="AA369" s="121" t="str" cm="1">
        <f t="array" ref="AA369">IF(W369="","",(_xlfn.TEXTSPLIT(W369,"-")))</f>
        <v/>
      </c>
      <c r="AD369" s="129" t="e">
        <f>VLOOKUP(VALUE($U369),test_out_xwalk!$C:$L,3,FALSE)</f>
        <v>#VALUE!</v>
      </c>
      <c r="AE369" s="129" t="e">
        <f>VLOOKUP(VALUE($U369),test_out_xwalk!$C:$L,5,FALSE)</f>
        <v>#VALUE!</v>
      </c>
      <c r="AF369" s="129" t="e">
        <f>VLOOKUP(VALUE($U369),test_out_xwalk!$C:$L,6,FALSE)</f>
        <v>#VALUE!</v>
      </c>
      <c r="AG369" s="129" t="e">
        <f>VLOOKUP(VALUE($U369),test_out_xwalk!$C:$L,8,FALSE)</f>
        <v>#VALUE!</v>
      </c>
      <c r="AH369" s="129" t="e">
        <f>VLOOKUP(VALUE($U369),test_out_xwalk!$C:$L,7,FALSE)</f>
        <v>#VALUE!</v>
      </c>
      <c r="AI369" s="129" t="e">
        <f>VLOOKUP(VALUE($U369),test_out_xwalk!$C:$L,4,FALSE)</f>
        <v>#VALUE!</v>
      </c>
      <c r="AJ369" s="129" t="e">
        <f>VLOOKUP(VALUE($U369),test_out_xwalk!$C:$L,9,FALSE)</f>
        <v>#VALUE!</v>
      </c>
      <c r="AK369" t="e">
        <f>_xlfn.XLOOKUP(VALUE(U369),test_out_xwalk!C:C,test_out_xwalk!A:A)</f>
        <v>#VALUE!</v>
      </c>
    </row>
    <row r="370" spans="1:37" x14ac:dyDescent="0.55000000000000004">
      <c r="A370" s="121" t="str">
        <f>IF('summary_EPA Pond'!$A370="","Check Summary EPA POND worksheet Column A",'summary_EPA Pond'!$A370)</f>
        <v xml:space="preserve">27_496634-17773-67_Orchard deciduous-r14-A_USEPA Pond_0080_median                     </v>
      </c>
      <c r="B370" s="121" t="str" cm="1">
        <f t="array" ref="B370:G370">IFERROR(_xlfn.TEXTSPLIT(A370,"_"),"")</f>
        <v>27</v>
      </c>
      <c r="C370" t="str">
        <v>496634-17773-67</v>
      </c>
      <c r="D370" t="str">
        <v>Orchard deciduous-r14-A</v>
      </c>
      <c r="E370" t="str">
        <v>USEPA Pond</v>
      </c>
      <c r="F370" t="str">
        <v>0080</v>
      </c>
      <c r="G370" t="str">
        <v xml:space="preserve">median                     </v>
      </c>
      <c r="H370" s="121" t="str" cm="1">
        <f t="array" ref="H370:J370">IF(D370="","",(_xlfn.TEXTSPLIT(D370,"-")))</f>
        <v>Orchard deciduous</v>
      </c>
      <c r="I370" s="121" t="str">
        <v>r14</v>
      </c>
      <c r="J370" t="str">
        <v>A</v>
      </c>
      <c r="K370" s="129" t="str">
        <f>VLOOKUP(VALUE($B370),test_out_xwalk!$C:$L,3,FALSE)</f>
        <v>Apple-10-27</v>
      </c>
      <c r="L370" s="129">
        <f>VLOOKUP(VALUE($B370),test_out_xwalk!$C:$L,5,FALSE)</f>
        <v>2</v>
      </c>
      <c r="M370" s="129">
        <f>VLOOKUP(VALUE($B370),test_out_xwalk!$C:$L,6,FALSE)</f>
        <v>4</v>
      </c>
      <c r="N370" s="129" t="str">
        <f>VLOOKUP(VALUE($B370),test_out_xwalk!$C:$L,8,FALSE)</f>
        <v>Airblast_Sparse</v>
      </c>
      <c r="O370" s="129" t="str">
        <f>VLOOKUP(VALUE($B370),test_out_xwalk!$C:$L,7,FALSE)</f>
        <v>Spray</v>
      </c>
      <c r="P370" s="129" t="str">
        <f>VLOOKUP(VALUE($B370),test_out_xwalk!$C:$L,4,FALSE)</f>
        <v>Post-emergence</v>
      </c>
      <c r="Q370" s="129" t="str">
        <f>VLOOKUP(VALUE($B370),test_out_xwalk!$C:$L,9,FALSE)</f>
        <v>Other Orchards</v>
      </c>
      <c r="R370">
        <f>_xlfn.XLOOKUP(VALUE(B370),test_out_xwalk!$C:$C,test_out_xwalk!$A:$A)</f>
        <v>10</v>
      </c>
      <c r="T370" s="121" t="str">
        <f>IF('summary_EPA Pond'!$O370="","Check Summary EPA POND worksheet Column O",'summary_EPA Pond'!$O370)</f>
        <v>Check Summary EPA POND worksheet Column O</v>
      </c>
      <c r="U370" s="121" t="str" cm="1">
        <f t="array" ref="U370">IFERROR(_xlfn.TEXTSPLIT(T370,"_"),"")</f>
        <v>Check Summary EPA POND worksheet Column O</v>
      </c>
      <c r="AA370" s="121" t="str" cm="1">
        <f t="array" ref="AA370">IF(W370="","",(_xlfn.TEXTSPLIT(W370,"-")))</f>
        <v/>
      </c>
      <c r="AD370" s="129" t="e">
        <f>VLOOKUP(VALUE($U370),test_out_xwalk!$C:$L,3,FALSE)</f>
        <v>#VALUE!</v>
      </c>
      <c r="AE370" s="129" t="e">
        <f>VLOOKUP(VALUE($U370),test_out_xwalk!$C:$L,5,FALSE)</f>
        <v>#VALUE!</v>
      </c>
      <c r="AF370" s="129" t="e">
        <f>VLOOKUP(VALUE($U370),test_out_xwalk!$C:$L,6,FALSE)</f>
        <v>#VALUE!</v>
      </c>
      <c r="AG370" s="129" t="e">
        <f>VLOOKUP(VALUE($U370),test_out_xwalk!$C:$L,8,FALSE)</f>
        <v>#VALUE!</v>
      </c>
      <c r="AH370" s="129" t="e">
        <f>VLOOKUP(VALUE($U370),test_out_xwalk!$C:$L,7,FALSE)</f>
        <v>#VALUE!</v>
      </c>
      <c r="AI370" s="129" t="e">
        <f>VLOOKUP(VALUE($U370),test_out_xwalk!$C:$L,4,FALSE)</f>
        <v>#VALUE!</v>
      </c>
      <c r="AJ370" s="129" t="e">
        <f>VLOOKUP(VALUE($U370),test_out_xwalk!$C:$L,9,FALSE)</f>
        <v>#VALUE!</v>
      </c>
      <c r="AK370" t="e">
        <f>_xlfn.XLOOKUP(VALUE(U370),test_out_xwalk!C:C,test_out_xwalk!A:A)</f>
        <v>#VALUE!</v>
      </c>
    </row>
    <row r="371" spans="1:37" x14ac:dyDescent="0.55000000000000004">
      <c r="A371" s="121" t="str">
        <f>IF('summary_EPA Pond'!$A371="","Check Summary EPA POND worksheet Column A",'summary_EPA Pond'!$A371)</f>
        <v xml:space="preserve">27_53675-11396-74_Orchard deciduous-r15-A_USEPA Pond_0080_median                      </v>
      </c>
      <c r="B371" s="121" t="str" cm="1">
        <f t="array" ref="B371:G371">IFERROR(_xlfn.TEXTSPLIT(A371,"_"),"")</f>
        <v>27</v>
      </c>
      <c r="C371" t="str">
        <v>53675-11396-74</v>
      </c>
      <c r="D371" t="str">
        <v>Orchard deciduous-r15-A</v>
      </c>
      <c r="E371" t="str">
        <v>USEPA Pond</v>
      </c>
      <c r="F371" t="str">
        <v>0080</v>
      </c>
      <c r="G371" t="str">
        <v xml:space="preserve">median                      </v>
      </c>
      <c r="H371" s="121" t="str" cm="1">
        <f t="array" ref="H371:J371">IF(D371="","",(_xlfn.TEXTSPLIT(D371,"-")))</f>
        <v>Orchard deciduous</v>
      </c>
      <c r="I371" s="121" t="str">
        <v>r15</v>
      </c>
      <c r="J371" t="str">
        <v>A</v>
      </c>
      <c r="K371" s="129" t="str">
        <f>VLOOKUP(VALUE($B371),test_out_xwalk!$C:$L,3,FALSE)</f>
        <v>Apple-10-27</v>
      </c>
      <c r="L371" s="129">
        <f>VLOOKUP(VALUE($B371),test_out_xwalk!$C:$L,5,FALSE)</f>
        <v>2</v>
      </c>
      <c r="M371" s="129">
        <f>VLOOKUP(VALUE($B371),test_out_xwalk!$C:$L,6,FALSE)</f>
        <v>4</v>
      </c>
      <c r="N371" s="129" t="str">
        <f>VLOOKUP(VALUE($B371),test_out_xwalk!$C:$L,8,FALSE)</f>
        <v>Airblast_Sparse</v>
      </c>
      <c r="O371" s="129" t="str">
        <f>VLOOKUP(VALUE($B371),test_out_xwalk!$C:$L,7,FALSE)</f>
        <v>Spray</v>
      </c>
      <c r="P371" s="129" t="str">
        <f>VLOOKUP(VALUE($B371),test_out_xwalk!$C:$L,4,FALSE)</f>
        <v>Post-emergence</v>
      </c>
      <c r="Q371" s="129" t="str">
        <f>VLOOKUP(VALUE($B371),test_out_xwalk!$C:$L,9,FALSE)</f>
        <v>Other Orchards</v>
      </c>
      <c r="R371">
        <f>_xlfn.XLOOKUP(VALUE(B371),test_out_xwalk!$C:$C,test_out_xwalk!$A:$A)</f>
        <v>10</v>
      </c>
      <c r="T371" s="121" t="str">
        <f>IF('summary_EPA Pond'!$O371="","Check Summary EPA POND worksheet Column O",'summary_EPA Pond'!$O371)</f>
        <v>Check Summary EPA POND worksheet Column O</v>
      </c>
      <c r="U371" s="121" t="str" cm="1">
        <f t="array" ref="U371">IFERROR(_xlfn.TEXTSPLIT(T371,"_"),"")</f>
        <v>Check Summary EPA POND worksheet Column O</v>
      </c>
      <c r="AA371" s="121" t="str" cm="1">
        <f t="array" ref="AA371">IF(W371="","",(_xlfn.TEXTSPLIT(W371,"-")))</f>
        <v/>
      </c>
      <c r="AD371" s="129" t="e">
        <f>VLOOKUP(VALUE($U371),test_out_xwalk!$C:$L,3,FALSE)</f>
        <v>#VALUE!</v>
      </c>
      <c r="AE371" s="129" t="e">
        <f>VLOOKUP(VALUE($U371),test_out_xwalk!$C:$L,5,FALSE)</f>
        <v>#VALUE!</v>
      </c>
      <c r="AF371" s="129" t="e">
        <f>VLOOKUP(VALUE($U371),test_out_xwalk!$C:$L,6,FALSE)</f>
        <v>#VALUE!</v>
      </c>
      <c r="AG371" s="129" t="e">
        <f>VLOOKUP(VALUE($U371),test_out_xwalk!$C:$L,8,FALSE)</f>
        <v>#VALUE!</v>
      </c>
      <c r="AH371" s="129" t="e">
        <f>VLOOKUP(VALUE($U371),test_out_xwalk!$C:$L,7,FALSE)</f>
        <v>#VALUE!</v>
      </c>
      <c r="AI371" s="129" t="e">
        <f>VLOOKUP(VALUE($U371),test_out_xwalk!$C:$L,4,FALSE)</f>
        <v>#VALUE!</v>
      </c>
      <c r="AJ371" s="129" t="e">
        <f>VLOOKUP(VALUE($U371),test_out_xwalk!$C:$L,9,FALSE)</f>
        <v>#VALUE!</v>
      </c>
      <c r="AK371" t="e">
        <f>_xlfn.XLOOKUP(VALUE(U371),test_out_xwalk!C:C,test_out_xwalk!A:A)</f>
        <v>#VALUE!</v>
      </c>
    </row>
    <row r="372" spans="1:37" x14ac:dyDescent="0.55000000000000004">
      <c r="A372" s="121" t="str">
        <f>IF('summary_EPA Pond'!$A372="","Check Summary EPA POND worksheet Column A",'summary_EPA Pond'!$A372)</f>
        <v xml:space="preserve">27_483390-18938-66_Orchard deciduous-r16-A_USEPA Pond_0080_median                     </v>
      </c>
      <c r="B372" s="121" t="str" cm="1">
        <f t="array" ref="B372:G372">IFERROR(_xlfn.TEXTSPLIT(A372,"_"),"")</f>
        <v>27</v>
      </c>
      <c r="C372" t="str">
        <v>483390-18938-66</v>
      </c>
      <c r="D372" t="str">
        <v>Orchard deciduous-r16-A</v>
      </c>
      <c r="E372" t="str">
        <v>USEPA Pond</v>
      </c>
      <c r="F372" t="str">
        <v>0080</v>
      </c>
      <c r="G372" t="str">
        <v xml:space="preserve">median                     </v>
      </c>
      <c r="H372" s="121" t="str" cm="1">
        <f t="array" ref="H372:J372">IF(D372="","",(_xlfn.TEXTSPLIT(D372,"-")))</f>
        <v>Orchard deciduous</v>
      </c>
      <c r="I372" s="121" t="str">
        <v>r16</v>
      </c>
      <c r="J372" t="str">
        <v>A</v>
      </c>
      <c r="K372" s="129" t="str">
        <f>VLOOKUP(VALUE($B372),test_out_xwalk!$C:$L,3,FALSE)</f>
        <v>Apple-10-27</v>
      </c>
      <c r="L372" s="129">
        <f>VLOOKUP(VALUE($B372),test_out_xwalk!$C:$L,5,FALSE)</f>
        <v>2</v>
      </c>
      <c r="M372" s="129">
        <f>VLOOKUP(VALUE($B372),test_out_xwalk!$C:$L,6,FALSE)</f>
        <v>4</v>
      </c>
      <c r="N372" s="129" t="str">
        <f>VLOOKUP(VALUE($B372),test_out_xwalk!$C:$L,8,FALSE)</f>
        <v>Airblast_Sparse</v>
      </c>
      <c r="O372" s="129" t="str">
        <f>VLOOKUP(VALUE($B372),test_out_xwalk!$C:$L,7,FALSE)</f>
        <v>Spray</v>
      </c>
      <c r="P372" s="129" t="str">
        <f>VLOOKUP(VALUE($B372),test_out_xwalk!$C:$L,4,FALSE)</f>
        <v>Post-emergence</v>
      </c>
      <c r="Q372" s="129" t="str">
        <f>VLOOKUP(VALUE($B372),test_out_xwalk!$C:$L,9,FALSE)</f>
        <v>Other Orchards</v>
      </c>
      <c r="R372">
        <f>_xlfn.XLOOKUP(VALUE(B372),test_out_xwalk!$C:$C,test_out_xwalk!$A:$A)</f>
        <v>10</v>
      </c>
      <c r="T372" s="121" t="str">
        <f>IF('summary_EPA Pond'!$O372="","Check Summary EPA POND worksheet Column O",'summary_EPA Pond'!$O372)</f>
        <v>Check Summary EPA POND worksheet Column O</v>
      </c>
      <c r="U372" s="121" t="str" cm="1">
        <f t="array" ref="U372">IFERROR(_xlfn.TEXTSPLIT(T372,"_"),"")</f>
        <v>Check Summary EPA POND worksheet Column O</v>
      </c>
      <c r="AA372" s="121" t="str" cm="1">
        <f t="array" ref="AA372">IF(W372="","",(_xlfn.TEXTSPLIT(W372,"-")))</f>
        <v/>
      </c>
      <c r="AD372" s="129" t="e">
        <f>VLOOKUP(VALUE($U372),test_out_xwalk!$C:$L,3,FALSE)</f>
        <v>#VALUE!</v>
      </c>
      <c r="AE372" s="129" t="e">
        <f>VLOOKUP(VALUE($U372),test_out_xwalk!$C:$L,5,FALSE)</f>
        <v>#VALUE!</v>
      </c>
      <c r="AF372" s="129" t="e">
        <f>VLOOKUP(VALUE($U372),test_out_xwalk!$C:$L,6,FALSE)</f>
        <v>#VALUE!</v>
      </c>
      <c r="AG372" s="129" t="e">
        <f>VLOOKUP(VALUE($U372),test_out_xwalk!$C:$L,8,FALSE)</f>
        <v>#VALUE!</v>
      </c>
      <c r="AH372" s="129" t="e">
        <f>VLOOKUP(VALUE($U372),test_out_xwalk!$C:$L,7,FALSE)</f>
        <v>#VALUE!</v>
      </c>
      <c r="AI372" s="129" t="e">
        <f>VLOOKUP(VALUE($U372),test_out_xwalk!$C:$L,4,FALSE)</f>
        <v>#VALUE!</v>
      </c>
      <c r="AJ372" s="129" t="e">
        <f>VLOOKUP(VALUE($U372),test_out_xwalk!$C:$L,9,FALSE)</f>
        <v>#VALUE!</v>
      </c>
      <c r="AK372" t="e">
        <f>_xlfn.XLOOKUP(VALUE(U372),test_out_xwalk!C:C,test_out_xwalk!A:A)</f>
        <v>#VALUE!</v>
      </c>
    </row>
    <row r="373" spans="1:37" x14ac:dyDescent="0.55000000000000004">
      <c r="A373" s="121" t="str">
        <f>IF('summary_EPA Pond'!$A373="","Check Summary EPA POND worksheet Column A",'summary_EPA Pond'!$A373)</f>
        <v xml:space="preserve">27_62699-22668-71_Orchard deciduous-r17-A_USEPA Pond_0080_median                      </v>
      </c>
      <c r="B373" s="121" t="str" cm="1">
        <f t="array" ref="B373:G373">IFERROR(_xlfn.TEXTSPLIT(A373,"_"),"")</f>
        <v>27</v>
      </c>
      <c r="C373" t="str">
        <v>62699-22668-71</v>
      </c>
      <c r="D373" t="str">
        <v>Orchard deciduous-r17-A</v>
      </c>
      <c r="E373" t="str">
        <v>USEPA Pond</v>
      </c>
      <c r="F373" t="str">
        <v>0080</v>
      </c>
      <c r="G373" t="str">
        <v xml:space="preserve">median                      </v>
      </c>
      <c r="H373" s="121" t="str" cm="1">
        <f t="array" ref="H373:J373">IF(D373="","",(_xlfn.TEXTSPLIT(D373,"-")))</f>
        <v>Orchard deciduous</v>
      </c>
      <c r="I373" s="121" t="str">
        <v>r17</v>
      </c>
      <c r="J373" t="str">
        <v>A</v>
      </c>
      <c r="K373" s="129" t="str">
        <f>VLOOKUP(VALUE($B373),test_out_xwalk!$C:$L,3,FALSE)</f>
        <v>Apple-10-27</v>
      </c>
      <c r="L373" s="129">
        <f>VLOOKUP(VALUE($B373),test_out_xwalk!$C:$L,5,FALSE)</f>
        <v>2</v>
      </c>
      <c r="M373" s="129">
        <f>VLOOKUP(VALUE($B373),test_out_xwalk!$C:$L,6,FALSE)</f>
        <v>4</v>
      </c>
      <c r="N373" s="129" t="str">
        <f>VLOOKUP(VALUE($B373),test_out_xwalk!$C:$L,8,FALSE)</f>
        <v>Airblast_Sparse</v>
      </c>
      <c r="O373" s="129" t="str">
        <f>VLOOKUP(VALUE($B373),test_out_xwalk!$C:$L,7,FALSE)</f>
        <v>Spray</v>
      </c>
      <c r="P373" s="129" t="str">
        <f>VLOOKUP(VALUE($B373),test_out_xwalk!$C:$L,4,FALSE)</f>
        <v>Post-emergence</v>
      </c>
      <c r="Q373" s="129" t="str">
        <f>VLOOKUP(VALUE($B373),test_out_xwalk!$C:$L,9,FALSE)</f>
        <v>Other Orchards</v>
      </c>
      <c r="R373">
        <f>_xlfn.XLOOKUP(VALUE(B373),test_out_xwalk!$C:$C,test_out_xwalk!$A:$A)</f>
        <v>10</v>
      </c>
      <c r="T373" s="121" t="str">
        <f>IF('summary_EPA Pond'!$O373="","Check Summary EPA POND worksheet Column O",'summary_EPA Pond'!$O373)</f>
        <v>Check Summary EPA POND worksheet Column O</v>
      </c>
      <c r="U373" s="121" t="str" cm="1">
        <f t="array" ref="U373">IFERROR(_xlfn.TEXTSPLIT(T373,"_"),"")</f>
        <v>Check Summary EPA POND worksheet Column O</v>
      </c>
      <c r="AA373" s="121" t="str" cm="1">
        <f t="array" ref="AA373">IF(W373="","",(_xlfn.TEXTSPLIT(W373,"-")))</f>
        <v/>
      </c>
      <c r="AD373" s="129" t="e">
        <f>VLOOKUP(VALUE($U373),test_out_xwalk!$C:$L,3,FALSE)</f>
        <v>#VALUE!</v>
      </c>
      <c r="AE373" s="129" t="e">
        <f>VLOOKUP(VALUE($U373),test_out_xwalk!$C:$L,5,FALSE)</f>
        <v>#VALUE!</v>
      </c>
      <c r="AF373" s="129" t="e">
        <f>VLOOKUP(VALUE($U373),test_out_xwalk!$C:$L,6,FALSE)</f>
        <v>#VALUE!</v>
      </c>
      <c r="AG373" s="129" t="e">
        <f>VLOOKUP(VALUE($U373),test_out_xwalk!$C:$L,8,FALSE)</f>
        <v>#VALUE!</v>
      </c>
      <c r="AH373" s="129" t="e">
        <f>VLOOKUP(VALUE($U373),test_out_xwalk!$C:$L,7,FALSE)</f>
        <v>#VALUE!</v>
      </c>
      <c r="AI373" s="129" t="e">
        <f>VLOOKUP(VALUE($U373),test_out_xwalk!$C:$L,4,FALSE)</f>
        <v>#VALUE!</v>
      </c>
      <c r="AJ373" s="129" t="e">
        <f>VLOOKUP(VALUE($U373),test_out_xwalk!$C:$L,9,FALSE)</f>
        <v>#VALUE!</v>
      </c>
      <c r="AK373" t="e">
        <f>_xlfn.XLOOKUP(VALUE(U373),test_out_xwalk!C:C,test_out_xwalk!A:A)</f>
        <v>#VALUE!</v>
      </c>
    </row>
    <row r="374" spans="1:37" x14ac:dyDescent="0.55000000000000004">
      <c r="A374" s="121" t="str">
        <f>IF('summary_EPA Pond'!$A374="","Check Summary EPA POND worksheet Column A",'summary_EPA Pond'!$A374)</f>
        <v xml:space="preserve">27_462066-17012-75_Orchard deciduous-r18-A_USEPA Pond_0080_median                     </v>
      </c>
      <c r="B374" s="121" t="str" cm="1">
        <f t="array" ref="B374:G374">IFERROR(_xlfn.TEXTSPLIT(A374,"_"),"")</f>
        <v>27</v>
      </c>
      <c r="C374" t="str">
        <v>462066-17012-75</v>
      </c>
      <c r="D374" t="str">
        <v>Orchard deciduous-r18-A</v>
      </c>
      <c r="E374" t="str">
        <v>USEPA Pond</v>
      </c>
      <c r="F374" t="str">
        <v>0080</v>
      </c>
      <c r="G374" t="str">
        <v xml:space="preserve">median                     </v>
      </c>
      <c r="H374" s="121" t="str" cm="1">
        <f t="array" ref="H374:J374">IF(D374="","",(_xlfn.TEXTSPLIT(D374,"-")))</f>
        <v>Orchard deciduous</v>
      </c>
      <c r="I374" s="121" t="str">
        <v>r18</v>
      </c>
      <c r="J374" t="str">
        <v>A</v>
      </c>
      <c r="K374" s="129" t="str">
        <f>VLOOKUP(VALUE($B374),test_out_xwalk!$C:$L,3,FALSE)</f>
        <v>Apple-10-27</v>
      </c>
      <c r="L374" s="129">
        <f>VLOOKUP(VALUE($B374),test_out_xwalk!$C:$L,5,FALSE)</f>
        <v>2</v>
      </c>
      <c r="M374" s="129">
        <f>VLOOKUP(VALUE($B374),test_out_xwalk!$C:$L,6,FALSE)</f>
        <v>4</v>
      </c>
      <c r="N374" s="129" t="str">
        <f>VLOOKUP(VALUE($B374),test_out_xwalk!$C:$L,8,FALSE)</f>
        <v>Airblast_Sparse</v>
      </c>
      <c r="O374" s="129" t="str">
        <f>VLOOKUP(VALUE($B374),test_out_xwalk!$C:$L,7,FALSE)</f>
        <v>Spray</v>
      </c>
      <c r="P374" s="129" t="str">
        <f>VLOOKUP(VALUE($B374),test_out_xwalk!$C:$L,4,FALSE)</f>
        <v>Post-emergence</v>
      </c>
      <c r="Q374" s="129" t="str">
        <f>VLOOKUP(VALUE($B374),test_out_xwalk!$C:$L,9,FALSE)</f>
        <v>Other Orchards</v>
      </c>
      <c r="R374">
        <f>_xlfn.XLOOKUP(VALUE(B374),test_out_xwalk!$C:$C,test_out_xwalk!$A:$A)</f>
        <v>10</v>
      </c>
      <c r="T374" s="121" t="str">
        <f>IF('summary_EPA Pond'!$O374="","Check Summary EPA POND worksheet Column O",'summary_EPA Pond'!$O374)</f>
        <v>Check Summary EPA POND worksheet Column O</v>
      </c>
      <c r="U374" s="121" t="str" cm="1">
        <f t="array" ref="U374">IFERROR(_xlfn.TEXTSPLIT(T374,"_"),"")</f>
        <v>Check Summary EPA POND worksheet Column O</v>
      </c>
      <c r="AA374" s="121" t="str" cm="1">
        <f t="array" ref="AA374">IF(W374="","",(_xlfn.TEXTSPLIT(W374,"-")))</f>
        <v/>
      </c>
      <c r="AD374" s="129" t="e">
        <f>VLOOKUP(VALUE($U374),test_out_xwalk!$C:$L,3,FALSE)</f>
        <v>#VALUE!</v>
      </c>
      <c r="AE374" s="129" t="e">
        <f>VLOOKUP(VALUE($U374),test_out_xwalk!$C:$L,5,FALSE)</f>
        <v>#VALUE!</v>
      </c>
      <c r="AF374" s="129" t="e">
        <f>VLOOKUP(VALUE($U374),test_out_xwalk!$C:$L,6,FALSE)</f>
        <v>#VALUE!</v>
      </c>
      <c r="AG374" s="129" t="e">
        <f>VLOOKUP(VALUE($U374),test_out_xwalk!$C:$L,8,FALSE)</f>
        <v>#VALUE!</v>
      </c>
      <c r="AH374" s="129" t="e">
        <f>VLOOKUP(VALUE($U374),test_out_xwalk!$C:$L,7,FALSE)</f>
        <v>#VALUE!</v>
      </c>
      <c r="AI374" s="129" t="e">
        <f>VLOOKUP(VALUE($U374),test_out_xwalk!$C:$L,4,FALSE)</f>
        <v>#VALUE!</v>
      </c>
      <c r="AJ374" s="129" t="e">
        <f>VLOOKUP(VALUE($U374),test_out_xwalk!$C:$L,9,FALSE)</f>
        <v>#VALUE!</v>
      </c>
      <c r="AK374" t="e">
        <f>_xlfn.XLOOKUP(VALUE(U374),test_out_xwalk!C:C,test_out_xwalk!A:A)</f>
        <v>#VALUE!</v>
      </c>
    </row>
    <row r="375" spans="1:37" x14ac:dyDescent="0.55000000000000004">
      <c r="A375" s="121" t="str">
        <f>IF('summary_EPA Pond'!$A375="","Check Summary EPA POND worksheet Column A",'summary_EPA Pond'!$A375)</f>
        <v xml:space="preserve">29_301823-25720-176_Pasture or forage-r01-A_USEPA Pond_0030_median                    </v>
      </c>
      <c r="B375" s="121" t="str" cm="1">
        <f t="array" ref="B375:G375">IFERROR(_xlfn.TEXTSPLIT(A375,"_"),"")</f>
        <v>29</v>
      </c>
      <c r="C375" t="str">
        <v>301823-25720-176</v>
      </c>
      <c r="D375" t="str">
        <v>Pasture or forage-r01-A</v>
      </c>
      <c r="E375" t="str">
        <v>USEPA Pond</v>
      </c>
      <c r="F375" t="str">
        <v>0030</v>
      </c>
      <c r="G375" t="str">
        <v xml:space="preserve">median                    </v>
      </c>
      <c r="H375" s="121" t="str" cm="1">
        <f t="array" ref="H375:J375">IF(D375="","",(_xlfn.TEXTSPLIT(D375,"-")))</f>
        <v>Pasture or forage</v>
      </c>
      <c r="I375" s="121" t="str">
        <v>r01</v>
      </c>
      <c r="J375" t="str">
        <v>A</v>
      </c>
      <c r="K375" s="129" t="str">
        <f>VLOOKUP(VALUE($B375),test_out_xwalk!$C:$L,3,FALSE)</f>
        <v>Grass, Pasture-11-29</v>
      </c>
      <c r="L375" s="129">
        <f>VLOOKUP(VALUE($B375),test_out_xwalk!$C:$L,5,FALSE)</f>
        <v>1</v>
      </c>
      <c r="M375" s="129">
        <f>VLOOKUP(VALUE($B375),test_out_xwalk!$C:$L,6,FALSE)</f>
        <v>1</v>
      </c>
      <c r="N375" s="129" t="str">
        <f>VLOOKUP(VALUE($B375),test_out_xwalk!$C:$L,8,FALSE)</f>
        <v>Aerial_Medium</v>
      </c>
      <c r="O375" s="129" t="str">
        <f>VLOOKUP(VALUE($B375),test_out_xwalk!$C:$L,7,FALSE)</f>
        <v>Spray</v>
      </c>
      <c r="P375" s="129" t="str">
        <f>VLOOKUP(VALUE($B375),test_out_xwalk!$C:$L,4,FALSE)</f>
        <v>Post-emergence</v>
      </c>
      <c r="Q375" s="129" t="str">
        <f>VLOOKUP(VALUE($B375),test_out_xwalk!$C:$L,9,FALSE)</f>
        <v>Range</v>
      </c>
      <c r="R375">
        <f>_xlfn.XLOOKUP(VALUE(B375),test_out_xwalk!$C:$C,test_out_xwalk!$A:$A)</f>
        <v>11</v>
      </c>
      <c r="T375" s="121" t="str">
        <f>IF('summary_EPA Pond'!$O375="","Check Summary EPA POND worksheet Column O",'summary_EPA Pond'!$O375)</f>
        <v>Check Summary EPA POND worksheet Column O</v>
      </c>
      <c r="U375" s="121" t="str" cm="1">
        <f t="array" ref="U375">IFERROR(_xlfn.TEXTSPLIT(T375,"_"),"")</f>
        <v>Check Summary EPA POND worksheet Column O</v>
      </c>
      <c r="AA375" s="121" t="str" cm="1">
        <f t="array" ref="AA375">IF(W375="","",(_xlfn.TEXTSPLIT(W375,"-")))</f>
        <v/>
      </c>
      <c r="AD375" s="129" t="e">
        <f>VLOOKUP(VALUE($U375),test_out_xwalk!$C:$L,3,FALSE)</f>
        <v>#VALUE!</v>
      </c>
      <c r="AE375" s="129" t="e">
        <f>VLOOKUP(VALUE($U375),test_out_xwalk!$C:$L,5,FALSE)</f>
        <v>#VALUE!</v>
      </c>
      <c r="AF375" s="129" t="e">
        <f>VLOOKUP(VALUE($U375),test_out_xwalk!$C:$L,6,FALSE)</f>
        <v>#VALUE!</v>
      </c>
      <c r="AG375" s="129" t="e">
        <f>VLOOKUP(VALUE($U375),test_out_xwalk!$C:$L,8,FALSE)</f>
        <v>#VALUE!</v>
      </c>
      <c r="AH375" s="129" t="e">
        <f>VLOOKUP(VALUE($U375),test_out_xwalk!$C:$L,7,FALSE)</f>
        <v>#VALUE!</v>
      </c>
      <c r="AI375" s="129" t="e">
        <f>VLOOKUP(VALUE($U375),test_out_xwalk!$C:$L,4,FALSE)</f>
        <v>#VALUE!</v>
      </c>
      <c r="AJ375" s="129" t="e">
        <f>VLOOKUP(VALUE($U375),test_out_xwalk!$C:$L,9,FALSE)</f>
        <v>#VALUE!</v>
      </c>
      <c r="AK375" t="e">
        <f>_xlfn.XLOOKUP(VALUE(U375),test_out_xwalk!C:C,test_out_xwalk!A:A)</f>
        <v>#VALUE!</v>
      </c>
    </row>
    <row r="376" spans="1:37" x14ac:dyDescent="0.55000000000000004">
      <c r="A376" s="121" t="str">
        <f>IF('summary_EPA Pond'!$A376="","Check Summary EPA POND worksheet Column A",'summary_EPA Pond'!$A376)</f>
        <v xml:space="preserve">29_299355-20498-176_Pasture or forage-r02-A_USEPA Pond_0030_median                    </v>
      </c>
      <c r="B376" s="121" t="str" cm="1">
        <f t="array" ref="B376:G376">IFERROR(_xlfn.TEXTSPLIT(A376,"_"),"")</f>
        <v>29</v>
      </c>
      <c r="C376" t="str">
        <v>299355-20498-176</v>
      </c>
      <c r="D376" t="str">
        <v>Pasture or forage-r02-A</v>
      </c>
      <c r="E376" t="str">
        <v>USEPA Pond</v>
      </c>
      <c r="F376" t="str">
        <v>0030</v>
      </c>
      <c r="G376" t="str">
        <v xml:space="preserve">median                    </v>
      </c>
      <c r="H376" s="121" t="str" cm="1">
        <f t="array" ref="H376:J376">IF(D376="","",(_xlfn.TEXTSPLIT(D376,"-")))</f>
        <v>Pasture or forage</v>
      </c>
      <c r="I376" s="121" t="str">
        <v>r02</v>
      </c>
      <c r="J376" t="str">
        <v>A</v>
      </c>
      <c r="K376" s="129" t="str">
        <f>VLOOKUP(VALUE($B376),test_out_xwalk!$C:$L,3,FALSE)</f>
        <v>Grass, Pasture-11-29</v>
      </c>
      <c r="L376" s="129">
        <f>VLOOKUP(VALUE($B376),test_out_xwalk!$C:$L,5,FALSE)</f>
        <v>1</v>
      </c>
      <c r="M376" s="129">
        <f>VLOOKUP(VALUE($B376),test_out_xwalk!$C:$L,6,FALSE)</f>
        <v>1</v>
      </c>
      <c r="N376" s="129" t="str">
        <f>VLOOKUP(VALUE($B376),test_out_xwalk!$C:$L,8,FALSE)</f>
        <v>Aerial_Medium</v>
      </c>
      <c r="O376" s="129" t="str">
        <f>VLOOKUP(VALUE($B376),test_out_xwalk!$C:$L,7,FALSE)</f>
        <v>Spray</v>
      </c>
      <c r="P376" s="129" t="str">
        <f>VLOOKUP(VALUE($B376),test_out_xwalk!$C:$L,4,FALSE)</f>
        <v>Post-emergence</v>
      </c>
      <c r="Q376" s="129" t="str">
        <f>VLOOKUP(VALUE($B376),test_out_xwalk!$C:$L,9,FALSE)</f>
        <v>Range</v>
      </c>
      <c r="R376">
        <f>_xlfn.XLOOKUP(VALUE(B376),test_out_xwalk!$C:$C,test_out_xwalk!$A:$A)</f>
        <v>11</v>
      </c>
      <c r="T376" s="121" t="str">
        <f>IF('summary_EPA Pond'!$O376="","Check Summary EPA POND worksheet Column O",'summary_EPA Pond'!$O376)</f>
        <v>Check Summary EPA POND worksheet Column O</v>
      </c>
      <c r="U376" s="121" t="str" cm="1">
        <f t="array" ref="U376">IFERROR(_xlfn.TEXTSPLIT(T376,"_"),"")</f>
        <v>Check Summary EPA POND worksheet Column O</v>
      </c>
      <c r="AA376" s="121" t="str" cm="1">
        <f t="array" ref="AA376">IF(W376="","",(_xlfn.TEXTSPLIT(W376,"-")))</f>
        <v/>
      </c>
      <c r="AD376" s="129" t="e">
        <f>VLOOKUP(VALUE($U376),test_out_xwalk!$C:$L,3,FALSE)</f>
        <v>#VALUE!</v>
      </c>
      <c r="AE376" s="129" t="e">
        <f>VLOOKUP(VALUE($U376),test_out_xwalk!$C:$L,5,FALSE)</f>
        <v>#VALUE!</v>
      </c>
      <c r="AF376" s="129" t="e">
        <f>VLOOKUP(VALUE($U376),test_out_xwalk!$C:$L,6,FALSE)</f>
        <v>#VALUE!</v>
      </c>
      <c r="AG376" s="129" t="e">
        <f>VLOOKUP(VALUE($U376),test_out_xwalk!$C:$L,8,FALSE)</f>
        <v>#VALUE!</v>
      </c>
      <c r="AH376" s="129" t="e">
        <f>VLOOKUP(VALUE($U376),test_out_xwalk!$C:$L,7,FALSE)</f>
        <v>#VALUE!</v>
      </c>
      <c r="AI376" s="129" t="e">
        <f>VLOOKUP(VALUE($U376),test_out_xwalk!$C:$L,4,FALSE)</f>
        <v>#VALUE!</v>
      </c>
      <c r="AJ376" s="129" t="e">
        <f>VLOOKUP(VALUE($U376),test_out_xwalk!$C:$L,9,FALSE)</f>
        <v>#VALUE!</v>
      </c>
      <c r="AK376" t="e">
        <f>_xlfn.XLOOKUP(VALUE(U376),test_out_xwalk!C:C,test_out_xwalk!A:A)</f>
        <v>#VALUE!</v>
      </c>
    </row>
    <row r="377" spans="1:37" x14ac:dyDescent="0.55000000000000004">
      <c r="A377" s="121" t="str">
        <f>IF('summary_EPA Pond'!$A377="","Check Summary EPA POND worksheet Column A",'summary_EPA Pond'!$A377)</f>
        <v xml:space="preserve">29_120164-16000-176_Pasture or forage-r03N-A_USEPA Pond_0030_median                   </v>
      </c>
      <c r="B377" s="121" t="str" cm="1">
        <f t="array" ref="B377:G377">IFERROR(_xlfn.TEXTSPLIT(A377,"_"),"")</f>
        <v>29</v>
      </c>
      <c r="C377" t="str">
        <v>120164-16000-176</v>
      </c>
      <c r="D377" t="str">
        <v>Pasture or forage-r03N-A</v>
      </c>
      <c r="E377" t="str">
        <v>USEPA Pond</v>
      </c>
      <c r="F377" t="str">
        <v>0030</v>
      </c>
      <c r="G377" t="str">
        <v xml:space="preserve">median                   </v>
      </c>
      <c r="H377" s="121" t="str" cm="1">
        <f t="array" ref="H377:J377">IF(D377="","",(_xlfn.TEXTSPLIT(D377,"-")))</f>
        <v>Pasture or forage</v>
      </c>
      <c r="I377" s="121" t="str">
        <v>r03N</v>
      </c>
      <c r="J377" t="str">
        <v>A</v>
      </c>
      <c r="K377" s="129" t="str">
        <f>VLOOKUP(VALUE($B377),test_out_xwalk!$C:$L,3,FALSE)</f>
        <v>Grass, Pasture-11-29</v>
      </c>
      <c r="L377" s="129">
        <f>VLOOKUP(VALUE($B377),test_out_xwalk!$C:$L,5,FALSE)</f>
        <v>1</v>
      </c>
      <c r="M377" s="129">
        <f>VLOOKUP(VALUE($B377),test_out_xwalk!$C:$L,6,FALSE)</f>
        <v>1</v>
      </c>
      <c r="N377" s="129" t="str">
        <f>VLOOKUP(VALUE($B377),test_out_xwalk!$C:$L,8,FALSE)</f>
        <v>Aerial_Medium</v>
      </c>
      <c r="O377" s="129" t="str">
        <f>VLOOKUP(VALUE($B377),test_out_xwalk!$C:$L,7,FALSE)</f>
        <v>Spray</v>
      </c>
      <c r="P377" s="129" t="str">
        <f>VLOOKUP(VALUE($B377),test_out_xwalk!$C:$L,4,FALSE)</f>
        <v>Post-emergence</v>
      </c>
      <c r="Q377" s="129" t="str">
        <f>VLOOKUP(VALUE($B377),test_out_xwalk!$C:$L,9,FALSE)</f>
        <v>Range</v>
      </c>
      <c r="R377">
        <f>_xlfn.XLOOKUP(VALUE(B377),test_out_xwalk!$C:$C,test_out_xwalk!$A:$A)</f>
        <v>11</v>
      </c>
      <c r="T377" s="121" t="str">
        <f>IF('summary_EPA Pond'!$O377="","Check Summary EPA POND worksheet Column O",'summary_EPA Pond'!$O377)</f>
        <v>Check Summary EPA POND worksheet Column O</v>
      </c>
      <c r="U377" s="121" t="str" cm="1">
        <f t="array" ref="U377">IFERROR(_xlfn.TEXTSPLIT(T377,"_"),"")</f>
        <v>Check Summary EPA POND worksheet Column O</v>
      </c>
      <c r="AA377" s="121" t="str" cm="1">
        <f t="array" ref="AA377">IF(W377="","",(_xlfn.TEXTSPLIT(W377,"-")))</f>
        <v/>
      </c>
      <c r="AD377" s="129" t="e">
        <f>VLOOKUP(VALUE($U377),test_out_xwalk!$C:$L,3,FALSE)</f>
        <v>#VALUE!</v>
      </c>
      <c r="AE377" s="129" t="e">
        <f>VLOOKUP(VALUE($U377),test_out_xwalk!$C:$L,5,FALSE)</f>
        <v>#VALUE!</v>
      </c>
      <c r="AF377" s="129" t="e">
        <f>VLOOKUP(VALUE($U377),test_out_xwalk!$C:$L,6,FALSE)</f>
        <v>#VALUE!</v>
      </c>
      <c r="AG377" s="129" t="e">
        <f>VLOOKUP(VALUE($U377),test_out_xwalk!$C:$L,8,FALSE)</f>
        <v>#VALUE!</v>
      </c>
      <c r="AH377" s="129" t="e">
        <f>VLOOKUP(VALUE($U377),test_out_xwalk!$C:$L,7,FALSE)</f>
        <v>#VALUE!</v>
      </c>
      <c r="AI377" s="129" t="e">
        <f>VLOOKUP(VALUE($U377),test_out_xwalk!$C:$L,4,FALSE)</f>
        <v>#VALUE!</v>
      </c>
      <c r="AJ377" s="129" t="e">
        <f>VLOOKUP(VALUE($U377),test_out_xwalk!$C:$L,9,FALSE)</f>
        <v>#VALUE!</v>
      </c>
      <c r="AK377" t="e">
        <f>_xlfn.XLOOKUP(VALUE(U377),test_out_xwalk!C:C,test_out_xwalk!A:A)</f>
        <v>#VALUE!</v>
      </c>
    </row>
    <row r="378" spans="1:37" x14ac:dyDescent="0.55000000000000004">
      <c r="A378" s="121" t="str">
        <f>IF('summary_EPA Pond'!$A378="","Check Summary EPA POND worksheet Column A",'summary_EPA Pond'!$A378)</f>
        <v xml:space="preserve">29_1712910-8907-176_Pasture or forage-r03S-A_USEPA Pond_0030_median                   </v>
      </c>
      <c r="B378" s="121" t="str" cm="1">
        <f t="array" ref="B378:G378">IFERROR(_xlfn.TEXTSPLIT(A378,"_"),"")</f>
        <v>29</v>
      </c>
      <c r="C378" t="str">
        <v>1712910-8907-176</v>
      </c>
      <c r="D378" t="str">
        <v>Pasture or forage-r03S-A</v>
      </c>
      <c r="E378" t="str">
        <v>USEPA Pond</v>
      </c>
      <c r="F378" t="str">
        <v>0030</v>
      </c>
      <c r="G378" t="str">
        <v xml:space="preserve">median                   </v>
      </c>
      <c r="H378" s="121" t="str" cm="1">
        <f t="array" ref="H378:J378">IF(D378="","",(_xlfn.TEXTSPLIT(D378,"-")))</f>
        <v>Pasture or forage</v>
      </c>
      <c r="I378" s="121" t="str">
        <v>r03S</v>
      </c>
      <c r="J378" t="str">
        <v>A</v>
      </c>
      <c r="K378" s="129" t="str">
        <f>VLOOKUP(VALUE($B378),test_out_xwalk!$C:$L,3,FALSE)</f>
        <v>Grass, Pasture-11-29</v>
      </c>
      <c r="L378" s="129">
        <f>VLOOKUP(VALUE($B378),test_out_xwalk!$C:$L,5,FALSE)</f>
        <v>1</v>
      </c>
      <c r="M378" s="129">
        <f>VLOOKUP(VALUE($B378),test_out_xwalk!$C:$L,6,FALSE)</f>
        <v>1</v>
      </c>
      <c r="N378" s="129" t="str">
        <f>VLOOKUP(VALUE($B378),test_out_xwalk!$C:$L,8,FALSE)</f>
        <v>Aerial_Medium</v>
      </c>
      <c r="O378" s="129" t="str">
        <f>VLOOKUP(VALUE($B378),test_out_xwalk!$C:$L,7,FALSE)</f>
        <v>Spray</v>
      </c>
      <c r="P378" s="129" t="str">
        <f>VLOOKUP(VALUE($B378),test_out_xwalk!$C:$L,4,FALSE)</f>
        <v>Post-emergence</v>
      </c>
      <c r="Q378" s="129" t="str">
        <f>VLOOKUP(VALUE($B378),test_out_xwalk!$C:$L,9,FALSE)</f>
        <v>Range</v>
      </c>
      <c r="R378">
        <f>_xlfn.XLOOKUP(VALUE(B378),test_out_xwalk!$C:$C,test_out_xwalk!$A:$A)</f>
        <v>11</v>
      </c>
      <c r="T378" s="121" t="str">
        <f>IF('summary_EPA Pond'!$O378="","Check Summary EPA POND worksheet Column O",'summary_EPA Pond'!$O378)</f>
        <v>Check Summary EPA POND worksheet Column O</v>
      </c>
      <c r="U378" s="121" t="str" cm="1">
        <f t="array" ref="U378">IFERROR(_xlfn.TEXTSPLIT(T378,"_"),"")</f>
        <v>Check Summary EPA POND worksheet Column O</v>
      </c>
      <c r="AA378" s="121" t="str" cm="1">
        <f t="array" ref="AA378">IF(W378="","",(_xlfn.TEXTSPLIT(W378,"-")))</f>
        <v/>
      </c>
      <c r="AD378" s="129" t="e">
        <f>VLOOKUP(VALUE($U378),test_out_xwalk!$C:$L,3,FALSE)</f>
        <v>#VALUE!</v>
      </c>
      <c r="AE378" s="129" t="e">
        <f>VLOOKUP(VALUE($U378),test_out_xwalk!$C:$L,5,FALSE)</f>
        <v>#VALUE!</v>
      </c>
      <c r="AF378" s="129" t="e">
        <f>VLOOKUP(VALUE($U378),test_out_xwalk!$C:$L,6,FALSE)</f>
        <v>#VALUE!</v>
      </c>
      <c r="AG378" s="129" t="e">
        <f>VLOOKUP(VALUE($U378),test_out_xwalk!$C:$L,8,FALSE)</f>
        <v>#VALUE!</v>
      </c>
      <c r="AH378" s="129" t="e">
        <f>VLOOKUP(VALUE($U378),test_out_xwalk!$C:$L,7,FALSE)</f>
        <v>#VALUE!</v>
      </c>
      <c r="AI378" s="129" t="e">
        <f>VLOOKUP(VALUE($U378),test_out_xwalk!$C:$L,4,FALSE)</f>
        <v>#VALUE!</v>
      </c>
      <c r="AJ378" s="129" t="e">
        <f>VLOOKUP(VALUE($U378),test_out_xwalk!$C:$L,9,FALSE)</f>
        <v>#VALUE!</v>
      </c>
      <c r="AK378" t="e">
        <f>_xlfn.XLOOKUP(VALUE(U378),test_out_xwalk!C:C,test_out_xwalk!A:A)</f>
        <v>#VALUE!</v>
      </c>
    </row>
    <row r="379" spans="1:37" x14ac:dyDescent="0.55000000000000004">
      <c r="A379" s="121" t="str">
        <f>IF('summary_EPA Pond'!$A379="","Check Summary EPA POND worksheet Column A",'summary_EPA Pond'!$A379)</f>
        <v xml:space="preserve">29_333408-12658-176_Pasture or forage-r03W-A_USEPA Pond_0030_median                   </v>
      </c>
      <c r="B379" s="121" t="str" cm="1">
        <f t="array" ref="B379:G379">IFERROR(_xlfn.TEXTSPLIT(A379,"_"),"")</f>
        <v>29</v>
      </c>
      <c r="C379" t="str">
        <v>333408-12658-176</v>
      </c>
      <c r="D379" t="str">
        <v>Pasture or forage-r03W-A</v>
      </c>
      <c r="E379" t="str">
        <v>USEPA Pond</v>
      </c>
      <c r="F379" t="str">
        <v>0030</v>
      </c>
      <c r="G379" t="str">
        <v xml:space="preserve">median                   </v>
      </c>
      <c r="H379" s="121" t="str" cm="1">
        <f t="array" ref="H379:J379">IF(D379="","",(_xlfn.TEXTSPLIT(D379,"-")))</f>
        <v>Pasture or forage</v>
      </c>
      <c r="I379" s="121" t="str">
        <v>r03W</v>
      </c>
      <c r="J379" t="str">
        <v>A</v>
      </c>
      <c r="K379" s="129" t="str">
        <f>VLOOKUP(VALUE($B379),test_out_xwalk!$C:$L,3,FALSE)</f>
        <v>Grass, Pasture-11-29</v>
      </c>
      <c r="L379" s="129">
        <f>VLOOKUP(VALUE($B379),test_out_xwalk!$C:$L,5,FALSE)</f>
        <v>1</v>
      </c>
      <c r="M379" s="129">
        <f>VLOOKUP(VALUE($B379),test_out_xwalk!$C:$L,6,FALSE)</f>
        <v>1</v>
      </c>
      <c r="N379" s="129" t="str">
        <f>VLOOKUP(VALUE($B379),test_out_xwalk!$C:$L,8,FALSE)</f>
        <v>Aerial_Medium</v>
      </c>
      <c r="O379" s="129" t="str">
        <f>VLOOKUP(VALUE($B379),test_out_xwalk!$C:$L,7,FALSE)</f>
        <v>Spray</v>
      </c>
      <c r="P379" s="129" t="str">
        <f>VLOOKUP(VALUE($B379),test_out_xwalk!$C:$L,4,FALSE)</f>
        <v>Post-emergence</v>
      </c>
      <c r="Q379" s="129" t="str">
        <f>VLOOKUP(VALUE($B379),test_out_xwalk!$C:$L,9,FALSE)</f>
        <v>Range</v>
      </c>
      <c r="R379">
        <f>_xlfn.XLOOKUP(VALUE(B379),test_out_xwalk!$C:$C,test_out_xwalk!$A:$A)</f>
        <v>11</v>
      </c>
      <c r="T379" s="121" t="str">
        <f>IF('summary_EPA Pond'!$O379="","Check Summary EPA POND worksheet Column O",'summary_EPA Pond'!$O379)</f>
        <v>Check Summary EPA POND worksheet Column O</v>
      </c>
      <c r="U379" s="121" t="str" cm="1">
        <f t="array" ref="U379">IFERROR(_xlfn.TEXTSPLIT(T379,"_"),"")</f>
        <v>Check Summary EPA POND worksheet Column O</v>
      </c>
      <c r="AA379" s="121" t="str" cm="1">
        <f t="array" ref="AA379">IF(W379="","",(_xlfn.TEXTSPLIT(W379,"-")))</f>
        <v/>
      </c>
      <c r="AD379" s="129" t="e">
        <f>VLOOKUP(VALUE($U379),test_out_xwalk!$C:$L,3,FALSE)</f>
        <v>#VALUE!</v>
      </c>
      <c r="AE379" s="129" t="e">
        <f>VLOOKUP(VALUE($U379),test_out_xwalk!$C:$L,5,FALSE)</f>
        <v>#VALUE!</v>
      </c>
      <c r="AF379" s="129" t="e">
        <f>VLOOKUP(VALUE($U379),test_out_xwalk!$C:$L,6,FALSE)</f>
        <v>#VALUE!</v>
      </c>
      <c r="AG379" s="129" t="e">
        <f>VLOOKUP(VALUE($U379),test_out_xwalk!$C:$L,8,FALSE)</f>
        <v>#VALUE!</v>
      </c>
      <c r="AH379" s="129" t="e">
        <f>VLOOKUP(VALUE($U379),test_out_xwalk!$C:$L,7,FALSE)</f>
        <v>#VALUE!</v>
      </c>
      <c r="AI379" s="129" t="e">
        <f>VLOOKUP(VALUE($U379),test_out_xwalk!$C:$L,4,FALSE)</f>
        <v>#VALUE!</v>
      </c>
      <c r="AJ379" s="129" t="e">
        <f>VLOOKUP(VALUE($U379),test_out_xwalk!$C:$L,9,FALSE)</f>
        <v>#VALUE!</v>
      </c>
      <c r="AK379" t="e">
        <f>_xlfn.XLOOKUP(VALUE(U379),test_out_xwalk!C:C,test_out_xwalk!A:A)</f>
        <v>#VALUE!</v>
      </c>
    </row>
    <row r="380" spans="1:37" x14ac:dyDescent="0.55000000000000004">
      <c r="A380" s="121" t="str">
        <f>IF('summary_EPA Pond'!$A380="","Check Summary EPA POND worksheet Column A",'summary_EPA Pond'!$A380)</f>
        <v xml:space="preserve">29_294979-23094-176_Pasture or forage-r04-A_USEPA Pond_0030_median                    </v>
      </c>
      <c r="B380" s="121" t="str" cm="1">
        <f t="array" ref="B380:G380">IFERROR(_xlfn.TEXTSPLIT(A380,"_"),"")</f>
        <v>29</v>
      </c>
      <c r="C380" t="str">
        <v>294979-23094-176</v>
      </c>
      <c r="D380" t="str">
        <v>Pasture or forage-r04-A</v>
      </c>
      <c r="E380" t="str">
        <v>USEPA Pond</v>
      </c>
      <c r="F380" t="str">
        <v>0030</v>
      </c>
      <c r="G380" t="str">
        <v xml:space="preserve">median                    </v>
      </c>
      <c r="H380" s="121" t="str" cm="1">
        <f t="array" ref="H380:J380">IF(D380="","",(_xlfn.TEXTSPLIT(D380,"-")))</f>
        <v>Pasture or forage</v>
      </c>
      <c r="I380" s="121" t="str">
        <v>r04</v>
      </c>
      <c r="J380" t="str">
        <v>A</v>
      </c>
      <c r="K380" s="129" t="str">
        <f>VLOOKUP(VALUE($B380),test_out_xwalk!$C:$L,3,FALSE)</f>
        <v>Grass, Pasture-11-29</v>
      </c>
      <c r="L380" s="129">
        <f>VLOOKUP(VALUE($B380),test_out_xwalk!$C:$L,5,FALSE)</f>
        <v>1</v>
      </c>
      <c r="M380" s="129">
        <f>VLOOKUP(VALUE($B380),test_out_xwalk!$C:$L,6,FALSE)</f>
        <v>1</v>
      </c>
      <c r="N380" s="129" t="str">
        <f>VLOOKUP(VALUE($B380),test_out_xwalk!$C:$L,8,FALSE)</f>
        <v>Aerial_Medium</v>
      </c>
      <c r="O380" s="129" t="str">
        <f>VLOOKUP(VALUE($B380),test_out_xwalk!$C:$L,7,FALSE)</f>
        <v>Spray</v>
      </c>
      <c r="P380" s="129" t="str">
        <f>VLOOKUP(VALUE($B380),test_out_xwalk!$C:$L,4,FALSE)</f>
        <v>Post-emergence</v>
      </c>
      <c r="Q380" s="129" t="str">
        <f>VLOOKUP(VALUE($B380),test_out_xwalk!$C:$L,9,FALSE)</f>
        <v>Range</v>
      </c>
      <c r="R380">
        <f>_xlfn.XLOOKUP(VALUE(B380),test_out_xwalk!$C:$C,test_out_xwalk!$A:$A)</f>
        <v>11</v>
      </c>
      <c r="T380" s="121" t="str">
        <f>IF('summary_EPA Pond'!$O380="","Check Summary EPA POND worksheet Column O",'summary_EPA Pond'!$O380)</f>
        <v>Check Summary EPA POND worksheet Column O</v>
      </c>
      <c r="U380" s="121" t="str" cm="1">
        <f t="array" ref="U380">IFERROR(_xlfn.TEXTSPLIT(T380,"_"),"")</f>
        <v>Check Summary EPA POND worksheet Column O</v>
      </c>
      <c r="AA380" s="121" t="str" cm="1">
        <f t="array" ref="AA380">IF(W380="","",(_xlfn.TEXTSPLIT(W380,"-")))</f>
        <v/>
      </c>
      <c r="AD380" s="129" t="e">
        <f>VLOOKUP(VALUE($U380),test_out_xwalk!$C:$L,3,FALSE)</f>
        <v>#VALUE!</v>
      </c>
      <c r="AE380" s="129" t="e">
        <f>VLOOKUP(VALUE($U380),test_out_xwalk!$C:$L,5,FALSE)</f>
        <v>#VALUE!</v>
      </c>
      <c r="AF380" s="129" t="e">
        <f>VLOOKUP(VALUE($U380),test_out_xwalk!$C:$L,6,FALSE)</f>
        <v>#VALUE!</v>
      </c>
      <c r="AG380" s="129" t="e">
        <f>VLOOKUP(VALUE($U380),test_out_xwalk!$C:$L,8,FALSE)</f>
        <v>#VALUE!</v>
      </c>
      <c r="AH380" s="129" t="e">
        <f>VLOOKUP(VALUE($U380),test_out_xwalk!$C:$L,7,FALSE)</f>
        <v>#VALUE!</v>
      </c>
      <c r="AI380" s="129" t="e">
        <f>VLOOKUP(VALUE($U380),test_out_xwalk!$C:$L,4,FALSE)</f>
        <v>#VALUE!</v>
      </c>
      <c r="AJ380" s="129" t="e">
        <f>VLOOKUP(VALUE($U380),test_out_xwalk!$C:$L,9,FALSE)</f>
        <v>#VALUE!</v>
      </c>
      <c r="AK380" t="e">
        <f>_xlfn.XLOOKUP(VALUE(U380),test_out_xwalk!C:C,test_out_xwalk!A:A)</f>
        <v>#VALUE!</v>
      </c>
    </row>
    <row r="381" spans="1:37" x14ac:dyDescent="0.55000000000000004">
      <c r="A381" s="121" t="str">
        <f>IF('summary_EPA Pond'!$A381="","Check Summary EPA POND worksheet Column A",'summary_EPA Pond'!$A381)</f>
        <v xml:space="preserve">29_519298-15994-176_Pasture or forage-r05-A_USEPA Pond_0030_median                    </v>
      </c>
      <c r="B381" s="121" t="str" cm="1">
        <f t="array" ref="B381:G381">IFERROR(_xlfn.TEXTSPLIT(A381,"_"),"")</f>
        <v>29</v>
      </c>
      <c r="C381" t="str">
        <v>519298-15994-176</v>
      </c>
      <c r="D381" t="str">
        <v>Pasture or forage-r05-A</v>
      </c>
      <c r="E381" t="str">
        <v>USEPA Pond</v>
      </c>
      <c r="F381" t="str">
        <v>0030</v>
      </c>
      <c r="G381" t="str">
        <v xml:space="preserve">median                    </v>
      </c>
      <c r="H381" s="121" t="str" cm="1">
        <f t="array" ref="H381:J381">IF(D381="","",(_xlfn.TEXTSPLIT(D381,"-")))</f>
        <v>Pasture or forage</v>
      </c>
      <c r="I381" s="121" t="str">
        <v>r05</v>
      </c>
      <c r="J381" t="str">
        <v>A</v>
      </c>
      <c r="K381" s="129" t="str">
        <f>VLOOKUP(VALUE($B381),test_out_xwalk!$C:$L,3,FALSE)</f>
        <v>Grass, Pasture-11-29</v>
      </c>
      <c r="L381" s="129">
        <f>VLOOKUP(VALUE($B381),test_out_xwalk!$C:$L,5,FALSE)</f>
        <v>1</v>
      </c>
      <c r="M381" s="129">
        <f>VLOOKUP(VALUE($B381),test_out_xwalk!$C:$L,6,FALSE)</f>
        <v>1</v>
      </c>
      <c r="N381" s="129" t="str">
        <f>VLOOKUP(VALUE($B381),test_out_xwalk!$C:$L,8,FALSE)</f>
        <v>Aerial_Medium</v>
      </c>
      <c r="O381" s="129" t="str">
        <f>VLOOKUP(VALUE($B381),test_out_xwalk!$C:$L,7,FALSE)</f>
        <v>Spray</v>
      </c>
      <c r="P381" s="129" t="str">
        <f>VLOOKUP(VALUE($B381),test_out_xwalk!$C:$L,4,FALSE)</f>
        <v>Post-emergence</v>
      </c>
      <c r="Q381" s="129" t="str">
        <f>VLOOKUP(VALUE($B381),test_out_xwalk!$C:$L,9,FALSE)</f>
        <v>Range</v>
      </c>
      <c r="R381">
        <f>_xlfn.XLOOKUP(VALUE(B381),test_out_xwalk!$C:$C,test_out_xwalk!$A:$A)</f>
        <v>11</v>
      </c>
      <c r="T381" s="121" t="str">
        <f>IF('summary_EPA Pond'!$O381="","Check Summary EPA POND worksheet Column O",'summary_EPA Pond'!$O381)</f>
        <v>Check Summary EPA POND worksheet Column O</v>
      </c>
      <c r="U381" s="121" t="str" cm="1">
        <f t="array" ref="U381">IFERROR(_xlfn.TEXTSPLIT(T381,"_"),"")</f>
        <v>Check Summary EPA POND worksheet Column O</v>
      </c>
      <c r="AA381" s="121" t="str" cm="1">
        <f t="array" ref="AA381">IF(W381="","",(_xlfn.TEXTSPLIT(W381,"-")))</f>
        <v/>
      </c>
      <c r="AD381" s="129" t="e">
        <f>VLOOKUP(VALUE($U381),test_out_xwalk!$C:$L,3,FALSE)</f>
        <v>#VALUE!</v>
      </c>
      <c r="AE381" s="129" t="e">
        <f>VLOOKUP(VALUE($U381),test_out_xwalk!$C:$L,5,FALSE)</f>
        <v>#VALUE!</v>
      </c>
      <c r="AF381" s="129" t="e">
        <f>VLOOKUP(VALUE($U381),test_out_xwalk!$C:$L,6,FALSE)</f>
        <v>#VALUE!</v>
      </c>
      <c r="AG381" s="129" t="e">
        <f>VLOOKUP(VALUE($U381),test_out_xwalk!$C:$L,8,FALSE)</f>
        <v>#VALUE!</v>
      </c>
      <c r="AH381" s="129" t="e">
        <f>VLOOKUP(VALUE($U381),test_out_xwalk!$C:$L,7,FALSE)</f>
        <v>#VALUE!</v>
      </c>
      <c r="AI381" s="129" t="e">
        <f>VLOOKUP(VALUE($U381),test_out_xwalk!$C:$L,4,FALSE)</f>
        <v>#VALUE!</v>
      </c>
      <c r="AJ381" s="129" t="e">
        <f>VLOOKUP(VALUE($U381),test_out_xwalk!$C:$L,9,FALSE)</f>
        <v>#VALUE!</v>
      </c>
      <c r="AK381" t="e">
        <f>_xlfn.XLOOKUP(VALUE(U381),test_out_xwalk!C:C,test_out_xwalk!A:A)</f>
        <v>#VALUE!</v>
      </c>
    </row>
    <row r="382" spans="1:37" x14ac:dyDescent="0.55000000000000004">
      <c r="A382" s="121" t="str">
        <f>IF('summary_EPA Pond'!$A382="","Check Summary EPA POND worksheet Column A",'summary_EPA Pond'!$A382)</f>
        <v xml:space="preserve">29_549483-15964-176_Pasture or forage-r06-A_USEPA Pond_0030_median                    </v>
      </c>
      <c r="B382" s="121" t="str" cm="1">
        <f t="array" ref="B382:G382">IFERROR(_xlfn.TEXTSPLIT(A382,"_"),"")</f>
        <v>29</v>
      </c>
      <c r="C382" t="str">
        <v>549483-15964-176</v>
      </c>
      <c r="D382" t="str">
        <v>Pasture or forage-r06-A</v>
      </c>
      <c r="E382" t="str">
        <v>USEPA Pond</v>
      </c>
      <c r="F382" t="str">
        <v>0030</v>
      </c>
      <c r="G382" t="str">
        <v xml:space="preserve">median                    </v>
      </c>
      <c r="H382" s="121" t="str" cm="1">
        <f t="array" ref="H382:J382">IF(D382="","",(_xlfn.TEXTSPLIT(D382,"-")))</f>
        <v>Pasture or forage</v>
      </c>
      <c r="I382" s="121" t="str">
        <v>r06</v>
      </c>
      <c r="J382" t="str">
        <v>A</v>
      </c>
      <c r="K382" s="129" t="str">
        <f>VLOOKUP(VALUE($B382),test_out_xwalk!$C:$L,3,FALSE)</f>
        <v>Grass, Pasture-11-29</v>
      </c>
      <c r="L382" s="129">
        <f>VLOOKUP(VALUE($B382),test_out_xwalk!$C:$L,5,FALSE)</f>
        <v>1</v>
      </c>
      <c r="M382" s="129">
        <f>VLOOKUP(VALUE($B382),test_out_xwalk!$C:$L,6,FALSE)</f>
        <v>1</v>
      </c>
      <c r="N382" s="129" t="str">
        <f>VLOOKUP(VALUE($B382),test_out_xwalk!$C:$L,8,FALSE)</f>
        <v>Aerial_Medium</v>
      </c>
      <c r="O382" s="129" t="str">
        <f>VLOOKUP(VALUE($B382),test_out_xwalk!$C:$L,7,FALSE)</f>
        <v>Spray</v>
      </c>
      <c r="P382" s="129" t="str">
        <f>VLOOKUP(VALUE($B382),test_out_xwalk!$C:$L,4,FALSE)</f>
        <v>Post-emergence</v>
      </c>
      <c r="Q382" s="129" t="str">
        <f>VLOOKUP(VALUE($B382),test_out_xwalk!$C:$L,9,FALSE)</f>
        <v>Range</v>
      </c>
      <c r="R382">
        <f>_xlfn.XLOOKUP(VALUE(B382),test_out_xwalk!$C:$C,test_out_xwalk!$A:$A)</f>
        <v>11</v>
      </c>
      <c r="T382" s="121" t="str">
        <f>IF('summary_EPA Pond'!$O382="","Check Summary EPA POND worksheet Column O",'summary_EPA Pond'!$O382)</f>
        <v>Check Summary EPA POND worksheet Column O</v>
      </c>
      <c r="U382" s="121" t="str" cm="1">
        <f t="array" ref="U382">IFERROR(_xlfn.TEXTSPLIT(T382,"_"),"")</f>
        <v>Check Summary EPA POND worksheet Column O</v>
      </c>
      <c r="AA382" s="121" t="str" cm="1">
        <f t="array" ref="AA382">IF(W382="","",(_xlfn.TEXTSPLIT(W382,"-")))</f>
        <v/>
      </c>
      <c r="AD382" s="129" t="e">
        <f>VLOOKUP(VALUE($U382),test_out_xwalk!$C:$L,3,FALSE)</f>
        <v>#VALUE!</v>
      </c>
      <c r="AE382" s="129" t="e">
        <f>VLOOKUP(VALUE($U382),test_out_xwalk!$C:$L,5,FALSE)</f>
        <v>#VALUE!</v>
      </c>
      <c r="AF382" s="129" t="e">
        <f>VLOOKUP(VALUE($U382),test_out_xwalk!$C:$L,6,FALSE)</f>
        <v>#VALUE!</v>
      </c>
      <c r="AG382" s="129" t="e">
        <f>VLOOKUP(VALUE($U382),test_out_xwalk!$C:$L,8,FALSE)</f>
        <v>#VALUE!</v>
      </c>
      <c r="AH382" s="129" t="e">
        <f>VLOOKUP(VALUE($U382),test_out_xwalk!$C:$L,7,FALSE)</f>
        <v>#VALUE!</v>
      </c>
      <c r="AI382" s="129" t="e">
        <f>VLOOKUP(VALUE($U382),test_out_xwalk!$C:$L,4,FALSE)</f>
        <v>#VALUE!</v>
      </c>
      <c r="AJ382" s="129" t="e">
        <f>VLOOKUP(VALUE($U382),test_out_xwalk!$C:$L,9,FALSE)</f>
        <v>#VALUE!</v>
      </c>
      <c r="AK382" t="e">
        <f>_xlfn.XLOOKUP(VALUE(U382),test_out_xwalk!C:C,test_out_xwalk!A:A)</f>
        <v>#VALUE!</v>
      </c>
    </row>
    <row r="383" spans="1:37" x14ac:dyDescent="0.55000000000000004">
      <c r="A383" s="121" t="str">
        <f>IF('summary_EPA Pond'!$A383="","Check Summary EPA POND worksheet Column A",'summary_EPA Pond'!$A383)</f>
        <v xml:space="preserve">29_809237-20921-176_Pasture or forage-r07-A_USEPA Pond_0030_median                    </v>
      </c>
      <c r="B383" s="121" t="str" cm="1">
        <f t="array" ref="B383:G383">IFERROR(_xlfn.TEXTSPLIT(A383,"_"),"")</f>
        <v>29</v>
      </c>
      <c r="C383" t="str">
        <v>809237-20921-176</v>
      </c>
      <c r="D383" t="str">
        <v>Pasture or forage-r07-A</v>
      </c>
      <c r="E383" t="str">
        <v>USEPA Pond</v>
      </c>
      <c r="F383" t="str">
        <v>0030</v>
      </c>
      <c r="G383" t="str">
        <v xml:space="preserve">median                    </v>
      </c>
      <c r="H383" s="121" t="str" cm="1">
        <f t="array" ref="H383:J383">IF(D383="","",(_xlfn.TEXTSPLIT(D383,"-")))</f>
        <v>Pasture or forage</v>
      </c>
      <c r="I383" s="121" t="str">
        <v>r07</v>
      </c>
      <c r="J383" t="str">
        <v>A</v>
      </c>
      <c r="K383" s="129" t="str">
        <f>VLOOKUP(VALUE($B383),test_out_xwalk!$C:$L,3,FALSE)</f>
        <v>Grass, Pasture-11-29</v>
      </c>
      <c r="L383" s="129">
        <f>VLOOKUP(VALUE($B383),test_out_xwalk!$C:$L,5,FALSE)</f>
        <v>1</v>
      </c>
      <c r="M383" s="129">
        <f>VLOOKUP(VALUE($B383),test_out_xwalk!$C:$L,6,FALSE)</f>
        <v>1</v>
      </c>
      <c r="N383" s="129" t="str">
        <f>VLOOKUP(VALUE($B383),test_out_xwalk!$C:$L,8,FALSE)</f>
        <v>Aerial_Medium</v>
      </c>
      <c r="O383" s="129" t="str">
        <f>VLOOKUP(VALUE($B383),test_out_xwalk!$C:$L,7,FALSE)</f>
        <v>Spray</v>
      </c>
      <c r="P383" s="129" t="str">
        <f>VLOOKUP(VALUE($B383),test_out_xwalk!$C:$L,4,FALSE)</f>
        <v>Post-emergence</v>
      </c>
      <c r="Q383" s="129" t="str">
        <f>VLOOKUP(VALUE($B383),test_out_xwalk!$C:$L,9,FALSE)</f>
        <v>Range</v>
      </c>
      <c r="R383">
        <f>_xlfn.XLOOKUP(VALUE(B383),test_out_xwalk!$C:$C,test_out_xwalk!$A:$A)</f>
        <v>11</v>
      </c>
      <c r="T383" s="121" t="str">
        <f>IF('summary_EPA Pond'!$O383="","Check Summary EPA POND worksheet Column O",'summary_EPA Pond'!$O383)</f>
        <v>Check Summary EPA POND worksheet Column O</v>
      </c>
      <c r="U383" s="121" t="str" cm="1">
        <f t="array" ref="U383">IFERROR(_xlfn.TEXTSPLIT(T383,"_"),"")</f>
        <v>Check Summary EPA POND worksheet Column O</v>
      </c>
      <c r="AA383" s="121" t="str" cm="1">
        <f t="array" ref="AA383">IF(W383="","",(_xlfn.TEXTSPLIT(W383,"-")))</f>
        <v/>
      </c>
      <c r="AD383" s="129" t="e">
        <f>VLOOKUP(VALUE($U383),test_out_xwalk!$C:$L,3,FALSE)</f>
        <v>#VALUE!</v>
      </c>
      <c r="AE383" s="129" t="e">
        <f>VLOOKUP(VALUE($U383),test_out_xwalk!$C:$L,5,FALSE)</f>
        <v>#VALUE!</v>
      </c>
      <c r="AF383" s="129" t="e">
        <f>VLOOKUP(VALUE($U383),test_out_xwalk!$C:$L,6,FALSE)</f>
        <v>#VALUE!</v>
      </c>
      <c r="AG383" s="129" t="e">
        <f>VLOOKUP(VALUE($U383),test_out_xwalk!$C:$L,8,FALSE)</f>
        <v>#VALUE!</v>
      </c>
      <c r="AH383" s="129" t="e">
        <f>VLOOKUP(VALUE($U383),test_out_xwalk!$C:$L,7,FALSE)</f>
        <v>#VALUE!</v>
      </c>
      <c r="AI383" s="129" t="e">
        <f>VLOOKUP(VALUE($U383),test_out_xwalk!$C:$L,4,FALSE)</f>
        <v>#VALUE!</v>
      </c>
      <c r="AJ383" s="129" t="e">
        <f>VLOOKUP(VALUE($U383),test_out_xwalk!$C:$L,9,FALSE)</f>
        <v>#VALUE!</v>
      </c>
      <c r="AK383" t="e">
        <f>_xlfn.XLOOKUP(VALUE(U383),test_out_xwalk!C:C,test_out_xwalk!A:A)</f>
        <v>#VALUE!</v>
      </c>
    </row>
    <row r="384" spans="1:37" x14ac:dyDescent="0.55000000000000004">
      <c r="A384" s="121" t="str">
        <f>IF('summary_EPA Pond'!$A384="","Check Summary EPA POND worksheet Column A",'summary_EPA Pond'!$A384)</f>
        <v xml:space="preserve">29_333640-10527-176_Pasture or forage-r08-A_USEPA Pond_0030_median                    </v>
      </c>
      <c r="B384" s="121" t="str" cm="1">
        <f t="array" ref="B384:G384">IFERROR(_xlfn.TEXTSPLIT(A384,"_"),"")</f>
        <v>29</v>
      </c>
      <c r="C384" t="str">
        <v>333640-10527-176</v>
      </c>
      <c r="D384" t="str">
        <v>Pasture or forage-r08-A</v>
      </c>
      <c r="E384" t="str">
        <v>USEPA Pond</v>
      </c>
      <c r="F384" t="str">
        <v>0030</v>
      </c>
      <c r="G384" t="str">
        <v xml:space="preserve">median                    </v>
      </c>
      <c r="H384" s="121" t="str" cm="1">
        <f t="array" ref="H384:J384">IF(D384="","",(_xlfn.TEXTSPLIT(D384,"-")))</f>
        <v>Pasture or forage</v>
      </c>
      <c r="I384" s="121" t="str">
        <v>r08</v>
      </c>
      <c r="J384" t="str">
        <v>A</v>
      </c>
      <c r="K384" s="129" t="str">
        <f>VLOOKUP(VALUE($B384),test_out_xwalk!$C:$L,3,FALSE)</f>
        <v>Grass, Pasture-11-29</v>
      </c>
      <c r="L384" s="129">
        <f>VLOOKUP(VALUE($B384),test_out_xwalk!$C:$L,5,FALSE)</f>
        <v>1</v>
      </c>
      <c r="M384" s="129">
        <f>VLOOKUP(VALUE($B384),test_out_xwalk!$C:$L,6,FALSE)</f>
        <v>1</v>
      </c>
      <c r="N384" s="129" t="str">
        <f>VLOOKUP(VALUE($B384),test_out_xwalk!$C:$L,8,FALSE)</f>
        <v>Aerial_Medium</v>
      </c>
      <c r="O384" s="129" t="str">
        <f>VLOOKUP(VALUE($B384),test_out_xwalk!$C:$L,7,FALSE)</f>
        <v>Spray</v>
      </c>
      <c r="P384" s="129" t="str">
        <f>VLOOKUP(VALUE($B384),test_out_xwalk!$C:$L,4,FALSE)</f>
        <v>Post-emergence</v>
      </c>
      <c r="Q384" s="129" t="str">
        <f>VLOOKUP(VALUE($B384),test_out_xwalk!$C:$L,9,FALSE)</f>
        <v>Range</v>
      </c>
      <c r="R384">
        <f>_xlfn.XLOOKUP(VALUE(B384),test_out_xwalk!$C:$C,test_out_xwalk!$A:$A)</f>
        <v>11</v>
      </c>
      <c r="T384" s="121" t="str">
        <f>IF('summary_EPA Pond'!$O384="","Check Summary EPA POND worksheet Column O",'summary_EPA Pond'!$O384)</f>
        <v>Check Summary EPA POND worksheet Column O</v>
      </c>
      <c r="U384" s="121" t="str" cm="1">
        <f t="array" ref="U384">IFERROR(_xlfn.TEXTSPLIT(T384,"_"),"")</f>
        <v>Check Summary EPA POND worksheet Column O</v>
      </c>
      <c r="AA384" s="121" t="str" cm="1">
        <f t="array" ref="AA384">IF(W384="","",(_xlfn.TEXTSPLIT(W384,"-")))</f>
        <v/>
      </c>
      <c r="AD384" s="129" t="e">
        <f>VLOOKUP(VALUE($U384),test_out_xwalk!$C:$L,3,FALSE)</f>
        <v>#VALUE!</v>
      </c>
      <c r="AE384" s="129" t="e">
        <f>VLOOKUP(VALUE($U384),test_out_xwalk!$C:$L,5,FALSE)</f>
        <v>#VALUE!</v>
      </c>
      <c r="AF384" s="129" t="e">
        <f>VLOOKUP(VALUE($U384),test_out_xwalk!$C:$L,6,FALSE)</f>
        <v>#VALUE!</v>
      </c>
      <c r="AG384" s="129" t="e">
        <f>VLOOKUP(VALUE($U384),test_out_xwalk!$C:$L,8,FALSE)</f>
        <v>#VALUE!</v>
      </c>
      <c r="AH384" s="129" t="e">
        <f>VLOOKUP(VALUE($U384),test_out_xwalk!$C:$L,7,FALSE)</f>
        <v>#VALUE!</v>
      </c>
      <c r="AI384" s="129" t="e">
        <f>VLOOKUP(VALUE($U384),test_out_xwalk!$C:$L,4,FALSE)</f>
        <v>#VALUE!</v>
      </c>
      <c r="AJ384" s="129" t="e">
        <f>VLOOKUP(VALUE($U384),test_out_xwalk!$C:$L,9,FALSE)</f>
        <v>#VALUE!</v>
      </c>
      <c r="AK384" t="e">
        <f>_xlfn.XLOOKUP(VALUE(U384),test_out_xwalk!C:C,test_out_xwalk!A:A)</f>
        <v>#VALUE!</v>
      </c>
    </row>
    <row r="385" spans="1:37" x14ac:dyDescent="0.55000000000000004">
      <c r="A385" s="121" t="str">
        <f>IF('summary_EPA Pond'!$A385="","Check Summary EPA POND worksheet Column A",'summary_EPA Pond'!$A385)</f>
        <v xml:space="preserve">29_2641300-25131-176_Pasture or forage-r09-A_USEPA Pond_0030_median                   </v>
      </c>
      <c r="B385" s="121" t="str" cm="1">
        <f t="array" ref="B385:G385">IFERROR(_xlfn.TEXTSPLIT(A385,"_"),"")</f>
        <v>29</v>
      </c>
      <c r="C385" t="str">
        <v>2641300-25131-176</v>
      </c>
      <c r="D385" t="str">
        <v>Pasture or forage-r09-A</v>
      </c>
      <c r="E385" t="str">
        <v>USEPA Pond</v>
      </c>
      <c r="F385" t="str">
        <v>0030</v>
      </c>
      <c r="G385" t="str">
        <v xml:space="preserve">median                   </v>
      </c>
      <c r="H385" s="121" t="str" cm="1">
        <f t="array" ref="H385:J385">IF(D385="","",(_xlfn.TEXTSPLIT(D385,"-")))</f>
        <v>Pasture or forage</v>
      </c>
      <c r="I385" s="121" t="str">
        <v>r09</v>
      </c>
      <c r="J385" t="str">
        <v>A</v>
      </c>
      <c r="K385" s="129" t="str">
        <f>VLOOKUP(VALUE($B385),test_out_xwalk!$C:$L,3,FALSE)</f>
        <v>Grass, Pasture-11-29</v>
      </c>
      <c r="L385" s="129">
        <f>VLOOKUP(VALUE($B385),test_out_xwalk!$C:$L,5,FALSE)</f>
        <v>1</v>
      </c>
      <c r="M385" s="129">
        <f>VLOOKUP(VALUE($B385),test_out_xwalk!$C:$L,6,FALSE)</f>
        <v>1</v>
      </c>
      <c r="N385" s="129" t="str">
        <f>VLOOKUP(VALUE($B385),test_out_xwalk!$C:$L,8,FALSE)</f>
        <v>Aerial_Medium</v>
      </c>
      <c r="O385" s="129" t="str">
        <f>VLOOKUP(VALUE($B385),test_out_xwalk!$C:$L,7,FALSE)</f>
        <v>Spray</v>
      </c>
      <c r="P385" s="129" t="str">
        <f>VLOOKUP(VALUE($B385),test_out_xwalk!$C:$L,4,FALSE)</f>
        <v>Post-emergence</v>
      </c>
      <c r="Q385" s="129" t="str">
        <f>VLOOKUP(VALUE($B385),test_out_xwalk!$C:$L,9,FALSE)</f>
        <v>Range</v>
      </c>
      <c r="R385">
        <f>_xlfn.XLOOKUP(VALUE(B385),test_out_xwalk!$C:$C,test_out_xwalk!$A:$A)</f>
        <v>11</v>
      </c>
      <c r="T385" s="121" t="str">
        <f>IF('summary_EPA Pond'!$O385="","Check Summary EPA POND worksheet Column O",'summary_EPA Pond'!$O385)</f>
        <v>Check Summary EPA POND worksheet Column O</v>
      </c>
      <c r="U385" s="121" t="str" cm="1">
        <f t="array" ref="U385">IFERROR(_xlfn.TEXTSPLIT(T385,"_"),"")</f>
        <v>Check Summary EPA POND worksheet Column O</v>
      </c>
      <c r="AA385" s="121" t="str" cm="1">
        <f t="array" ref="AA385">IF(W385="","",(_xlfn.TEXTSPLIT(W385,"-")))</f>
        <v/>
      </c>
      <c r="AD385" s="129" t="e">
        <f>VLOOKUP(VALUE($U385),test_out_xwalk!$C:$L,3,FALSE)</f>
        <v>#VALUE!</v>
      </c>
      <c r="AE385" s="129" t="e">
        <f>VLOOKUP(VALUE($U385),test_out_xwalk!$C:$L,5,FALSE)</f>
        <v>#VALUE!</v>
      </c>
      <c r="AF385" s="129" t="e">
        <f>VLOOKUP(VALUE($U385),test_out_xwalk!$C:$L,6,FALSE)</f>
        <v>#VALUE!</v>
      </c>
      <c r="AG385" s="129" t="e">
        <f>VLOOKUP(VALUE($U385),test_out_xwalk!$C:$L,8,FALSE)</f>
        <v>#VALUE!</v>
      </c>
      <c r="AH385" s="129" t="e">
        <f>VLOOKUP(VALUE($U385),test_out_xwalk!$C:$L,7,FALSE)</f>
        <v>#VALUE!</v>
      </c>
      <c r="AI385" s="129" t="e">
        <f>VLOOKUP(VALUE($U385),test_out_xwalk!$C:$L,4,FALSE)</f>
        <v>#VALUE!</v>
      </c>
      <c r="AJ385" s="129" t="e">
        <f>VLOOKUP(VALUE($U385),test_out_xwalk!$C:$L,9,FALSE)</f>
        <v>#VALUE!</v>
      </c>
      <c r="AK385" t="e">
        <f>_xlfn.XLOOKUP(VALUE(U385),test_out_xwalk!C:C,test_out_xwalk!A:A)</f>
        <v>#VALUE!</v>
      </c>
    </row>
    <row r="386" spans="1:37" x14ac:dyDescent="0.55000000000000004">
      <c r="A386" s="121" t="str">
        <f>IF('summary_EPA Pond'!$A386="","Check Summary EPA POND worksheet Column A",'summary_EPA Pond'!$A386)</f>
        <v xml:space="preserve">29_2531219-18535-176_Pasture or forage-r10L-A_USEPA Pond_0030_median                  </v>
      </c>
      <c r="B386" s="121" t="str" cm="1">
        <f t="array" ref="B386:G386">IFERROR(_xlfn.TEXTSPLIT(A386,"_"),"")</f>
        <v>29</v>
      </c>
      <c r="C386" t="str">
        <v>2531219-18535-176</v>
      </c>
      <c r="D386" t="str">
        <v>Pasture or forage-r10L-A</v>
      </c>
      <c r="E386" t="str">
        <v>USEPA Pond</v>
      </c>
      <c r="F386" t="str">
        <v>0030</v>
      </c>
      <c r="G386" t="str">
        <v xml:space="preserve">median                  </v>
      </c>
      <c r="H386" s="121" t="str" cm="1">
        <f t="array" ref="H386:J386">IF(D386="","",(_xlfn.TEXTSPLIT(D386,"-")))</f>
        <v>Pasture or forage</v>
      </c>
      <c r="I386" s="121" t="str">
        <v>r10L</v>
      </c>
      <c r="J386" t="str">
        <v>A</v>
      </c>
      <c r="K386" s="129" t="str">
        <f>VLOOKUP(VALUE($B386),test_out_xwalk!$C:$L,3,FALSE)</f>
        <v>Grass, Pasture-11-29</v>
      </c>
      <c r="L386" s="129">
        <f>VLOOKUP(VALUE($B386),test_out_xwalk!$C:$L,5,FALSE)</f>
        <v>1</v>
      </c>
      <c r="M386" s="129">
        <f>VLOOKUP(VALUE($B386),test_out_xwalk!$C:$L,6,FALSE)</f>
        <v>1</v>
      </c>
      <c r="N386" s="129" t="str">
        <f>VLOOKUP(VALUE($B386),test_out_xwalk!$C:$L,8,FALSE)</f>
        <v>Aerial_Medium</v>
      </c>
      <c r="O386" s="129" t="str">
        <f>VLOOKUP(VALUE($B386),test_out_xwalk!$C:$L,7,FALSE)</f>
        <v>Spray</v>
      </c>
      <c r="P386" s="129" t="str">
        <f>VLOOKUP(VALUE($B386),test_out_xwalk!$C:$L,4,FALSE)</f>
        <v>Post-emergence</v>
      </c>
      <c r="Q386" s="129" t="str">
        <f>VLOOKUP(VALUE($B386),test_out_xwalk!$C:$L,9,FALSE)</f>
        <v>Range</v>
      </c>
      <c r="R386">
        <f>_xlfn.XLOOKUP(VALUE(B386),test_out_xwalk!$C:$C,test_out_xwalk!$A:$A)</f>
        <v>11</v>
      </c>
      <c r="T386" s="121" t="str">
        <f>IF('summary_EPA Pond'!$O386="","Check Summary EPA POND worksheet Column O",'summary_EPA Pond'!$O386)</f>
        <v>Check Summary EPA POND worksheet Column O</v>
      </c>
      <c r="U386" s="121" t="str" cm="1">
        <f t="array" ref="U386">IFERROR(_xlfn.TEXTSPLIT(T386,"_"),"")</f>
        <v>Check Summary EPA POND worksheet Column O</v>
      </c>
      <c r="AA386" s="121" t="str" cm="1">
        <f t="array" ref="AA386">IF(W386="","",(_xlfn.TEXTSPLIT(W386,"-")))</f>
        <v/>
      </c>
      <c r="AD386" s="129" t="e">
        <f>VLOOKUP(VALUE($U386),test_out_xwalk!$C:$L,3,FALSE)</f>
        <v>#VALUE!</v>
      </c>
      <c r="AE386" s="129" t="e">
        <f>VLOOKUP(VALUE($U386),test_out_xwalk!$C:$L,5,FALSE)</f>
        <v>#VALUE!</v>
      </c>
      <c r="AF386" s="129" t="e">
        <f>VLOOKUP(VALUE($U386),test_out_xwalk!$C:$L,6,FALSE)</f>
        <v>#VALUE!</v>
      </c>
      <c r="AG386" s="129" t="e">
        <f>VLOOKUP(VALUE($U386),test_out_xwalk!$C:$L,8,FALSE)</f>
        <v>#VALUE!</v>
      </c>
      <c r="AH386" s="129" t="e">
        <f>VLOOKUP(VALUE($U386),test_out_xwalk!$C:$L,7,FALSE)</f>
        <v>#VALUE!</v>
      </c>
      <c r="AI386" s="129" t="e">
        <f>VLOOKUP(VALUE($U386),test_out_xwalk!$C:$L,4,FALSE)</f>
        <v>#VALUE!</v>
      </c>
      <c r="AJ386" s="129" t="e">
        <f>VLOOKUP(VALUE($U386),test_out_xwalk!$C:$L,9,FALSE)</f>
        <v>#VALUE!</v>
      </c>
      <c r="AK386" t="e">
        <f>_xlfn.XLOOKUP(VALUE(U386),test_out_xwalk!C:C,test_out_xwalk!A:A)</f>
        <v>#VALUE!</v>
      </c>
    </row>
    <row r="387" spans="1:37" x14ac:dyDescent="0.55000000000000004">
      <c r="A387" s="121" t="str">
        <f>IF('summary_EPA Pond'!$A387="","Check Summary EPA POND worksheet Column A",'summary_EPA Pond'!$A387)</f>
        <v xml:space="preserve">29_2525857-24643-176_Pasture or forage-r10U-A_USEPA Pond_0030_median                  </v>
      </c>
      <c r="B387" s="121" t="str" cm="1">
        <f t="array" ref="B387:G387">IFERROR(_xlfn.TEXTSPLIT(A387,"_"),"")</f>
        <v>29</v>
      </c>
      <c r="C387" t="str">
        <v>2525857-24643-176</v>
      </c>
      <c r="D387" t="str">
        <v>Pasture or forage-r10U-A</v>
      </c>
      <c r="E387" t="str">
        <v>USEPA Pond</v>
      </c>
      <c r="F387" t="str">
        <v>0030</v>
      </c>
      <c r="G387" t="str">
        <v xml:space="preserve">median                  </v>
      </c>
      <c r="H387" s="121" t="str" cm="1">
        <f t="array" ref="H387:J387">IF(D387="","",(_xlfn.TEXTSPLIT(D387,"-")))</f>
        <v>Pasture or forage</v>
      </c>
      <c r="I387" s="121" t="str">
        <v>r10U</v>
      </c>
      <c r="J387" t="str">
        <v>A</v>
      </c>
      <c r="K387" s="129" t="str">
        <f>VLOOKUP(VALUE($B387),test_out_xwalk!$C:$L,3,FALSE)</f>
        <v>Grass, Pasture-11-29</v>
      </c>
      <c r="L387" s="129">
        <f>VLOOKUP(VALUE($B387),test_out_xwalk!$C:$L,5,FALSE)</f>
        <v>1</v>
      </c>
      <c r="M387" s="129">
        <f>VLOOKUP(VALUE($B387),test_out_xwalk!$C:$L,6,FALSE)</f>
        <v>1</v>
      </c>
      <c r="N387" s="129" t="str">
        <f>VLOOKUP(VALUE($B387),test_out_xwalk!$C:$L,8,FALSE)</f>
        <v>Aerial_Medium</v>
      </c>
      <c r="O387" s="129" t="str">
        <f>VLOOKUP(VALUE($B387),test_out_xwalk!$C:$L,7,FALSE)</f>
        <v>Spray</v>
      </c>
      <c r="P387" s="129" t="str">
        <f>VLOOKUP(VALUE($B387),test_out_xwalk!$C:$L,4,FALSE)</f>
        <v>Post-emergence</v>
      </c>
      <c r="Q387" s="129" t="str">
        <f>VLOOKUP(VALUE($B387),test_out_xwalk!$C:$L,9,FALSE)</f>
        <v>Range</v>
      </c>
      <c r="R387">
        <f>_xlfn.XLOOKUP(VALUE(B387),test_out_xwalk!$C:$C,test_out_xwalk!$A:$A)</f>
        <v>11</v>
      </c>
      <c r="T387" s="121" t="str">
        <f>IF('summary_EPA Pond'!$O387="","Check Summary EPA POND worksheet Column O",'summary_EPA Pond'!$O387)</f>
        <v>Check Summary EPA POND worksheet Column O</v>
      </c>
      <c r="U387" s="121" t="str" cm="1">
        <f t="array" ref="U387">IFERROR(_xlfn.TEXTSPLIT(T387,"_"),"")</f>
        <v>Check Summary EPA POND worksheet Column O</v>
      </c>
      <c r="AA387" s="121" t="str" cm="1">
        <f t="array" ref="AA387">IF(W387="","",(_xlfn.TEXTSPLIT(W387,"-")))</f>
        <v/>
      </c>
      <c r="AD387" s="129" t="e">
        <f>VLOOKUP(VALUE($U387),test_out_xwalk!$C:$L,3,FALSE)</f>
        <v>#VALUE!</v>
      </c>
      <c r="AE387" s="129" t="e">
        <f>VLOOKUP(VALUE($U387),test_out_xwalk!$C:$L,5,FALSE)</f>
        <v>#VALUE!</v>
      </c>
      <c r="AF387" s="129" t="e">
        <f>VLOOKUP(VALUE($U387),test_out_xwalk!$C:$L,6,FALSE)</f>
        <v>#VALUE!</v>
      </c>
      <c r="AG387" s="129" t="e">
        <f>VLOOKUP(VALUE($U387),test_out_xwalk!$C:$L,8,FALSE)</f>
        <v>#VALUE!</v>
      </c>
      <c r="AH387" s="129" t="e">
        <f>VLOOKUP(VALUE($U387),test_out_xwalk!$C:$L,7,FALSE)</f>
        <v>#VALUE!</v>
      </c>
      <c r="AI387" s="129" t="e">
        <f>VLOOKUP(VALUE($U387),test_out_xwalk!$C:$L,4,FALSE)</f>
        <v>#VALUE!</v>
      </c>
      <c r="AJ387" s="129" t="e">
        <f>VLOOKUP(VALUE($U387),test_out_xwalk!$C:$L,9,FALSE)</f>
        <v>#VALUE!</v>
      </c>
      <c r="AK387" t="e">
        <f>_xlfn.XLOOKUP(VALUE(U387),test_out_xwalk!C:C,test_out_xwalk!A:A)</f>
        <v>#VALUE!</v>
      </c>
    </row>
    <row r="388" spans="1:37" x14ac:dyDescent="0.55000000000000004">
      <c r="A388" s="121" t="str">
        <f>IF('summary_EPA Pond'!$A388="","Check Summary EPA POND worksheet Column A",'summary_EPA Pond'!$A388)</f>
        <v xml:space="preserve">29_381879-14271-176_Pasture or forage-r11-A_USEPA Pond_0030_median                    </v>
      </c>
      <c r="B388" s="121" t="str" cm="1">
        <f t="array" ref="B388:G388">IFERROR(_xlfn.TEXTSPLIT(A388,"_"),"")</f>
        <v>29</v>
      </c>
      <c r="C388" t="str">
        <v>381879-14271-176</v>
      </c>
      <c r="D388" t="str">
        <v>Pasture or forage-r11-A</v>
      </c>
      <c r="E388" t="str">
        <v>USEPA Pond</v>
      </c>
      <c r="F388" t="str">
        <v>0030</v>
      </c>
      <c r="G388" t="str">
        <v xml:space="preserve">median                    </v>
      </c>
      <c r="H388" s="121" t="str" cm="1">
        <f t="array" ref="H388:J388">IF(D388="","",(_xlfn.TEXTSPLIT(D388,"-")))</f>
        <v>Pasture or forage</v>
      </c>
      <c r="I388" s="121" t="str">
        <v>r11</v>
      </c>
      <c r="J388" t="str">
        <v>A</v>
      </c>
      <c r="K388" s="129" t="str">
        <f>VLOOKUP(VALUE($B388),test_out_xwalk!$C:$L,3,FALSE)</f>
        <v>Grass, Pasture-11-29</v>
      </c>
      <c r="L388" s="129">
        <f>VLOOKUP(VALUE($B388),test_out_xwalk!$C:$L,5,FALSE)</f>
        <v>1</v>
      </c>
      <c r="M388" s="129">
        <f>VLOOKUP(VALUE($B388),test_out_xwalk!$C:$L,6,FALSE)</f>
        <v>1</v>
      </c>
      <c r="N388" s="129" t="str">
        <f>VLOOKUP(VALUE($B388),test_out_xwalk!$C:$L,8,FALSE)</f>
        <v>Aerial_Medium</v>
      </c>
      <c r="O388" s="129" t="str">
        <f>VLOOKUP(VALUE($B388),test_out_xwalk!$C:$L,7,FALSE)</f>
        <v>Spray</v>
      </c>
      <c r="P388" s="129" t="str">
        <f>VLOOKUP(VALUE($B388),test_out_xwalk!$C:$L,4,FALSE)</f>
        <v>Post-emergence</v>
      </c>
      <c r="Q388" s="129" t="str">
        <f>VLOOKUP(VALUE($B388),test_out_xwalk!$C:$L,9,FALSE)</f>
        <v>Range</v>
      </c>
      <c r="R388">
        <f>_xlfn.XLOOKUP(VALUE(B388),test_out_xwalk!$C:$C,test_out_xwalk!$A:$A)</f>
        <v>11</v>
      </c>
      <c r="T388" s="121" t="str">
        <f>IF('summary_EPA Pond'!$O388="","Check Summary EPA POND worksheet Column O",'summary_EPA Pond'!$O388)</f>
        <v>Check Summary EPA POND worksheet Column O</v>
      </c>
      <c r="U388" s="121" t="str" cm="1">
        <f t="array" ref="U388">IFERROR(_xlfn.TEXTSPLIT(T388,"_"),"")</f>
        <v>Check Summary EPA POND worksheet Column O</v>
      </c>
      <c r="AA388" s="121" t="str" cm="1">
        <f t="array" ref="AA388">IF(W388="","",(_xlfn.TEXTSPLIT(W388,"-")))</f>
        <v/>
      </c>
      <c r="AD388" s="129" t="e">
        <f>VLOOKUP(VALUE($U388),test_out_xwalk!$C:$L,3,FALSE)</f>
        <v>#VALUE!</v>
      </c>
      <c r="AE388" s="129" t="e">
        <f>VLOOKUP(VALUE($U388),test_out_xwalk!$C:$L,5,FALSE)</f>
        <v>#VALUE!</v>
      </c>
      <c r="AF388" s="129" t="e">
        <f>VLOOKUP(VALUE($U388),test_out_xwalk!$C:$L,6,FALSE)</f>
        <v>#VALUE!</v>
      </c>
      <c r="AG388" s="129" t="e">
        <f>VLOOKUP(VALUE($U388),test_out_xwalk!$C:$L,8,FALSE)</f>
        <v>#VALUE!</v>
      </c>
      <c r="AH388" s="129" t="e">
        <f>VLOOKUP(VALUE($U388),test_out_xwalk!$C:$L,7,FALSE)</f>
        <v>#VALUE!</v>
      </c>
      <c r="AI388" s="129" t="e">
        <f>VLOOKUP(VALUE($U388),test_out_xwalk!$C:$L,4,FALSE)</f>
        <v>#VALUE!</v>
      </c>
      <c r="AJ388" s="129" t="e">
        <f>VLOOKUP(VALUE($U388),test_out_xwalk!$C:$L,9,FALSE)</f>
        <v>#VALUE!</v>
      </c>
      <c r="AK388" t="e">
        <f>_xlfn.XLOOKUP(VALUE(U388),test_out_xwalk!C:C,test_out_xwalk!A:A)</f>
        <v>#VALUE!</v>
      </c>
    </row>
    <row r="389" spans="1:37" x14ac:dyDescent="0.55000000000000004">
      <c r="A389" s="121" t="str">
        <f>IF('summary_EPA Pond'!$A389="","Check Summary EPA POND worksheet Column A",'summary_EPA Pond'!$A389)</f>
        <v xml:space="preserve">29_368179-11680-176_Pasture or forage-r12-A_USEPA Pond_0030_median                    </v>
      </c>
      <c r="B389" s="121" t="str" cm="1">
        <f t="array" ref="B389:G389">IFERROR(_xlfn.TEXTSPLIT(A389,"_"),"")</f>
        <v>29</v>
      </c>
      <c r="C389" t="str">
        <v>368179-11680-176</v>
      </c>
      <c r="D389" t="str">
        <v>Pasture or forage-r12-A</v>
      </c>
      <c r="E389" t="str">
        <v>USEPA Pond</v>
      </c>
      <c r="F389" t="str">
        <v>0030</v>
      </c>
      <c r="G389" t="str">
        <v xml:space="preserve">median                    </v>
      </c>
      <c r="H389" s="121" t="str" cm="1">
        <f t="array" ref="H389:J389">IF(D389="","",(_xlfn.TEXTSPLIT(D389,"-")))</f>
        <v>Pasture or forage</v>
      </c>
      <c r="I389" s="121" t="str">
        <v>r12</v>
      </c>
      <c r="J389" t="str">
        <v>A</v>
      </c>
      <c r="K389" s="129" t="str">
        <f>VLOOKUP(VALUE($B389),test_out_xwalk!$C:$L,3,FALSE)</f>
        <v>Grass, Pasture-11-29</v>
      </c>
      <c r="L389" s="129">
        <f>VLOOKUP(VALUE($B389),test_out_xwalk!$C:$L,5,FALSE)</f>
        <v>1</v>
      </c>
      <c r="M389" s="129">
        <f>VLOOKUP(VALUE($B389),test_out_xwalk!$C:$L,6,FALSE)</f>
        <v>1</v>
      </c>
      <c r="N389" s="129" t="str">
        <f>VLOOKUP(VALUE($B389),test_out_xwalk!$C:$L,8,FALSE)</f>
        <v>Aerial_Medium</v>
      </c>
      <c r="O389" s="129" t="str">
        <f>VLOOKUP(VALUE($B389),test_out_xwalk!$C:$L,7,FALSE)</f>
        <v>Spray</v>
      </c>
      <c r="P389" s="129" t="str">
        <f>VLOOKUP(VALUE($B389),test_out_xwalk!$C:$L,4,FALSE)</f>
        <v>Post-emergence</v>
      </c>
      <c r="Q389" s="129" t="str">
        <f>VLOOKUP(VALUE($B389),test_out_xwalk!$C:$L,9,FALSE)</f>
        <v>Range</v>
      </c>
      <c r="R389">
        <f>_xlfn.XLOOKUP(VALUE(B389),test_out_xwalk!$C:$C,test_out_xwalk!$A:$A)</f>
        <v>11</v>
      </c>
      <c r="T389" s="121" t="str">
        <f>IF('summary_EPA Pond'!$O389="","Check Summary EPA POND worksheet Column O",'summary_EPA Pond'!$O389)</f>
        <v>Check Summary EPA POND worksheet Column O</v>
      </c>
      <c r="U389" s="121" t="str" cm="1">
        <f t="array" ref="U389">IFERROR(_xlfn.TEXTSPLIT(T389,"_"),"")</f>
        <v>Check Summary EPA POND worksheet Column O</v>
      </c>
      <c r="AA389" s="121" t="str" cm="1">
        <f t="array" ref="AA389">IF(W389="","",(_xlfn.TEXTSPLIT(W389,"-")))</f>
        <v/>
      </c>
      <c r="AD389" s="129" t="e">
        <f>VLOOKUP(VALUE($U389),test_out_xwalk!$C:$L,3,FALSE)</f>
        <v>#VALUE!</v>
      </c>
      <c r="AE389" s="129" t="e">
        <f>VLOOKUP(VALUE($U389),test_out_xwalk!$C:$L,5,FALSE)</f>
        <v>#VALUE!</v>
      </c>
      <c r="AF389" s="129" t="e">
        <f>VLOOKUP(VALUE($U389),test_out_xwalk!$C:$L,6,FALSE)</f>
        <v>#VALUE!</v>
      </c>
      <c r="AG389" s="129" t="e">
        <f>VLOOKUP(VALUE($U389),test_out_xwalk!$C:$L,8,FALSE)</f>
        <v>#VALUE!</v>
      </c>
      <c r="AH389" s="129" t="e">
        <f>VLOOKUP(VALUE($U389),test_out_xwalk!$C:$L,7,FALSE)</f>
        <v>#VALUE!</v>
      </c>
      <c r="AI389" s="129" t="e">
        <f>VLOOKUP(VALUE($U389),test_out_xwalk!$C:$L,4,FALSE)</f>
        <v>#VALUE!</v>
      </c>
      <c r="AJ389" s="129" t="e">
        <f>VLOOKUP(VALUE($U389),test_out_xwalk!$C:$L,9,FALSE)</f>
        <v>#VALUE!</v>
      </c>
      <c r="AK389" t="e">
        <f>_xlfn.XLOOKUP(VALUE(U389),test_out_xwalk!C:C,test_out_xwalk!A:A)</f>
        <v>#VALUE!</v>
      </c>
    </row>
    <row r="390" spans="1:37" x14ac:dyDescent="0.55000000000000004">
      <c r="A390" s="121" t="str">
        <f>IF('summary_EPA Pond'!$A390="","Check Summary EPA POND worksheet Column A",'summary_EPA Pond'!$A390)</f>
        <v xml:space="preserve">29_370654-10952-176_Pasture or forage-r13-A_USEPA Pond_0030_median                    </v>
      </c>
      <c r="B390" s="121" t="str" cm="1">
        <f t="array" ref="B390:G390">IFERROR(_xlfn.TEXTSPLIT(A390,"_"),"")</f>
        <v>29</v>
      </c>
      <c r="C390" t="str">
        <v>370654-10952-176</v>
      </c>
      <c r="D390" t="str">
        <v>Pasture or forage-r13-A</v>
      </c>
      <c r="E390" t="str">
        <v>USEPA Pond</v>
      </c>
      <c r="F390" t="str">
        <v>0030</v>
      </c>
      <c r="G390" t="str">
        <v xml:space="preserve">median                    </v>
      </c>
      <c r="H390" s="121" t="str" cm="1">
        <f t="array" ref="H390:J390">IF(D390="","",(_xlfn.TEXTSPLIT(D390,"-")))</f>
        <v>Pasture or forage</v>
      </c>
      <c r="I390" s="121" t="str">
        <v>r13</v>
      </c>
      <c r="J390" t="str">
        <v>A</v>
      </c>
      <c r="K390" s="129" t="str">
        <f>VLOOKUP(VALUE($B390),test_out_xwalk!$C:$L,3,FALSE)</f>
        <v>Grass, Pasture-11-29</v>
      </c>
      <c r="L390" s="129">
        <f>VLOOKUP(VALUE($B390),test_out_xwalk!$C:$L,5,FALSE)</f>
        <v>1</v>
      </c>
      <c r="M390" s="129">
        <f>VLOOKUP(VALUE($B390),test_out_xwalk!$C:$L,6,FALSE)</f>
        <v>1</v>
      </c>
      <c r="N390" s="129" t="str">
        <f>VLOOKUP(VALUE($B390),test_out_xwalk!$C:$L,8,FALSE)</f>
        <v>Aerial_Medium</v>
      </c>
      <c r="O390" s="129" t="str">
        <f>VLOOKUP(VALUE($B390),test_out_xwalk!$C:$L,7,FALSE)</f>
        <v>Spray</v>
      </c>
      <c r="P390" s="129" t="str">
        <f>VLOOKUP(VALUE($B390),test_out_xwalk!$C:$L,4,FALSE)</f>
        <v>Post-emergence</v>
      </c>
      <c r="Q390" s="129" t="str">
        <f>VLOOKUP(VALUE($B390),test_out_xwalk!$C:$L,9,FALSE)</f>
        <v>Range</v>
      </c>
      <c r="R390">
        <f>_xlfn.XLOOKUP(VALUE(B390),test_out_xwalk!$C:$C,test_out_xwalk!$A:$A)</f>
        <v>11</v>
      </c>
      <c r="T390" s="121" t="str">
        <f>IF('summary_EPA Pond'!$O390="","Check Summary EPA POND worksheet Column O",'summary_EPA Pond'!$O390)</f>
        <v>Check Summary EPA POND worksheet Column O</v>
      </c>
      <c r="U390" s="121" t="str" cm="1">
        <f t="array" ref="U390">IFERROR(_xlfn.TEXTSPLIT(T390,"_"),"")</f>
        <v>Check Summary EPA POND worksheet Column O</v>
      </c>
      <c r="AA390" s="121" t="str" cm="1">
        <f t="array" ref="AA390">IF(W390="","",(_xlfn.TEXTSPLIT(W390,"-")))</f>
        <v/>
      </c>
      <c r="AD390" s="129" t="e">
        <f>VLOOKUP(VALUE($U390),test_out_xwalk!$C:$L,3,FALSE)</f>
        <v>#VALUE!</v>
      </c>
      <c r="AE390" s="129" t="e">
        <f>VLOOKUP(VALUE($U390),test_out_xwalk!$C:$L,5,FALSE)</f>
        <v>#VALUE!</v>
      </c>
      <c r="AF390" s="129" t="e">
        <f>VLOOKUP(VALUE($U390),test_out_xwalk!$C:$L,6,FALSE)</f>
        <v>#VALUE!</v>
      </c>
      <c r="AG390" s="129" t="e">
        <f>VLOOKUP(VALUE($U390),test_out_xwalk!$C:$L,8,FALSE)</f>
        <v>#VALUE!</v>
      </c>
      <c r="AH390" s="129" t="e">
        <f>VLOOKUP(VALUE($U390),test_out_xwalk!$C:$L,7,FALSE)</f>
        <v>#VALUE!</v>
      </c>
      <c r="AI390" s="129" t="e">
        <f>VLOOKUP(VALUE($U390),test_out_xwalk!$C:$L,4,FALSE)</f>
        <v>#VALUE!</v>
      </c>
      <c r="AJ390" s="129" t="e">
        <f>VLOOKUP(VALUE($U390),test_out_xwalk!$C:$L,9,FALSE)</f>
        <v>#VALUE!</v>
      </c>
      <c r="AK390" t="e">
        <f>_xlfn.XLOOKUP(VALUE(U390),test_out_xwalk!C:C,test_out_xwalk!A:A)</f>
        <v>#VALUE!</v>
      </c>
    </row>
    <row r="391" spans="1:37" x14ac:dyDescent="0.55000000000000004">
      <c r="A391" s="121" t="str">
        <f>IF('summary_EPA Pond'!$A391="","Check Summary EPA POND worksheet Column A",'summary_EPA Pond'!$A391)</f>
        <v xml:space="preserve">29_2958646-18940-176_Pasture or forage-r14-A_USEPA Pond_0030_median                   </v>
      </c>
      <c r="B391" s="121" t="str" cm="1">
        <f t="array" ref="B391:G391">IFERROR(_xlfn.TEXTSPLIT(A391,"_"),"")</f>
        <v>29</v>
      </c>
      <c r="C391" t="str">
        <v>2958646-18940-176</v>
      </c>
      <c r="D391" t="str">
        <v>Pasture or forage-r14-A</v>
      </c>
      <c r="E391" t="str">
        <v>USEPA Pond</v>
      </c>
      <c r="F391" t="str">
        <v>0030</v>
      </c>
      <c r="G391" t="str">
        <v xml:space="preserve">median                   </v>
      </c>
      <c r="H391" s="121" t="str" cm="1">
        <f t="array" ref="H391:J391">IF(D391="","",(_xlfn.TEXTSPLIT(D391,"-")))</f>
        <v>Pasture or forage</v>
      </c>
      <c r="I391" s="121" t="str">
        <v>r14</v>
      </c>
      <c r="J391" t="str">
        <v>A</v>
      </c>
      <c r="K391" s="129" t="str">
        <f>VLOOKUP(VALUE($B391),test_out_xwalk!$C:$L,3,FALSE)</f>
        <v>Grass, Pasture-11-29</v>
      </c>
      <c r="L391" s="129">
        <f>VLOOKUP(VALUE($B391),test_out_xwalk!$C:$L,5,FALSE)</f>
        <v>1</v>
      </c>
      <c r="M391" s="129">
        <f>VLOOKUP(VALUE($B391),test_out_xwalk!$C:$L,6,FALSE)</f>
        <v>1</v>
      </c>
      <c r="N391" s="129" t="str">
        <f>VLOOKUP(VALUE($B391),test_out_xwalk!$C:$L,8,FALSE)</f>
        <v>Aerial_Medium</v>
      </c>
      <c r="O391" s="129" t="str">
        <f>VLOOKUP(VALUE($B391),test_out_xwalk!$C:$L,7,FALSE)</f>
        <v>Spray</v>
      </c>
      <c r="P391" s="129" t="str">
        <f>VLOOKUP(VALUE($B391),test_out_xwalk!$C:$L,4,FALSE)</f>
        <v>Post-emergence</v>
      </c>
      <c r="Q391" s="129" t="str">
        <f>VLOOKUP(VALUE($B391),test_out_xwalk!$C:$L,9,FALSE)</f>
        <v>Range</v>
      </c>
      <c r="R391">
        <f>_xlfn.XLOOKUP(VALUE(B391),test_out_xwalk!$C:$C,test_out_xwalk!$A:$A)</f>
        <v>11</v>
      </c>
      <c r="T391" s="121" t="str">
        <f>IF('summary_EPA Pond'!$O391="","Check Summary EPA POND worksheet Column O",'summary_EPA Pond'!$O391)</f>
        <v>Check Summary EPA POND worksheet Column O</v>
      </c>
      <c r="U391" s="121" t="str" cm="1">
        <f t="array" ref="U391">IFERROR(_xlfn.TEXTSPLIT(T391,"_"),"")</f>
        <v>Check Summary EPA POND worksheet Column O</v>
      </c>
      <c r="AA391" s="121" t="str" cm="1">
        <f t="array" ref="AA391">IF(W391="","",(_xlfn.TEXTSPLIT(W391,"-")))</f>
        <v/>
      </c>
      <c r="AD391" s="129" t="e">
        <f>VLOOKUP(VALUE($U391),test_out_xwalk!$C:$L,3,FALSE)</f>
        <v>#VALUE!</v>
      </c>
      <c r="AE391" s="129" t="e">
        <f>VLOOKUP(VALUE($U391),test_out_xwalk!$C:$L,5,FALSE)</f>
        <v>#VALUE!</v>
      </c>
      <c r="AF391" s="129" t="e">
        <f>VLOOKUP(VALUE($U391),test_out_xwalk!$C:$L,6,FALSE)</f>
        <v>#VALUE!</v>
      </c>
      <c r="AG391" s="129" t="e">
        <f>VLOOKUP(VALUE($U391),test_out_xwalk!$C:$L,8,FALSE)</f>
        <v>#VALUE!</v>
      </c>
      <c r="AH391" s="129" t="e">
        <f>VLOOKUP(VALUE($U391),test_out_xwalk!$C:$L,7,FALSE)</f>
        <v>#VALUE!</v>
      </c>
      <c r="AI391" s="129" t="e">
        <f>VLOOKUP(VALUE($U391),test_out_xwalk!$C:$L,4,FALSE)</f>
        <v>#VALUE!</v>
      </c>
      <c r="AJ391" s="129" t="e">
        <f>VLOOKUP(VALUE($U391),test_out_xwalk!$C:$L,9,FALSE)</f>
        <v>#VALUE!</v>
      </c>
      <c r="AK391" t="e">
        <f>_xlfn.XLOOKUP(VALUE(U391),test_out_xwalk!C:C,test_out_xwalk!A:A)</f>
        <v>#VALUE!</v>
      </c>
    </row>
    <row r="392" spans="1:37" x14ac:dyDescent="0.55000000000000004">
      <c r="A392" s="121" t="str">
        <f>IF('summary_EPA Pond'!$A392="","Check Summary EPA POND worksheet Column A",'summary_EPA Pond'!$A392)</f>
        <v xml:space="preserve">29_52697-14923-176_Pasture or forage-r15-A_USEPA Pond_0030_median                     </v>
      </c>
      <c r="B392" s="121" t="str" cm="1">
        <f t="array" ref="B392:G392">IFERROR(_xlfn.TEXTSPLIT(A392,"_"),"")</f>
        <v>29</v>
      </c>
      <c r="C392" t="str">
        <v>52697-14923-176</v>
      </c>
      <c r="D392" t="str">
        <v>Pasture or forage-r15-A</v>
      </c>
      <c r="E392" t="str">
        <v>USEPA Pond</v>
      </c>
      <c r="F392" t="str">
        <v>0030</v>
      </c>
      <c r="G392" t="str">
        <v xml:space="preserve">median                     </v>
      </c>
      <c r="H392" s="121" t="str" cm="1">
        <f t="array" ref="H392:J392">IF(D392="","",(_xlfn.TEXTSPLIT(D392,"-")))</f>
        <v>Pasture or forage</v>
      </c>
      <c r="I392" s="121" t="str">
        <v>r15</v>
      </c>
      <c r="J392" t="str">
        <v>A</v>
      </c>
      <c r="K392" s="129" t="str">
        <f>VLOOKUP(VALUE($B392),test_out_xwalk!$C:$L,3,FALSE)</f>
        <v>Grass, Pasture-11-29</v>
      </c>
      <c r="L392" s="129">
        <f>VLOOKUP(VALUE($B392),test_out_xwalk!$C:$L,5,FALSE)</f>
        <v>1</v>
      </c>
      <c r="M392" s="129">
        <f>VLOOKUP(VALUE($B392),test_out_xwalk!$C:$L,6,FALSE)</f>
        <v>1</v>
      </c>
      <c r="N392" s="129" t="str">
        <f>VLOOKUP(VALUE($B392),test_out_xwalk!$C:$L,8,FALSE)</f>
        <v>Aerial_Medium</v>
      </c>
      <c r="O392" s="129" t="str">
        <f>VLOOKUP(VALUE($B392),test_out_xwalk!$C:$L,7,FALSE)</f>
        <v>Spray</v>
      </c>
      <c r="P392" s="129" t="str">
        <f>VLOOKUP(VALUE($B392),test_out_xwalk!$C:$L,4,FALSE)</f>
        <v>Post-emergence</v>
      </c>
      <c r="Q392" s="129" t="str">
        <f>VLOOKUP(VALUE($B392),test_out_xwalk!$C:$L,9,FALSE)</f>
        <v>Range</v>
      </c>
      <c r="R392">
        <f>_xlfn.XLOOKUP(VALUE(B392),test_out_xwalk!$C:$C,test_out_xwalk!$A:$A)</f>
        <v>11</v>
      </c>
      <c r="T392" s="121" t="str">
        <f>IF('summary_EPA Pond'!$O392="","Check Summary EPA POND worksheet Column O",'summary_EPA Pond'!$O392)</f>
        <v>Check Summary EPA POND worksheet Column O</v>
      </c>
      <c r="U392" s="121" t="str" cm="1">
        <f t="array" ref="U392">IFERROR(_xlfn.TEXTSPLIT(T392,"_"),"")</f>
        <v>Check Summary EPA POND worksheet Column O</v>
      </c>
      <c r="AA392" s="121" t="str" cm="1">
        <f t="array" ref="AA392">IF(W392="","",(_xlfn.TEXTSPLIT(W392,"-")))</f>
        <v/>
      </c>
      <c r="AD392" s="129" t="e">
        <f>VLOOKUP(VALUE($U392),test_out_xwalk!$C:$L,3,FALSE)</f>
        <v>#VALUE!</v>
      </c>
      <c r="AE392" s="129" t="e">
        <f>VLOOKUP(VALUE($U392),test_out_xwalk!$C:$L,5,FALSE)</f>
        <v>#VALUE!</v>
      </c>
      <c r="AF392" s="129" t="e">
        <f>VLOOKUP(VALUE($U392),test_out_xwalk!$C:$L,6,FALSE)</f>
        <v>#VALUE!</v>
      </c>
      <c r="AG392" s="129" t="e">
        <f>VLOOKUP(VALUE($U392),test_out_xwalk!$C:$L,8,FALSE)</f>
        <v>#VALUE!</v>
      </c>
      <c r="AH392" s="129" t="e">
        <f>VLOOKUP(VALUE($U392),test_out_xwalk!$C:$L,7,FALSE)</f>
        <v>#VALUE!</v>
      </c>
      <c r="AI392" s="129" t="e">
        <f>VLOOKUP(VALUE($U392),test_out_xwalk!$C:$L,4,FALSE)</f>
        <v>#VALUE!</v>
      </c>
      <c r="AJ392" s="129" t="e">
        <f>VLOOKUP(VALUE($U392),test_out_xwalk!$C:$L,9,FALSE)</f>
        <v>#VALUE!</v>
      </c>
      <c r="AK392" t="e">
        <f>_xlfn.XLOOKUP(VALUE(U392),test_out_xwalk!C:C,test_out_xwalk!A:A)</f>
        <v>#VALUE!</v>
      </c>
    </row>
    <row r="393" spans="1:37" x14ac:dyDescent="0.55000000000000004">
      <c r="A393" s="121" t="str">
        <f>IF('summary_EPA Pond'!$A393="","Check Summary EPA POND worksheet Column A",'summary_EPA Pond'!$A393)</f>
        <v xml:space="preserve">29_475297-19385-176_Pasture or forage-r16-A_USEPA Pond_0030_median                    </v>
      </c>
      <c r="B393" s="121" t="str" cm="1">
        <f t="array" ref="B393:G393">IFERROR(_xlfn.TEXTSPLIT(A393,"_"),"")</f>
        <v>29</v>
      </c>
      <c r="C393" t="str">
        <v>475297-19385-176</v>
      </c>
      <c r="D393" t="str">
        <v>Pasture or forage-r16-A</v>
      </c>
      <c r="E393" t="str">
        <v>USEPA Pond</v>
      </c>
      <c r="F393" t="str">
        <v>0030</v>
      </c>
      <c r="G393" t="str">
        <v xml:space="preserve">median                    </v>
      </c>
      <c r="H393" s="121" t="str" cm="1">
        <f t="array" ref="H393:J393">IF(D393="","",(_xlfn.TEXTSPLIT(D393,"-")))</f>
        <v>Pasture or forage</v>
      </c>
      <c r="I393" s="121" t="str">
        <v>r16</v>
      </c>
      <c r="J393" t="str">
        <v>A</v>
      </c>
      <c r="K393" s="129" t="str">
        <f>VLOOKUP(VALUE($B393),test_out_xwalk!$C:$L,3,FALSE)</f>
        <v>Grass, Pasture-11-29</v>
      </c>
      <c r="L393" s="129">
        <f>VLOOKUP(VALUE($B393),test_out_xwalk!$C:$L,5,FALSE)</f>
        <v>1</v>
      </c>
      <c r="M393" s="129">
        <f>VLOOKUP(VALUE($B393),test_out_xwalk!$C:$L,6,FALSE)</f>
        <v>1</v>
      </c>
      <c r="N393" s="129" t="str">
        <f>VLOOKUP(VALUE($B393),test_out_xwalk!$C:$L,8,FALSE)</f>
        <v>Aerial_Medium</v>
      </c>
      <c r="O393" s="129" t="str">
        <f>VLOOKUP(VALUE($B393),test_out_xwalk!$C:$L,7,FALSE)</f>
        <v>Spray</v>
      </c>
      <c r="P393" s="129" t="str">
        <f>VLOOKUP(VALUE($B393),test_out_xwalk!$C:$L,4,FALSE)</f>
        <v>Post-emergence</v>
      </c>
      <c r="Q393" s="129" t="str">
        <f>VLOOKUP(VALUE($B393),test_out_xwalk!$C:$L,9,FALSE)</f>
        <v>Range</v>
      </c>
      <c r="R393">
        <f>_xlfn.XLOOKUP(VALUE(B393),test_out_xwalk!$C:$C,test_out_xwalk!$A:$A)</f>
        <v>11</v>
      </c>
      <c r="T393" s="121" t="str">
        <f>IF('summary_EPA Pond'!$O393="","Check Summary EPA POND worksheet Column O",'summary_EPA Pond'!$O393)</f>
        <v>Check Summary EPA POND worksheet Column O</v>
      </c>
      <c r="U393" s="121" t="str" cm="1">
        <f t="array" ref="U393">IFERROR(_xlfn.TEXTSPLIT(T393,"_"),"")</f>
        <v>Check Summary EPA POND worksheet Column O</v>
      </c>
      <c r="AA393" s="121" t="str" cm="1">
        <f t="array" ref="AA393">IF(W393="","",(_xlfn.TEXTSPLIT(W393,"-")))</f>
        <v/>
      </c>
      <c r="AD393" s="129" t="e">
        <f>VLOOKUP(VALUE($U393),test_out_xwalk!$C:$L,3,FALSE)</f>
        <v>#VALUE!</v>
      </c>
      <c r="AE393" s="129" t="e">
        <f>VLOOKUP(VALUE($U393),test_out_xwalk!$C:$L,5,FALSE)</f>
        <v>#VALUE!</v>
      </c>
      <c r="AF393" s="129" t="e">
        <f>VLOOKUP(VALUE($U393),test_out_xwalk!$C:$L,6,FALSE)</f>
        <v>#VALUE!</v>
      </c>
      <c r="AG393" s="129" t="e">
        <f>VLOOKUP(VALUE($U393),test_out_xwalk!$C:$L,8,FALSE)</f>
        <v>#VALUE!</v>
      </c>
      <c r="AH393" s="129" t="e">
        <f>VLOOKUP(VALUE($U393),test_out_xwalk!$C:$L,7,FALSE)</f>
        <v>#VALUE!</v>
      </c>
      <c r="AI393" s="129" t="e">
        <f>VLOOKUP(VALUE($U393),test_out_xwalk!$C:$L,4,FALSE)</f>
        <v>#VALUE!</v>
      </c>
      <c r="AJ393" s="129" t="e">
        <f>VLOOKUP(VALUE($U393),test_out_xwalk!$C:$L,9,FALSE)</f>
        <v>#VALUE!</v>
      </c>
      <c r="AK393" t="e">
        <f>_xlfn.XLOOKUP(VALUE(U393),test_out_xwalk!C:C,test_out_xwalk!A:A)</f>
        <v>#VALUE!</v>
      </c>
    </row>
    <row r="394" spans="1:37" x14ac:dyDescent="0.55000000000000004">
      <c r="A394" s="121" t="str">
        <f>IF('summary_EPA Pond'!$A394="","Check Summary EPA POND worksheet Column A",'summary_EPA Pond'!$A394)</f>
        <v xml:space="preserve">29_68546-25521-176_Pasture or forage-r17-A_USEPA Pond_0030_median                     </v>
      </c>
      <c r="B394" s="121" t="str" cm="1">
        <f t="array" ref="B394:G394">IFERROR(_xlfn.TEXTSPLIT(A394,"_"),"")</f>
        <v>29</v>
      </c>
      <c r="C394" t="str">
        <v>68546-25521-176</v>
      </c>
      <c r="D394" t="str">
        <v>Pasture or forage-r17-A</v>
      </c>
      <c r="E394" t="str">
        <v>USEPA Pond</v>
      </c>
      <c r="F394" t="str">
        <v>0030</v>
      </c>
      <c r="G394" t="str">
        <v xml:space="preserve">median                     </v>
      </c>
      <c r="H394" s="121" t="str" cm="1">
        <f t="array" ref="H394:J394">IF(D394="","",(_xlfn.TEXTSPLIT(D394,"-")))</f>
        <v>Pasture or forage</v>
      </c>
      <c r="I394" s="121" t="str">
        <v>r17</v>
      </c>
      <c r="J394" t="str">
        <v>A</v>
      </c>
      <c r="K394" s="129" t="str">
        <f>VLOOKUP(VALUE($B394),test_out_xwalk!$C:$L,3,FALSE)</f>
        <v>Grass, Pasture-11-29</v>
      </c>
      <c r="L394" s="129">
        <f>VLOOKUP(VALUE($B394),test_out_xwalk!$C:$L,5,FALSE)</f>
        <v>1</v>
      </c>
      <c r="M394" s="129">
        <f>VLOOKUP(VALUE($B394),test_out_xwalk!$C:$L,6,FALSE)</f>
        <v>1</v>
      </c>
      <c r="N394" s="129" t="str">
        <f>VLOOKUP(VALUE($B394),test_out_xwalk!$C:$L,8,FALSE)</f>
        <v>Aerial_Medium</v>
      </c>
      <c r="O394" s="129" t="str">
        <f>VLOOKUP(VALUE($B394),test_out_xwalk!$C:$L,7,FALSE)</f>
        <v>Spray</v>
      </c>
      <c r="P394" s="129" t="str">
        <f>VLOOKUP(VALUE($B394),test_out_xwalk!$C:$L,4,FALSE)</f>
        <v>Post-emergence</v>
      </c>
      <c r="Q394" s="129" t="str">
        <f>VLOOKUP(VALUE($B394),test_out_xwalk!$C:$L,9,FALSE)</f>
        <v>Range</v>
      </c>
      <c r="R394">
        <f>_xlfn.XLOOKUP(VALUE(B394),test_out_xwalk!$C:$C,test_out_xwalk!$A:$A)</f>
        <v>11</v>
      </c>
      <c r="T394" s="121" t="str">
        <f>IF('summary_EPA Pond'!$O394="","Check Summary EPA POND worksheet Column O",'summary_EPA Pond'!$O394)</f>
        <v>Check Summary EPA POND worksheet Column O</v>
      </c>
      <c r="U394" s="121" t="str" cm="1">
        <f t="array" ref="U394">IFERROR(_xlfn.TEXTSPLIT(T394,"_"),"")</f>
        <v>Check Summary EPA POND worksheet Column O</v>
      </c>
      <c r="AA394" s="121" t="str" cm="1">
        <f t="array" ref="AA394">IF(W394="","",(_xlfn.TEXTSPLIT(W394,"-")))</f>
        <v/>
      </c>
      <c r="AD394" s="129" t="e">
        <f>VLOOKUP(VALUE($U394),test_out_xwalk!$C:$L,3,FALSE)</f>
        <v>#VALUE!</v>
      </c>
      <c r="AE394" s="129" t="e">
        <f>VLOOKUP(VALUE($U394),test_out_xwalk!$C:$L,5,FALSE)</f>
        <v>#VALUE!</v>
      </c>
      <c r="AF394" s="129" t="e">
        <f>VLOOKUP(VALUE($U394),test_out_xwalk!$C:$L,6,FALSE)</f>
        <v>#VALUE!</v>
      </c>
      <c r="AG394" s="129" t="e">
        <f>VLOOKUP(VALUE($U394),test_out_xwalk!$C:$L,8,FALSE)</f>
        <v>#VALUE!</v>
      </c>
      <c r="AH394" s="129" t="e">
        <f>VLOOKUP(VALUE($U394),test_out_xwalk!$C:$L,7,FALSE)</f>
        <v>#VALUE!</v>
      </c>
      <c r="AI394" s="129" t="e">
        <f>VLOOKUP(VALUE($U394),test_out_xwalk!$C:$L,4,FALSE)</f>
        <v>#VALUE!</v>
      </c>
      <c r="AJ394" s="129" t="e">
        <f>VLOOKUP(VALUE($U394),test_out_xwalk!$C:$L,9,FALSE)</f>
        <v>#VALUE!</v>
      </c>
      <c r="AK394" t="e">
        <f>_xlfn.XLOOKUP(VALUE(U394),test_out_xwalk!C:C,test_out_xwalk!A:A)</f>
        <v>#VALUE!</v>
      </c>
    </row>
    <row r="395" spans="1:37" x14ac:dyDescent="0.55000000000000004">
      <c r="A395" s="121" t="str">
        <f>IF('summary_EPA Pond'!$A395="","Check Summary EPA POND worksheet Column A",'summary_EPA Pond'!$A395)</f>
        <v xml:space="preserve">29_463577-14897-176_Pasture or forage-r18-A_USEPA Pond_0030_median                    </v>
      </c>
      <c r="B395" s="121" t="str" cm="1">
        <f t="array" ref="B395:G395">IFERROR(_xlfn.TEXTSPLIT(A395,"_"),"")</f>
        <v>29</v>
      </c>
      <c r="C395" t="str">
        <v>463577-14897-176</v>
      </c>
      <c r="D395" t="str">
        <v>Pasture or forage-r18-A</v>
      </c>
      <c r="E395" t="str">
        <v>USEPA Pond</v>
      </c>
      <c r="F395" t="str">
        <v>0030</v>
      </c>
      <c r="G395" t="str">
        <v xml:space="preserve">median                    </v>
      </c>
      <c r="H395" s="121" t="str" cm="1">
        <f t="array" ref="H395:J395">IF(D395="","",(_xlfn.TEXTSPLIT(D395,"-")))</f>
        <v>Pasture or forage</v>
      </c>
      <c r="I395" s="121" t="str">
        <v>r18</v>
      </c>
      <c r="J395" t="str">
        <v>A</v>
      </c>
      <c r="K395" s="129" t="str">
        <f>VLOOKUP(VALUE($B395),test_out_xwalk!$C:$L,3,FALSE)</f>
        <v>Grass, Pasture-11-29</v>
      </c>
      <c r="L395" s="129">
        <f>VLOOKUP(VALUE($B395),test_out_xwalk!$C:$L,5,FALSE)</f>
        <v>1</v>
      </c>
      <c r="M395" s="129">
        <f>VLOOKUP(VALUE($B395),test_out_xwalk!$C:$L,6,FALSE)</f>
        <v>1</v>
      </c>
      <c r="N395" s="129" t="str">
        <f>VLOOKUP(VALUE($B395),test_out_xwalk!$C:$L,8,FALSE)</f>
        <v>Aerial_Medium</v>
      </c>
      <c r="O395" s="129" t="str">
        <f>VLOOKUP(VALUE($B395),test_out_xwalk!$C:$L,7,FALSE)</f>
        <v>Spray</v>
      </c>
      <c r="P395" s="129" t="str">
        <f>VLOOKUP(VALUE($B395),test_out_xwalk!$C:$L,4,FALSE)</f>
        <v>Post-emergence</v>
      </c>
      <c r="Q395" s="129" t="str">
        <f>VLOOKUP(VALUE($B395),test_out_xwalk!$C:$L,9,FALSE)</f>
        <v>Range</v>
      </c>
      <c r="R395">
        <f>_xlfn.XLOOKUP(VALUE(B395),test_out_xwalk!$C:$C,test_out_xwalk!$A:$A)</f>
        <v>11</v>
      </c>
      <c r="T395" s="121" t="str">
        <f>IF('summary_EPA Pond'!$O395="","Check Summary EPA POND worksheet Column O",'summary_EPA Pond'!$O395)</f>
        <v>Check Summary EPA POND worksheet Column O</v>
      </c>
      <c r="U395" s="121" t="str" cm="1">
        <f t="array" ref="U395">IFERROR(_xlfn.TEXTSPLIT(T395,"_"),"")</f>
        <v>Check Summary EPA POND worksheet Column O</v>
      </c>
      <c r="AA395" s="121" t="str" cm="1">
        <f t="array" ref="AA395">IF(W395="","",(_xlfn.TEXTSPLIT(W395,"-")))</f>
        <v/>
      </c>
      <c r="AD395" s="129" t="e">
        <f>VLOOKUP(VALUE($U395),test_out_xwalk!$C:$L,3,FALSE)</f>
        <v>#VALUE!</v>
      </c>
      <c r="AE395" s="129" t="e">
        <f>VLOOKUP(VALUE($U395),test_out_xwalk!$C:$L,5,FALSE)</f>
        <v>#VALUE!</v>
      </c>
      <c r="AF395" s="129" t="e">
        <f>VLOOKUP(VALUE($U395),test_out_xwalk!$C:$L,6,FALSE)</f>
        <v>#VALUE!</v>
      </c>
      <c r="AG395" s="129" t="e">
        <f>VLOOKUP(VALUE($U395),test_out_xwalk!$C:$L,8,FALSE)</f>
        <v>#VALUE!</v>
      </c>
      <c r="AH395" s="129" t="e">
        <f>VLOOKUP(VALUE($U395),test_out_xwalk!$C:$L,7,FALSE)</f>
        <v>#VALUE!</v>
      </c>
      <c r="AI395" s="129" t="e">
        <f>VLOOKUP(VALUE($U395),test_out_xwalk!$C:$L,4,FALSE)</f>
        <v>#VALUE!</v>
      </c>
      <c r="AJ395" s="129" t="e">
        <f>VLOOKUP(VALUE($U395),test_out_xwalk!$C:$L,9,FALSE)</f>
        <v>#VALUE!</v>
      </c>
      <c r="AK395" t="e">
        <f>_xlfn.XLOOKUP(VALUE(U395),test_out_xwalk!C:C,test_out_xwalk!A:A)</f>
        <v>#VALUE!</v>
      </c>
    </row>
    <row r="396" spans="1:37" x14ac:dyDescent="0.55000000000000004">
      <c r="A396" s="121" t="str">
        <f>IF('summary_EPA Pond'!$A396="","Check Summary EPA POND worksheet Column A",'summary_EPA Pond'!$A396)</f>
        <v xml:space="preserve">30_301823-25720-176_Pasture or forage-r01-A_USEPA Pond_0030_median                    </v>
      </c>
      <c r="B396" s="121" t="str" cm="1">
        <f t="array" ref="B396:G396">IFERROR(_xlfn.TEXTSPLIT(A396,"_"),"")</f>
        <v>30</v>
      </c>
      <c r="C396" t="str">
        <v>301823-25720-176</v>
      </c>
      <c r="D396" t="str">
        <v>Pasture or forage-r01-A</v>
      </c>
      <c r="E396" t="str">
        <v>USEPA Pond</v>
      </c>
      <c r="F396" t="str">
        <v>0030</v>
      </c>
      <c r="G396" t="str">
        <v xml:space="preserve">median                    </v>
      </c>
      <c r="H396" s="121" t="str" cm="1">
        <f t="array" ref="H396:J396">IF(D396="","",(_xlfn.TEXTSPLIT(D396,"-")))</f>
        <v>Pasture or forage</v>
      </c>
      <c r="I396" s="121" t="str">
        <v>r01</v>
      </c>
      <c r="J396" t="str">
        <v>A</v>
      </c>
      <c r="K396" s="129" t="str">
        <f>VLOOKUP(VALUE($B396),test_out_xwalk!$C:$L,3,FALSE)</f>
        <v>Grass, Pasture-11-30</v>
      </c>
      <c r="L396" s="129">
        <f>VLOOKUP(VALUE($B396),test_out_xwalk!$C:$L,5,FALSE)</f>
        <v>1</v>
      </c>
      <c r="M396" s="129">
        <f>VLOOKUP(VALUE($B396),test_out_xwalk!$C:$L,6,FALSE)</f>
        <v>1</v>
      </c>
      <c r="N396" s="129" t="str">
        <f>VLOOKUP(VALUE($B396),test_out_xwalk!$C:$L,8,FALSE)</f>
        <v>Ground_F-MC_HB</v>
      </c>
      <c r="O396" s="129" t="str">
        <f>VLOOKUP(VALUE($B396),test_out_xwalk!$C:$L,7,FALSE)</f>
        <v>Spray</v>
      </c>
      <c r="P396" s="129" t="str">
        <f>VLOOKUP(VALUE($B396),test_out_xwalk!$C:$L,4,FALSE)</f>
        <v>Post-emergence</v>
      </c>
      <c r="Q396" s="129" t="str">
        <f>VLOOKUP(VALUE($B396),test_out_xwalk!$C:$L,9,FALSE)</f>
        <v>Range</v>
      </c>
      <c r="R396">
        <f>_xlfn.XLOOKUP(VALUE(B396),test_out_xwalk!$C:$C,test_out_xwalk!$A:$A)</f>
        <v>11</v>
      </c>
      <c r="T396" s="121" t="str">
        <f>IF('summary_EPA Pond'!$O396="","Check Summary EPA POND worksheet Column O",'summary_EPA Pond'!$O396)</f>
        <v>Check Summary EPA POND worksheet Column O</v>
      </c>
      <c r="U396" s="121" t="str" cm="1">
        <f t="array" ref="U396">IFERROR(_xlfn.TEXTSPLIT(T396,"_"),"")</f>
        <v>Check Summary EPA POND worksheet Column O</v>
      </c>
      <c r="AA396" s="121" t="str" cm="1">
        <f t="array" ref="AA396">IF(W396="","",(_xlfn.TEXTSPLIT(W396,"-")))</f>
        <v/>
      </c>
      <c r="AD396" s="129" t="e">
        <f>VLOOKUP(VALUE($U396),test_out_xwalk!$C:$L,3,FALSE)</f>
        <v>#VALUE!</v>
      </c>
      <c r="AE396" s="129" t="e">
        <f>VLOOKUP(VALUE($U396),test_out_xwalk!$C:$L,5,FALSE)</f>
        <v>#VALUE!</v>
      </c>
      <c r="AF396" s="129" t="e">
        <f>VLOOKUP(VALUE($U396),test_out_xwalk!$C:$L,6,FALSE)</f>
        <v>#VALUE!</v>
      </c>
      <c r="AG396" s="129" t="e">
        <f>VLOOKUP(VALUE($U396),test_out_xwalk!$C:$L,8,FALSE)</f>
        <v>#VALUE!</v>
      </c>
      <c r="AH396" s="129" t="e">
        <f>VLOOKUP(VALUE($U396),test_out_xwalk!$C:$L,7,FALSE)</f>
        <v>#VALUE!</v>
      </c>
      <c r="AI396" s="129" t="e">
        <f>VLOOKUP(VALUE($U396),test_out_xwalk!$C:$L,4,FALSE)</f>
        <v>#VALUE!</v>
      </c>
      <c r="AJ396" s="129" t="e">
        <f>VLOOKUP(VALUE($U396),test_out_xwalk!$C:$L,9,FALSE)</f>
        <v>#VALUE!</v>
      </c>
      <c r="AK396" t="e">
        <f>_xlfn.XLOOKUP(VALUE(U396),test_out_xwalk!C:C,test_out_xwalk!A:A)</f>
        <v>#VALUE!</v>
      </c>
    </row>
    <row r="397" spans="1:37" x14ac:dyDescent="0.55000000000000004">
      <c r="A397" s="121" t="str">
        <f>IF('summary_EPA Pond'!$A397="","Check Summary EPA POND worksheet Column A",'summary_EPA Pond'!$A397)</f>
        <v xml:space="preserve">30_299355-20498-176_Pasture or forage-r02-A_USEPA Pond_0030_median                    </v>
      </c>
      <c r="B397" s="121" t="str" cm="1">
        <f t="array" ref="B397:G397">IFERROR(_xlfn.TEXTSPLIT(A397,"_"),"")</f>
        <v>30</v>
      </c>
      <c r="C397" t="str">
        <v>299355-20498-176</v>
      </c>
      <c r="D397" t="str">
        <v>Pasture or forage-r02-A</v>
      </c>
      <c r="E397" t="str">
        <v>USEPA Pond</v>
      </c>
      <c r="F397" t="str">
        <v>0030</v>
      </c>
      <c r="G397" t="str">
        <v xml:space="preserve">median                    </v>
      </c>
      <c r="H397" s="121" t="str" cm="1">
        <f t="array" ref="H397:J397">IF(D397="","",(_xlfn.TEXTSPLIT(D397,"-")))</f>
        <v>Pasture or forage</v>
      </c>
      <c r="I397" s="121" t="str">
        <v>r02</v>
      </c>
      <c r="J397" t="str">
        <v>A</v>
      </c>
      <c r="K397" s="129" t="str">
        <f>VLOOKUP(VALUE($B397),test_out_xwalk!$C:$L,3,FALSE)</f>
        <v>Grass, Pasture-11-30</v>
      </c>
      <c r="L397" s="129">
        <f>VLOOKUP(VALUE($B397),test_out_xwalk!$C:$L,5,FALSE)</f>
        <v>1</v>
      </c>
      <c r="M397" s="129">
        <f>VLOOKUP(VALUE($B397),test_out_xwalk!$C:$L,6,FALSE)</f>
        <v>1</v>
      </c>
      <c r="N397" s="129" t="str">
        <f>VLOOKUP(VALUE($B397),test_out_xwalk!$C:$L,8,FALSE)</f>
        <v>Ground_F-MC_HB</v>
      </c>
      <c r="O397" s="129" t="str">
        <f>VLOOKUP(VALUE($B397),test_out_xwalk!$C:$L,7,FALSE)</f>
        <v>Spray</v>
      </c>
      <c r="P397" s="129" t="str">
        <f>VLOOKUP(VALUE($B397),test_out_xwalk!$C:$L,4,FALSE)</f>
        <v>Post-emergence</v>
      </c>
      <c r="Q397" s="129" t="str">
        <f>VLOOKUP(VALUE($B397),test_out_xwalk!$C:$L,9,FALSE)</f>
        <v>Range</v>
      </c>
      <c r="R397">
        <f>_xlfn.XLOOKUP(VALUE(B397),test_out_xwalk!$C:$C,test_out_xwalk!$A:$A)</f>
        <v>11</v>
      </c>
      <c r="T397" s="121" t="str">
        <f>IF('summary_EPA Pond'!$O397="","Check Summary EPA POND worksheet Column O",'summary_EPA Pond'!$O397)</f>
        <v>Check Summary EPA POND worksheet Column O</v>
      </c>
      <c r="U397" s="121" t="str" cm="1">
        <f t="array" ref="U397">IFERROR(_xlfn.TEXTSPLIT(T397,"_"),"")</f>
        <v>Check Summary EPA POND worksheet Column O</v>
      </c>
      <c r="AA397" s="121" t="str" cm="1">
        <f t="array" ref="AA397">IF(W397="","",(_xlfn.TEXTSPLIT(W397,"-")))</f>
        <v/>
      </c>
      <c r="AD397" s="129" t="e">
        <f>VLOOKUP(VALUE($U397),test_out_xwalk!$C:$L,3,FALSE)</f>
        <v>#VALUE!</v>
      </c>
      <c r="AE397" s="129" t="e">
        <f>VLOOKUP(VALUE($U397),test_out_xwalk!$C:$L,5,FALSE)</f>
        <v>#VALUE!</v>
      </c>
      <c r="AF397" s="129" t="e">
        <f>VLOOKUP(VALUE($U397),test_out_xwalk!$C:$L,6,FALSE)</f>
        <v>#VALUE!</v>
      </c>
      <c r="AG397" s="129" t="e">
        <f>VLOOKUP(VALUE($U397),test_out_xwalk!$C:$L,8,FALSE)</f>
        <v>#VALUE!</v>
      </c>
      <c r="AH397" s="129" t="e">
        <f>VLOOKUP(VALUE($U397),test_out_xwalk!$C:$L,7,FALSE)</f>
        <v>#VALUE!</v>
      </c>
      <c r="AI397" s="129" t="e">
        <f>VLOOKUP(VALUE($U397),test_out_xwalk!$C:$L,4,FALSE)</f>
        <v>#VALUE!</v>
      </c>
      <c r="AJ397" s="129" t="e">
        <f>VLOOKUP(VALUE($U397),test_out_xwalk!$C:$L,9,FALSE)</f>
        <v>#VALUE!</v>
      </c>
      <c r="AK397" t="e">
        <f>_xlfn.XLOOKUP(VALUE(U397),test_out_xwalk!C:C,test_out_xwalk!A:A)</f>
        <v>#VALUE!</v>
      </c>
    </row>
    <row r="398" spans="1:37" x14ac:dyDescent="0.55000000000000004">
      <c r="A398" s="121" t="str">
        <f>IF('summary_EPA Pond'!$A398="","Check Summary EPA POND worksheet Column A",'summary_EPA Pond'!$A398)</f>
        <v xml:space="preserve">30_120164-16000-176_Pasture or forage-r03N-A_USEPA Pond_0030_median                   </v>
      </c>
      <c r="B398" s="121" t="str" cm="1">
        <f t="array" ref="B398:G398">IFERROR(_xlfn.TEXTSPLIT(A398,"_"),"")</f>
        <v>30</v>
      </c>
      <c r="C398" t="str">
        <v>120164-16000-176</v>
      </c>
      <c r="D398" t="str">
        <v>Pasture or forage-r03N-A</v>
      </c>
      <c r="E398" t="str">
        <v>USEPA Pond</v>
      </c>
      <c r="F398" t="str">
        <v>0030</v>
      </c>
      <c r="G398" t="str">
        <v xml:space="preserve">median                   </v>
      </c>
      <c r="H398" s="121" t="str" cm="1">
        <f t="array" ref="H398:J398">IF(D398="","",(_xlfn.TEXTSPLIT(D398,"-")))</f>
        <v>Pasture or forage</v>
      </c>
      <c r="I398" s="121" t="str">
        <v>r03N</v>
      </c>
      <c r="J398" t="str">
        <v>A</v>
      </c>
      <c r="K398" s="129" t="str">
        <f>VLOOKUP(VALUE($B398),test_out_xwalk!$C:$L,3,FALSE)</f>
        <v>Grass, Pasture-11-30</v>
      </c>
      <c r="L398" s="129">
        <f>VLOOKUP(VALUE($B398),test_out_xwalk!$C:$L,5,FALSE)</f>
        <v>1</v>
      </c>
      <c r="M398" s="129">
        <f>VLOOKUP(VALUE($B398),test_out_xwalk!$C:$L,6,FALSE)</f>
        <v>1</v>
      </c>
      <c r="N398" s="129" t="str">
        <f>VLOOKUP(VALUE($B398),test_out_xwalk!$C:$L,8,FALSE)</f>
        <v>Ground_F-MC_HB</v>
      </c>
      <c r="O398" s="129" t="str">
        <f>VLOOKUP(VALUE($B398),test_out_xwalk!$C:$L,7,FALSE)</f>
        <v>Spray</v>
      </c>
      <c r="P398" s="129" t="str">
        <f>VLOOKUP(VALUE($B398),test_out_xwalk!$C:$L,4,FALSE)</f>
        <v>Post-emergence</v>
      </c>
      <c r="Q398" s="129" t="str">
        <f>VLOOKUP(VALUE($B398),test_out_xwalk!$C:$L,9,FALSE)</f>
        <v>Range</v>
      </c>
      <c r="R398">
        <f>_xlfn.XLOOKUP(VALUE(B398),test_out_xwalk!$C:$C,test_out_xwalk!$A:$A)</f>
        <v>11</v>
      </c>
      <c r="T398" s="121" t="str">
        <f>IF('summary_EPA Pond'!$O398="","Check Summary EPA POND worksheet Column O",'summary_EPA Pond'!$O398)</f>
        <v>Check Summary EPA POND worksheet Column O</v>
      </c>
      <c r="U398" s="121" t="str" cm="1">
        <f t="array" ref="U398">IFERROR(_xlfn.TEXTSPLIT(T398,"_"),"")</f>
        <v>Check Summary EPA POND worksheet Column O</v>
      </c>
      <c r="AA398" s="121" t="str" cm="1">
        <f t="array" ref="AA398">IF(W398="","",(_xlfn.TEXTSPLIT(W398,"-")))</f>
        <v/>
      </c>
      <c r="AD398" s="129" t="e">
        <f>VLOOKUP(VALUE($U398),test_out_xwalk!$C:$L,3,FALSE)</f>
        <v>#VALUE!</v>
      </c>
      <c r="AE398" s="129" t="e">
        <f>VLOOKUP(VALUE($U398),test_out_xwalk!$C:$L,5,FALSE)</f>
        <v>#VALUE!</v>
      </c>
      <c r="AF398" s="129" t="e">
        <f>VLOOKUP(VALUE($U398),test_out_xwalk!$C:$L,6,FALSE)</f>
        <v>#VALUE!</v>
      </c>
      <c r="AG398" s="129" t="e">
        <f>VLOOKUP(VALUE($U398),test_out_xwalk!$C:$L,8,FALSE)</f>
        <v>#VALUE!</v>
      </c>
      <c r="AH398" s="129" t="e">
        <f>VLOOKUP(VALUE($U398),test_out_xwalk!$C:$L,7,FALSE)</f>
        <v>#VALUE!</v>
      </c>
      <c r="AI398" s="129" t="e">
        <f>VLOOKUP(VALUE($U398),test_out_xwalk!$C:$L,4,FALSE)</f>
        <v>#VALUE!</v>
      </c>
      <c r="AJ398" s="129" t="e">
        <f>VLOOKUP(VALUE($U398),test_out_xwalk!$C:$L,9,FALSE)</f>
        <v>#VALUE!</v>
      </c>
      <c r="AK398" t="e">
        <f>_xlfn.XLOOKUP(VALUE(U398),test_out_xwalk!C:C,test_out_xwalk!A:A)</f>
        <v>#VALUE!</v>
      </c>
    </row>
    <row r="399" spans="1:37" x14ac:dyDescent="0.55000000000000004">
      <c r="A399" s="121" t="str">
        <f>IF('summary_EPA Pond'!$A399="","Check Summary EPA POND worksheet Column A",'summary_EPA Pond'!$A399)</f>
        <v xml:space="preserve">30_1712910-8907-176_Pasture or forage-r03S-A_USEPA Pond_0030_median                   </v>
      </c>
      <c r="B399" s="121" t="str" cm="1">
        <f t="array" ref="B399:G399">IFERROR(_xlfn.TEXTSPLIT(A399,"_"),"")</f>
        <v>30</v>
      </c>
      <c r="C399" t="str">
        <v>1712910-8907-176</v>
      </c>
      <c r="D399" t="str">
        <v>Pasture or forage-r03S-A</v>
      </c>
      <c r="E399" t="str">
        <v>USEPA Pond</v>
      </c>
      <c r="F399" t="str">
        <v>0030</v>
      </c>
      <c r="G399" t="str">
        <v xml:space="preserve">median                   </v>
      </c>
      <c r="H399" s="121" t="str" cm="1">
        <f t="array" ref="H399:J399">IF(D399="","",(_xlfn.TEXTSPLIT(D399,"-")))</f>
        <v>Pasture or forage</v>
      </c>
      <c r="I399" s="121" t="str">
        <v>r03S</v>
      </c>
      <c r="J399" t="str">
        <v>A</v>
      </c>
      <c r="K399" s="129" t="str">
        <f>VLOOKUP(VALUE($B399),test_out_xwalk!$C:$L,3,FALSE)</f>
        <v>Grass, Pasture-11-30</v>
      </c>
      <c r="L399" s="129">
        <f>VLOOKUP(VALUE($B399),test_out_xwalk!$C:$L,5,FALSE)</f>
        <v>1</v>
      </c>
      <c r="M399" s="129">
        <f>VLOOKUP(VALUE($B399),test_out_xwalk!$C:$L,6,FALSE)</f>
        <v>1</v>
      </c>
      <c r="N399" s="129" t="str">
        <f>VLOOKUP(VALUE($B399),test_out_xwalk!$C:$L,8,FALSE)</f>
        <v>Ground_F-MC_HB</v>
      </c>
      <c r="O399" s="129" t="str">
        <f>VLOOKUP(VALUE($B399),test_out_xwalk!$C:$L,7,FALSE)</f>
        <v>Spray</v>
      </c>
      <c r="P399" s="129" t="str">
        <f>VLOOKUP(VALUE($B399),test_out_xwalk!$C:$L,4,FALSE)</f>
        <v>Post-emergence</v>
      </c>
      <c r="Q399" s="129" t="str">
        <f>VLOOKUP(VALUE($B399),test_out_xwalk!$C:$L,9,FALSE)</f>
        <v>Range</v>
      </c>
      <c r="R399">
        <f>_xlfn.XLOOKUP(VALUE(B399),test_out_xwalk!$C:$C,test_out_xwalk!$A:$A)</f>
        <v>11</v>
      </c>
      <c r="T399" s="121" t="str">
        <f>IF('summary_EPA Pond'!$O399="","Check Summary EPA POND worksheet Column O",'summary_EPA Pond'!$O399)</f>
        <v>Check Summary EPA POND worksheet Column O</v>
      </c>
      <c r="U399" s="121" t="str" cm="1">
        <f t="array" ref="U399">IFERROR(_xlfn.TEXTSPLIT(T399,"_"),"")</f>
        <v>Check Summary EPA POND worksheet Column O</v>
      </c>
      <c r="AA399" s="121" t="str" cm="1">
        <f t="array" ref="AA399">IF(W399="","",(_xlfn.TEXTSPLIT(W399,"-")))</f>
        <v/>
      </c>
      <c r="AD399" s="129" t="e">
        <f>VLOOKUP(VALUE($U399),test_out_xwalk!$C:$L,3,FALSE)</f>
        <v>#VALUE!</v>
      </c>
      <c r="AE399" s="129" t="e">
        <f>VLOOKUP(VALUE($U399),test_out_xwalk!$C:$L,5,FALSE)</f>
        <v>#VALUE!</v>
      </c>
      <c r="AF399" s="129" t="e">
        <f>VLOOKUP(VALUE($U399),test_out_xwalk!$C:$L,6,FALSE)</f>
        <v>#VALUE!</v>
      </c>
      <c r="AG399" s="129" t="e">
        <f>VLOOKUP(VALUE($U399),test_out_xwalk!$C:$L,8,FALSE)</f>
        <v>#VALUE!</v>
      </c>
      <c r="AH399" s="129" t="e">
        <f>VLOOKUP(VALUE($U399),test_out_xwalk!$C:$L,7,FALSE)</f>
        <v>#VALUE!</v>
      </c>
      <c r="AI399" s="129" t="e">
        <f>VLOOKUP(VALUE($U399),test_out_xwalk!$C:$L,4,FALSE)</f>
        <v>#VALUE!</v>
      </c>
      <c r="AJ399" s="129" t="e">
        <f>VLOOKUP(VALUE($U399),test_out_xwalk!$C:$L,9,FALSE)</f>
        <v>#VALUE!</v>
      </c>
      <c r="AK399" t="e">
        <f>_xlfn.XLOOKUP(VALUE(U399),test_out_xwalk!C:C,test_out_xwalk!A:A)</f>
        <v>#VALUE!</v>
      </c>
    </row>
    <row r="400" spans="1:37" x14ac:dyDescent="0.55000000000000004">
      <c r="A400" s="121" t="str">
        <f>IF('summary_EPA Pond'!$A400="","Check Summary EPA POND worksheet Column A",'summary_EPA Pond'!$A400)</f>
        <v xml:space="preserve">30_333408-12658-176_Pasture or forage-r03W-A_USEPA Pond_0030_median                   </v>
      </c>
      <c r="B400" s="121" t="str" cm="1">
        <f t="array" ref="B400:G400">IFERROR(_xlfn.TEXTSPLIT(A400,"_"),"")</f>
        <v>30</v>
      </c>
      <c r="C400" t="str">
        <v>333408-12658-176</v>
      </c>
      <c r="D400" t="str">
        <v>Pasture or forage-r03W-A</v>
      </c>
      <c r="E400" t="str">
        <v>USEPA Pond</v>
      </c>
      <c r="F400" t="str">
        <v>0030</v>
      </c>
      <c r="G400" t="str">
        <v xml:space="preserve">median                   </v>
      </c>
      <c r="H400" s="121" t="str" cm="1">
        <f t="array" ref="H400:J400">IF(D400="","",(_xlfn.TEXTSPLIT(D400,"-")))</f>
        <v>Pasture or forage</v>
      </c>
      <c r="I400" s="121" t="str">
        <v>r03W</v>
      </c>
      <c r="J400" t="str">
        <v>A</v>
      </c>
      <c r="K400" s="129" t="str">
        <f>VLOOKUP(VALUE($B400),test_out_xwalk!$C:$L,3,FALSE)</f>
        <v>Grass, Pasture-11-30</v>
      </c>
      <c r="L400" s="129">
        <f>VLOOKUP(VALUE($B400),test_out_xwalk!$C:$L,5,FALSE)</f>
        <v>1</v>
      </c>
      <c r="M400" s="129">
        <f>VLOOKUP(VALUE($B400),test_out_xwalk!$C:$L,6,FALSE)</f>
        <v>1</v>
      </c>
      <c r="N400" s="129" t="str">
        <f>VLOOKUP(VALUE($B400),test_out_xwalk!$C:$L,8,FALSE)</f>
        <v>Ground_F-MC_HB</v>
      </c>
      <c r="O400" s="129" t="str">
        <f>VLOOKUP(VALUE($B400),test_out_xwalk!$C:$L,7,FALSE)</f>
        <v>Spray</v>
      </c>
      <c r="P400" s="129" t="str">
        <f>VLOOKUP(VALUE($B400),test_out_xwalk!$C:$L,4,FALSE)</f>
        <v>Post-emergence</v>
      </c>
      <c r="Q400" s="129" t="str">
        <f>VLOOKUP(VALUE($B400),test_out_xwalk!$C:$L,9,FALSE)</f>
        <v>Range</v>
      </c>
      <c r="R400">
        <f>_xlfn.XLOOKUP(VALUE(B400),test_out_xwalk!$C:$C,test_out_xwalk!$A:$A)</f>
        <v>11</v>
      </c>
      <c r="T400" s="121" t="str">
        <f>IF('summary_EPA Pond'!$O400="","Check Summary EPA POND worksheet Column O",'summary_EPA Pond'!$O400)</f>
        <v>Check Summary EPA POND worksheet Column O</v>
      </c>
      <c r="U400" s="121" t="str" cm="1">
        <f t="array" ref="U400">IFERROR(_xlfn.TEXTSPLIT(T400,"_"),"")</f>
        <v>Check Summary EPA POND worksheet Column O</v>
      </c>
      <c r="AA400" s="121" t="str" cm="1">
        <f t="array" ref="AA400">IF(W400="","",(_xlfn.TEXTSPLIT(W400,"-")))</f>
        <v/>
      </c>
      <c r="AD400" s="129" t="e">
        <f>VLOOKUP(VALUE($U400),test_out_xwalk!$C:$L,3,FALSE)</f>
        <v>#VALUE!</v>
      </c>
      <c r="AE400" s="129" t="e">
        <f>VLOOKUP(VALUE($U400),test_out_xwalk!$C:$L,5,FALSE)</f>
        <v>#VALUE!</v>
      </c>
      <c r="AF400" s="129" t="e">
        <f>VLOOKUP(VALUE($U400),test_out_xwalk!$C:$L,6,FALSE)</f>
        <v>#VALUE!</v>
      </c>
      <c r="AG400" s="129" t="e">
        <f>VLOOKUP(VALUE($U400),test_out_xwalk!$C:$L,8,FALSE)</f>
        <v>#VALUE!</v>
      </c>
      <c r="AH400" s="129" t="e">
        <f>VLOOKUP(VALUE($U400),test_out_xwalk!$C:$L,7,FALSE)</f>
        <v>#VALUE!</v>
      </c>
      <c r="AI400" s="129" t="e">
        <f>VLOOKUP(VALUE($U400),test_out_xwalk!$C:$L,4,FALSE)</f>
        <v>#VALUE!</v>
      </c>
      <c r="AJ400" s="129" t="e">
        <f>VLOOKUP(VALUE($U400),test_out_xwalk!$C:$L,9,FALSE)</f>
        <v>#VALUE!</v>
      </c>
      <c r="AK400" t="e">
        <f>_xlfn.XLOOKUP(VALUE(U400),test_out_xwalk!C:C,test_out_xwalk!A:A)</f>
        <v>#VALUE!</v>
      </c>
    </row>
    <row r="401" spans="1:37" x14ac:dyDescent="0.55000000000000004">
      <c r="A401" s="121" t="str">
        <f>IF('summary_EPA Pond'!$A401="","Check Summary EPA POND worksheet Column A",'summary_EPA Pond'!$A401)</f>
        <v xml:space="preserve">30_294979-23094-176_Pasture or forage-r04-A_USEPA Pond_0030_median                    </v>
      </c>
      <c r="B401" s="121" t="str" cm="1">
        <f t="array" ref="B401:G401">IFERROR(_xlfn.TEXTSPLIT(A401,"_"),"")</f>
        <v>30</v>
      </c>
      <c r="C401" t="str">
        <v>294979-23094-176</v>
      </c>
      <c r="D401" t="str">
        <v>Pasture or forage-r04-A</v>
      </c>
      <c r="E401" t="str">
        <v>USEPA Pond</v>
      </c>
      <c r="F401" t="str">
        <v>0030</v>
      </c>
      <c r="G401" t="str">
        <v xml:space="preserve">median                    </v>
      </c>
      <c r="H401" s="121" t="str" cm="1">
        <f t="array" ref="H401:J401">IF(D401="","",(_xlfn.TEXTSPLIT(D401,"-")))</f>
        <v>Pasture or forage</v>
      </c>
      <c r="I401" s="121" t="str">
        <v>r04</v>
      </c>
      <c r="J401" t="str">
        <v>A</v>
      </c>
      <c r="K401" s="129" t="str">
        <f>VLOOKUP(VALUE($B401),test_out_xwalk!$C:$L,3,FALSE)</f>
        <v>Grass, Pasture-11-30</v>
      </c>
      <c r="L401" s="129">
        <f>VLOOKUP(VALUE($B401),test_out_xwalk!$C:$L,5,FALSE)</f>
        <v>1</v>
      </c>
      <c r="M401" s="129">
        <f>VLOOKUP(VALUE($B401),test_out_xwalk!$C:$L,6,FALSE)</f>
        <v>1</v>
      </c>
      <c r="N401" s="129" t="str">
        <f>VLOOKUP(VALUE($B401),test_out_xwalk!$C:$L,8,FALSE)</f>
        <v>Ground_F-MC_HB</v>
      </c>
      <c r="O401" s="129" t="str">
        <f>VLOOKUP(VALUE($B401),test_out_xwalk!$C:$L,7,FALSE)</f>
        <v>Spray</v>
      </c>
      <c r="P401" s="129" t="str">
        <f>VLOOKUP(VALUE($B401),test_out_xwalk!$C:$L,4,FALSE)</f>
        <v>Post-emergence</v>
      </c>
      <c r="Q401" s="129" t="str">
        <f>VLOOKUP(VALUE($B401),test_out_xwalk!$C:$L,9,FALSE)</f>
        <v>Range</v>
      </c>
      <c r="R401">
        <f>_xlfn.XLOOKUP(VALUE(B401),test_out_xwalk!$C:$C,test_out_xwalk!$A:$A)</f>
        <v>11</v>
      </c>
      <c r="T401" s="121" t="str">
        <f>IF('summary_EPA Pond'!$O401="","Check Summary EPA POND worksheet Column O",'summary_EPA Pond'!$O401)</f>
        <v>Check Summary EPA POND worksheet Column O</v>
      </c>
      <c r="U401" s="121" t="str" cm="1">
        <f t="array" ref="U401">IFERROR(_xlfn.TEXTSPLIT(T401,"_"),"")</f>
        <v>Check Summary EPA POND worksheet Column O</v>
      </c>
      <c r="AA401" s="121" t="str" cm="1">
        <f t="array" ref="AA401">IF(W401="","",(_xlfn.TEXTSPLIT(W401,"-")))</f>
        <v/>
      </c>
      <c r="AD401" s="129" t="e">
        <f>VLOOKUP(VALUE($U401),test_out_xwalk!$C:$L,3,FALSE)</f>
        <v>#VALUE!</v>
      </c>
      <c r="AE401" s="129" t="e">
        <f>VLOOKUP(VALUE($U401),test_out_xwalk!$C:$L,5,FALSE)</f>
        <v>#VALUE!</v>
      </c>
      <c r="AF401" s="129" t="e">
        <f>VLOOKUP(VALUE($U401),test_out_xwalk!$C:$L,6,FALSE)</f>
        <v>#VALUE!</v>
      </c>
      <c r="AG401" s="129" t="e">
        <f>VLOOKUP(VALUE($U401),test_out_xwalk!$C:$L,8,FALSE)</f>
        <v>#VALUE!</v>
      </c>
      <c r="AH401" s="129" t="e">
        <f>VLOOKUP(VALUE($U401),test_out_xwalk!$C:$L,7,FALSE)</f>
        <v>#VALUE!</v>
      </c>
      <c r="AI401" s="129" t="e">
        <f>VLOOKUP(VALUE($U401),test_out_xwalk!$C:$L,4,FALSE)</f>
        <v>#VALUE!</v>
      </c>
      <c r="AJ401" s="129" t="e">
        <f>VLOOKUP(VALUE($U401),test_out_xwalk!$C:$L,9,FALSE)</f>
        <v>#VALUE!</v>
      </c>
      <c r="AK401" t="e">
        <f>_xlfn.XLOOKUP(VALUE(U401),test_out_xwalk!C:C,test_out_xwalk!A:A)</f>
        <v>#VALUE!</v>
      </c>
    </row>
    <row r="402" spans="1:37" x14ac:dyDescent="0.55000000000000004">
      <c r="A402" s="121" t="str">
        <f>IF('summary_EPA Pond'!$A402="","Check Summary EPA POND worksheet Column A",'summary_EPA Pond'!$A402)</f>
        <v xml:space="preserve">30_519298-15994-176_Pasture or forage-r05-A_USEPA Pond_0030_median                    </v>
      </c>
      <c r="B402" s="121" t="str" cm="1">
        <f t="array" ref="B402:G402">IFERROR(_xlfn.TEXTSPLIT(A402,"_"),"")</f>
        <v>30</v>
      </c>
      <c r="C402" t="str">
        <v>519298-15994-176</v>
      </c>
      <c r="D402" t="str">
        <v>Pasture or forage-r05-A</v>
      </c>
      <c r="E402" t="str">
        <v>USEPA Pond</v>
      </c>
      <c r="F402" t="str">
        <v>0030</v>
      </c>
      <c r="G402" t="str">
        <v xml:space="preserve">median                    </v>
      </c>
      <c r="H402" s="121" t="str" cm="1">
        <f t="array" ref="H402:J402">IF(D402="","",(_xlfn.TEXTSPLIT(D402,"-")))</f>
        <v>Pasture or forage</v>
      </c>
      <c r="I402" s="121" t="str">
        <v>r05</v>
      </c>
      <c r="J402" t="str">
        <v>A</v>
      </c>
      <c r="K402" s="129" t="str">
        <f>VLOOKUP(VALUE($B402),test_out_xwalk!$C:$L,3,FALSE)</f>
        <v>Grass, Pasture-11-30</v>
      </c>
      <c r="L402" s="129">
        <f>VLOOKUP(VALUE($B402),test_out_xwalk!$C:$L,5,FALSE)</f>
        <v>1</v>
      </c>
      <c r="M402" s="129">
        <f>VLOOKUP(VALUE($B402),test_out_xwalk!$C:$L,6,FALSE)</f>
        <v>1</v>
      </c>
      <c r="N402" s="129" t="str">
        <f>VLOOKUP(VALUE($B402),test_out_xwalk!$C:$L,8,FALSE)</f>
        <v>Ground_F-MC_HB</v>
      </c>
      <c r="O402" s="129" t="str">
        <f>VLOOKUP(VALUE($B402),test_out_xwalk!$C:$L,7,FALSE)</f>
        <v>Spray</v>
      </c>
      <c r="P402" s="129" t="str">
        <f>VLOOKUP(VALUE($B402),test_out_xwalk!$C:$L,4,FALSE)</f>
        <v>Post-emergence</v>
      </c>
      <c r="Q402" s="129" t="str">
        <f>VLOOKUP(VALUE($B402),test_out_xwalk!$C:$L,9,FALSE)</f>
        <v>Range</v>
      </c>
      <c r="R402">
        <f>_xlfn.XLOOKUP(VALUE(B402),test_out_xwalk!$C:$C,test_out_xwalk!$A:$A)</f>
        <v>11</v>
      </c>
      <c r="T402" s="121" t="str">
        <f>IF('summary_EPA Pond'!$O402="","Check Summary EPA POND worksheet Column O",'summary_EPA Pond'!$O402)</f>
        <v>Check Summary EPA POND worksheet Column O</v>
      </c>
      <c r="U402" s="121" t="str" cm="1">
        <f t="array" ref="U402">IFERROR(_xlfn.TEXTSPLIT(T402,"_"),"")</f>
        <v>Check Summary EPA POND worksheet Column O</v>
      </c>
      <c r="AA402" s="121" t="str" cm="1">
        <f t="array" ref="AA402">IF(W402="","",(_xlfn.TEXTSPLIT(W402,"-")))</f>
        <v/>
      </c>
      <c r="AD402" s="129" t="e">
        <f>VLOOKUP(VALUE($U402),test_out_xwalk!$C:$L,3,FALSE)</f>
        <v>#VALUE!</v>
      </c>
      <c r="AE402" s="129" t="e">
        <f>VLOOKUP(VALUE($U402),test_out_xwalk!$C:$L,5,FALSE)</f>
        <v>#VALUE!</v>
      </c>
      <c r="AF402" s="129" t="e">
        <f>VLOOKUP(VALUE($U402),test_out_xwalk!$C:$L,6,FALSE)</f>
        <v>#VALUE!</v>
      </c>
      <c r="AG402" s="129" t="e">
        <f>VLOOKUP(VALUE($U402),test_out_xwalk!$C:$L,8,FALSE)</f>
        <v>#VALUE!</v>
      </c>
      <c r="AH402" s="129" t="e">
        <f>VLOOKUP(VALUE($U402),test_out_xwalk!$C:$L,7,FALSE)</f>
        <v>#VALUE!</v>
      </c>
      <c r="AI402" s="129" t="e">
        <f>VLOOKUP(VALUE($U402),test_out_xwalk!$C:$L,4,FALSE)</f>
        <v>#VALUE!</v>
      </c>
      <c r="AJ402" s="129" t="e">
        <f>VLOOKUP(VALUE($U402),test_out_xwalk!$C:$L,9,FALSE)</f>
        <v>#VALUE!</v>
      </c>
      <c r="AK402" t="e">
        <f>_xlfn.XLOOKUP(VALUE(U402),test_out_xwalk!C:C,test_out_xwalk!A:A)</f>
        <v>#VALUE!</v>
      </c>
    </row>
    <row r="403" spans="1:37" x14ac:dyDescent="0.55000000000000004">
      <c r="A403" s="121" t="str">
        <f>IF('summary_EPA Pond'!$A403="","Check Summary EPA POND worksheet Column A",'summary_EPA Pond'!$A403)</f>
        <v xml:space="preserve">30_549483-15964-176_Pasture or forage-r06-A_USEPA Pond_0030_median                    </v>
      </c>
      <c r="B403" s="121" t="str" cm="1">
        <f t="array" ref="B403:G403">IFERROR(_xlfn.TEXTSPLIT(A403,"_"),"")</f>
        <v>30</v>
      </c>
      <c r="C403" t="str">
        <v>549483-15964-176</v>
      </c>
      <c r="D403" t="str">
        <v>Pasture or forage-r06-A</v>
      </c>
      <c r="E403" t="str">
        <v>USEPA Pond</v>
      </c>
      <c r="F403" t="str">
        <v>0030</v>
      </c>
      <c r="G403" t="str">
        <v xml:space="preserve">median                    </v>
      </c>
      <c r="H403" s="121" t="str" cm="1">
        <f t="array" ref="H403:J403">IF(D403="","",(_xlfn.TEXTSPLIT(D403,"-")))</f>
        <v>Pasture or forage</v>
      </c>
      <c r="I403" s="121" t="str">
        <v>r06</v>
      </c>
      <c r="J403" t="str">
        <v>A</v>
      </c>
      <c r="K403" s="129" t="str">
        <f>VLOOKUP(VALUE($B403),test_out_xwalk!$C:$L,3,FALSE)</f>
        <v>Grass, Pasture-11-30</v>
      </c>
      <c r="L403" s="129">
        <f>VLOOKUP(VALUE($B403),test_out_xwalk!$C:$L,5,FALSE)</f>
        <v>1</v>
      </c>
      <c r="M403" s="129">
        <f>VLOOKUP(VALUE($B403),test_out_xwalk!$C:$L,6,FALSE)</f>
        <v>1</v>
      </c>
      <c r="N403" s="129" t="str">
        <f>VLOOKUP(VALUE($B403),test_out_xwalk!$C:$L,8,FALSE)</f>
        <v>Ground_F-MC_HB</v>
      </c>
      <c r="O403" s="129" t="str">
        <f>VLOOKUP(VALUE($B403),test_out_xwalk!$C:$L,7,FALSE)</f>
        <v>Spray</v>
      </c>
      <c r="P403" s="129" t="str">
        <f>VLOOKUP(VALUE($B403),test_out_xwalk!$C:$L,4,FALSE)</f>
        <v>Post-emergence</v>
      </c>
      <c r="Q403" s="129" t="str">
        <f>VLOOKUP(VALUE($B403),test_out_xwalk!$C:$L,9,FALSE)</f>
        <v>Range</v>
      </c>
      <c r="R403">
        <f>_xlfn.XLOOKUP(VALUE(B403),test_out_xwalk!$C:$C,test_out_xwalk!$A:$A)</f>
        <v>11</v>
      </c>
      <c r="T403" s="121" t="str">
        <f>IF('summary_EPA Pond'!$O403="","Check Summary EPA POND worksheet Column O",'summary_EPA Pond'!$O403)</f>
        <v>Check Summary EPA POND worksheet Column O</v>
      </c>
      <c r="U403" s="121" t="str" cm="1">
        <f t="array" ref="U403">IFERROR(_xlfn.TEXTSPLIT(T403,"_"),"")</f>
        <v>Check Summary EPA POND worksheet Column O</v>
      </c>
      <c r="AA403" s="121" t="str" cm="1">
        <f t="array" ref="AA403">IF(W403="","",(_xlfn.TEXTSPLIT(W403,"-")))</f>
        <v/>
      </c>
      <c r="AD403" s="129" t="e">
        <f>VLOOKUP(VALUE($U403),test_out_xwalk!$C:$L,3,FALSE)</f>
        <v>#VALUE!</v>
      </c>
      <c r="AE403" s="129" t="e">
        <f>VLOOKUP(VALUE($U403),test_out_xwalk!$C:$L,5,FALSE)</f>
        <v>#VALUE!</v>
      </c>
      <c r="AF403" s="129" t="e">
        <f>VLOOKUP(VALUE($U403),test_out_xwalk!$C:$L,6,FALSE)</f>
        <v>#VALUE!</v>
      </c>
      <c r="AG403" s="129" t="e">
        <f>VLOOKUP(VALUE($U403),test_out_xwalk!$C:$L,8,FALSE)</f>
        <v>#VALUE!</v>
      </c>
      <c r="AH403" s="129" t="e">
        <f>VLOOKUP(VALUE($U403),test_out_xwalk!$C:$L,7,FALSE)</f>
        <v>#VALUE!</v>
      </c>
      <c r="AI403" s="129" t="e">
        <f>VLOOKUP(VALUE($U403),test_out_xwalk!$C:$L,4,FALSE)</f>
        <v>#VALUE!</v>
      </c>
      <c r="AJ403" s="129" t="e">
        <f>VLOOKUP(VALUE($U403),test_out_xwalk!$C:$L,9,FALSE)</f>
        <v>#VALUE!</v>
      </c>
      <c r="AK403" t="e">
        <f>_xlfn.XLOOKUP(VALUE(U403),test_out_xwalk!C:C,test_out_xwalk!A:A)</f>
        <v>#VALUE!</v>
      </c>
    </row>
    <row r="404" spans="1:37" x14ac:dyDescent="0.55000000000000004">
      <c r="A404" s="121" t="str">
        <f>IF('summary_EPA Pond'!$A404="","Check Summary EPA POND worksheet Column A",'summary_EPA Pond'!$A404)</f>
        <v xml:space="preserve">30_809237-20921-176_Pasture or forage-r07-A_USEPA Pond_0030_median                    </v>
      </c>
      <c r="B404" s="121" t="str" cm="1">
        <f t="array" ref="B404:G404">IFERROR(_xlfn.TEXTSPLIT(A404,"_"),"")</f>
        <v>30</v>
      </c>
      <c r="C404" t="str">
        <v>809237-20921-176</v>
      </c>
      <c r="D404" t="str">
        <v>Pasture or forage-r07-A</v>
      </c>
      <c r="E404" t="str">
        <v>USEPA Pond</v>
      </c>
      <c r="F404" t="str">
        <v>0030</v>
      </c>
      <c r="G404" t="str">
        <v xml:space="preserve">median                    </v>
      </c>
      <c r="H404" s="121" t="str" cm="1">
        <f t="array" ref="H404:J404">IF(D404="","",(_xlfn.TEXTSPLIT(D404,"-")))</f>
        <v>Pasture or forage</v>
      </c>
      <c r="I404" s="121" t="str">
        <v>r07</v>
      </c>
      <c r="J404" t="str">
        <v>A</v>
      </c>
      <c r="K404" s="129" t="str">
        <f>VLOOKUP(VALUE($B404),test_out_xwalk!$C:$L,3,FALSE)</f>
        <v>Grass, Pasture-11-30</v>
      </c>
      <c r="L404" s="129">
        <f>VLOOKUP(VALUE($B404),test_out_xwalk!$C:$L,5,FALSE)</f>
        <v>1</v>
      </c>
      <c r="M404" s="129">
        <f>VLOOKUP(VALUE($B404),test_out_xwalk!$C:$L,6,FALSE)</f>
        <v>1</v>
      </c>
      <c r="N404" s="129" t="str">
        <f>VLOOKUP(VALUE($B404),test_out_xwalk!$C:$L,8,FALSE)</f>
        <v>Ground_F-MC_HB</v>
      </c>
      <c r="O404" s="129" t="str">
        <f>VLOOKUP(VALUE($B404),test_out_xwalk!$C:$L,7,FALSE)</f>
        <v>Spray</v>
      </c>
      <c r="P404" s="129" t="str">
        <f>VLOOKUP(VALUE($B404),test_out_xwalk!$C:$L,4,FALSE)</f>
        <v>Post-emergence</v>
      </c>
      <c r="Q404" s="129" t="str">
        <f>VLOOKUP(VALUE($B404),test_out_xwalk!$C:$L,9,FALSE)</f>
        <v>Range</v>
      </c>
      <c r="R404">
        <f>_xlfn.XLOOKUP(VALUE(B404),test_out_xwalk!$C:$C,test_out_xwalk!$A:$A)</f>
        <v>11</v>
      </c>
      <c r="T404" s="121" t="str">
        <f>IF('summary_EPA Pond'!$O404="","Check Summary EPA POND worksheet Column O",'summary_EPA Pond'!$O404)</f>
        <v>Check Summary EPA POND worksheet Column O</v>
      </c>
      <c r="U404" s="121" t="str" cm="1">
        <f t="array" ref="U404">IFERROR(_xlfn.TEXTSPLIT(T404,"_"),"")</f>
        <v>Check Summary EPA POND worksheet Column O</v>
      </c>
      <c r="AA404" s="121" t="str" cm="1">
        <f t="array" ref="AA404">IF(W404="","",(_xlfn.TEXTSPLIT(W404,"-")))</f>
        <v/>
      </c>
      <c r="AD404" s="129" t="e">
        <f>VLOOKUP(VALUE($U404),test_out_xwalk!$C:$L,3,FALSE)</f>
        <v>#VALUE!</v>
      </c>
      <c r="AE404" s="129" t="e">
        <f>VLOOKUP(VALUE($U404),test_out_xwalk!$C:$L,5,FALSE)</f>
        <v>#VALUE!</v>
      </c>
      <c r="AF404" s="129" t="e">
        <f>VLOOKUP(VALUE($U404),test_out_xwalk!$C:$L,6,FALSE)</f>
        <v>#VALUE!</v>
      </c>
      <c r="AG404" s="129" t="e">
        <f>VLOOKUP(VALUE($U404),test_out_xwalk!$C:$L,8,FALSE)</f>
        <v>#VALUE!</v>
      </c>
      <c r="AH404" s="129" t="e">
        <f>VLOOKUP(VALUE($U404),test_out_xwalk!$C:$L,7,FALSE)</f>
        <v>#VALUE!</v>
      </c>
      <c r="AI404" s="129" t="e">
        <f>VLOOKUP(VALUE($U404),test_out_xwalk!$C:$L,4,FALSE)</f>
        <v>#VALUE!</v>
      </c>
      <c r="AJ404" s="129" t="e">
        <f>VLOOKUP(VALUE($U404),test_out_xwalk!$C:$L,9,FALSE)</f>
        <v>#VALUE!</v>
      </c>
      <c r="AK404" t="e">
        <f>_xlfn.XLOOKUP(VALUE(U404),test_out_xwalk!C:C,test_out_xwalk!A:A)</f>
        <v>#VALUE!</v>
      </c>
    </row>
    <row r="405" spans="1:37" x14ac:dyDescent="0.55000000000000004">
      <c r="A405" s="121" t="str">
        <f>IF('summary_EPA Pond'!$A405="","Check Summary EPA POND worksheet Column A",'summary_EPA Pond'!$A405)</f>
        <v xml:space="preserve">30_333640-10527-176_Pasture or forage-r08-A_USEPA Pond_0030_median                    </v>
      </c>
      <c r="B405" s="121" t="str" cm="1">
        <f t="array" ref="B405:G405">IFERROR(_xlfn.TEXTSPLIT(A405,"_"),"")</f>
        <v>30</v>
      </c>
      <c r="C405" t="str">
        <v>333640-10527-176</v>
      </c>
      <c r="D405" t="str">
        <v>Pasture or forage-r08-A</v>
      </c>
      <c r="E405" t="str">
        <v>USEPA Pond</v>
      </c>
      <c r="F405" t="str">
        <v>0030</v>
      </c>
      <c r="G405" t="str">
        <v xml:space="preserve">median                    </v>
      </c>
      <c r="H405" s="121" t="str" cm="1">
        <f t="array" ref="H405:J405">IF(D405="","",(_xlfn.TEXTSPLIT(D405,"-")))</f>
        <v>Pasture or forage</v>
      </c>
      <c r="I405" s="121" t="str">
        <v>r08</v>
      </c>
      <c r="J405" t="str">
        <v>A</v>
      </c>
      <c r="K405" s="129" t="str">
        <f>VLOOKUP(VALUE($B405),test_out_xwalk!$C:$L,3,FALSE)</f>
        <v>Grass, Pasture-11-30</v>
      </c>
      <c r="L405" s="129">
        <f>VLOOKUP(VALUE($B405),test_out_xwalk!$C:$L,5,FALSE)</f>
        <v>1</v>
      </c>
      <c r="M405" s="129">
        <f>VLOOKUP(VALUE($B405),test_out_xwalk!$C:$L,6,FALSE)</f>
        <v>1</v>
      </c>
      <c r="N405" s="129" t="str">
        <f>VLOOKUP(VALUE($B405),test_out_xwalk!$C:$L,8,FALSE)</f>
        <v>Ground_F-MC_HB</v>
      </c>
      <c r="O405" s="129" t="str">
        <f>VLOOKUP(VALUE($B405),test_out_xwalk!$C:$L,7,FALSE)</f>
        <v>Spray</v>
      </c>
      <c r="P405" s="129" t="str">
        <f>VLOOKUP(VALUE($B405),test_out_xwalk!$C:$L,4,FALSE)</f>
        <v>Post-emergence</v>
      </c>
      <c r="Q405" s="129" t="str">
        <f>VLOOKUP(VALUE($B405),test_out_xwalk!$C:$L,9,FALSE)</f>
        <v>Range</v>
      </c>
      <c r="R405">
        <f>_xlfn.XLOOKUP(VALUE(B405),test_out_xwalk!$C:$C,test_out_xwalk!$A:$A)</f>
        <v>11</v>
      </c>
      <c r="T405" s="121" t="str">
        <f>IF('summary_EPA Pond'!$O405="","Check Summary EPA POND worksheet Column O",'summary_EPA Pond'!$O405)</f>
        <v>Check Summary EPA POND worksheet Column O</v>
      </c>
      <c r="U405" s="121" t="str" cm="1">
        <f t="array" ref="U405">IFERROR(_xlfn.TEXTSPLIT(T405,"_"),"")</f>
        <v>Check Summary EPA POND worksheet Column O</v>
      </c>
      <c r="AA405" s="121" t="str" cm="1">
        <f t="array" ref="AA405">IF(W405="","",(_xlfn.TEXTSPLIT(W405,"-")))</f>
        <v/>
      </c>
      <c r="AD405" s="129" t="e">
        <f>VLOOKUP(VALUE($U405),test_out_xwalk!$C:$L,3,FALSE)</f>
        <v>#VALUE!</v>
      </c>
      <c r="AE405" s="129" t="e">
        <f>VLOOKUP(VALUE($U405),test_out_xwalk!$C:$L,5,FALSE)</f>
        <v>#VALUE!</v>
      </c>
      <c r="AF405" s="129" t="e">
        <f>VLOOKUP(VALUE($U405),test_out_xwalk!$C:$L,6,FALSE)</f>
        <v>#VALUE!</v>
      </c>
      <c r="AG405" s="129" t="e">
        <f>VLOOKUP(VALUE($U405),test_out_xwalk!$C:$L,8,FALSE)</f>
        <v>#VALUE!</v>
      </c>
      <c r="AH405" s="129" t="e">
        <f>VLOOKUP(VALUE($U405),test_out_xwalk!$C:$L,7,FALSE)</f>
        <v>#VALUE!</v>
      </c>
      <c r="AI405" s="129" t="e">
        <f>VLOOKUP(VALUE($U405),test_out_xwalk!$C:$L,4,FALSE)</f>
        <v>#VALUE!</v>
      </c>
      <c r="AJ405" s="129" t="e">
        <f>VLOOKUP(VALUE($U405),test_out_xwalk!$C:$L,9,FALSE)</f>
        <v>#VALUE!</v>
      </c>
      <c r="AK405" t="e">
        <f>_xlfn.XLOOKUP(VALUE(U405),test_out_xwalk!C:C,test_out_xwalk!A:A)</f>
        <v>#VALUE!</v>
      </c>
    </row>
    <row r="406" spans="1:37" x14ac:dyDescent="0.55000000000000004">
      <c r="A406" s="121" t="str">
        <f>IF('summary_EPA Pond'!$A406="","Check Summary EPA POND worksheet Column A",'summary_EPA Pond'!$A406)</f>
        <v xml:space="preserve">30_2641300-25131-176_Pasture or forage-r09-A_USEPA Pond_0030_median                   </v>
      </c>
      <c r="B406" s="121" t="str" cm="1">
        <f t="array" ref="B406:G406">IFERROR(_xlfn.TEXTSPLIT(A406,"_"),"")</f>
        <v>30</v>
      </c>
      <c r="C406" t="str">
        <v>2641300-25131-176</v>
      </c>
      <c r="D406" t="str">
        <v>Pasture or forage-r09-A</v>
      </c>
      <c r="E406" t="str">
        <v>USEPA Pond</v>
      </c>
      <c r="F406" t="str">
        <v>0030</v>
      </c>
      <c r="G406" t="str">
        <v xml:space="preserve">median                   </v>
      </c>
      <c r="H406" s="121" t="str" cm="1">
        <f t="array" ref="H406:J406">IF(D406="","",(_xlfn.TEXTSPLIT(D406,"-")))</f>
        <v>Pasture or forage</v>
      </c>
      <c r="I406" s="121" t="str">
        <v>r09</v>
      </c>
      <c r="J406" t="str">
        <v>A</v>
      </c>
      <c r="K406" s="129" t="str">
        <f>VLOOKUP(VALUE($B406),test_out_xwalk!$C:$L,3,FALSE)</f>
        <v>Grass, Pasture-11-30</v>
      </c>
      <c r="L406" s="129">
        <f>VLOOKUP(VALUE($B406),test_out_xwalk!$C:$L,5,FALSE)</f>
        <v>1</v>
      </c>
      <c r="M406" s="129">
        <f>VLOOKUP(VALUE($B406),test_out_xwalk!$C:$L,6,FALSE)</f>
        <v>1</v>
      </c>
      <c r="N406" s="129" t="str">
        <f>VLOOKUP(VALUE($B406),test_out_xwalk!$C:$L,8,FALSE)</f>
        <v>Ground_F-MC_HB</v>
      </c>
      <c r="O406" s="129" t="str">
        <f>VLOOKUP(VALUE($B406),test_out_xwalk!$C:$L,7,FALSE)</f>
        <v>Spray</v>
      </c>
      <c r="P406" s="129" t="str">
        <f>VLOOKUP(VALUE($B406),test_out_xwalk!$C:$L,4,FALSE)</f>
        <v>Post-emergence</v>
      </c>
      <c r="Q406" s="129" t="str">
        <f>VLOOKUP(VALUE($B406),test_out_xwalk!$C:$L,9,FALSE)</f>
        <v>Range</v>
      </c>
      <c r="R406">
        <f>_xlfn.XLOOKUP(VALUE(B406),test_out_xwalk!$C:$C,test_out_xwalk!$A:$A)</f>
        <v>11</v>
      </c>
      <c r="T406" s="121" t="str">
        <f>IF('summary_EPA Pond'!$O406="","Check Summary EPA POND worksheet Column O",'summary_EPA Pond'!$O406)</f>
        <v>Check Summary EPA POND worksheet Column O</v>
      </c>
      <c r="U406" s="121" t="str" cm="1">
        <f t="array" ref="U406">IFERROR(_xlfn.TEXTSPLIT(T406,"_"),"")</f>
        <v>Check Summary EPA POND worksheet Column O</v>
      </c>
      <c r="AA406" s="121" t="str" cm="1">
        <f t="array" ref="AA406">IF(W406="","",(_xlfn.TEXTSPLIT(W406,"-")))</f>
        <v/>
      </c>
      <c r="AD406" s="129" t="e">
        <f>VLOOKUP(VALUE($U406),test_out_xwalk!$C:$L,3,FALSE)</f>
        <v>#VALUE!</v>
      </c>
      <c r="AE406" s="129" t="e">
        <f>VLOOKUP(VALUE($U406),test_out_xwalk!$C:$L,5,FALSE)</f>
        <v>#VALUE!</v>
      </c>
      <c r="AF406" s="129" t="e">
        <f>VLOOKUP(VALUE($U406),test_out_xwalk!$C:$L,6,FALSE)</f>
        <v>#VALUE!</v>
      </c>
      <c r="AG406" s="129" t="e">
        <f>VLOOKUP(VALUE($U406),test_out_xwalk!$C:$L,8,FALSE)</f>
        <v>#VALUE!</v>
      </c>
      <c r="AH406" s="129" t="e">
        <f>VLOOKUP(VALUE($U406),test_out_xwalk!$C:$L,7,FALSE)</f>
        <v>#VALUE!</v>
      </c>
      <c r="AI406" s="129" t="e">
        <f>VLOOKUP(VALUE($U406),test_out_xwalk!$C:$L,4,FALSE)</f>
        <v>#VALUE!</v>
      </c>
      <c r="AJ406" s="129" t="e">
        <f>VLOOKUP(VALUE($U406),test_out_xwalk!$C:$L,9,FALSE)</f>
        <v>#VALUE!</v>
      </c>
      <c r="AK406" t="e">
        <f>_xlfn.XLOOKUP(VALUE(U406),test_out_xwalk!C:C,test_out_xwalk!A:A)</f>
        <v>#VALUE!</v>
      </c>
    </row>
    <row r="407" spans="1:37" x14ac:dyDescent="0.55000000000000004">
      <c r="A407" s="121" t="str">
        <f>IF('summary_EPA Pond'!$A407="","Check Summary EPA POND worksheet Column A",'summary_EPA Pond'!$A407)</f>
        <v xml:space="preserve">30_2531219-18535-176_Pasture or forage-r10L-A_USEPA Pond_0030_median                  </v>
      </c>
      <c r="B407" s="121" t="str" cm="1">
        <f t="array" ref="B407:G407">IFERROR(_xlfn.TEXTSPLIT(A407,"_"),"")</f>
        <v>30</v>
      </c>
      <c r="C407" t="str">
        <v>2531219-18535-176</v>
      </c>
      <c r="D407" t="str">
        <v>Pasture or forage-r10L-A</v>
      </c>
      <c r="E407" t="str">
        <v>USEPA Pond</v>
      </c>
      <c r="F407" t="str">
        <v>0030</v>
      </c>
      <c r="G407" t="str">
        <v xml:space="preserve">median                  </v>
      </c>
      <c r="H407" s="121" t="str" cm="1">
        <f t="array" ref="H407:J407">IF(D407="","",(_xlfn.TEXTSPLIT(D407,"-")))</f>
        <v>Pasture or forage</v>
      </c>
      <c r="I407" s="121" t="str">
        <v>r10L</v>
      </c>
      <c r="J407" t="str">
        <v>A</v>
      </c>
      <c r="K407" s="129" t="str">
        <f>VLOOKUP(VALUE($B407),test_out_xwalk!$C:$L,3,FALSE)</f>
        <v>Grass, Pasture-11-30</v>
      </c>
      <c r="L407" s="129">
        <f>VLOOKUP(VALUE($B407),test_out_xwalk!$C:$L,5,FALSE)</f>
        <v>1</v>
      </c>
      <c r="M407" s="129">
        <f>VLOOKUP(VALUE($B407),test_out_xwalk!$C:$L,6,FALSE)</f>
        <v>1</v>
      </c>
      <c r="N407" s="129" t="str">
        <f>VLOOKUP(VALUE($B407),test_out_xwalk!$C:$L,8,FALSE)</f>
        <v>Ground_F-MC_HB</v>
      </c>
      <c r="O407" s="129" t="str">
        <f>VLOOKUP(VALUE($B407),test_out_xwalk!$C:$L,7,FALSE)</f>
        <v>Spray</v>
      </c>
      <c r="P407" s="129" t="str">
        <f>VLOOKUP(VALUE($B407),test_out_xwalk!$C:$L,4,FALSE)</f>
        <v>Post-emergence</v>
      </c>
      <c r="Q407" s="129" t="str">
        <f>VLOOKUP(VALUE($B407),test_out_xwalk!$C:$L,9,FALSE)</f>
        <v>Range</v>
      </c>
      <c r="R407">
        <f>_xlfn.XLOOKUP(VALUE(B407),test_out_xwalk!$C:$C,test_out_xwalk!$A:$A)</f>
        <v>11</v>
      </c>
      <c r="T407" s="121" t="str">
        <f>IF('summary_EPA Pond'!$O407="","Check Summary EPA POND worksheet Column O",'summary_EPA Pond'!$O407)</f>
        <v>Check Summary EPA POND worksheet Column O</v>
      </c>
      <c r="U407" s="121" t="str" cm="1">
        <f t="array" ref="U407">IFERROR(_xlfn.TEXTSPLIT(T407,"_"),"")</f>
        <v>Check Summary EPA POND worksheet Column O</v>
      </c>
      <c r="AA407" s="121" t="str" cm="1">
        <f t="array" ref="AA407">IF(W407="","",(_xlfn.TEXTSPLIT(W407,"-")))</f>
        <v/>
      </c>
      <c r="AD407" s="129" t="e">
        <f>VLOOKUP(VALUE($U407),test_out_xwalk!$C:$L,3,FALSE)</f>
        <v>#VALUE!</v>
      </c>
      <c r="AE407" s="129" t="e">
        <f>VLOOKUP(VALUE($U407),test_out_xwalk!$C:$L,5,FALSE)</f>
        <v>#VALUE!</v>
      </c>
      <c r="AF407" s="129" t="e">
        <f>VLOOKUP(VALUE($U407),test_out_xwalk!$C:$L,6,FALSE)</f>
        <v>#VALUE!</v>
      </c>
      <c r="AG407" s="129" t="e">
        <f>VLOOKUP(VALUE($U407),test_out_xwalk!$C:$L,8,FALSE)</f>
        <v>#VALUE!</v>
      </c>
      <c r="AH407" s="129" t="e">
        <f>VLOOKUP(VALUE($U407),test_out_xwalk!$C:$L,7,FALSE)</f>
        <v>#VALUE!</v>
      </c>
      <c r="AI407" s="129" t="e">
        <f>VLOOKUP(VALUE($U407),test_out_xwalk!$C:$L,4,FALSE)</f>
        <v>#VALUE!</v>
      </c>
      <c r="AJ407" s="129" t="e">
        <f>VLOOKUP(VALUE($U407),test_out_xwalk!$C:$L,9,FALSE)</f>
        <v>#VALUE!</v>
      </c>
      <c r="AK407" t="e">
        <f>_xlfn.XLOOKUP(VALUE(U407),test_out_xwalk!C:C,test_out_xwalk!A:A)</f>
        <v>#VALUE!</v>
      </c>
    </row>
    <row r="408" spans="1:37" x14ac:dyDescent="0.55000000000000004">
      <c r="A408" s="121" t="str">
        <f>IF('summary_EPA Pond'!$A408="","Check Summary EPA POND worksheet Column A",'summary_EPA Pond'!$A408)</f>
        <v xml:space="preserve">30_2525857-24643-176_Pasture or forage-r10U-A_USEPA Pond_0030_median                  </v>
      </c>
      <c r="B408" s="121" t="str" cm="1">
        <f t="array" ref="B408:G408">IFERROR(_xlfn.TEXTSPLIT(A408,"_"),"")</f>
        <v>30</v>
      </c>
      <c r="C408" t="str">
        <v>2525857-24643-176</v>
      </c>
      <c r="D408" t="str">
        <v>Pasture or forage-r10U-A</v>
      </c>
      <c r="E408" t="str">
        <v>USEPA Pond</v>
      </c>
      <c r="F408" t="str">
        <v>0030</v>
      </c>
      <c r="G408" t="str">
        <v xml:space="preserve">median                  </v>
      </c>
      <c r="H408" s="121" t="str" cm="1">
        <f t="array" ref="H408:J408">IF(D408="","",(_xlfn.TEXTSPLIT(D408,"-")))</f>
        <v>Pasture or forage</v>
      </c>
      <c r="I408" s="121" t="str">
        <v>r10U</v>
      </c>
      <c r="J408" t="str">
        <v>A</v>
      </c>
      <c r="K408" s="129" t="str">
        <f>VLOOKUP(VALUE($B408),test_out_xwalk!$C:$L,3,FALSE)</f>
        <v>Grass, Pasture-11-30</v>
      </c>
      <c r="L408" s="129">
        <f>VLOOKUP(VALUE($B408),test_out_xwalk!$C:$L,5,FALSE)</f>
        <v>1</v>
      </c>
      <c r="M408" s="129">
        <f>VLOOKUP(VALUE($B408),test_out_xwalk!$C:$L,6,FALSE)</f>
        <v>1</v>
      </c>
      <c r="N408" s="129" t="str">
        <f>VLOOKUP(VALUE($B408),test_out_xwalk!$C:$L,8,FALSE)</f>
        <v>Ground_F-MC_HB</v>
      </c>
      <c r="O408" s="129" t="str">
        <f>VLOOKUP(VALUE($B408),test_out_xwalk!$C:$L,7,FALSE)</f>
        <v>Spray</v>
      </c>
      <c r="P408" s="129" t="str">
        <f>VLOOKUP(VALUE($B408),test_out_xwalk!$C:$L,4,FALSE)</f>
        <v>Post-emergence</v>
      </c>
      <c r="Q408" s="129" t="str">
        <f>VLOOKUP(VALUE($B408),test_out_xwalk!$C:$L,9,FALSE)</f>
        <v>Range</v>
      </c>
      <c r="R408">
        <f>_xlfn.XLOOKUP(VALUE(B408),test_out_xwalk!$C:$C,test_out_xwalk!$A:$A)</f>
        <v>11</v>
      </c>
      <c r="T408" s="121" t="str">
        <f>IF('summary_EPA Pond'!$O408="","Check Summary EPA POND worksheet Column O",'summary_EPA Pond'!$O408)</f>
        <v>Check Summary EPA POND worksheet Column O</v>
      </c>
      <c r="U408" s="121" t="str" cm="1">
        <f t="array" ref="U408">IFERROR(_xlfn.TEXTSPLIT(T408,"_"),"")</f>
        <v>Check Summary EPA POND worksheet Column O</v>
      </c>
      <c r="AA408" s="121" t="str" cm="1">
        <f t="array" ref="AA408">IF(W408="","",(_xlfn.TEXTSPLIT(W408,"-")))</f>
        <v/>
      </c>
      <c r="AD408" s="129" t="e">
        <f>VLOOKUP(VALUE($U408),test_out_xwalk!$C:$L,3,FALSE)</f>
        <v>#VALUE!</v>
      </c>
      <c r="AE408" s="129" t="e">
        <f>VLOOKUP(VALUE($U408),test_out_xwalk!$C:$L,5,FALSE)</f>
        <v>#VALUE!</v>
      </c>
      <c r="AF408" s="129" t="e">
        <f>VLOOKUP(VALUE($U408),test_out_xwalk!$C:$L,6,FALSE)</f>
        <v>#VALUE!</v>
      </c>
      <c r="AG408" s="129" t="e">
        <f>VLOOKUP(VALUE($U408),test_out_xwalk!$C:$L,8,FALSE)</f>
        <v>#VALUE!</v>
      </c>
      <c r="AH408" s="129" t="e">
        <f>VLOOKUP(VALUE($U408),test_out_xwalk!$C:$L,7,FALSE)</f>
        <v>#VALUE!</v>
      </c>
      <c r="AI408" s="129" t="e">
        <f>VLOOKUP(VALUE($U408),test_out_xwalk!$C:$L,4,FALSE)</f>
        <v>#VALUE!</v>
      </c>
      <c r="AJ408" s="129" t="e">
        <f>VLOOKUP(VALUE($U408),test_out_xwalk!$C:$L,9,FALSE)</f>
        <v>#VALUE!</v>
      </c>
      <c r="AK408" t="e">
        <f>_xlfn.XLOOKUP(VALUE(U408),test_out_xwalk!C:C,test_out_xwalk!A:A)</f>
        <v>#VALUE!</v>
      </c>
    </row>
    <row r="409" spans="1:37" x14ac:dyDescent="0.55000000000000004">
      <c r="A409" s="121" t="str">
        <f>IF('summary_EPA Pond'!$A409="","Check Summary EPA POND worksheet Column A",'summary_EPA Pond'!$A409)</f>
        <v xml:space="preserve">30_381879-14271-176_Pasture or forage-r11-A_USEPA Pond_0030_median                    </v>
      </c>
      <c r="B409" s="121" t="str" cm="1">
        <f t="array" ref="B409:G409">IFERROR(_xlfn.TEXTSPLIT(A409,"_"),"")</f>
        <v>30</v>
      </c>
      <c r="C409" t="str">
        <v>381879-14271-176</v>
      </c>
      <c r="D409" t="str">
        <v>Pasture or forage-r11-A</v>
      </c>
      <c r="E409" t="str">
        <v>USEPA Pond</v>
      </c>
      <c r="F409" t="str">
        <v>0030</v>
      </c>
      <c r="G409" t="str">
        <v xml:space="preserve">median                    </v>
      </c>
      <c r="H409" s="121" t="str" cm="1">
        <f t="array" ref="H409:J409">IF(D409="","",(_xlfn.TEXTSPLIT(D409,"-")))</f>
        <v>Pasture or forage</v>
      </c>
      <c r="I409" s="121" t="str">
        <v>r11</v>
      </c>
      <c r="J409" t="str">
        <v>A</v>
      </c>
      <c r="K409" s="129" t="str">
        <f>VLOOKUP(VALUE($B409),test_out_xwalk!$C:$L,3,FALSE)</f>
        <v>Grass, Pasture-11-30</v>
      </c>
      <c r="L409" s="129">
        <f>VLOOKUP(VALUE($B409),test_out_xwalk!$C:$L,5,FALSE)</f>
        <v>1</v>
      </c>
      <c r="M409" s="129">
        <f>VLOOKUP(VALUE($B409),test_out_xwalk!$C:$L,6,FALSE)</f>
        <v>1</v>
      </c>
      <c r="N409" s="129" t="str">
        <f>VLOOKUP(VALUE($B409),test_out_xwalk!$C:$L,8,FALSE)</f>
        <v>Ground_F-MC_HB</v>
      </c>
      <c r="O409" s="129" t="str">
        <f>VLOOKUP(VALUE($B409),test_out_xwalk!$C:$L,7,FALSE)</f>
        <v>Spray</v>
      </c>
      <c r="P409" s="129" t="str">
        <f>VLOOKUP(VALUE($B409),test_out_xwalk!$C:$L,4,FALSE)</f>
        <v>Post-emergence</v>
      </c>
      <c r="Q409" s="129" t="str">
        <f>VLOOKUP(VALUE($B409),test_out_xwalk!$C:$L,9,FALSE)</f>
        <v>Range</v>
      </c>
      <c r="R409">
        <f>_xlfn.XLOOKUP(VALUE(B409),test_out_xwalk!$C:$C,test_out_xwalk!$A:$A)</f>
        <v>11</v>
      </c>
      <c r="T409" s="121" t="str">
        <f>IF('summary_EPA Pond'!$O409="","Check Summary EPA POND worksheet Column O",'summary_EPA Pond'!$O409)</f>
        <v>Check Summary EPA POND worksheet Column O</v>
      </c>
      <c r="U409" s="121" t="str" cm="1">
        <f t="array" ref="U409">IFERROR(_xlfn.TEXTSPLIT(T409,"_"),"")</f>
        <v>Check Summary EPA POND worksheet Column O</v>
      </c>
      <c r="AA409" s="121" t="str" cm="1">
        <f t="array" ref="AA409">IF(W409="","",(_xlfn.TEXTSPLIT(W409,"-")))</f>
        <v/>
      </c>
      <c r="AD409" s="129" t="e">
        <f>VLOOKUP(VALUE($U409),test_out_xwalk!$C:$L,3,FALSE)</f>
        <v>#VALUE!</v>
      </c>
      <c r="AE409" s="129" t="e">
        <f>VLOOKUP(VALUE($U409),test_out_xwalk!$C:$L,5,FALSE)</f>
        <v>#VALUE!</v>
      </c>
      <c r="AF409" s="129" t="e">
        <f>VLOOKUP(VALUE($U409),test_out_xwalk!$C:$L,6,FALSE)</f>
        <v>#VALUE!</v>
      </c>
      <c r="AG409" s="129" t="e">
        <f>VLOOKUP(VALUE($U409),test_out_xwalk!$C:$L,8,FALSE)</f>
        <v>#VALUE!</v>
      </c>
      <c r="AH409" s="129" t="e">
        <f>VLOOKUP(VALUE($U409),test_out_xwalk!$C:$L,7,FALSE)</f>
        <v>#VALUE!</v>
      </c>
      <c r="AI409" s="129" t="e">
        <f>VLOOKUP(VALUE($U409),test_out_xwalk!$C:$L,4,FALSE)</f>
        <v>#VALUE!</v>
      </c>
      <c r="AJ409" s="129" t="e">
        <f>VLOOKUP(VALUE($U409),test_out_xwalk!$C:$L,9,FALSE)</f>
        <v>#VALUE!</v>
      </c>
      <c r="AK409" t="e">
        <f>_xlfn.XLOOKUP(VALUE(U409),test_out_xwalk!C:C,test_out_xwalk!A:A)</f>
        <v>#VALUE!</v>
      </c>
    </row>
    <row r="410" spans="1:37" x14ac:dyDescent="0.55000000000000004">
      <c r="A410" s="121" t="str">
        <f>IF('summary_EPA Pond'!$A410="","Check Summary EPA POND worksheet Column A",'summary_EPA Pond'!$A410)</f>
        <v xml:space="preserve">30_368179-11680-176_Pasture or forage-r12-A_USEPA Pond_0030_median                    </v>
      </c>
      <c r="B410" s="121" t="str" cm="1">
        <f t="array" ref="B410:G410">IFERROR(_xlfn.TEXTSPLIT(A410,"_"),"")</f>
        <v>30</v>
      </c>
      <c r="C410" t="str">
        <v>368179-11680-176</v>
      </c>
      <c r="D410" t="str">
        <v>Pasture or forage-r12-A</v>
      </c>
      <c r="E410" t="str">
        <v>USEPA Pond</v>
      </c>
      <c r="F410" t="str">
        <v>0030</v>
      </c>
      <c r="G410" t="str">
        <v xml:space="preserve">median                    </v>
      </c>
      <c r="H410" s="121" t="str" cm="1">
        <f t="array" ref="H410:J410">IF(D410="","",(_xlfn.TEXTSPLIT(D410,"-")))</f>
        <v>Pasture or forage</v>
      </c>
      <c r="I410" s="121" t="str">
        <v>r12</v>
      </c>
      <c r="J410" t="str">
        <v>A</v>
      </c>
      <c r="K410" s="129" t="str">
        <f>VLOOKUP(VALUE($B410),test_out_xwalk!$C:$L,3,FALSE)</f>
        <v>Grass, Pasture-11-30</v>
      </c>
      <c r="L410" s="129">
        <f>VLOOKUP(VALUE($B410),test_out_xwalk!$C:$L,5,FALSE)</f>
        <v>1</v>
      </c>
      <c r="M410" s="129">
        <f>VLOOKUP(VALUE($B410),test_out_xwalk!$C:$L,6,FALSE)</f>
        <v>1</v>
      </c>
      <c r="N410" s="129" t="str">
        <f>VLOOKUP(VALUE($B410),test_out_xwalk!$C:$L,8,FALSE)</f>
        <v>Ground_F-MC_HB</v>
      </c>
      <c r="O410" s="129" t="str">
        <f>VLOOKUP(VALUE($B410),test_out_xwalk!$C:$L,7,FALSE)</f>
        <v>Spray</v>
      </c>
      <c r="P410" s="129" t="str">
        <f>VLOOKUP(VALUE($B410),test_out_xwalk!$C:$L,4,FALSE)</f>
        <v>Post-emergence</v>
      </c>
      <c r="Q410" s="129" t="str">
        <f>VLOOKUP(VALUE($B410),test_out_xwalk!$C:$L,9,FALSE)</f>
        <v>Range</v>
      </c>
      <c r="R410">
        <f>_xlfn.XLOOKUP(VALUE(B410),test_out_xwalk!$C:$C,test_out_xwalk!$A:$A)</f>
        <v>11</v>
      </c>
      <c r="T410" s="121" t="str">
        <f>IF('summary_EPA Pond'!$O410="","Check Summary EPA POND worksheet Column O",'summary_EPA Pond'!$O410)</f>
        <v>Check Summary EPA POND worksheet Column O</v>
      </c>
      <c r="U410" s="121" t="str" cm="1">
        <f t="array" ref="U410">IFERROR(_xlfn.TEXTSPLIT(T410,"_"),"")</f>
        <v>Check Summary EPA POND worksheet Column O</v>
      </c>
      <c r="AA410" s="121" t="str" cm="1">
        <f t="array" ref="AA410">IF(W410="","",(_xlfn.TEXTSPLIT(W410,"-")))</f>
        <v/>
      </c>
      <c r="AD410" s="129" t="e">
        <f>VLOOKUP(VALUE($U410),test_out_xwalk!$C:$L,3,FALSE)</f>
        <v>#VALUE!</v>
      </c>
      <c r="AE410" s="129" t="e">
        <f>VLOOKUP(VALUE($U410),test_out_xwalk!$C:$L,5,FALSE)</f>
        <v>#VALUE!</v>
      </c>
      <c r="AF410" s="129" t="e">
        <f>VLOOKUP(VALUE($U410),test_out_xwalk!$C:$L,6,FALSE)</f>
        <v>#VALUE!</v>
      </c>
      <c r="AG410" s="129" t="e">
        <f>VLOOKUP(VALUE($U410),test_out_xwalk!$C:$L,8,FALSE)</f>
        <v>#VALUE!</v>
      </c>
      <c r="AH410" s="129" t="e">
        <f>VLOOKUP(VALUE($U410),test_out_xwalk!$C:$L,7,FALSE)</f>
        <v>#VALUE!</v>
      </c>
      <c r="AI410" s="129" t="e">
        <f>VLOOKUP(VALUE($U410),test_out_xwalk!$C:$L,4,FALSE)</f>
        <v>#VALUE!</v>
      </c>
      <c r="AJ410" s="129" t="e">
        <f>VLOOKUP(VALUE($U410),test_out_xwalk!$C:$L,9,FALSE)</f>
        <v>#VALUE!</v>
      </c>
      <c r="AK410" t="e">
        <f>_xlfn.XLOOKUP(VALUE(U410),test_out_xwalk!C:C,test_out_xwalk!A:A)</f>
        <v>#VALUE!</v>
      </c>
    </row>
    <row r="411" spans="1:37" x14ac:dyDescent="0.55000000000000004">
      <c r="A411" s="121" t="str">
        <f>IF('summary_EPA Pond'!$A411="","Check Summary EPA POND worksheet Column A",'summary_EPA Pond'!$A411)</f>
        <v xml:space="preserve">30_370654-10952-176_Pasture or forage-r13-A_USEPA Pond_0030_median                    </v>
      </c>
      <c r="B411" s="121" t="str" cm="1">
        <f t="array" ref="B411:G411">IFERROR(_xlfn.TEXTSPLIT(A411,"_"),"")</f>
        <v>30</v>
      </c>
      <c r="C411" t="str">
        <v>370654-10952-176</v>
      </c>
      <c r="D411" t="str">
        <v>Pasture or forage-r13-A</v>
      </c>
      <c r="E411" t="str">
        <v>USEPA Pond</v>
      </c>
      <c r="F411" t="str">
        <v>0030</v>
      </c>
      <c r="G411" t="str">
        <v xml:space="preserve">median                    </v>
      </c>
      <c r="H411" s="121" t="str" cm="1">
        <f t="array" ref="H411:J411">IF(D411="","",(_xlfn.TEXTSPLIT(D411,"-")))</f>
        <v>Pasture or forage</v>
      </c>
      <c r="I411" s="121" t="str">
        <v>r13</v>
      </c>
      <c r="J411" t="str">
        <v>A</v>
      </c>
      <c r="K411" s="129" t="str">
        <f>VLOOKUP(VALUE($B411),test_out_xwalk!$C:$L,3,FALSE)</f>
        <v>Grass, Pasture-11-30</v>
      </c>
      <c r="L411" s="129">
        <f>VLOOKUP(VALUE($B411),test_out_xwalk!$C:$L,5,FALSE)</f>
        <v>1</v>
      </c>
      <c r="M411" s="129">
        <f>VLOOKUP(VALUE($B411),test_out_xwalk!$C:$L,6,FALSE)</f>
        <v>1</v>
      </c>
      <c r="N411" s="129" t="str">
        <f>VLOOKUP(VALUE($B411),test_out_xwalk!$C:$L,8,FALSE)</f>
        <v>Ground_F-MC_HB</v>
      </c>
      <c r="O411" s="129" t="str">
        <f>VLOOKUP(VALUE($B411),test_out_xwalk!$C:$L,7,FALSE)</f>
        <v>Spray</v>
      </c>
      <c r="P411" s="129" t="str">
        <f>VLOOKUP(VALUE($B411),test_out_xwalk!$C:$L,4,FALSE)</f>
        <v>Post-emergence</v>
      </c>
      <c r="Q411" s="129" t="str">
        <f>VLOOKUP(VALUE($B411),test_out_xwalk!$C:$L,9,FALSE)</f>
        <v>Range</v>
      </c>
      <c r="R411">
        <f>_xlfn.XLOOKUP(VALUE(B411),test_out_xwalk!$C:$C,test_out_xwalk!$A:$A)</f>
        <v>11</v>
      </c>
      <c r="T411" s="121" t="str">
        <f>IF('summary_EPA Pond'!$O411="","Check Summary EPA POND worksheet Column O",'summary_EPA Pond'!$O411)</f>
        <v>Check Summary EPA POND worksheet Column O</v>
      </c>
      <c r="U411" s="121" t="str" cm="1">
        <f t="array" ref="U411">IFERROR(_xlfn.TEXTSPLIT(T411,"_"),"")</f>
        <v>Check Summary EPA POND worksheet Column O</v>
      </c>
      <c r="AA411" s="121" t="str" cm="1">
        <f t="array" ref="AA411">IF(W411="","",(_xlfn.TEXTSPLIT(W411,"-")))</f>
        <v/>
      </c>
      <c r="AD411" s="129" t="e">
        <f>VLOOKUP(VALUE($U411),test_out_xwalk!$C:$L,3,FALSE)</f>
        <v>#VALUE!</v>
      </c>
      <c r="AE411" s="129" t="e">
        <f>VLOOKUP(VALUE($U411),test_out_xwalk!$C:$L,5,FALSE)</f>
        <v>#VALUE!</v>
      </c>
      <c r="AF411" s="129" t="e">
        <f>VLOOKUP(VALUE($U411),test_out_xwalk!$C:$L,6,FALSE)</f>
        <v>#VALUE!</v>
      </c>
      <c r="AG411" s="129" t="e">
        <f>VLOOKUP(VALUE($U411),test_out_xwalk!$C:$L,8,FALSE)</f>
        <v>#VALUE!</v>
      </c>
      <c r="AH411" s="129" t="e">
        <f>VLOOKUP(VALUE($U411),test_out_xwalk!$C:$L,7,FALSE)</f>
        <v>#VALUE!</v>
      </c>
      <c r="AI411" s="129" t="e">
        <f>VLOOKUP(VALUE($U411),test_out_xwalk!$C:$L,4,FALSE)</f>
        <v>#VALUE!</v>
      </c>
      <c r="AJ411" s="129" t="e">
        <f>VLOOKUP(VALUE($U411),test_out_xwalk!$C:$L,9,FALSE)</f>
        <v>#VALUE!</v>
      </c>
      <c r="AK411" t="e">
        <f>_xlfn.XLOOKUP(VALUE(U411),test_out_xwalk!C:C,test_out_xwalk!A:A)</f>
        <v>#VALUE!</v>
      </c>
    </row>
    <row r="412" spans="1:37" x14ac:dyDescent="0.55000000000000004">
      <c r="A412" s="121" t="str">
        <f>IF('summary_EPA Pond'!$A412="","Check Summary EPA POND worksheet Column A",'summary_EPA Pond'!$A412)</f>
        <v xml:space="preserve">30_2958646-18940-176_Pasture or forage-r14-A_USEPA Pond_0030_median                   </v>
      </c>
      <c r="B412" s="121" t="str" cm="1">
        <f t="array" ref="B412:G412">IFERROR(_xlfn.TEXTSPLIT(A412,"_"),"")</f>
        <v>30</v>
      </c>
      <c r="C412" t="str">
        <v>2958646-18940-176</v>
      </c>
      <c r="D412" t="str">
        <v>Pasture or forage-r14-A</v>
      </c>
      <c r="E412" t="str">
        <v>USEPA Pond</v>
      </c>
      <c r="F412" t="str">
        <v>0030</v>
      </c>
      <c r="G412" t="str">
        <v xml:space="preserve">median                   </v>
      </c>
      <c r="H412" s="121" t="str" cm="1">
        <f t="array" ref="H412:J412">IF(D412="","",(_xlfn.TEXTSPLIT(D412,"-")))</f>
        <v>Pasture or forage</v>
      </c>
      <c r="I412" s="121" t="str">
        <v>r14</v>
      </c>
      <c r="J412" t="str">
        <v>A</v>
      </c>
      <c r="K412" s="129" t="str">
        <f>VLOOKUP(VALUE($B412),test_out_xwalk!$C:$L,3,FALSE)</f>
        <v>Grass, Pasture-11-30</v>
      </c>
      <c r="L412" s="129">
        <f>VLOOKUP(VALUE($B412),test_out_xwalk!$C:$L,5,FALSE)</f>
        <v>1</v>
      </c>
      <c r="M412" s="129">
        <f>VLOOKUP(VALUE($B412),test_out_xwalk!$C:$L,6,FALSE)</f>
        <v>1</v>
      </c>
      <c r="N412" s="129" t="str">
        <f>VLOOKUP(VALUE($B412),test_out_xwalk!$C:$L,8,FALSE)</f>
        <v>Ground_F-MC_HB</v>
      </c>
      <c r="O412" s="129" t="str">
        <f>VLOOKUP(VALUE($B412),test_out_xwalk!$C:$L,7,FALSE)</f>
        <v>Spray</v>
      </c>
      <c r="P412" s="129" t="str">
        <f>VLOOKUP(VALUE($B412),test_out_xwalk!$C:$L,4,FALSE)</f>
        <v>Post-emergence</v>
      </c>
      <c r="Q412" s="129" t="str">
        <f>VLOOKUP(VALUE($B412),test_out_xwalk!$C:$L,9,FALSE)</f>
        <v>Range</v>
      </c>
      <c r="R412">
        <f>_xlfn.XLOOKUP(VALUE(B412),test_out_xwalk!$C:$C,test_out_xwalk!$A:$A)</f>
        <v>11</v>
      </c>
      <c r="T412" s="121" t="str">
        <f>IF('summary_EPA Pond'!$O412="","Check Summary EPA POND worksheet Column O",'summary_EPA Pond'!$O412)</f>
        <v>Check Summary EPA POND worksheet Column O</v>
      </c>
      <c r="U412" s="121" t="str" cm="1">
        <f t="array" ref="U412">IFERROR(_xlfn.TEXTSPLIT(T412,"_"),"")</f>
        <v>Check Summary EPA POND worksheet Column O</v>
      </c>
      <c r="AA412" s="121" t="str" cm="1">
        <f t="array" ref="AA412">IF(W412="","",(_xlfn.TEXTSPLIT(W412,"-")))</f>
        <v/>
      </c>
      <c r="AD412" s="129" t="e">
        <f>VLOOKUP(VALUE($U412),test_out_xwalk!$C:$L,3,FALSE)</f>
        <v>#VALUE!</v>
      </c>
      <c r="AE412" s="129" t="e">
        <f>VLOOKUP(VALUE($U412),test_out_xwalk!$C:$L,5,FALSE)</f>
        <v>#VALUE!</v>
      </c>
      <c r="AF412" s="129" t="e">
        <f>VLOOKUP(VALUE($U412),test_out_xwalk!$C:$L,6,FALSE)</f>
        <v>#VALUE!</v>
      </c>
      <c r="AG412" s="129" t="e">
        <f>VLOOKUP(VALUE($U412),test_out_xwalk!$C:$L,8,FALSE)</f>
        <v>#VALUE!</v>
      </c>
      <c r="AH412" s="129" t="e">
        <f>VLOOKUP(VALUE($U412),test_out_xwalk!$C:$L,7,FALSE)</f>
        <v>#VALUE!</v>
      </c>
      <c r="AI412" s="129" t="e">
        <f>VLOOKUP(VALUE($U412),test_out_xwalk!$C:$L,4,FALSE)</f>
        <v>#VALUE!</v>
      </c>
      <c r="AJ412" s="129" t="e">
        <f>VLOOKUP(VALUE($U412),test_out_xwalk!$C:$L,9,FALSE)</f>
        <v>#VALUE!</v>
      </c>
      <c r="AK412" t="e">
        <f>_xlfn.XLOOKUP(VALUE(U412),test_out_xwalk!C:C,test_out_xwalk!A:A)</f>
        <v>#VALUE!</v>
      </c>
    </row>
    <row r="413" spans="1:37" x14ac:dyDescent="0.55000000000000004">
      <c r="A413" s="121" t="str">
        <f>IF('summary_EPA Pond'!$A413="","Check Summary EPA POND worksheet Column A",'summary_EPA Pond'!$A413)</f>
        <v xml:space="preserve">30_52697-14923-176_Pasture or forage-r15-A_USEPA Pond_0030_median                     </v>
      </c>
      <c r="B413" s="121" t="str" cm="1">
        <f t="array" ref="B413:G413">IFERROR(_xlfn.TEXTSPLIT(A413,"_"),"")</f>
        <v>30</v>
      </c>
      <c r="C413" t="str">
        <v>52697-14923-176</v>
      </c>
      <c r="D413" t="str">
        <v>Pasture or forage-r15-A</v>
      </c>
      <c r="E413" t="str">
        <v>USEPA Pond</v>
      </c>
      <c r="F413" t="str">
        <v>0030</v>
      </c>
      <c r="G413" t="str">
        <v xml:space="preserve">median                     </v>
      </c>
      <c r="H413" s="121" t="str" cm="1">
        <f t="array" ref="H413:J413">IF(D413="","",(_xlfn.TEXTSPLIT(D413,"-")))</f>
        <v>Pasture or forage</v>
      </c>
      <c r="I413" s="121" t="str">
        <v>r15</v>
      </c>
      <c r="J413" t="str">
        <v>A</v>
      </c>
      <c r="K413" s="129" t="str">
        <f>VLOOKUP(VALUE($B413),test_out_xwalk!$C:$L,3,FALSE)</f>
        <v>Grass, Pasture-11-30</v>
      </c>
      <c r="L413" s="129">
        <f>VLOOKUP(VALUE($B413),test_out_xwalk!$C:$L,5,FALSE)</f>
        <v>1</v>
      </c>
      <c r="M413" s="129">
        <f>VLOOKUP(VALUE($B413),test_out_xwalk!$C:$L,6,FALSE)</f>
        <v>1</v>
      </c>
      <c r="N413" s="129" t="str">
        <f>VLOOKUP(VALUE($B413),test_out_xwalk!$C:$L,8,FALSE)</f>
        <v>Ground_F-MC_HB</v>
      </c>
      <c r="O413" s="129" t="str">
        <f>VLOOKUP(VALUE($B413),test_out_xwalk!$C:$L,7,FALSE)</f>
        <v>Spray</v>
      </c>
      <c r="P413" s="129" t="str">
        <f>VLOOKUP(VALUE($B413),test_out_xwalk!$C:$L,4,FALSE)</f>
        <v>Post-emergence</v>
      </c>
      <c r="Q413" s="129" t="str">
        <f>VLOOKUP(VALUE($B413),test_out_xwalk!$C:$L,9,FALSE)</f>
        <v>Range</v>
      </c>
      <c r="R413">
        <f>_xlfn.XLOOKUP(VALUE(B413),test_out_xwalk!$C:$C,test_out_xwalk!$A:$A)</f>
        <v>11</v>
      </c>
      <c r="T413" s="121" t="str">
        <f>IF('summary_EPA Pond'!$O413="","Check Summary EPA POND worksheet Column O",'summary_EPA Pond'!$O413)</f>
        <v>Check Summary EPA POND worksheet Column O</v>
      </c>
      <c r="U413" s="121" t="str" cm="1">
        <f t="array" ref="U413">IFERROR(_xlfn.TEXTSPLIT(T413,"_"),"")</f>
        <v>Check Summary EPA POND worksheet Column O</v>
      </c>
      <c r="AA413" s="121" t="str" cm="1">
        <f t="array" ref="AA413">IF(W413="","",(_xlfn.TEXTSPLIT(W413,"-")))</f>
        <v/>
      </c>
      <c r="AD413" s="129" t="e">
        <f>VLOOKUP(VALUE($U413),test_out_xwalk!$C:$L,3,FALSE)</f>
        <v>#VALUE!</v>
      </c>
      <c r="AE413" s="129" t="e">
        <f>VLOOKUP(VALUE($U413),test_out_xwalk!$C:$L,5,FALSE)</f>
        <v>#VALUE!</v>
      </c>
      <c r="AF413" s="129" t="e">
        <f>VLOOKUP(VALUE($U413),test_out_xwalk!$C:$L,6,FALSE)</f>
        <v>#VALUE!</v>
      </c>
      <c r="AG413" s="129" t="e">
        <f>VLOOKUP(VALUE($U413),test_out_xwalk!$C:$L,8,FALSE)</f>
        <v>#VALUE!</v>
      </c>
      <c r="AH413" s="129" t="e">
        <f>VLOOKUP(VALUE($U413),test_out_xwalk!$C:$L,7,FALSE)</f>
        <v>#VALUE!</v>
      </c>
      <c r="AI413" s="129" t="e">
        <f>VLOOKUP(VALUE($U413),test_out_xwalk!$C:$L,4,FALSE)</f>
        <v>#VALUE!</v>
      </c>
      <c r="AJ413" s="129" t="e">
        <f>VLOOKUP(VALUE($U413),test_out_xwalk!$C:$L,9,FALSE)</f>
        <v>#VALUE!</v>
      </c>
      <c r="AK413" t="e">
        <f>_xlfn.XLOOKUP(VALUE(U413),test_out_xwalk!C:C,test_out_xwalk!A:A)</f>
        <v>#VALUE!</v>
      </c>
    </row>
    <row r="414" spans="1:37" x14ac:dyDescent="0.55000000000000004">
      <c r="A414" s="121" t="str">
        <f>IF('summary_EPA Pond'!$A414="","Check Summary EPA POND worksheet Column A",'summary_EPA Pond'!$A414)</f>
        <v xml:space="preserve">30_475297-19385-176_Pasture or forage-r16-A_USEPA Pond_0030_median                    </v>
      </c>
      <c r="B414" s="121" t="str" cm="1">
        <f t="array" ref="B414:G414">IFERROR(_xlfn.TEXTSPLIT(A414,"_"),"")</f>
        <v>30</v>
      </c>
      <c r="C414" t="str">
        <v>475297-19385-176</v>
      </c>
      <c r="D414" t="str">
        <v>Pasture or forage-r16-A</v>
      </c>
      <c r="E414" t="str">
        <v>USEPA Pond</v>
      </c>
      <c r="F414" t="str">
        <v>0030</v>
      </c>
      <c r="G414" t="str">
        <v xml:space="preserve">median                    </v>
      </c>
      <c r="H414" s="121" t="str" cm="1">
        <f t="array" ref="H414:J414">IF(D414="","",(_xlfn.TEXTSPLIT(D414,"-")))</f>
        <v>Pasture or forage</v>
      </c>
      <c r="I414" s="121" t="str">
        <v>r16</v>
      </c>
      <c r="J414" t="str">
        <v>A</v>
      </c>
      <c r="K414" s="129" t="str">
        <f>VLOOKUP(VALUE($B414),test_out_xwalk!$C:$L,3,FALSE)</f>
        <v>Grass, Pasture-11-30</v>
      </c>
      <c r="L414" s="129">
        <f>VLOOKUP(VALUE($B414),test_out_xwalk!$C:$L,5,FALSE)</f>
        <v>1</v>
      </c>
      <c r="M414" s="129">
        <f>VLOOKUP(VALUE($B414),test_out_xwalk!$C:$L,6,FALSE)</f>
        <v>1</v>
      </c>
      <c r="N414" s="129" t="str">
        <f>VLOOKUP(VALUE($B414),test_out_xwalk!$C:$L,8,FALSE)</f>
        <v>Ground_F-MC_HB</v>
      </c>
      <c r="O414" s="129" t="str">
        <f>VLOOKUP(VALUE($B414),test_out_xwalk!$C:$L,7,FALSE)</f>
        <v>Spray</v>
      </c>
      <c r="P414" s="129" t="str">
        <f>VLOOKUP(VALUE($B414),test_out_xwalk!$C:$L,4,FALSE)</f>
        <v>Post-emergence</v>
      </c>
      <c r="Q414" s="129" t="str">
        <f>VLOOKUP(VALUE($B414),test_out_xwalk!$C:$L,9,FALSE)</f>
        <v>Range</v>
      </c>
      <c r="R414">
        <f>_xlfn.XLOOKUP(VALUE(B414),test_out_xwalk!$C:$C,test_out_xwalk!$A:$A)</f>
        <v>11</v>
      </c>
      <c r="T414" s="121" t="str">
        <f>IF('summary_EPA Pond'!$O414="","Check Summary EPA POND worksheet Column O",'summary_EPA Pond'!$O414)</f>
        <v>Check Summary EPA POND worksheet Column O</v>
      </c>
      <c r="U414" s="121" t="str" cm="1">
        <f t="array" ref="U414">IFERROR(_xlfn.TEXTSPLIT(T414,"_"),"")</f>
        <v>Check Summary EPA POND worksheet Column O</v>
      </c>
      <c r="AA414" s="121" t="str" cm="1">
        <f t="array" ref="AA414">IF(W414="","",(_xlfn.TEXTSPLIT(W414,"-")))</f>
        <v/>
      </c>
      <c r="AD414" s="129" t="e">
        <f>VLOOKUP(VALUE($U414),test_out_xwalk!$C:$L,3,FALSE)</f>
        <v>#VALUE!</v>
      </c>
      <c r="AE414" s="129" t="e">
        <f>VLOOKUP(VALUE($U414),test_out_xwalk!$C:$L,5,FALSE)</f>
        <v>#VALUE!</v>
      </c>
      <c r="AF414" s="129" t="e">
        <f>VLOOKUP(VALUE($U414),test_out_xwalk!$C:$L,6,FALSE)</f>
        <v>#VALUE!</v>
      </c>
      <c r="AG414" s="129" t="e">
        <f>VLOOKUP(VALUE($U414),test_out_xwalk!$C:$L,8,FALSE)</f>
        <v>#VALUE!</v>
      </c>
      <c r="AH414" s="129" t="e">
        <f>VLOOKUP(VALUE($U414),test_out_xwalk!$C:$L,7,FALSE)</f>
        <v>#VALUE!</v>
      </c>
      <c r="AI414" s="129" t="e">
        <f>VLOOKUP(VALUE($U414),test_out_xwalk!$C:$L,4,FALSE)</f>
        <v>#VALUE!</v>
      </c>
      <c r="AJ414" s="129" t="e">
        <f>VLOOKUP(VALUE($U414),test_out_xwalk!$C:$L,9,FALSE)</f>
        <v>#VALUE!</v>
      </c>
      <c r="AK414" t="e">
        <f>_xlfn.XLOOKUP(VALUE(U414),test_out_xwalk!C:C,test_out_xwalk!A:A)</f>
        <v>#VALUE!</v>
      </c>
    </row>
    <row r="415" spans="1:37" x14ac:dyDescent="0.55000000000000004">
      <c r="A415" s="121" t="str">
        <f>IF('summary_EPA Pond'!$A415="","Check Summary EPA POND worksheet Column A",'summary_EPA Pond'!$A415)</f>
        <v xml:space="preserve">30_68546-25521-176_Pasture or forage-r17-A_USEPA Pond_0030_median                     </v>
      </c>
      <c r="B415" s="121" t="str" cm="1">
        <f t="array" ref="B415:G415">IFERROR(_xlfn.TEXTSPLIT(A415,"_"),"")</f>
        <v>30</v>
      </c>
      <c r="C415" t="str">
        <v>68546-25521-176</v>
      </c>
      <c r="D415" t="str">
        <v>Pasture or forage-r17-A</v>
      </c>
      <c r="E415" t="str">
        <v>USEPA Pond</v>
      </c>
      <c r="F415" t="str">
        <v>0030</v>
      </c>
      <c r="G415" t="str">
        <v xml:space="preserve">median                     </v>
      </c>
      <c r="H415" s="121" t="str" cm="1">
        <f t="array" ref="H415:J415">IF(D415="","",(_xlfn.TEXTSPLIT(D415,"-")))</f>
        <v>Pasture or forage</v>
      </c>
      <c r="I415" s="121" t="str">
        <v>r17</v>
      </c>
      <c r="J415" t="str">
        <v>A</v>
      </c>
      <c r="K415" s="129" t="str">
        <f>VLOOKUP(VALUE($B415),test_out_xwalk!$C:$L,3,FALSE)</f>
        <v>Grass, Pasture-11-30</v>
      </c>
      <c r="L415" s="129">
        <f>VLOOKUP(VALUE($B415),test_out_xwalk!$C:$L,5,FALSE)</f>
        <v>1</v>
      </c>
      <c r="M415" s="129">
        <f>VLOOKUP(VALUE($B415),test_out_xwalk!$C:$L,6,FALSE)</f>
        <v>1</v>
      </c>
      <c r="N415" s="129" t="str">
        <f>VLOOKUP(VALUE($B415),test_out_xwalk!$C:$L,8,FALSE)</f>
        <v>Ground_F-MC_HB</v>
      </c>
      <c r="O415" s="129" t="str">
        <f>VLOOKUP(VALUE($B415),test_out_xwalk!$C:$L,7,FALSE)</f>
        <v>Spray</v>
      </c>
      <c r="P415" s="129" t="str">
        <f>VLOOKUP(VALUE($B415),test_out_xwalk!$C:$L,4,FALSE)</f>
        <v>Post-emergence</v>
      </c>
      <c r="Q415" s="129" t="str">
        <f>VLOOKUP(VALUE($B415),test_out_xwalk!$C:$L,9,FALSE)</f>
        <v>Range</v>
      </c>
      <c r="R415">
        <f>_xlfn.XLOOKUP(VALUE(B415),test_out_xwalk!$C:$C,test_out_xwalk!$A:$A)</f>
        <v>11</v>
      </c>
      <c r="T415" s="121" t="str">
        <f>IF('summary_EPA Pond'!$O415="","Check Summary EPA POND worksheet Column O",'summary_EPA Pond'!$O415)</f>
        <v>Check Summary EPA POND worksheet Column O</v>
      </c>
      <c r="U415" s="121" t="str" cm="1">
        <f t="array" ref="U415">IFERROR(_xlfn.TEXTSPLIT(T415,"_"),"")</f>
        <v>Check Summary EPA POND worksheet Column O</v>
      </c>
      <c r="AA415" s="121" t="str" cm="1">
        <f t="array" ref="AA415">IF(W415="","",(_xlfn.TEXTSPLIT(W415,"-")))</f>
        <v/>
      </c>
      <c r="AD415" s="129" t="e">
        <f>VLOOKUP(VALUE($U415),test_out_xwalk!$C:$L,3,FALSE)</f>
        <v>#VALUE!</v>
      </c>
      <c r="AE415" s="129" t="e">
        <f>VLOOKUP(VALUE($U415),test_out_xwalk!$C:$L,5,FALSE)</f>
        <v>#VALUE!</v>
      </c>
      <c r="AF415" s="129" t="e">
        <f>VLOOKUP(VALUE($U415),test_out_xwalk!$C:$L,6,FALSE)</f>
        <v>#VALUE!</v>
      </c>
      <c r="AG415" s="129" t="e">
        <f>VLOOKUP(VALUE($U415),test_out_xwalk!$C:$L,8,FALSE)</f>
        <v>#VALUE!</v>
      </c>
      <c r="AH415" s="129" t="e">
        <f>VLOOKUP(VALUE($U415),test_out_xwalk!$C:$L,7,FALSE)</f>
        <v>#VALUE!</v>
      </c>
      <c r="AI415" s="129" t="e">
        <f>VLOOKUP(VALUE($U415),test_out_xwalk!$C:$L,4,FALSE)</f>
        <v>#VALUE!</v>
      </c>
      <c r="AJ415" s="129" t="e">
        <f>VLOOKUP(VALUE($U415),test_out_xwalk!$C:$L,9,FALSE)</f>
        <v>#VALUE!</v>
      </c>
      <c r="AK415" t="e">
        <f>_xlfn.XLOOKUP(VALUE(U415),test_out_xwalk!C:C,test_out_xwalk!A:A)</f>
        <v>#VALUE!</v>
      </c>
    </row>
    <row r="416" spans="1:37" x14ac:dyDescent="0.55000000000000004">
      <c r="A416" s="121" t="str">
        <f>IF('summary_EPA Pond'!$A416="","Check Summary EPA POND worksheet Column A",'summary_EPA Pond'!$A416)</f>
        <v xml:space="preserve">30_463577-14897-176_Pasture or forage-r18-A_USEPA Pond_0030_median                    </v>
      </c>
      <c r="B416" s="121" t="str" cm="1">
        <f t="array" ref="B416:G416">IFERROR(_xlfn.TEXTSPLIT(A416,"_"),"")</f>
        <v>30</v>
      </c>
      <c r="C416" t="str">
        <v>463577-14897-176</v>
      </c>
      <c r="D416" t="str">
        <v>Pasture or forage-r18-A</v>
      </c>
      <c r="E416" t="str">
        <v>USEPA Pond</v>
      </c>
      <c r="F416" t="str">
        <v>0030</v>
      </c>
      <c r="G416" t="str">
        <v xml:space="preserve">median                    </v>
      </c>
      <c r="H416" s="121" t="str" cm="1">
        <f t="array" ref="H416:J416">IF(D416="","",(_xlfn.TEXTSPLIT(D416,"-")))</f>
        <v>Pasture or forage</v>
      </c>
      <c r="I416" s="121" t="str">
        <v>r18</v>
      </c>
      <c r="J416" t="str">
        <v>A</v>
      </c>
      <c r="K416" s="129" t="str">
        <f>VLOOKUP(VALUE($B416),test_out_xwalk!$C:$L,3,FALSE)</f>
        <v>Grass, Pasture-11-30</v>
      </c>
      <c r="L416" s="129">
        <f>VLOOKUP(VALUE($B416),test_out_xwalk!$C:$L,5,FALSE)</f>
        <v>1</v>
      </c>
      <c r="M416" s="129">
        <f>VLOOKUP(VALUE($B416),test_out_xwalk!$C:$L,6,FALSE)</f>
        <v>1</v>
      </c>
      <c r="N416" s="129" t="str">
        <f>VLOOKUP(VALUE($B416),test_out_xwalk!$C:$L,8,FALSE)</f>
        <v>Ground_F-MC_HB</v>
      </c>
      <c r="O416" s="129" t="str">
        <f>VLOOKUP(VALUE($B416),test_out_xwalk!$C:$L,7,FALSE)</f>
        <v>Spray</v>
      </c>
      <c r="P416" s="129" t="str">
        <f>VLOOKUP(VALUE($B416),test_out_xwalk!$C:$L,4,FALSE)</f>
        <v>Post-emergence</v>
      </c>
      <c r="Q416" s="129" t="str">
        <f>VLOOKUP(VALUE($B416),test_out_xwalk!$C:$L,9,FALSE)</f>
        <v>Range</v>
      </c>
      <c r="R416">
        <f>_xlfn.XLOOKUP(VALUE(B416),test_out_xwalk!$C:$C,test_out_xwalk!$A:$A)</f>
        <v>11</v>
      </c>
      <c r="T416" s="121" t="str">
        <f>IF('summary_EPA Pond'!$O416="","Check Summary EPA POND worksheet Column O",'summary_EPA Pond'!$O416)</f>
        <v>Check Summary EPA POND worksheet Column O</v>
      </c>
      <c r="U416" s="121" t="str" cm="1">
        <f t="array" ref="U416">IFERROR(_xlfn.TEXTSPLIT(T416,"_"),"")</f>
        <v>Check Summary EPA POND worksheet Column O</v>
      </c>
      <c r="AA416" s="121" t="str" cm="1">
        <f t="array" ref="AA416">IF(W416="","",(_xlfn.TEXTSPLIT(W416,"-")))</f>
        <v/>
      </c>
      <c r="AD416" s="129" t="e">
        <f>VLOOKUP(VALUE($U416),test_out_xwalk!$C:$L,3,FALSE)</f>
        <v>#VALUE!</v>
      </c>
      <c r="AE416" s="129" t="e">
        <f>VLOOKUP(VALUE($U416),test_out_xwalk!$C:$L,5,FALSE)</f>
        <v>#VALUE!</v>
      </c>
      <c r="AF416" s="129" t="e">
        <f>VLOOKUP(VALUE($U416),test_out_xwalk!$C:$L,6,FALSE)</f>
        <v>#VALUE!</v>
      </c>
      <c r="AG416" s="129" t="e">
        <f>VLOOKUP(VALUE($U416),test_out_xwalk!$C:$L,8,FALSE)</f>
        <v>#VALUE!</v>
      </c>
      <c r="AH416" s="129" t="e">
        <f>VLOOKUP(VALUE($U416),test_out_xwalk!$C:$L,7,FALSE)</f>
        <v>#VALUE!</v>
      </c>
      <c r="AI416" s="129" t="e">
        <f>VLOOKUP(VALUE($U416),test_out_xwalk!$C:$L,4,FALSE)</f>
        <v>#VALUE!</v>
      </c>
      <c r="AJ416" s="129" t="e">
        <f>VLOOKUP(VALUE($U416),test_out_xwalk!$C:$L,9,FALSE)</f>
        <v>#VALUE!</v>
      </c>
      <c r="AK416" t="e">
        <f>_xlfn.XLOOKUP(VALUE(U416),test_out_xwalk!C:C,test_out_xwalk!A:A)</f>
        <v>#VALUE!</v>
      </c>
    </row>
    <row r="417" spans="1:37" x14ac:dyDescent="0.55000000000000004">
      <c r="A417" s="121" t="str">
        <f>IF('summary_EPA Pond'!$A417="","Check Summary EPA POND worksheet Column A",'summary_EPA Pond'!$A417)</f>
        <v>Check Summary EPA POND worksheet Column A</v>
      </c>
      <c r="B417" s="121" t="str" cm="1">
        <f t="array" ref="B417">IFERROR(_xlfn.TEXTSPLIT(A417,"_"),"")</f>
        <v>Check Summary EPA POND worksheet Column A</v>
      </c>
      <c r="H417" s="121" t="str" cm="1">
        <f t="array" ref="H417">IF(D417="","",(_xlfn.TEXTSPLIT(D417,"-")))</f>
        <v/>
      </c>
      <c r="K417" s="129" t="e">
        <f>VLOOKUP(VALUE($B417),test_out_xwalk!$C:$L,3,FALSE)</f>
        <v>#VALUE!</v>
      </c>
      <c r="L417" s="129" t="e">
        <f>VLOOKUP(VALUE($B417),test_out_xwalk!$C:$L,5,FALSE)</f>
        <v>#VALUE!</v>
      </c>
      <c r="M417" s="129" t="e">
        <f>VLOOKUP(VALUE($B417),test_out_xwalk!$C:$L,6,FALSE)</f>
        <v>#VALUE!</v>
      </c>
      <c r="N417" s="129" t="e">
        <f>VLOOKUP(VALUE($B417),test_out_xwalk!$C:$L,8,FALSE)</f>
        <v>#VALUE!</v>
      </c>
      <c r="O417" s="129" t="e">
        <f>VLOOKUP(VALUE($B417),test_out_xwalk!$C:$L,7,FALSE)</f>
        <v>#VALUE!</v>
      </c>
      <c r="P417" s="129" t="e">
        <f>VLOOKUP(VALUE($B417),test_out_xwalk!$C:$L,4,FALSE)</f>
        <v>#VALUE!</v>
      </c>
      <c r="Q417" s="129" t="e">
        <f>VLOOKUP(VALUE($B417),test_out_xwalk!$C:$L,9,FALSE)</f>
        <v>#VALUE!</v>
      </c>
      <c r="R417" t="e">
        <f>_xlfn.XLOOKUP(VALUE(B417),test_out_xwalk!$C:$C,test_out_xwalk!$A:$A)</f>
        <v>#VALUE!</v>
      </c>
      <c r="T417" s="121" t="str">
        <f>IF('summary_EPA Pond'!$O417="","Check Summary EPA POND worksheet Column O",'summary_EPA Pond'!$O417)</f>
        <v>Check Summary EPA POND worksheet Column O</v>
      </c>
      <c r="U417" s="121" t="str" cm="1">
        <f t="array" ref="U417">IFERROR(_xlfn.TEXTSPLIT(T417,"_"),"")</f>
        <v>Check Summary EPA POND worksheet Column O</v>
      </c>
      <c r="AA417" s="121" t="str" cm="1">
        <f t="array" ref="AA417">IF(W417="","",(_xlfn.TEXTSPLIT(W417,"-")))</f>
        <v/>
      </c>
      <c r="AD417" s="129" t="e">
        <f>VLOOKUP(VALUE($U417),test_out_xwalk!$C:$L,3,FALSE)</f>
        <v>#VALUE!</v>
      </c>
      <c r="AE417" s="129" t="e">
        <f>VLOOKUP(VALUE($U417),test_out_xwalk!$C:$L,5,FALSE)</f>
        <v>#VALUE!</v>
      </c>
      <c r="AF417" s="129" t="e">
        <f>VLOOKUP(VALUE($U417),test_out_xwalk!$C:$L,6,FALSE)</f>
        <v>#VALUE!</v>
      </c>
      <c r="AG417" s="129" t="e">
        <f>VLOOKUP(VALUE($U417),test_out_xwalk!$C:$L,8,FALSE)</f>
        <v>#VALUE!</v>
      </c>
      <c r="AH417" s="129" t="e">
        <f>VLOOKUP(VALUE($U417),test_out_xwalk!$C:$L,7,FALSE)</f>
        <v>#VALUE!</v>
      </c>
      <c r="AI417" s="129" t="e">
        <f>VLOOKUP(VALUE($U417),test_out_xwalk!$C:$L,4,FALSE)</f>
        <v>#VALUE!</v>
      </c>
      <c r="AJ417" s="129" t="e">
        <f>VLOOKUP(VALUE($U417),test_out_xwalk!$C:$L,9,FALSE)</f>
        <v>#VALUE!</v>
      </c>
      <c r="AK417" t="e">
        <f>_xlfn.XLOOKUP(VALUE(U417),test_out_xwalk!C:C,test_out_xwalk!A:A)</f>
        <v>#VALUE!</v>
      </c>
    </row>
    <row r="418" spans="1:37" x14ac:dyDescent="0.55000000000000004">
      <c r="A418" s="121" t="str">
        <f>IF('summary_EPA Pond'!$A418="","Check Summary EPA POND worksheet Column A",'summary_EPA Pond'!$A418)</f>
        <v>Check Summary EPA POND worksheet Column A</v>
      </c>
      <c r="B418" s="121" t="str" cm="1">
        <f t="array" ref="B418">IFERROR(_xlfn.TEXTSPLIT(A418,"_"),"")</f>
        <v>Check Summary EPA POND worksheet Column A</v>
      </c>
      <c r="H418" s="121" t="str" cm="1">
        <f t="array" ref="H418">IF(D418="","",(_xlfn.TEXTSPLIT(D418,"-")))</f>
        <v/>
      </c>
      <c r="K418" s="129" t="e">
        <f>VLOOKUP(VALUE($B418),test_out_xwalk!$C:$L,3,FALSE)</f>
        <v>#VALUE!</v>
      </c>
      <c r="L418" s="129" t="e">
        <f>VLOOKUP(VALUE($B418),test_out_xwalk!$C:$L,5,FALSE)</f>
        <v>#VALUE!</v>
      </c>
      <c r="M418" s="129" t="e">
        <f>VLOOKUP(VALUE($B418),test_out_xwalk!$C:$L,6,FALSE)</f>
        <v>#VALUE!</v>
      </c>
      <c r="N418" s="129" t="e">
        <f>VLOOKUP(VALUE($B418),test_out_xwalk!$C:$L,8,FALSE)</f>
        <v>#VALUE!</v>
      </c>
      <c r="O418" s="129" t="e">
        <f>VLOOKUP(VALUE($B418),test_out_xwalk!$C:$L,7,FALSE)</f>
        <v>#VALUE!</v>
      </c>
      <c r="P418" s="129" t="e">
        <f>VLOOKUP(VALUE($B418),test_out_xwalk!$C:$L,4,FALSE)</f>
        <v>#VALUE!</v>
      </c>
      <c r="Q418" s="129" t="e">
        <f>VLOOKUP(VALUE($B418),test_out_xwalk!$C:$L,9,FALSE)</f>
        <v>#VALUE!</v>
      </c>
      <c r="R418" t="e">
        <f>_xlfn.XLOOKUP(VALUE(B418),test_out_xwalk!$C:$C,test_out_xwalk!$A:$A)</f>
        <v>#VALUE!</v>
      </c>
      <c r="T418" s="121" t="str">
        <f>IF('summary_EPA Pond'!$O418="","Check Summary EPA POND worksheet Column O",'summary_EPA Pond'!$O418)</f>
        <v>Check Summary EPA POND worksheet Column O</v>
      </c>
      <c r="U418" s="121" t="str" cm="1">
        <f t="array" ref="U418">IFERROR(_xlfn.TEXTSPLIT(T418,"_"),"")</f>
        <v>Check Summary EPA POND worksheet Column O</v>
      </c>
      <c r="AA418" s="121" t="str" cm="1">
        <f t="array" ref="AA418">IF(W418="","",(_xlfn.TEXTSPLIT(W418,"-")))</f>
        <v/>
      </c>
      <c r="AD418" s="129" t="e">
        <f>VLOOKUP(VALUE($U418),test_out_xwalk!$C:$L,3,FALSE)</f>
        <v>#VALUE!</v>
      </c>
      <c r="AE418" s="129" t="e">
        <f>VLOOKUP(VALUE($U418),test_out_xwalk!$C:$L,5,FALSE)</f>
        <v>#VALUE!</v>
      </c>
      <c r="AF418" s="129" t="e">
        <f>VLOOKUP(VALUE($U418),test_out_xwalk!$C:$L,6,FALSE)</f>
        <v>#VALUE!</v>
      </c>
      <c r="AG418" s="129" t="e">
        <f>VLOOKUP(VALUE($U418),test_out_xwalk!$C:$L,8,FALSE)</f>
        <v>#VALUE!</v>
      </c>
      <c r="AH418" s="129" t="e">
        <f>VLOOKUP(VALUE($U418),test_out_xwalk!$C:$L,7,FALSE)</f>
        <v>#VALUE!</v>
      </c>
      <c r="AI418" s="129" t="e">
        <f>VLOOKUP(VALUE($U418),test_out_xwalk!$C:$L,4,FALSE)</f>
        <v>#VALUE!</v>
      </c>
      <c r="AJ418" s="129" t="e">
        <f>VLOOKUP(VALUE($U418),test_out_xwalk!$C:$L,9,FALSE)</f>
        <v>#VALUE!</v>
      </c>
      <c r="AK418" t="e">
        <f>_xlfn.XLOOKUP(VALUE(U418),test_out_xwalk!C:C,test_out_xwalk!A:A)</f>
        <v>#VALUE!</v>
      </c>
    </row>
    <row r="419" spans="1:37" x14ac:dyDescent="0.55000000000000004">
      <c r="A419" s="121" t="str">
        <f>IF('summary_EPA Pond'!$A419="","Check Summary EPA POND worksheet Column A",'summary_EPA Pond'!$A419)</f>
        <v>Check Summary EPA POND worksheet Column A</v>
      </c>
      <c r="B419" s="121" t="str" cm="1">
        <f t="array" ref="B419">IFERROR(_xlfn.TEXTSPLIT(A419,"_"),"")</f>
        <v>Check Summary EPA POND worksheet Column A</v>
      </c>
      <c r="H419" s="121" t="str" cm="1">
        <f t="array" ref="H419">IF(D419="","",(_xlfn.TEXTSPLIT(D419,"-")))</f>
        <v/>
      </c>
      <c r="K419" s="129" t="e">
        <f>VLOOKUP(VALUE($B419),test_out_xwalk!$C:$L,3,FALSE)</f>
        <v>#VALUE!</v>
      </c>
      <c r="L419" s="129" t="e">
        <f>VLOOKUP(VALUE($B419),test_out_xwalk!$C:$L,5,FALSE)</f>
        <v>#VALUE!</v>
      </c>
      <c r="M419" s="129" t="e">
        <f>VLOOKUP(VALUE($B419),test_out_xwalk!$C:$L,6,FALSE)</f>
        <v>#VALUE!</v>
      </c>
      <c r="N419" s="129" t="e">
        <f>VLOOKUP(VALUE($B419),test_out_xwalk!$C:$L,8,FALSE)</f>
        <v>#VALUE!</v>
      </c>
      <c r="O419" s="129" t="e">
        <f>VLOOKUP(VALUE($B419),test_out_xwalk!$C:$L,7,FALSE)</f>
        <v>#VALUE!</v>
      </c>
      <c r="P419" s="129" t="e">
        <f>VLOOKUP(VALUE($B419),test_out_xwalk!$C:$L,4,FALSE)</f>
        <v>#VALUE!</v>
      </c>
      <c r="Q419" s="129" t="e">
        <f>VLOOKUP(VALUE($B419),test_out_xwalk!$C:$L,9,FALSE)</f>
        <v>#VALUE!</v>
      </c>
      <c r="R419" t="e">
        <f>_xlfn.XLOOKUP(VALUE(B419),test_out_xwalk!$C:$C,test_out_xwalk!$A:$A)</f>
        <v>#VALUE!</v>
      </c>
      <c r="T419" s="121" t="str">
        <f>IF('summary_EPA Pond'!$O419="","Check Summary EPA POND worksheet Column O",'summary_EPA Pond'!$O419)</f>
        <v>Check Summary EPA POND worksheet Column O</v>
      </c>
      <c r="U419" s="121" t="str" cm="1">
        <f t="array" ref="U419">IFERROR(_xlfn.TEXTSPLIT(T419,"_"),"")</f>
        <v>Check Summary EPA POND worksheet Column O</v>
      </c>
      <c r="AA419" s="121" t="str" cm="1">
        <f t="array" ref="AA419">IF(W419="","",(_xlfn.TEXTSPLIT(W419,"-")))</f>
        <v/>
      </c>
      <c r="AD419" s="129" t="e">
        <f>VLOOKUP(VALUE($U419),test_out_xwalk!$C:$L,3,FALSE)</f>
        <v>#VALUE!</v>
      </c>
      <c r="AE419" s="129" t="e">
        <f>VLOOKUP(VALUE($U419),test_out_xwalk!$C:$L,5,FALSE)</f>
        <v>#VALUE!</v>
      </c>
      <c r="AF419" s="129" t="e">
        <f>VLOOKUP(VALUE($U419),test_out_xwalk!$C:$L,6,FALSE)</f>
        <v>#VALUE!</v>
      </c>
      <c r="AG419" s="129" t="e">
        <f>VLOOKUP(VALUE($U419),test_out_xwalk!$C:$L,8,FALSE)</f>
        <v>#VALUE!</v>
      </c>
      <c r="AH419" s="129" t="e">
        <f>VLOOKUP(VALUE($U419),test_out_xwalk!$C:$L,7,FALSE)</f>
        <v>#VALUE!</v>
      </c>
      <c r="AI419" s="129" t="e">
        <f>VLOOKUP(VALUE($U419),test_out_xwalk!$C:$L,4,FALSE)</f>
        <v>#VALUE!</v>
      </c>
      <c r="AJ419" s="129" t="e">
        <f>VLOOKUP(VALUE($U419),test_out_xwalk!$C:$L,9,FALSE)</f>
        <v>#VALUE!</v>
      </c>
      <c r="AK419" t="e">
        <f>_xlfn.XLOOKUP(VALUE(U419),test_out_xwalk!C:C,test_out_xwalk!A:A)</f>
        <v>#VALUE!</v>
      </c>
    </row>
    <row r="420" spans="1:37" x14ac:dyDescent="0.55000000000000004">
      <c r="A420" s="121" t="str">
        <f>IF('summary_EPA Pond'!$A420="","Check Summary EPA POND worksheet Column A",'summary_EPA Pond'!$A420)</f>
        <v>Check Summary EPA POND worksheet Column A</v>
      </c>
      <c r="B420" s="121" t="str" cm="1">
        <f t="array" ref="B420">IFERROR(_xlfn.TEXTSPLIT(A420,"_"),"")</f>
        <v>Check Summary EPA POND worksheet Column A</v>
      </c>
      <c r="H420" s="121" t="str" cm="1">
        <f t="array" ref="H420">IF(D420="","",(_xlfn.TEXTSPLIT(D420,"-")))</f>
        <v/>
      </c>
      <c r="K420" s="129" t="e">
        <f>VLOOKUP(VALUE($B420),test_out_xwalk!$C:$L,3,FALSE)</f>
        <v>#VALUE!</v>
      </c>
      <c r="L420" s="129" t="e">
        <f>VLOOKUP(VALUE($B420),test_out_xwalk!$C:$L,5,FALSE)</f>
        <v>#VALUE!</v>
      </c>
      <c r="M420" s="129" t="e">
        <f>VLOOKUP(VALUE($B420),test_out_xwalk!$C:$L,6,FALSE)</f>
        <v>#VALUE!</v>
      </c>
      <c r="N420" s="129" t="e">
        <f>VLOOKUP(VALUE($B420),test_out_xwalk!$C:$L,8,FALSE)</f>
        <v>#VALUE!</v>
      </c>
      <c r="O420" s="129" t="e">
        <f>VLOOKUP(VALUE($B420),test_out_xwalk!$C:$L,7,FALSE)</f>
        <v>#VALUE!</v>
      </c>
      <c r="P420" s="129" t="e">
        <f>VLOOKUP(VALUE($B420),test_out_xwalk!$C:$L,4,FALSE)</f>
        <v>#VALUE!</v>
      </c>
      <c r="Q420" s="129" t="e">
        <f>VLOOKUP(VALUE($B420),test_out_xwalk!$C:$L,9,FALSE)</f>
        <v>#VALUE!</v>
      </c>
      <c r="R420" t="e">
        <f>_xlfn.XLOOKUP(VALUE(B420),test_out_xwalk!$C:$C,test_out_xwalk!$A:$A)</f>
        <v>#VALUE!</v>
      </c>
      <c r="T420" s="121" t="str">
        <f>IF('summary_EPA Pond'!$O420="","Check Summary EPA POND worksheet Column O",'summary_EPA Pond'!$O420)</f>
        <v>Check Summary EPA POND worksheet Column O</v>
      </c>
      <c r="U420" s="121" t="str" cm="1">
        <f t="array" ref="U420">IFERROR(_xlfn.TEXTSPLIT(T420,"_"),"")</f>
        <v>Check Summary EPA POND worksheet Column O</v>
      </c>
      <c r="AA420" s="121" t="str" cm="1">
        <f t="array" ref="AA420">IF(W420="","",(_xlfn.TEXTSPLIT(W420,"-")))</f>
        <v/>
      </c>
      <c r="AD420" s="129" t="e">
        <f>VLOOKUP(VALUE($U420),test_out_xwalk!$C:$L,3,FALSE)</f>
        <v>#VALUE!</v>
      </c>
      <c r="AE420" s="129" t="e">
        <f>VLOOKUP(VALUE($U420),test_out_xwalk!$C:$L,5,FALSE)</f>
        <v>#VALUE!</v>
      </c>
      <c r="AF420" s="129" t="e">
        <f>VLOOKUP(VALUE($U420),test_out_xwalk!$C:$L,6,FALSE)</f>
        <v>#VALUE!</v>
      </c>
      <c r="AG420" s="129" t="e">
        <f>VLOOKUP(VALUE($U420),test_out_xwalk!$C:$L,8,FALSE)</f>
        <v>#VALUE!</v>
      </c>
      <c r="AH420" s="129" t="e">
        <f>VLOOKUP(VALUE($U420),test_out_xwalk!$C:$L,7,FALSE)</f>
        <v>#VALUE!</v>
      </c>
      <c r="AI420" s="129" t="e">
        <f>VLOOKUP(VALUE($U420),test_out_xwalk!$C:$L,4,FALSE)</f>
        <v>#VALUE!</v>
      </c>
      <c r="AJ420" s="129" t="e">
        <f>VLOOKUP(VALUE($U420),test_out_xwalk!$C:$L,9,FALSE)</f>
        <v>#VALUE!</v>
      </c>
      <c r="AK420" t="e">
        <f>_xlfn.XLOOKUP(VALUE(U420),test_out_xwalk!C:C,test_out_xwalk!A:A)</f>
        <v>#VALUE!</v>
      </c>
    </row>
    <row r="421" spans="1:37" x14ac:dyDescent="0.55000000000000004">
      <c r="A421" s="121" t="str">
        <f>IF('summary_EPA Pond'!$A421="","Check Summary EPA POND worksheet Column A",'summary_EPA Pond'!$A421)</f>
        <v>Check Summary EPA POND worksheet Column A</v>
      </c>
      <c r="B421" s="121" t="str" cm="1">
        <f t="array" ref="B421">IFERROR(_xlfn.TEXTSPLIT(A421,"_"),"")</f>
        <v>Check Summary EPA POND worksheet Column A</v>
      </c>
      <c r="H421" s="121" t="str" cm="1">
        <f t="array" ref="H421">IF(D421="","",(_xlfn.TEXTSPLIT(D421,"-")))</f>
        <v/>
      </c>
      <c r="K421" s="129" t="e">
        <f>VLOOKUP(VALUE($B421),test_out_xwalk!$C:$L,3,FALSE)</f>
        <v>#VALUE!</v>
      </c>
      <c r="L421" s="129" t="e">
        <f>VLOOKUP(VALUE($B421),test_out_xwalk!$C:$L,5,FALSE)</f>
        <v>#VALUE!</v>
      </c>
      <c r="M421" s="129" t="e">
        <f>VLOOKUP(VALUE($B421),test_out_xwalk!$C:$L,6,FALSE)</f>
        <v>#VALUE!</v>
      </c>
      <c r="N421" s="129" t="e">
        <f>VLOOKUP(VALUE($B421),test_out_xwalk!$C:$L,8,FALSE)</f>
        <v>#VALUE!</v>
      </c>
      <c r="O421" s="129" t="e">
        <f>VLOOKUP(VALUE($B421),test_out_xwalk!$C:$L,7,FALSE)</f>
        <v>#VALUE!</v>
      </c>
      <c r="P421" s="129" t="e">
        <f>VLOOKUP(VALUE($B421),test_out_xwalk!$C:$L,4,FALSE)</f>
        <v>#VALUE!</v>
      </c>
      <c r="Q421" s="129" t="e">
        <f>VLOOKUP(VALUE($B421),test_out_xwalk!$C:$L,9,FALSE)</f>
        <v>#VALUE!</v>
      </c>
      <c r="R421" t="e">
        <f>_xlfn.XLOOKUP(VALUE(B421),test_out_xwalk!$C:$C,test_out_xwalk!$A:$A)</f>
        <v>#VALUE!</v>
      </c>
      <c r="T421" s="121" t="str">
        <f>IF('summary_EPA Pond'!$O421="","Check Summary EPA POND worksheet Column O",'summary_EPA Pond'!$O421)</f>
        <v>Check Summary EPA POND worksheet Column O</v>
      </c>
      <c r="U421" s="121" t="str" cm="1">
        <f t="array" ref="U421">IFERROR(_xlfn.TEXTSPLIT(T421,"_"),"")</f>
        <v>Check Summary EPA POND worksheet Column O</v>
      </c>
      <c r="AA421" s="121" t="str" cm="1">
        <f t="array" ref="AA421">IF(W421="","",(_xlfn.TEXTSPLIT(W421,"-")))</f>
        <v/>
      </c>
      <c r="AD421" s="129" t="e">
        <f>VLOOKUP(VALUE($U421),test_out_xwalk!$C:$L,3,FALSE)</f>
        <v>#VALUE!</v>
      </c>
      <c r="AE421" s="129" t="e">
        <f>VLOOKUP(VALUE($U421),test_out_xwalk!$C:$L,5,FALSE)</f>
        <v>#VALUE!</v>
      </c>
      <c r="AF421" s="129" t="e">
        <f>VLOOKUP(VALUE($U421),test_out_xwalk!$C:$L,6,FALSE)</f>
        <v>#VALUE!</v>
      </c>
      <c r="AG421" s="129" t="e">
        <f>VLOOKUP(VALUE($U421),test_out_xwalk!$C:$L,8,FALSE)</f>
        <v>#VALUE!</v>
      </c>
      <c r="AH421" s="129" t="e">
        <f>VLOOKUP(VALUE($U421),test_out_xwalk!$C:$L,7,FALSE)</f>
        <v>#VALUE!</v>
      </c>
      <c r="AI421" s="129" t="e">
        <f>VLOOKUP(VALUE($U421),test_out_xwalk!$C:$L,4,FALSE)</f>
        <v>#VALUE!</v>
      </c>
      <c r="AJ421" s="129" t="e">
        <f>VLOOKUP(VALUE($U421),test_out_xwalk!$C:$L,9,FALSE)</f>
        <v>#VALUE!</v>
      </c>
      <c r="AK421" t="e">
        <f>_xlfn.XLOOKUP(VALUE(U421),test_out_xwalk!C:C,test_out_xwalk!A:A)</f>
        <v>#VALUE!</v>
      </c>
    </row>
    <row r="422" spans="1:37" x14ac:dyDescent="0.55000000000000004">
      <c r="A422" s="121" t="str">
        <f>IF('summary_EPA Pond'!$A422="","Check Summary EPA POND worksheet Column A",'summary_EPA Pond'!$A422)</f>
        <v>Check Summary EPA POND worksheet Column A</v>
      </c>
      <c r="B422" s="121" t="str" cm="1">
        <f t="array" ref="B422">IFERROR(_xlfn.TEXTSPLIT(A422,"_"),"")</f>
        <v>Check Summary EPA POND worksheet Column A</v>
      </c>
      <c r="H422" s="121" t="str" cm="1">
        <f t="array" ref="H422">IF(D422="","",(_xlfn.TEXTSPLIT(D422,"-")))</f>
        <v/>
      </c>
      <c r="K422" s="129" t="e">
        <f>VLOOKUP(VALUE($B422),test_out_xwalk!$C:$L,3,FALSE)</f>
        <v>#VALUE!</v>
      </c>
      <c r="L422" s="129" t="e">
        <f>VLOOKUP(VALUE($B422),test_out_xwalk!$C:$L,5,FALSE)</f>
        <v>#VALUE!</v>
      </c>
      <c r="M422" s="129" t="e">
        <f>VLOOKUP(VALUE($B422),test_out_xwalk!$C:$L,6,FALSE)</f>
        <v>#VALUE!</v>
      </c>
      <c r="N422" s="129" t="e">
        <f>VLOOKUP(VALUE($B422),test_out_xwalk!$C:$L,8,FALSE)</f>
        <v>#VALUE!</v>
      </c>
      <c r="O422" s="129" t="e">
        <f>VLOOKUP(VALUE($B422),test_out_xwalk!$C:$L,7,FALSE)</f>
        <v>#VALUE!</v>
      </c>
      <c r="P422" s="129" t="e">
        <f>VLOOKUP(VALUE($B422),test_out_xwalk!$C:$L,4,FALSE)</f>
        <v>#VALUE!</v>
      </c>
      <c r="Q422" s="129" t="e">
        <f>VLOOKUP(VALUE($B422),test_out_xwalk!$C:$L,9,FALSE)</f>
        <v>#VALUE!</v>
      </c>
      <c r="R422" t="e">
        <f>_xlfn.XLOOKUP(VALUE(B422),test_out_xwalk!$C:$C,test_out_xwalk!$A:$A)</f>
        <v>#VALUE!</v>
      </c>
      <c r="T422" s="121" t="str">
        <f>IF('summary_EPA Pond'!$O422="","Check Summary EPA POND worksheet Column O",'summary_EPA Pond'!$O422)</f>
        <v>Check Summary EPA POND worksheet Column O</v>
      </c>
      <c r="U422" s="121" t="str" cm="1">
        <f t="array" ref="U422">IFERROR(_xlfn.TEXTSPLIT(T422,"_"),"")</f>
        <v>Check Summary EPA POND worksheet Column O</v>
      </c>
      <c r="AA422" s="121" t="str" cm="1">
        <f t="array" ref="AA422">IF(W422="","",(_xlfn.TEXTSPLIT(W422,"-")))</f>
        <v/>
      </c>
      <c r="AD422" s="129" t="e">
        <f>VLOOKUP(VALUE($U422),test_out_xwalk!$C:$L,3,FALSE)</f>
        <v>#VALUE!</v>
      </c>
      <c r="AE422" s="129" t="e">
        <f>VLOOKUP(VALUE($U422),test_out_xwalk!$C:$L,5,FALSE)</f>
        <v>#VALUE!</v>
      </c>
      <c r="AF422" s="129" t="e">
        <f>VLOOKUP(VALUE($U422),test_out_xwalk!$C:$L,6,FALSE)</f>
        <v>#VALUE!</v>
      </c>
      <c r="AG422" s="129" t="e">
        <f>VLOOKUP(VALUE($U422),test_out_xwalk!$C:$L,8,FALSE)</f>
        <v>#VALUE!</v>
      </c>
      <c r="AH422" s="129" t="e">
        <f>VLOOKUP(VALUE($U422),test_out_xwalk!$C:$L,7,FALSE)</f>
        <v>#VALUE!</v>
      </c>
      <c r="AI422" s="129" t="e">
        <f>VLOOKUP(VALUE($U422),test_out_xwalk!$C:$L,4,FALSE)</f>
        <v>#VALUE!</v>
      </c>
      <c r="AJ422" s="129" t="e">
        <f>VLOOKUP(VALUE($U422),test_out_xwalk!$C:$L,9,FALSE)</f>
        <v>#VALUE!</v>
      </c>
      <c r="AK422" t="e">
        <f>_xlfn.XLOOKUP(VALUE(U422),test_out_xwalk!C:C,test_out_xwalk!A:A)</f>
        <v>#VALUE!</v>
      </c>
    </row>
    <row r="423" spans="1:37" x14ac:dyDescent="0.55000000000000004">
      <c r="A423" s="121" t="str">
        <f>IF('summary_EPA Pond'!$A423="","Check Summary EPA POND worksheet Column A",'summary_EPA Pond'!$A423)</f>
        <v>Check Summary EPA POND worksheet Column A</v>
      </c>
      <c r="B423" s="121" t="str" cm="1">
        <f t="array" ref="B423">IFERROR(_xlfn.TEXTSPLIT(A423,"_"),"")</f>
        <v>Check Summary EPA POND worksheet Column A</v>
      </c>
      <c r="H423" s="121" t="str" cm="1">
        <f t="array" ref="H423">IF(D423="","",(_xlfn.TEXTSPLIT(D423,"-")))</f>
        <v/>
      </c>
      <c r="K423" s="129" t="e">
        <f>VLOOKUP(VALUE($B423),test_out_xwalk!$C:$L,3,FALSE)</f>
        <v>#VALUE!</v>
      </c>
      <c r="L423" s="129" t="e">
        <f>VLOOKUP(VALUE($B423),test_out_xwalk!$C:$L,5,FALSE)</f>
        <v>#VALUE!</v>
      </c>
      <c r="M423" s="129" t="e">
        <f>VLOOKUP(VALUE($B423),test_out_xwalk!$C:$L,6,FALSE)</f>
        <v>#VALUE!</v>
      </c>
      <c r="N423" s="129" t="e">
        <f>VLOOKUP(VALUE($B423),test_out_xwalk!$C:$L,8,FALSE)</f>
        <v>#VALUE!</v>
      </c>
      <c r="O423" s="129" t="e">
        <f>VLOOKUP(VALUE($B423),test_out_xwalk!$C:$L,7,FALSE)</f>
        <v>#VALUE!</v>
      </c>
      <c r="P423" s="129" t="e">
        <f>VLOOKUP(VALUE($B423),test_out_xwalk!$C:$L,4,FALSE)</f>
        <v>#VALUE!</v>
      </c>
      <c r="Q423" s="129" t="e">
        <f>VLOOKUP(VALUE($B423),test_out_xwalk!$C:$L,9,FALSE)</f>
        <v>#VALUE!</v>
      </c>
      <c r="R423" t="e">
        <f>_xlfn.XLOOKUP(VALUE(B423),test_out_xwalk!$C:$C,test_out_xwalk!$A:$A)</f>
        <v>#VALUE!</v>
      </c>
      <c r="T423" s="121" t="str">
        <f>IF('summary_EPA Pond'!$O423="","Check Summary EPA POND worksheet Column O",'summary_EPA Pond'!$O423)</f>
        <v>Check Summary EPA POND worksheet Column O</v>
      </c>
      <c r="U423" s="121" t="str" cm="1">
        <f t="array" ref="U423">IFERROR(_xlfn.TEXTSPLIT(T423,"_"),"")</f>
        <v>Check Summary EPA POND worksheet Column O</v>
      </c>
      <c r="AA423" s="121" t="str" cm="1">
        <f t="array" ref="AA423">IF(W423="","",(_xlfn.TEXTSPLIT(W423,"-")))</f>
        <v/>
      </c>
      <c r="AD423" s="129" t="e">
        <f>VLOOKUP(VALUE($U423),test_out_xwalk!$C:$L,3,FALSE)</f>
        <v>#VALUE!</v>
      </c>
      <c r="AE423" s="129" t="e">
        <f>VLOOKUP(VALUE($U423),test_out_xwalk!$C:$L,5,FALSE)</f>
        <v>#VALUE!</v>
      </c>
      <c r="AF423" s="129" t="e">
        <f>VLOOKUP(VALUE($U423),test_out_xwalk!$C:$L,6,FALSE)</f>
        <v>#VALUE!</v>
      </c>
      <c r="AG423" s="129" t="e">
        <f>VLOOKUP(VALUE($U423),test_out_xwalk!$C:$L,8,FALSE)</f>
        <v>#VALUE!</v>
      </c>
      <c r="AH423" s="129" t="e">
        <f>VLOOKUP(VALUE($U423),test_out_xwalk!$C:$L,7,FALSE)</f>
        <v>#VALUE!</v>
      </c>
      <c r="AI423" s="129" t="e">
        <f>VLOOKUP(VALUE($U423),test_out_xwalk!$C:$L,4,FALSE)</f>
        <v>#VALUE!</v>
      </c>
      <c r="AJ423" s="129" t="e">
        <f>VLOOKUP(VALUE($U423),test_out_xwalk!$C:$L,9,FALSE)</f>
        <v>#VALUE!</v>
      </c>
      <c r="AK423" t="e">
        <f>_xlfn.XLOOKUP(VALUE(U423),test_out_xwalk!C:C,test_out_xwalk!A:A)</f>
        <v>#VALUE!</v>
      </c>
    </row>
    <row r="424" spans="1:37" x14ac:dyDescent="0.55000000000000004">
      <c r="A424" s="121" t="str">
        <f>IF('summary_EPA Pond'!$A424="","Check Summary EPA POND worksheet Column A",'summary_EPA Pond'!$A424)</f>
        <v>Check Summary EPA POND worksheet Column A</v>
      </c>
      <c r="B424" s="121" t="str" cm="1">
        <f t="array" ref="B424">IFERROR(_xlfn.TEXTSPLIT(A424,"_"),"")</f>
        <v>Check Summary EPA POND worksheet Column A</v>
      </c>
      <c r="H424" s="121" t="str" cm="1">
        <f t="array" ref="H424">IF(D424="","",(_xlfn.TEXTSPLIT(D424,"-")))</f>
        <v/>
      </c>
      <c r="K424" s="129" t="e">
        <f>VLOOKUP(VALUE($B424),test_out_xwalk!$C:$L,3,FALSE)</f>
        <v>#VALUE!</v>
      </c>
      <c r="L424" s="129" t="e">
        <f>VLOOKUP(VALUE($B424),test_out_xwalk!$C:$L,5,FALSE)</f>
        <v>#VALUE!</v>
      </c>
      <c r="M424" s="129" t="e">
        <f>VLOOKUP(VALUE($B424),test_out_xwalk!$C:$L,6,FALSE)</f>
        <v>#VALUE!</v>
      </c>
      <c r="N424" s="129" t="e">
        <f>VLOOKUP(VALUE($B424),test_out_xwalk!$C:$L,8,FALSE)</f>
        <v>#VALUE!</v>
      </c>
      <c r="O424" s="129" t="e">
        <f>VLOOKUP(VALUE($B424),test_out_xwalk!$C:$L,7,FALSE)</f>
        <v>#VALUE!</v>
      </c>
      <c r="P424" s="129" t="e">
        <f>VLOOKUP(VALUE($B424),test_out_xwalk!$C:$L,4,FALSE)</f>
        <v>#VALUE!</v>
      </c>
      <c r="Q424" s="129" t="e">
        <f>VLOOKUP(VALUE($B424),test_out_xwalk!$C:$L,9,FALSE)</f>
        <v>#VALUE!</v>
      </c>
      <c r="R424" t="e">
        <f>_xlfn.XLOOKUP(VALUE(B424),test_out_xwalk!$C:$C,test_out_xwalk!$A:$A)</f>
        <v>#VALUE!</v>
      </c>
      <c r="T424" s="121" t="str">
        <f>IF('summary_EPA Pond'!$O424="","Check Summary EPA POND worksheet Column O",'summary_EPA Pond'!$O424)</f>
        <v>Check Summary EPA POND worksheet Column O</v>
      </c>
      <c r="U424" s="121" t="str" cm="1">
        <f t="array" ref="U424">IFERROR(_xlfn.TEXTSPLIT(T424,"_"),"")</f>
        <v>Check Summary EPA POND worksheet Column O</v>
      </c>
      <c r="AA424" s="121" t="str" cm="1">
        <f t="array" ref="AA424">IF(W424="","",(_xlfn.TEXTSPLIT(W424,"-")))</f>
        <v/>
      </c>
      <c r="AD424" s="129" t="e">
        <f>VLOOKUP(VALUE($U424),test_out_xwalk!$C:$L,3,FALSE)</f>
        <v>#VALUE!</v>
      </c>
      <c r="AE424" s="129" t="e">
        <f>VLOOKUP(VALUE($U424),test_out_xwalk!$C:$L,5,FALSE)</f>
        <v>#VALUE!</v>
      </c>
      <c r="AF424" s="129" t="e">
        <f>VLOOKUP(VALUE($U424),test_out_xwalk!$C:$L,6,FALSE)</f>
        <v>#VALUE!</v>
      </c>
      <c r="AG424" s="129" t="e">
        <f>VLOOKUP(VALUE($U424),test_out_xwalk!$C:$L,8,FALSE)</f>
        <v>#VALUE!</v>
      </c>
      <c r="AH424" s="129" t="e">
        <f>VLOOKUP(VALUE($U424),test_out_xwalk!$C:$L,7,FALSE)</f>
        <v>#VALUE!</v>
      </c>
      <c r="AI424" s="129" t="e">
        <f>VLOOKUP(VALUE($U424),test_out_xwalk!$C:$L,4,FALSE)</f>
        <v>#VALUE!</v>
      </c>
      <c r="AJ424" s="129" t="e">
        <f>VLOOKUP(VALUE($U424),test_out_xwalk!$C:$L,9,FALSE)</f>
        <v>#VALUE!</v>
      </c>
      <c r="AK424" t="e">
        <f>_xlfn.XLOOKUP(VALUE(U424),test_out_xwalk!C:C,test_out_xwalk!A:A)</f>
        <v>#VALUE!</v>
      </c>
    </row>
    <row r="425" spans="1:37" x14ac:dyDescent="0.55000000000000004">
      <c r="A425" s="121" t="str">
        <f>IF('summary_EPA Pond'!$A425="","Check Summary EPA POND worksheet Column A",'summary_EPA Pond'!$A425)</f>
        <v>Check Summary EPA POND worksheet Column A</v>
      </c>
      <c r="B425" s="121" t="str" cm="1">
        <f t="array" ref="B425">IFERROR(_xlfn.TEXTSPLIT(A425,"_"),"")</f>
        <v>Check Summary EPA POND worksheet Column A</v>
      </c>
      <c r="H425" s="121" t="str" cm="1">
        <f t="array" ref="H425">IF(D425="","",(_xlfn.TEXTSPLIT(D425,"-")))</f>
        <v/>
      </c>
      <c r="K425" s="129" t="e">
        <f>VLOOKUP(VALUE($B425),test_out_xwalk!$C:$L,3,FALSE)</f>
        <v>#VALUE!</v>
      </c>
      <c r="L425" s="129" t="e">
        <f>VLOOKUP(VALUE($B425),test_out_xwalk!$C:$L,5,FALSE)</f>
        <v>#VALUE!</v>
      </c>
      <c r="M425" s="129" t="e">
        <f>VLOOKUP(VALUE($B425),test_out_xwalk!$C:$L,6,FALSE)</f>
        <v>#VALUE!</v>
      </c>
      <c r="N425" s="129" t="e">
        <f>VLOOKUP(VALUE($B425),test_out_xwalk!$C:$L,8,FALSE)</f>
        <v>#VALUE!</v>
      </c>
      <c r="O425" s="129" t="e">
        <f>VLOOKUP(VALUE($B425),test_out_xwalk!$C:$L,7,FALSE)</f>
        <v>#VALUE!</v>
      </c>
      <c r="P425" s="129" t="e">
        <f>VLOOKUP(VALUE($B425),test_out_xwalk!$C:$L,4,FALSE)</f>
        <v>#VALUE!</v>
      </c>
      <c r="Q425" s="129" t="e">
        <f>VLOOKUP(VALUE($B425),test_out_xwalk!$C:$L,9,FALSE)</f>
        <v>#VALUE!</v>
      </c>
      <c r="R425" t="e">
        <f>_xlfn.XLOOKUP(VALUE(B425),test_out_xwalk!$C:$C,test_out_xwalk!$A:$A)</f>
        <v>#VALUE!</v>
      </c>
      <c r="T425" s="121" t="str">
        <f>IF('summary_EPA Pond'!$O425="","Check Summary EPA POND worksheet Column O",'summary_EPA Pond'!$O425)</f>
        <v>Check Summary EPA POND worksheet Column O</v>
      </c>
      <c r="U425" s="121" t="str" cm="1">
        <f t="array" ref="U425">IFERROR(_xlfn.TEXTSPLIT(T425,"_"),"")</f>
        <v>Check Summary EPA POND worksheet Column O</v>
      </c>
      <c r="AA425" s="121" t="str" cm="1">
        <f t="array" ref="AA425">IF(W425="","",(_xlfn.TEXTSPLIT(W425,"-")))</f>
        <v/>
      </c>
      <c r="AD425" s="129" t="e">
        <f>VLOOKUP(VALUE($U425),test_out_xwalk!$C:$L,3,FALSE)</f>
        <v>#VALUE!</v>
      </c>
      <c r="AE425" s="129" t="e">
        <f>VLOOKUP(VALUE($U425),test_out_xwalk!$C:$L,5,FALSE)</f>
        <v>#VALUE!</v>
      </c>
      <c r="AF425" s="129" t="e">
        <f>VLOOKUP(VALUE($U425),test_out_xwalk!$C:$L,6,FALSE)</f>
        <v>#VALUE!</v>
      </c>
      <c r="AG425" s="129" t="e">
        <f>VLOOKUP(VALUE($U425),test_out_xwalk!$C:$L,8,FALSE)</f>
        <v>#VALUE!</v>
      </c>
      <c r="AH425" s="129" t="e">
        <f>VLOOKUP(VALUE($U425),test_out_xwalk!$C:$L,7,FALSE)</f>
        <v>#VALUE!</v>
      </c>
      <c r="AI425" s="129" t="e">
        <f>VLOOKUP(VALUE($U425),test_out_xwalk!$C:$L,4,FALSE)</f>
        <v>#VALUE!</v>
      </c>
      <c r="AJ425" s="129" t="e">
        <f>VLOOKUP(VALUE($U425),test_out_xwalk!$C:$L,9,FALSE)</f>
        <v>#VALUE!</v>
      </c>
      <c r="AK425" t="e">
        <f>_xlfn.XLOOKUP(VALUE(U425),test_out_xwalk!C:C,test_out_xwalk!A:A)</f>
        <v>#VALUE!</v>
      </c>
    </row>
    <row r="426" spans="1:37" x14ac:dyDescent="0.55000000000000004">
      <c r="A426" s="121" t="str">
        <f>IF('summary_EPA Pond'!$A426="","Check Summary EPA POND worksheet Column A",'summary_EPA Pond'!$A426)</f>
        <v>Check Summary EPA POND worksheet Column A</v>
      </c>
      <c r="B426" s="121" t="str" cm="1">
        <f t="array" ref="B426">IFERROR(_xlfn.TEXTSPLIT(A426,"_"),"")</f>
        <v>Check Summary EPA POND worksheet Column A</v>
      </c>
      <c r="H426" s="121" t="str" cm="1">
        <f t="array" ref="H426">IF(D426="","",(_xlfn.TEXTSPLIT(D426,"-")))</f>
        <v/>
      </c>
      <c r="K426" s="129" t="e">
        <f>VLOOKUP(VALUE($B426),test_out_xwalk!$C:$L,3,FALSE)</f>
        <v>#VALUE!</v>
      </c>
      <c r="L426" s="129" t="e">
        <f>VLOOKUP(VALUE($B426),test_out_xwalk!$C:$L,5,FALSE)</f>
        <v>#VALUE!</v>
      </c>
      <c r="M426" s="129" t="e">
        <f>VLOOKUP(VALUE($B426),test_out_xwalk!$C:$L,6,FALSE)</f>
        <v>#VALUE!</v>
      </c>
      <c r="N426" s="129" t="e">
        <f>VLOOKUP(VALUE($B426),test_out_xwalk!$C:$L,8,FALSE)</f>
        <v>#VALUE!</v>
      </c>
      <c r="O426" s="129" t="e">
        <f>VLOOKUP(VALUE($B426),test_out_xwalk!$C:$L,7,FALSE)</f>
        <v>#VALUE!</v>
      </c>
      <c r="P426" s="129" t="e">
        <f>VLOOKUP(VALUE($B426),test_out_xwalk!$C:$L,4,FALSE)</f>
        <v>#VALUE!</v>
      </c>
      <c r="Q426" s="129" t="e">
        <f>VLOOKUP(VALUE($B426),test_out_xwalk!$C:$L,9,FALSE)</f>
        <v>#VALUE!</v>
      </c>
      <c r="R426" t="e">
        <f>_xlfn.XLOOKUP(VALUE(B426),test_out_xwalk!$C:$C,test_out_xwalk!$A:$A)</f>
        <v>#VALUE!</v>
      </c>
      <c r="T426" s="121" t="str">
        <f>IF('summary_EPA Pond'!$O426="","Check Summary EPA POND worksheet Column O",'summary_EPA Pond'!$O426)</f>
        <v>Check Summary EPA POND worksheet Column O</v>
      </c>
      <c r="U426" s="121" t="str" cm="1">
        <f t="array" ref="U426">IFERROR(_xlfn.TEXTSPLIT(T426,"_"),"")</f>
        <v>Check Summary EPA POND worksheet Column O</v>
      </c>
      <c r="AA426" s="121" t="str" cm="1">
        <f t="array" ref="AA426">IF(W426="","",(_xlfn.TEXTSPLIT(W426,"-")))</f>
        <v/>
      </c>
      <c r="AD426" s="129" t="e">
        <f>VLOOKUP(VALUE($U426),test_out_xwalk!$C:$L,3,FALSE)</f>
        <v>#VALUE!</v>
      </c>
      <c r="AE426" s="129" t="e">
        <f>VLOOKUP(VALUE($U426),test_out_xwalk!$C:$L,5,FALSE)</f>
        <v>#VALUE!</v>
      </c>
      <c r="AF426" s="129" t="e">
        <f>VLOOKUP(VALUE($U426),test_out_xwalk!$C:$L,6,FALSE)</f>
        <v>#VALUE!</v>
      </c>
      <c r="AG426" s="129" t="e">
        <f>VLOOKUP(VALUE($U426),test_out_xwalk!$C:$L,8,FALSE)</f>
        <v>#VALUE!</v>
      </c>
      <c r="AH426" s="129" t="e">
        <f>VLOOKUP(VALUE($U426),test_out_xwalk!$C:$L,7,FALSE)</f>
        <v>#VALUE!</v>
      </c>
      <c r="AI426" s="129" t="e">
        <f>VLOOKUP(VALUE($U426),test_out_xwalk!$C:$L,4,FALSE)</f>
        <v>#VALUE!</v>
      </c>
      <c r="AJ426" s="129" t="e">
        <f>VLOOKUP(VALUE($U426),test_out_xwalk!$C:$L,9,FALSE)</f>
        <v>#VALUE!</v>
      </c>
      <c r="AK426" t="e">
        <f>_xlfn.XLOOKUP(VALUE(U426),test_out_xwalk!C:C,test_out_xwalk!A:A)</f>
        <v>#VALUE!</v>
      </c>
    </row>
    <row r="427" spans="1:37" x14ac:dyDescent="0.55000000000000004">
      <c r="A427" s="121" t="str">
        <f>IF('summary_EPA Pond'!$A427="","Check Summary EPA POND worksheet Column A",'summary_EPA Pond'!$A427)</f>
        <v>Check Summary EPA POND worksheet Column A</v>
      </c>
      <c r="B427" s="121" t="str" cm="1">
        <f t="array" ref="B427">IFERROR(_xlfn.TEXTSPLIT(A427,"_"),"")</f>
        <v>Check Summary EPA POND worksheet Column A</v>
      </c>
      <c r="H427" s="121" t="str" cm="1">
        <f t="array" ref="H427">IF(D427="","",(_xlfn.TEXTSPLIT(D427,"-")))</f>
        <v/>
      </c>
      <c r="K427" s="129" t="e">
        <f>VLOOKUP(VALUE($B427),test_out_xwalk!$C:$L,3,FALSE)</f>
        <v>#VALUE!</v>
      </c>
      <c r="L427" s="129" t="e">
        <f>VLOOKUP(VALUE($B427),test_out_xwalk!$C:$L,5,FALSE)</f>
        <v>#VALUE!</v>
      </c>
      <c r="M427" s="129" t="e">
        <f>VLOOKUP(VALUE($B427),test_out_xwalk!$C:$L,6,FALSE)</f>
        <v>#VALUE!</v>
      </c>
      <c r="N427" s="129" t="e">
        <f>VLOOKUP(VALUE($B427),test_out_xwalk!$C:$L,8,FALSE)</f>
        <v>#VALUE!</v>
      </c>
      <c r="O427" s="129" t="e">
        <f>VLOOKUP(VALUE($B427),test_out_xwalk!$C:$L,7,FALSE)</f>
        <v>#VALUE!</v>
      </c>
      <c r="P427" s="129" t="e">
        <f>VLOOKUP(VALUE($B427),test_out_xwalk!$C:$L,4,FALSE)</f>
        <v>#VALUE!</v>
      </c>
      <c r="Q427" s="129" t="e">
        <f>VLOOKUP(VALUE($B427),test_out_xwalk!$C:$L,9,FALSE)</f>
        <v>#VALUE!</v>
      </c>
      <c r="R427" t="e">
        <f>_xlfn.XLOOKUP(VALUE(B427),test_out_xwalk!$C:$C,test_out_xwalk!$A:$A)</f>
        <v>#VALUE!</v>
      </c>
      <c r="T427" s="121" t="str">
        <f>IF('summary_EPA Pond'!$O427="","Check Summary EPA POND worksheet Column O",'summary_EPA Pond'!$O427)</f>
        <v>Check Summary EPA POND worksheet Column O</v>
      </c>
      <c r="U427" s="121" t="str" cm="1">
        <f t="array" ref="U427">IFERROR(_xlfn.TEXTSPLIT(T427,"_"),"")</f>
        <v>Check Summary EPA POND worksheet Column O</v>
      </c>
      <c r="AA427" s="121" t="str" cm="1">
        <f t="array" ref="AA427">IF(W427="","",(_xlfn.TEXTSPLIT(W427,"-")))</f>
        <v/>
      </c>
      <c r="AD427" s="129" t="e">
        <f>VLOOKUP(VALUE($U427),test_out_xwalk!$C:$L,3,FALSE)</f>
        <v>#VALUE!</v>
      </c>
      <c r="AE427" s="129" t="e">
        <f>VLOOKUP(VALUE($U427),test_out_xwalk!$C:$L,5,FALSE)</f>
        <v>#VALUE!</v>
      </c>
      <c r="AF427" s="129" t="e">
        <f>VLOOKUP(VALUE($U427),test_out_xwalk!$C:$L,6,FALSE)</f>
        <v>#VALUE!</v>
      </c>
      <c r="AG427" s="129" t="e">
        <f>VLOOKUP(VALUE($U427),test_out_xwalk!$C:$L,8,FALSE)</f>
        <v>#VALUE!</v>
      </c>
      <c r="AH427" s="129" t="e">
        <f>VLOOKUP(VALUE($U427),test_out_xwalk!$C:$L,7,FALSE)</f>
        <v>#VALUE!</v>
      </c>
      <c r="AI427" s="129" t="e">
        <f>VLOOKUP(VALUE($U427),test_out_xwalk!$C:$L,4,FALSE)</f>
        <v>#VALUE!</v>
      </c>
      <c r="AJ427" s="129" t="e">
        <f>VLOOKUP(VALUE($U427),test_out_xwalk!$C:$L,9,FALSE)</f>
        <v>#VALUE!</v>
      </c>
      <c r="AK427" t="e">
        <f>_xlfn.XLOOKUP(VALUE(U427),test_out_xwalk!C:C,test_out_xwalk!A:A)</f>
        <v>#VALUE!</v>
      </c>
    </row>
    <row r="428" spans="1:37" x14ac:dyDescent="0.55000000000000004">
      <c r="A428" s="121" t="str">
        <f>IF('summary_EPA Pond'!$A428="","Check Summary EPA POND worksheet Column A",'summary_EPA Pond'!$A428)</f>
        <v>Check Summary EPA POND worksheet Column A</v>
      </c>
      <c r="B428" s="121" t="str" cm="1">
        <f t="array" ref="B428">IFERROR(_xlfn.TEXTSPLIT(A428,"_"),"")</f>
        <v>Check Summary EPA POND worksheet Column A</v>
      </c>
      <c r="H428" s="121" t="str" cm="1">
        <f t="array" ref="H428">IF(D428="","",(_xlfn.TEXTSPLIT(D428,"-")))</f>
        <v/>
      </c>
      <c r="K428" s="129" t="e">
        <f>VLOOKUP(VALUE($B428),test_out_xwalk!$C:$L,3,FALSE)</f>
        <v>#VALUE!</v>
      </c>
      <c r="L428" s="129" t="e">
        <f>VLOOKUP(VALUE($B428),test_out_xwalk!$C:$L,5,FALSE)</f>
        <v>#VALUE!</v>
      </c>
      <c r="M428" s="129" t="e">
        <f>VLOOKUP(VALUE($B428),test_out_xwalk!$C:$L,6,FALSE)</f>
        <v>#VALUE!</v>
      </c>
      <c r="N428" s="129" t="e">
        <f>VLOOKUP(VALUE($B428),test_out_xwalk!$C:$L,8,FALSE)</f>
        <v>#VALUE!</v>
      </c>
      <c r="O428" s="129" t="e">
        <f>VLOOKUP(VALUE($B428),test_out_xwalk!$C:$L,7,FALSE)</f>
        <v>#VALUE!</v>
      </c>
      <c r="P428" s="129" t="e">
        <f>VLOOKUP(VALUE($B428),test_out_xwalk!$C:$L,4,FALSE)</f>
        <v>#VALUE!</v>
      </c>
      <c r="Q428" s="129" t="e">
        <f>VLOOKUP(VALUE($B428),test_out_xwalk!$C:$L,9,FALSE)</f>
        <v>#VALUE!</v>
      </c>
      <c r="R428" t="e">
        <f>_xlfn.XLOOKUP(VALUE(B428),test_out_xwalk!$C:$C,test_out_xwalk!$A:$A)</f>
        <v>#VALUE!</v>
      </c>
      <c r="T428" s="121" t="str">
        <f>IF('summary_EPA Pond'!$O428="","Check Summary EPA POND worksheet Column O",'summary_EPA Pond'!$O428)</f>
        <v>Check Summary EPA POND worksheet Column O</v>
      </c>
      <c r="U428" s="121" t="str" cm="1">
        <f t="array" ref="U428">IFERROR(_xlfn.TEXTSPLIT(T428,"_"),"")</f>
        <v>Check Summary EPA POND worksheet Column O</v>
      </c>
      <c r="AA428" s="121" t="str" cm="1">
        <f t="array" ref="AA428">IF(W428="","",(_xlfn.TEXTSPLIT(W428,"-")))</f>
        <v/>
      </c>
      <c r="AD428" s="129" t="e">
        <f>VLOOKUP(VALUE($U428),test_out_xwalk!$C:$L,3,FALSE)</f>
        <v>#VALUE!</v>
      </c>
      <c r="AE428" s="129" t="e">
        <f>VLOOKUP(VALUE($U428),test_out_xwalk!$C:$L,5,FALSE)</f>
        <v>#VALUE!</v>
      </c>
      <c r="AF428" s="129" t="e">
        <f>VLOOKUP(VALUE($U428),test_out_xwalk!$C:$L,6,FALSE)</f>
        <v>#VALUE!</v>
      </c>
      <c r="AG428" s="129" t="e">
        <f>VLOOKUP(VALUE($U428),test_out_xwalk!$C:$L,8,FALSE)</f>
        <v>#VALUE!</v>
      </c>
      <c r="AH428" s="129" t="e">
        <f>VLOOKUP(VALUE($U428),test_out_xwalk!$C:$L,7,FALSE)</f>
        <v>#VALUE!</v>
      </c>
      <c r="AI428" s="129" t="e">
        <f>VLOOKUP(VALUE($U428),test_out_xwalk!$C:$L,4,FALSE)</f>
        <v>#VALUE!</v>
      </c>
      <c r="AJ428" s="129" t="e">
        <f>VLOOKUP(VALUE($U428),test_out_xwalk!$C:$L,9,FALSE)</f>
        <v>#VALUE!</v>
      </c>
      <c r="AK428" t="e">
        <f>_xlfn.XLOOKUP(VALUE(U428),test_out_xwalk!C:C,test_out_xwalk!A:A)</f>
        <v>#VALUE!</v>
      </c>
    </row>
    <row r="429" spans="1:37" x14ac:dyDescent="0.55000000000000004">
      <c r="A429" s="121" t="str">
        <f>IF('summary_EPA Pond'!$A429="","Check Summary EPA POND worksheet Column A",'summary_EPA Pond'!$A429)</f>
        <v>Check Summary EPA POND worksheet Column A</v>
      </c>
      <c r="B429" s="121" t="str" cm="1">
        <f t="array" ref="B429">IFERROR(_xlfn.TEXTSPLIT(A429,"_"),"")</f>
        <v>Check Summary EPA POND worksheet Column A</v>
      </c>
      <c r="H429" s="121" t="str" cm="1">
        <f t="array" ref="H429">IF(D429="","",(_xlfn.TEXTSPLIT(D429,"-")))</f>
        <v/>
      </c>
      <c r="K429" s="129" t="e">
        <f>VLOOKUP(VALUE($B429),test_out_xwalk!$C:$L,3,FALSE)</f>
        <v>#VALUE!</v>
      </c>
      <c r="L429" s="129" t="e">
        <f>VLOOKUP(VALUE($B429),test_out_xwalk!$C:$L,5,FALSE)</f>
        <v>#VALUE!</v>
      </c>
      <c r="M429" s="129" t="e">
        <f>VLOOKUP(VALUE($B429),test_out_xwalk!$C:$L,6,FALSE)</f>
        <v>#VALUE!</v>
      </c>
      <c r="N429" s="129" t="e">
        <f>VLOOKUP(VALUE($B429),test_out_xwalk!$C:$L,8,FALSE)</f>
        <v>#VALUE!</v>
      </c>
      <c r="O429" s="129" t="e">
        <f>VLOOKUP(VALUE($B429),test_out_xwalk!$C:$L,7,FALSE)</f>
        <v>#VALUE!</v>
      </c>
      <c r="P429" s="129" t="e">
        <f>VLOOKUP(VALUE($B429),test_out_xwalk!$C:$L,4,FALSE)</f>
        <v>#VALUE!</v>
      </c>
      <c r="Q429" s="129" t="e">
        <f>VLOOKUP(VALUE($B429),test_out_xwalk!$C:$L,9,FALSE)</f>
        <v>#VALUE!</v>
      </c>
      <c r="R429" t="e">
        <f>_xlfn.XLOOKUP(VALUE(B429),test_out_xwalk!$C:$C,test_out_xwalk!$A:$A)</f>
        <v>#VALUE!</v>
      </c>
      <c r="T429" s="121" t="str">
        <f>IF('summary_EPA Pond'!$O429="","Check Summary EPA POND worksheet Column O",'summary_EPA Pond'!$O429)</f>
        <v>Check Summary EPA POND worksheet Column O</v>
      </c>
      <c r="U429" s="121" t="str" cm="1">
        <f t="array" ref="U429">IFERROR(_xlfn.TEXTSPLIT(T429,"_"),"")</f>
        <v>Check Summary EPA POND worksheet Column O</v>
      </c>
      <c r="AA429" s="121" t="str" cm="1">
        <f t="array" ref="AA429">IF(W429="","",(_xlfn.TEXTSPLIT(W429,"-")))</f>
        <v/>
      </c>
      <c r="AD429" s="129" t="e">
        <f>VLOOKUP(VALUE($U429),test_out_xwalk!$C:$L,3,FALSE)</f>
        <v>#VALUE!</v>
      </c>
      <c r="AE429" s="129" t="e">
        <f>VLOOKUP(VALUE($U429),test_out_xwalk!$C:$L,5,FALSE)</f>
        <v>#VALUE!</v>
      </c>
      <c r="AF429" s="129" t="e">
        <f>VLOOKUP(VALUE($U429),test_out_xwalk!$C:$L,6,FALSE)</f>
        <v>#VALUE!</v>
      </c>
      <c r="AG429" s="129" t="e">
        <f>VLOOKUP(VALUE($U429),test_out_xwalk!$C:$L,8,FALSE)</f>
        <v>#VALUE!</v>
      </c>
      <c r="AH429" s="129" t="e">
        <f>VLOOKUP(VALUE($U429),test_out_xwalk!$C:$L,7,FALSE)</f>
        <v>#VALUE!</v>
      </c>
      <c r="AI429" s="129" t="e">
        <f>VLOOKUP(VALUE($U429),test_out_xwalk!$C:$L,4,FALSE)</f>
        <v>#VALUE!</v>
      </c>
      <c r="AJ429" s="129" t="e">
        <f>VLOOKUP(VALUE($U429),test_out_xwalk!$C:$L,9,FALSE)</f>
        <v>#VALUE!</v>
      </c>
      <c r="AK429" t="e">
        <f>_xlfn.XLOOKUP(VALUE(U429),test_out_xwalk!C:C,test_out_xwalk!A:A)</f>
        <v>#VALUE!</v>
      </c>
    </row>
    <row r="430" spans="1:37" x14ac:dyDescent="0.55000000000000004">
      <c r="A430" s="121" t="str">
        <f>IF('summary_EPA Pond'!$A430="","Check Summary EPA POND worksheet Column A",'summary_EPA Pond'!$A430)</f>
        <v>Check Summary EPA POND worksheet Column A</v>
      </c>
      <c r="B430" s="121" t="str" cm="1">
        <f t="array" ref="B430">IFERROR(_xlfn.TEXTSPLIT(A430,"_"),"")</f>
        <v>Check Summary EPA POND worksheet Column A</v>
      </c>
      <c r="H430" s="121" t="str" cm="1">
        <f t="array" ref="H430">IF(D430="","",(_xlfn.TEXTSPLIT(D430,"-")))</f>
        <v/>
      </c>
      <c r="K430" s="129" t="e">
        <f>VLOOKUP(VALUE($B430),test_out_xwalk!$C:$L,3,FALSE)</f>
        <v>#VALUE!</v>
      </c>
      <c r="L430" s="129" t="e">
        <f>VLOOKUP(VALUE($B430),test_out_xwalk!$C:$L,5,FALSE)</f>
        <v>#VALUE!</v>
      </c>
      <c r="M430" s="129" t="e">
        <f>VLOOKUP(VALUE($B430),test_out_xwalk!$C:$L,6,FALSE)</f>
        <v>#VALUE!</v>
      </c>
      <c r="N430" s="129" t="e">
        <f>VLOOKUP(VALUE($B430),test_out_xwalk!$C:$L,8,FALSE)</f>
        <v>#VALUE!</v>
      </c>
      <c r="O430" s="129" t="e">
        <f>VLOOKUP(VALUE($B430),test_out_xwalk!$C:$L,7,FALSE)</f>
        <v>#VALUE!</v>
      </c>
      <c r="P430" s="129" t="e">
        <f>VLOOKUP(VALUE($B430),test_out_xwalk!$C:$L,4,FALSE)</f>
        <v>#VALUE!</v>
      </c>
      <c r="Q430" s="129" t="e">
        <f>VLOOKUP(VALUE($B430),test_out_xwalk!$C:$L,9,FALSE)</f>
        <v>#VALUE!</v>
      </c>
      <c r="R430" t="e">
        <f>_xlfn.XLOOKUP(VALUE(B430),test_out_xwalk!$C:$C,test_out_xwalk!$A:$A)</f>
        <v>#VALUE!</v>
      </c>
      <c r="T430" s="121" t="str">
        <f>IF('summary_EPA Pond'!$O430="","Check Summary EPA POND worksheet Column O",'summary_EPA Pond'!$O430)</f>
        <v>Check Summary EPA POND worksheet Column O</v>
      </c>
      <c r="U430" s="121" t="str" cm="1">
        <f t="array" ref="U430">IFERROR(_xlfn.TEXTSPLIT(T430,"_"),"")</f>
        <v>Check Summary EPA POND worksheet Column O</v>
      </c>
      <c r="AA430" s="121" t="str" cm="1">
        <f t="array" ref="AA430">IF(W430="","",(_xlfn.TEXTSPLIT(W430,"-")))</f>
        <v/>
      </c>
      <c r="AD430" s="129" t="e">
        <f>VLOOKUP(VALUE($U430),test_out_xwalk!$C:$L,3,FALSE)</f>
        <v>#VALUE!</v>
      </c>
      <c r="AE430" s="129" t="e">
        <f>VLOOKUP(VALUE($U430),test_out_xwalk!$C:$L,5,FALSE)</f>
        <v>#VALUE!</v>
      </c>
      <c r="AF430" s="129" t="e">
        <f>VLOOKUP(VALUE($U430),test_out_xwalk!$C:$L,6,FALSE)</f>
        <v>#VALUE!</v>
      </c>
      <c r="AG430" s="129" t="e">
        <f>VLOOKUP(VALUE($U430),test_out_xwalk!$C:$L,8,FALSE)</f>
        <v>#VALUE!</v>
      </c>
      <c r="AH430" s="129" t="e">
        <f>VLOOKUP(VALUE($U430),test_out_xwalk!$C:$L,7,FALSE)</f>
        <v>#VALUE!</v>
      </c>
      <c r="AI430" s="129" t="e">
        <f>VLOOKUP(VALUE($U430),test_out_xwalk!$C:$L,4,FALSE)</f>
        <v>#VALUE!</v>
      </c>
      <c r="AJ430" s="129" t="e">
        <f>VLOOKUP(VALUE($U430),test_out_xwalk!$C:$L,9,FALSE)</f>
        <v>#VALUE!</v>
      </c>
      <c r="AK430" t="e">
        <f>_xlfn.XLOOKUP(VALUE(U430),test_out_xwalk!C:C,test_out_xwalk!A:A)</f>
        <v>#VALUE!</v>
      </c>
    </row>
    <row r="431" spans="1:37" x14ac:dyDescent="0.55000000000000004">
      <c r="A431" s="121" t="str">
        <f>IF('summary_EPA Pond'!$A431="","Check Summary EPA POND worksheet Column A",'summary_EPA Pond'!$A431)</f>
        <v>Check Summary EPA POND worksheet Column A</v>
      </c>
      <c r="B431" s="121" t="str" cm="1">
        <f t="array" ref="B431">IFERROR(_xlfn.TEXTSPLIT(A431,"_"),"")</f>
        <v>Check Summary EPA POND worksheet Column A</v>
      </c>
      <c r="H431" s="121" t="str" cm="1">
        <f t="array" ref="H431">IF(D431="","",(_xlfn.TEXTSPLIT(D431,"-")))</f>
        <v/>
      </c>
      <c r="K431" s="129" t="e">
        <f>VLOOKUP(VALUE($B431),test_out_xwalk!$C:$L,3,FALSE)</f>
        <v>#VALUE!</v>
      </c>
      <c r="L431" s="129" t="e">
        <f>VLOOKUP(VALUE($B431),test_out_xwalk!$C:$L,5,FALSE)</f>
        <v>#VALUE!</v>
      </c>
      <c r="M431" s="129" t="e">
        <f>VLOOKUP(VALUE($B431),test_out_xwalk!$C:$L,6,FALSE)</f>
        <v>#VALUE!</v>
      </c>
      <c r="N431" s="129" t="e">
        <f>VLOOKUP(VALUE($B431),test_out_xwalk!$C:$L,8,FALSE)</f>
        <v>#VALUE!</v>
      </c>
      <c r="O431" s="129" t="e">
        <f>VLOOKUP(VALUE($B431),test_out_xwalk!$C:$L,7,FALSE)</f>
        <v>#VALUE!</v>
      </c>
      <c r="P431" s="129" t="e">
        <f>VLOOKUP(VALUE($B431),test_out_xwalk!$C:$L,4,FALSE)</f>
        <v>#VALUE!</v>
      </c>
      <c r="Q431" s="129" t="e">
        <f>VLOOKUP(VALUE($B431),test_out_xwalk!$C:$L,9,FALSE)</f>
        <v>#VALUE!</v>
      </c>
      <c r="R431" t="e">
        <f>_xlfn.XLOOKUP(VALUE(B431),test_out_xwalk!$C:$C,test_out_xwalk!$A:$A)</f>
        <v>#VALUE!</v>
      </c>
      <c r="T431" s="121" t="str">
        <f>IF('summary_EPA Pond'!$O431="","Check Summary EPA POND worksheet Column O",'summary_EPA Pond'!$O431)</f>
        <v>Check Summary EPA POND worksheet Column O</v>
      </c>
      <c r="U431" s="121" t="str" cm="1">
        <f t="array" ref="U431">IFERROR(_xlfn.TEXTSPLIT(T431,"_"),"")</f>
        <v>Check Summary EPA POND worksheet Column O</v>
      </c>
      <c r="AA431" s="121" t="str" cm="1">
        <f t="array" ref="AA431">IF(W431="","",(_xlfn.TEXTSPLIT(W431,"-")))</f>
        <v/>
      </c>
      <c r="AD431" s="129" t="e">
        <f>VLOOKUP(VALUE($U431),test_out_xwalk!$C:$L,3,FALSE)</f>
        <v>#VALUE!</v>
      </c>
      <c r="AE431" s="129" t="e">
        <f>VLOOKUP(VALUE($U431),test_out_xwalk!$C:$L,5,FALSE)</f>
        <v>#VALUE!</v>
      </c>
      <c r="AF431" s="129" t="e">
        <f>VLOOKUP(VALUE($U431),test_out_xwalk!$C:$L,6,FALSE)</f>
        <v>#VALUE!</v>
      </c>
      <c r="AG431" s="129" t="e">
        <f>VLOOKUP(VALUE($U431),test_out_xwalk!$C:$L,8,FALSE)</f>
        <v>#VALUE!</v>
      </c>
      <c r="AH431" s="129" t="e">
        <f>VLOOKUP(VALUE($U431),test_out_xwalk!$C:$L,7,FALSE)</f>
        <v>#VALUE!</v>
      </c>
      <c r="AI431" s="129" t="e">
        <f>VLOOKUP(VALUE($U431),test_out_xwalk!$C:$L,4,FALSE)</f>
        <v>#VALUE!</v>
      </c>
      <c r="AJ431" s="129" t="e">
        <f>VLOOKUP(VALUE($U431),test_out_xwalk!$C:$L,9,FALSE)</f>
        <v>#VALUE!</v>
      </c>
      <c r="AK431" t="e">
        <f>_xlfn.XLOOKUP(VALUE(U431),test_out_xwalk!C:C,test_out_xwalk!A:A)</f>
        <v>#VALUE!</v>
      </c>
    </row>
    <row r="432" spans="1:37" x14ac:dyDescent="0.55000000000000004">
      <c r="A432" s="121" t="str">
        <f>IF('summary_EPA Pond'!$A432="","Check Summary EPA POND worksheet Column A",'summary_EPA Pond'!$A432)</f>
        <v>Check Summary EPA POND worksheet Column A</v>
      </c>
      <c r="B432" s="121" t="str" cm="1">
        <f t="array" ref="B432">IFERROR(_xlfn.TEXTSPLIT(A432,"_"),"")</f>
        <v>Check Summary EPA POND worksheet Column A</v>
      </c>
      <c r="H432" s="121" t="str" cm="1">
        <f t="array" ref="H432">IF(D432="","",(_xlfn.TEXTSPLIT(D432,"-")))</f>
        <v/>
      </c>
      <c r="K432" s="129" t="e">
        <f>VLOOKUP(VALUE($B432),test_out_xwalk!$C:$L,3,FALSE)</f>
        <v>#VALUE!</v>
      </c>
      <c r="L432" s="129" t="e">
        <f>VLOOKUP(VALUE($B432),test_out_xwalk!$C:$L,5,FALSE)</f>
        <v>#VALUE!</v>
      </c>
      <c r="M432" s="129" t="e">
        <f>VLOOKUP(VALUE($B432),test_out_xwalk!$C:$L,6,FALSE)</f>
        <v>#VALUE!</v>
      </c>
      <c r="N432" s="129" t="e">
        <f>VLOOKUP(VALUE($B432),test_out_xwalk!$C:$L,8,FALSE)</f>
        <v>#VALUE!</v>
      </c>
      <c r="O432" s="129" t="e">
        <f>VLOOKUP(VALUE($B432),test_out_xwalk!$C:$L,7,FALSE)</f>
        <v>#VALUE!</v>
      </c>
      <c r="P432" s="129" t="e">
        <f>VLOOKUP(VALUE($B432),test_out_xwalk!$C:$L,4,FALSE)</f>
        <v>#VALUE!</v>
      </c>
      <c r="Q432" s="129" t="e">
        <f>VLOOKUP(VALUE($B432),test_out_xwalk!$C:$L,9,FALSE)</f>
        <v>#VALUE!</v>
      </c>
      <c r="R432" t="e">
        <f>_xlfn.XLOOKUP(VALUE(B432),test_out_xwalk!$C:$C,test_out_xwalk!$A:$A)</f>
        <v>#VALUE!</v>
      </c>
      <c r="T432" s="121" t="str">
        <f>IF('summary_EPA Pond'!$O432="","Check Summary EPA POND worksheet Column O",'summary_EPA Pond'!$O432)</f>
        <v>Check Summary EPA POND worksheet Column O</v>
      </c>
      <c r="U432" s="121" t="str" cm="1">
        <f t="array" ref="U432">IFERROR(_xlfn.TEXTSPLIT(T432,"_"),"")</f>
        <v>Check Summary EPA POND worksheet Column O</v>
      </c>
      <c r="AA432" s="121" t="str" cm="1">
        <f t="array" ref="AA432">IF(W432="","",(_xlfn.TEXTSPLIT(W432,"-")))</f>
        <v/>
      </c>
      <c r="AD432" s="129" t="e">
        <f>VLOOKUP(VALUE($U432),test_out_xwalk!$C:$L,3,FALSE)</f>
        <v>#VALUE!</v>
      </c>
      <c r="AE432" s="129" t="e">
        <f>VLOOKUP(VALUE($U432),test_out_xwalk!$C:$L,5,FALSE)</f>
        <v>#VALUE!</v>
      </c>
      <c r="AF432" s="129" t="e">
        <f>VLOOKUP(VALUE($U432),test_out_xwalk!$C:$L,6,FALSE)</f>
        <v>#VALUE!</v>
      </c>
      <c r="AG432" s="129" t="e">
        <f>VLOOKUP(VALUE($U432),test_out_xwalk!$C:$L,8,FALSE)</f>
        <v>#VALUE!</v>
      </c>
      <c r="AH432" s="129" t="e">
        <f>VLOOKUP(VALUE($U432),test_out_xwalk!$C:$L,7,FALSE)</f>
        <v>#VALUE!</v>
      </c>
      <c r="AI432" s="129" t="e">
        <f>VLOOKUP(VALUE($U432),test_out_xwalk!$C:$L,4,FALSE)</f>
        <v>#VALUE!</v>
      </c>
      <c r="AJ432" s="129" t="e">
        <f>VLOOKUP(VALUE($U432),test_out_xwalk!$C:$L,9,FALSE)</f>
        <v>#VALUE!</v>
      </c>
      <c r="AK432" t="e">
        <f>_xlfn.XLOOKUP(VALUE(U432),test_out_xwalk!C:C,test_out_xwalk!A:A)</f>
        <v>#VALUE!</v>
      </c>
    </row>
    <row r="433" spans="1:37" x14ac:dyDescent="0.55000000000000004">
      <c r="A433" s="121" t="str">
        <f>IF('summary_EPA Pond'!$A433="","Check Summary EPA POND worksheet Column A",'summary_EPA Pond'!$A433)</f>
        <v>Check Summary EPA POND worksheet Column A</v>
      </c>
      <c r="B433" s="121" t="str" cm="1">
        <f t="array" ref="B433">IFERROR(_xlfn.TEXTSPLIT(A433,"_"),"")</f>
        <v>Check Summary EPA POND worksheet Column A</v>
      </c>
      <c r="H433" s="121" t="str" cm="1">
        <f t="array" ref="H433">IF(D433="","",(_xlfn.TEXTSPLIT(D433,"-")))</f>
        <v/>
      </c>
      <c r="K433" s="129" t="e">
        <f>VLOOKUP(VALUE($B433),test_out_xwalk!$C:$L,3,FALSE)</f>
        <v>#VALUE!</v>
      </c>
      <c r="L433" s="129" t="e">
        <f>VLOOKUP(VALUE($B433),test_out_xwalk!$C:$L,5,FALSE)</f>
        <v>#VALUE!</v>
      </c>
      <c r="M433" s="129" t="e">
        <f>VLOOKUP(VALUE($B433),test_out_xwalk!$C:$L,6,FALSE)</f>
        <v>#VALUE!</v>
      </c>
      <c r="N433" s="129" t="e">
        <f>VLOOKUP(VALUE($B433),test_out_xwalk!$C:$L,8,FALSE)</f>
        <v>#VALUE!</v>
      </c>
      <c r="O433" s="129" t="e">
        <f>VLOOKUP(VALUE($B433),test_out_xwalk!$C:$L,7,FALSE)</f>
        <v>#VALUE!</v>
      </c>
      <c r="P433" s="129" t="e">
        <f>VLOOKUP(VALUE($B433),test_out_xwalk!$C:$L,4,FALSE)</f>
        <v>#VALUE!</v>
      </c>
      <c r="Q433" s="129" t="e">
        <f>VLOOKUP(VALUE($B433),test_out_xwalk!$C:$L,9,FALSE)</f>
        <v>#VALUE!</v>
      </c>
      <c r="R433" t="e">
        <f>_xlfn.XLOOKUP(VALUE(B433),test_out_xwalk!$C:$C,test_out_xwalk!$A:$A)</f>
        <v>#VALUE!</v>
      </c>
      <c r="T433" s="121" t="str">
        <f>IF('summary_EPA Pond'!$O433="","Check Summary EPA POND worksheet Column O",'summary_EPA Pond'!$O433)</f>
        <v>Check Summary EPA POND worksheet Column O</v>
      </c>
      <c r="U433" s="121" t="str" cm="1">
        <f t="array" ref="U433">IFERROR(_xlfn.TEXTSPLIT(T433,"_"),"")</f>
        <v>Check Summary EPA POND worksheet Column O</v>
      </c>
      <c r="AA433" s="121" t="str" cm="1">
        <f t="array" ref="AA433">IF(W433="","",(_xlfn.TEXTSPLIT(W433,"-")))</f>
        <v/>
      </c>
      <c r="AD433" s="129" t="e">
        <f>VLOOKUP(VALUE($U433),test_out_xwalk!$C:$L,3,FALSE)</f>
        <v>#VALUE!</v>
      </c>
      <c r="AE433" s="129" t="e">
        <f>VLOOKUP(VALUE($U433),test_out_xwalk!$C:$L,5,FALSE)</f>
        <v>#VALUE!</v>
      </c>
      <c r="AF433" s="129" t="e">
        <f>VLOOKUP(VALUE($U433),test_out_xwalk!$C:$L,6,FALSE)</f>
        <v>#VALUE!</v>
      </c>
      <c r="AG433" s="129" t="e">
        <f>VLOOKUP(VALUE($U433),test_out_xwalk!$C:$L,8,FALSE)</f>
        <v>#VALUE!</v>
      </c>
      <c r="AH433" s="129" t="e">
        <f>VLOOKUP(VALUE($U433),test_out_xwalk!$C:$L,7,FALSE)</f>
        <v>#VALUE!</v>
      </c>
      <c r="AI433" s="129" t="e">
        <f>VLOOKUP(VALUE($U433),test_out_xwalk!$C:$L,4,FALSE)</f>
        <v>#VALUE!</v>
      </c>
      <c r="AJ433" s="129" t="e">
        <f>VLOOKUP(VALUE($U433),test_out_xwalk!$C:$L,9,FALSE)</f>
        <v>#VALUE!</v>
      </c>
      <c r="AK433" t="e">
        <f>_xlfn.XLOOKUP(VALUE(U433),test_out_xwalk!C:C,test_out_xwalk!A:A)</f>
        <v>#VALUE!</v>
      </c>
    </row>
    <row r="434" spans="1:37" x14ac:dyDescent="0.55000000000000004">
      <c r="A434" s="121" t="str">
        <f>IF('summary_EPA Pond'!$A434="","Check Summary EPA POND worksheet Column A",'summary_EPA Pond'!$A434)</f>
        <v>Check Summary EPA POND worksheet Column A</v>
      </c>
      <c r="B434" s="121" t="str" cm="1">
        <f t="array" ref="B434">IFERROR(_xlfn.TEXTSPLIT(A434,"_"),"")</f>
        <v>Check Summary EPA POND worksheet Column A</v>
      </c>
      <c r="H434" s="121" t="str" cm="1">
        <f t="array" ref="H434">IF(D434="","",(_xlfn.TEXTSPLIT(D434,"-")))</f>
        <v/>
      </c>
      <c r="K434" s="129" t="e">
        <f>VLOOKUP(VALUE($B434),test_out_xwalk!$C:$L,3,FALSE)</f>
        <v>#VALUE!</v>
      </c>
      <c r="L434" s="129" t="e">
        <f>VLOOKUP(VALUE($B434),test_out_xwalk!$C:$L,5,FALSE)</f>
        <v>#VALUE!</v>
      </c>
      <c r="M434" s="129" t="e">
        <f>VLOOKUP(VALUE($B434),test_out_xwalk!$C:$L,6,FALSE)</f>
        <v>#VALUE!</v>
      </c>
      <c r="N434" s="129" t="e">
        <f>VLOOKUP(VALUE($B434),test_out_xwalk!$C:$L,8,FALSE)</f>
        <v>#VALUE!</v>
      </c>
      <c r="O434" s="129" t="e">
        <f>VLOOKUP(VALUE($B434),test_out_xwalk!$C:$L,7,FALSE)</f>
        <v>#VALUE!</v>
      </c>
      <c r="P434" s="129" t="e">
        <f>VLOOKUP(VALUE($B434),test_out_xwalk!$C:$L,4,FALSE)</f>
        <v>#VALUE!</v>
      </c>
      <c r="Q434" s="129" t="e">
        <f>VLOOKUP(VALUE($B434),test_out_xwalk!$C:$L,9,FALSE)</f>
        <v>#VALUE!</v>
      </c>
      <c r="R434" t="e">
        <f>_xlfn.XLOOKUP(VALUE(B434),test_out_xwalk!$C:$C,test_out_xwalk!$A:$A)</f>
        <v>#VALUE!</v>
      </c>
      <c r="T434" s="121" t="str">
        <f>IF('summary_EPA Pond'!$O434="","Check Summary EPA POND worksheet Column O",'summary_EPA Pond'!$O434)</f>
        <v>Check Summary EPA POND worksheet Column O</v>
      </c>
      <c r="U434" s="121" t="str" cm="1">
        <f t="array" ref="U434">IFERROR(_xlfn.TEXTSPLIT(T434,"_"),"")</f>
        <v>Check Summary EPA POND worksheet Column O</v>
      </c>
      <c r="AA434" s="121" t="str" cm="1">
        <f t="array" ref="AA434">IF(W434="","",(_xlfn.TEXTSPLIT(W434,"-")))</f>
        <v/>
      </c>
      <c r="AD434" s="129" t="e">
        <f>VLOOKUP(VALUE($U434),test_out_xwalk!$C:$L,3,FALSE)</f>
        <v>#VALUE!</v>
      </c>
      <c r="AE434" s="129" t="e">
        <f>VLOOKUP(VALUE($U434),test_out_xwalk!$C:$L,5,FALSE)</f>
        <v>#VALUE!</v>
      </c>
      <c r="AF434" s="129" t="e">
        <f>VLOOKUP(VALUE($U434),test_out_xwalk!$C:$L,6,FALSE)</f>
        <v>#VALUE!</v>
      </c>
      <c r="AG434" s="129" t="e">
        <f>VLOOKUP(VALUE($U434),test_out_xwalk!$C:$L,8,FALSE)</f>
        <v>#VALUE!</v>
      </c>
      <c r="AH434" s="129" t="e">
        <f>VLOOKUP(VALUE($U434),test_out_xwalk!$C:$L,7,FALSE)</f>
        <v>#VALUE!</v>
      </c>
      <c r="AI434" s="129" t="e">
        <f>VLOOKUP(VALUE($U434),test_out_xwalk!$C:$L,4,FALSE)</f>
        <v>#VALUE!</v>
      </c>
      <c r="AJ434" s="129" t="e">
        <f>VLOOKUP(VALUE($U434),test_out_xwalk!$C:$L,9,FALSE)</f>
        <v>#VALUE!</v>
      </c>
      <c r="AK434" t="e">
        <f>_xlfn.XLOOKUP(VALUE(U434),test_out_xwalk!C:C,test_out_xwalk!A:A)</f>
        <v>#VALUE!</v>
      </c>
    </row>
    <row r="435" spans="1:37" x14ac:dyDescent="0.55000000000000004">
      <c r="A435" s="121" t="str">
        <f>IF('summary_EPA Pond'!$A435="","Check Summary EPA POND worksheet Column A",'summary_EPA Pond'!$A435)</f>
        <v>Check Summary EPA POND worksheet Column A</v>
      </c>
      <c r="B435" s="121" t="str" cm="1">
        <f t="array" ref="B435">IFERROR(_xlfn.TEXTSPLIT(A435,"_"),"")</f>
        <v>Check Summary EPA POND worksheet Column A</v>
      </c>
      <c r="H435" s="121" t="str" cm="1">
        <f t="array" ref="H435">IF(D435="","",(_xlfn.TEXTSPLIT(D435,"-")))</f>
        <v/>
      </c>
      <c r="K435" s="129" t="e">
        <f>VLOOKUP(VALUE($B435),test_out_xwalk!$C:$L,3,FALSE)</f>
        <v>#VALUE!</v>
      </c>
      <c r="L435" s="129" t="e">
        <f>VLOOKUP(VALUE($B435),test_out_xwalk!$C:$L,5,FALSE)</f>
        <v>#VALUE!</v>
      </c>
      <c r="M435" s="129" t="e">
        <f>VLOOKUP(VALUE($B435),test_out_xwalk!$C:$L,6,FALSE)</f>
        <v>#VALUE!</v>
      </c>
      <c r="N435" s="129" t="e">
        <f>VLOOKUP(VALUE($B435),test_out_xwalk!$C:$L,8,FALSE)</f>
        <v>#VALUE!</v>
      </c>
      <c r="O435" s="129" t="e">
        <f>VLOOKUP(VALUE($B435),test_out_xwalk!$C:$L,7,FALSE)</f>
        <v>#VALUE!</v>
      </c>
      <c r="P435" s="129" t="e">
        <f>VLOOKUP(VALUE($B435),test_out_xwalk!$C:$L,4,FALSE)</f>
        <v>#VALUE!</v>
      </c>
      <c r="Q435" s="129" t="e">
        <f>VLOOKUP(VALUE($B435),test_out_xwalk!$C:$L,9,FALSE)</f>
        <v>#VALUE!</v>
      </c>
      <c r="R435" t="e">
        <f>_xlfn.XLOOKUP(VALUE(B435),test_out_xwalk!$C:$C,test_out_xwalk!$A:$A)</f>
        <v>#VALUE!</v>
      </c>
      <c r="T435" s="121" t="str">
        <f>IF('summary_EPA Pond'!$O435="","Check Summary EPA POND worksheet Column O",'summary_EPA Pond'!$O435)</f>
        <v>Check Summary EPA POND worksheet Column O</v>
      </c>
      <c r="U435" s="121" t="str" cm="1">
        <f t="array" ref="U435">IFERROR(_xlfn.TEXTSPLIT(T435,"_"),"")</f>
        <v>Check Summary EPA POND worksheet Column O</v>
      </c>
      <c r="AA435" s="121" t="str" cm="1">
        <f t="array" ref="AA435">IF(W435="","",(_xlfn.TEXTSPLIT(W435,"-")))</f>
        <v/>
      </c>
      <c r="AD435" s="129" t="e">
        <f>VLOOKUP(VALUE($U435),test_out_xwalk!$C:$L,3,FALSE)</f>
        <v>#VALUE!</v>
      </c>
      <c r="AE435" s="129" t="e">
        <f>VLOOKUP(VALUE($U435),test_out_xwalk!$C:$L,5,FALSE)</f>
        <v>#VALUE!</v>
      </c>
      <c r="AF435" s="129" t="e">
        <f>VLOOKUP(VALUE($U435),test_out_xwalk!$C:$L,6,FALSE)</f>
        <v>#VALUE!</v>
      </c>
      <c r="AG435" s="129" t="e">
        <f>VLOOKUP(VALUE($U435),test_out_xwalk!$C:$L,8,FALSE)</f>
        <v>#VALUE!</v>
      </c>
      <c r="AH435" s="129" t="e">
        <f>VLOOKUP(VALUE($U435),test_out_xwalk!$C:$L,7,FALSE)</f>
        <v>#VALUE!</v>
      </c>
      <c r="AI435" s="129" t="e">
        <f>VLOOKUP(VALUE($U435),test_out_xwalk!$C:$L,4,FALSE)</f>
        <v>#VALUE!</v>
      </c>
      <c r="AJ435" s="129" t="e">
        <f>VLOOKUP(VALUE($U435),test_out_xwalk!$C:$L,9,FALSE)</f>
        <v>#VALUE!</v>
      </c>
      <c r="AK435" t="e">
        <f>_xlfn.XLOOKUP(VALUE(U435),test_out_xwalk!C:C,test_out_xwalk!A:A)</f>
        <v>#VALUE!</v>
      </c>
    </row>
    <row r="436" spans="1:37" x14ac:dyDescent="0.55000000000000004">
      <c r="A436" s="121" t="str">
        <f>IF('summary_EPA Pond'!$A436="","Check Summary EPA POND worksheet Column A",'summary_EPA Pond'!$A436)</f>
        <v>Check Summary EPA POND worksheet Column A</v>
      </c>
      <c r="B436" s="121" t="str" cm="1">
        <f t="array" ref="B436">IFERROR(_xlfn.TEXTSPLIT(A436,"_"),"")</f>
        <v>Check Summary EPA POND worksheet Column A</v>
      </c>
      <c r="H436" s="121" t="str" cm="1">
        <f t="array" ref="H436">IF(D436="","",(_xlfn.TEXTSPLIT(D436,"-")))</f>
        <v/>
      </c>
      <c r="K436" s="129" t="e">
        <f>VLOOKUP(VALUE($B436),test_out_xwalk!$C:$L,3,FALSE)</f>
        <v>#VALUE!</v>
      </c>
      <c r="L436" s="129" t="e">
        <f>VLOOKUP(VALUE($B436),test_out_xwalk!$C:$L,5,FALSE)</f>
        <v>#VALUE!</v>
      </c>
      <c r="M436" s="129" t="e">
        <f>VLOOKUP(VALUE($B436),test_out_xwalk!$C:$L,6,FALSE)</f>
        <v>#VALUE!</v>
      </c>
      <c r="N436" s="129" t="e">
        <f>VLOOKUP(VALUE($B436),test_out_xwalk!$C:$L,8,FALSE)</f>
        <v>#VALUE!</v>
      </c>
      <c r="O436" s="129" t="e">
        <f>VLOOKUP(VALUE($B436),test_out_xwalk!$C:$L,7,FALSE)</f>
        <v>#VALUE!</v>
      </c>
      <c r="P436" s="129" t="e">
        <f>VLOOKUP(VALUE($B436),test_out_xwalk!$C:$L,4,FALSE)</f>
        <v>#VALUE!</v>
      </c>
      <c r="Q436" s="129" t="e">
        <f>VLOOKUP(VALUE($B436),test_out_xwalk!$C:$L,9,FALSE)</f>
        <v>#VALUE!</v>
      </c>
      <c r="R436" t="e">
        <f>_xlfn.XLOOKUP(VALUE(B436),test_out_xwalk!$C:$C,test_out_xwalk!$A:$A)</f>
        <v>#VALUE!</v>
      </c>
      <c r="T436" s="121" t="str">
        <f>IF('summary_EPA Pond'!$O436="","Check Summary EPA POND worksheet Column O",'summary_EPA Pond'!$O436)</f>
        <v>Check Summary EPA POND worksheet Column O</v>
      </c>
      <c r="U436" s="121" t="str" cm="1">
        <f t="array" ref="U436">IFERROR(_xlfn.TEXTSPLIT(T436,"_"),"")</f>
        <v>Check Summary EPA POND worksheet Column O</v>
      </c>
      <c r="AA436" s="121" t="str" cm="1">
        <f t="array" ref="AA436">IF(W436="","",(_xlfn.TEXTSPLIT(W436,"-")))</f>
        <v/>
      </c>
      <c r="AD436" s="129" t="e">
        <f>VLOOKUP(VALUE($U436),test_out_xwalk!$C:$L,3,FALSE)</f>
        <v>#VALUE!</v>
      </c>
      <c r="AE436" s="129" t="e">
        <f>VLOOKUP(VALUE($U436),test_out_xwalk!$C:$L,5,FALSE)</f>
        <v>#VALUE!</v>
      </c>
      <c r="AF436" s="129" t="e">
        <f>VLOOKUP(VALUE($U436),test_out_xwalk!$C:$L,6,FALSE)</f>
        <v>#VALUE!</v>
      </c>
      <c r="AG436" s="129" t="e">
        <f>VLOOKUP(VALUE($U436),test_out_xwalk!$C:$L,8,FALSE)</f>
        <v>#VALUE!</v>
      </c>
      <c r="AH436" s="129" t="e">
        <f>VLOOKUP(VALUE($U436),test_out_xwalk!$C:$L,7,FALSE)</f>
        <v>#VALUE!</v>
      </c>
      <c r="AI436" s="129" t="e">
        <f>VLOOKUP(VALUE($U436),test_out_xwalk!$C:$L,4,FALSE)</f>
        <v>#VALUE!</v>
      </c>
      <c r="AJ436" s="129" t="e">
        <f>VLOOKUP(VALUE($U436),test_out_xwalk!$C:$L,9,FALSE)</f>
        <v>#VALUE!</v>
      </c>
      <c r="AK436" t="e">
        <f>_xlfn.XLOOKUP(VALUE(U436),test_out_xwalk!C:C,test_out_xwalk!A:A)</f>
        <v>#VALUE!</v>
      </c>
    </row>
    <row r="437" spans="1:37" x14ac:dyDescent="0.55000000000000004">
      <c r="A437" s="121" t="str">
        <f>IF('summary_EPA Pond'!$A437="","Check Summary EPA POND worksheet Column A",'summary_EPA Pond'!$A437)</f>
        <v>Check Summary EPA POND worksheet Column A</v>
      </c>
      <c r="B437" s="121" t="str" cm="1">
        <f t="array" ref="B437">IFERROR(_xlfn.TEXTSPLIT(A437,"_"),"")</f>
        <v>Check Summary EPA POND worksheet Column A</v>
      </c>
      <c r="H437" s="121" t="str" cm="1">
        <f t="array" ref="H437">IF(D437="","",(_xlfn.TEXTSPLIT(D437,"-")))</f>
        <v/>
      </c>
      <c r="K437" s="129" t="e">
        <f>VLOOKUP(VALUE($B437),test_out_xwalk!$C:$L,3,FALSE)</f>
        <v>#VALUE!</v>
      </c>
      <c r="L437" s="129" t="e">
        <f>VLOOKUP(VALUE($B437),test_out_xwalk!$C:$L,5,FALSE)</f>
        <v>#VALUE!</v>
      </c>
      <c r="M437" s="129" t="e">
        <f>VLOOKUP(VALUE($B437),test_out_xwalk!$C:$L,6,FALSE)</f>
        <v>#VALUE!</v>
      </c>
      <c r="N437" s="129" t="e">
        <f>VLOOKUP(VALUE($B437),test_out_xwalk!$C:$L,8,FALSE)</f>
        <v>#VALUE!</v>
      </c>
      <c r="O437" s="129" t="e">
        <f>VLOOKUP(VALUE($B437),test_out_xwalk!$C:$L,7,FALSE)</f>
        <v>#VALUE!</v>
      </c>
      <c r="P437" s="129" t="e">
        <f>VLOOKUP(VALUE($B437),test_out_xwalk!$C:$L,4,FALSE)</f>
        <v>#VALUE!</v>
      </c>
      <c r="Q437" s="129" t="e">
        <f>VLOOKUP(VALUE($B437),test_out_xwalk!$C:$L,9,FALSE)</f>
        <v>#VALUE!</v>
      </c>
      <c r="R437" t="e">
        <f>_xlfn.XLOOKUP(VALUE(B437),test_out_xwalk!$C:$C,test_out_xwalk!$A:$A)</f>
        <v>#VALUE!</v>
      </c>
      <c r="T437" s="121" t="str">
        <f>IF('summary_EPA Pond'!$O437="","Check Summary EPA POND worksheet Column O",'summary_EPA Pond'!$O437)</f>
        <v>Check Summary EPA POND worksheet Column O</v>
      </c>
      <c r="U437" s="121" t="str" cm="1">
        <f t="array" ref="U437">IFERROR(_xlfn.TEXTSPLIT(T437,"_"),"")</f>
        <v>Check Summary EPA POND worksheet Column O</v>
      </c>
      <c r="AA437" s="121" t="str" cm="1">
        <f t="array" ref="AA437">IF(W437="","",(_xlfn.TEXTSPLIT(W437,"-")))</f>
        <v/>
      </c>
      <c r="AD437" s="129" t="e">
        <f>VLOOKUP(VALUE($U437),test_out_xwalk!$C:$L,3,FALSE)</f>
        <v>#VALUE!</v>
      </c>
      <c r="AE437" s="129" t="e">
        <f>VLOOKUP(VALUE($U437),test_out_xwalk!$C:$L,5,FALSE)</f>
        <v>#VALUE!</v>
      </c>
      <c r="AF437" s="129" t="e">
        <f>VLOOKUP(VALUE($U437),test_out_xwalk!$C:$L,6,FALSE)</f>
        <v>#VALUE!</v>
      </c>
      <c r="AG437" s="129" t="e">
        <f>VLOOKUP(VALUE($U437),test_out_xwalk!$C:$L,8,FALSE)</f>
        <v>#VALUE!</v>
      </c>
      <c r="AH437" s="129" t="e">
        <f>VLOOKUP(VALUE($U437),test_out_xwalk!$C:$L,7,FALSE)</f>
        <v>#VALUE!</v>
      </c>
      <c r="AI437" s="129" t="e">
        <f>VLOOKUP(VALUE($U437),test_out_xwalk!$C:$L,4,FALSE)</f>
        <v>#VALUE!</v>
      </c>
      <c r="AJ437" s="129" t="e">
        <f>VLOOKUP(VALUE($U437),test_out_xwalk!$C:$L,9,FALSE)</f>
        <v>#VALUE!</v>
      </c>
      <c r="AK437" t="e">
        <f>_xlfn.XLOOKUP(VALUE(U437),test_out_xwalk!C:C,test_out_xwalk!A:A)</f>
        <v>#VALUE!</v>
      </c>
    </row>
    <row r="438" spans="1:37" x14ac:dyDescent="0.55000000000000004">
      <c r="A438" s="121" t="str">
        <f>IF('summary_EPA Pond'!$A438="","Check Summary EPA POND worksheet Column A",'summary_EPA Pond'!$A438)</f>
        <v>Check Summary EPA POND worksheet Column A</v>
      </c>
      <c r="B438" s="121" t="str" cm="1">
        <f t="array" ref="B438">IFERROR(_xlfn.TEXTSPLIT(A438,"_"),"")</f>
        <v>Check Summary EPA POND worksheet Column A</v>
      </c>
      <c r="H438" s="121" t="str" cm="1">
        <f t="array" ref="H438">IF(D438="","",(_xlfn.TEXTSPLIT(D438,"-")))</f>
        <v/>
      </c>
      <c r="K438" s="129" t="e">
        <f>VLOOKUP(VALUE($B438),test_out_xwalk!$C:$L,3,FALSE)</f>
        <v>#VALUE!</v>
      </c>
      <c r="L438" s="129" t="e">
        <f>VLOOKUP(VALUE($B438),test_out_xwalk!$C:$L,5,FALSE)</f>
        <v>#VALUE!</v>
      </c>
      <c r="M438" s="129" t="e">
        <f>VLOOKUP(VALUE($B438),test_out_xwalk!$C:$L,6,FALSE)</f>
        <v>#VALUE!</v>
      </c>
      <c r="N438" s="129" t="e">
        <f>VLOOKUP(VALUE($B438),test_out_xwalk!$C:$L,8,FALSE)</f>
        <v>#VALUE!</v>
      </c>
      <c r="O438" s="129" t="e">
        <f>VLOOKUP(VALUE($B438),test_out_xwalk!$C:$L,7,FALSE)</f>
        <v>#VALUE!</v>
      </c>
      <c r="P438" s="129" t="e">
        <f>VLOOKUP(VALUE($B438),test_out_xwalk!$C:$L,4,FALSE)</f>
        <v>#VALUE!</v>
      </c>
      <c r="Q438" s="129" t="e">
        <f>VLOOKUP(VALUE($B438),test_out_xwalk!$C:$L,9,FALSE)</f>
        <v>#VALUE!</v>
      </c>
      <c r="R438" t="e">
        <f>_xlfn.XLOOKUP(VALUE(B438),test_out_xwalk!$C:$C,test_out_xwalk!$A:$A)</f>
        <v>#VALUE!</v>
      </c>
      <c r="T438" s="121" t="str">
        <f>IF('summary_EPA Pond'!$O438="","Check Summary EPA POND worksheet Column O",'summary_EPA Pond'!$O438)</f>
        <v>Check Summary EPA POND worksheet Column O</v>
      </c>
      <c r="U438" s="121" t="str" cm="1">
        <f t="array" ref="U438">IFERROR(_xlfn.TEXTSPLIT(T438,"_"),"")</f>
        <v>Check Summary EPA POND worksheet Column O</v>
      </c>
      <c r="AA438" s="121" t="str" cm="1">
        <f t="array" ref="AA438">IF(W438="","",(_xlfn.TEXTSPLIT(W438,"-")))</f>
        <v/>
      </c>
      <c r="AD438" s="129" t="e">
        <f>VLOOKUP(VALUE($U438),test_out_xwalk!$C:$L,3,FALSE)</f>
        <v>#VALUE!</v>
      </c>
      <c r="AE438" s="129" t="e">
        <f>VLOOKUP(VALUE($U438),test_out_xwalk!$C:$L,5,FALSE)</f>
        <v>#VALUE!</v>
      </c>
      <c r="AF438" s="129" t="e">
        <f>VLOOKUP(VALUE($U438),test_out_xwalk!$C:$L,6,FALSE)</f>
        <v>#VALUE!</v>
      </c>
      <c r="AG438" s="129" t="e">
        <f>VLOOKUP(VALUE($U438),test_out_xwalk!$C:$L,8,FALSE)</f>
        <v>#VALUE!</v>
      </c>
      <c r="AH438" s="129" t="e">
        <f>VLOOKUP(VALUE($U438),test_out_xwalk!$C:$L,7,FALSE)</f>
        <v>#VALUE!</v>
      </c>
      <c r="AI438" s="129" t="e">
        <f>VLOOKUP(VALUE($U438),test_out_xwalk!$C:$L,4,FALSE)</f>
        <v>#VALUE!</v>
      </c>
      <c r="AJ438" s="129" t="e">
        <f>VLOOKUP(VALUE($U438),test_out_xwalk!$C:$L,9,FALSE)</f>
        <v>#VALUE!</v>
      </c>
      <c r="AK438" t="e">
        <f>_xlfn.XLOOKUP(VALUE(U438),test_out_xwalk!C:C,test_out_xwalk!A:A)</f>
        <v>#VALUE!</v>
      </c>
    </row>
    <row r="439" spans="1:37" x14ac:dyDescent="0.55000000000000004">
      <c r="A439" s="121" t="str">
        <f>IF('summary_EPA Pond'!$A439="","Check Summary EPA POND worksheet Column A",'summary_EPA Pond'!$A439)</f>
        <v>Check Summary EPA POND worksheet Column A</v>
      </c>
      <c r="B439" s="121" t="str" cm="1">
        <f t="array" ref="B439">IFERROR(_xlfn.TEXTSPLIT(A439,"_"),"")</f>
        <v>Check Summary EPA POND worksheet Column A</v>
      </c>
      <c r="H439" s="121" t="str" cm="1">
        <f t="array" ref="H439">IF(D439="","",(_xlfn.TEXTSPLIT(D439,"-")))</f>
        <v/>
      </c>
      <c r="K439" s="129" t="e">
        <f>VLOOKUP(VALUE($B439),test_out_xwalk!$C:$L,3,FALSE)</f>
        <v>#VALUE!</v>
      </c>
      <c r="L439" s="129" t="e">
        <f>VLOOKUP(VALUE($B439),test_out_xwalk!$C:$L,5,FALSE)</f>
        <v>#VALUE!</v>
      </c>
      <c r="M439" s="129" t="e">
        <f>VLOOKUP(VALUE($B439),test_out_xwalk!$C:$L,6,FALSE)</f>
        <v>#VALUE!</v>
      </c>
      <c r="N439" s="129" t="e">
        <f>VLOOKUP(VALUE($B439),test_out_xwalk!$C:$L,8,FALSE)</f>
        <v>#VALUE!</v>
      </c>
      <c r="O439" s="129" t="e">
        <f>VLOOKUP(VALUE($B439),test_out_xwalk!$C:$L,7,FALSE)</f>
        <v>#VALUE!</v>
      </c>
      <c r="P439" s="129" t="e">
        <f>VLOOKUP(VALUE($B439),test_out_xwalk!$C:$L,4,FALSE)</f>
        <v>#VALUE!</v>
      </c>
      <c r="Q439" s="129" t="e">
        <f>VLOOKUP(VALUE($B439),test_out_xwalk!$C:$L,9,FALSE)</f>
        <v>#VALUE!</v>
      </c>
      <c r="R439" t="e">
        <f>_xlfn.XLOOKUP(VALUE(B439),test_out_xwalk!$C:$C,test_out_xwalk!$A:$A)</f>
        <v>#VALUE!</v>
      </c>
      <c r="T439" s="121" t="str">
        <f>IF('summary_EPA Pond'!$O439="","Check Summary EPA POND worksheet Column O",'summary_EPA Pond'!$O439)</f>
        <v>Check Summary EPA POND worksheet Column O</v>
      </c>
      <c r="U439" s="121" t="str" cm="1">
        <f t="array" ref="U439">IFERROR(_xlfn.TEXTSPLIT(T439,"_"),"")</f>
        <v>Check Summary EPA POND worksheet Column O</v>
      </c>
      <c r="AA439" s="121" t="str" cm="1">
        <f t="array" ref="AA439">IF(W439="","",(_xlfn.TEXTSPLIT(W439,"-")))</f>
        <v/>
      </c>
      <c r="AD439" s="129" t="e">
        <f>VLOOKUP(VALUE($U439),test_out_xwalk!$C:$L,3,FALSE)</f>
        <v>#VALUE!</v>
      </c>
      <c r="AE439" s="129" t="e">
        <f>VLOOKUP(VALUE($U439),test_out_xwalk!$C:$L,5,FALSE)</f>
        <v>#VALUE!</v>
      </c>
      <c r="AF439" s="129" t="e">
        <f>VLOOKUP(VALUE($U439),test_out_xwalk!$C:$L,6,FALSE)</f>
        <v>#VALUE!</v>
      </c>
      <c r="AG439" s="129" t="e">
        <f>VLOOKUP(VALUE($U439),test_out_xwalk!$C:$L,8,FALSE)</f>
        <v>#VALUE!</v>
      </c>
      <c r="AH439" s="129" t="e">
        <f>VLOOKUP(VALUE($U439),test_out_xwalk!$C:$L,7,FALSE)</f>
        <v>#VALUE!</v>
      </c>
      <c r="AI439" s="129" t="e">
        <f>VLOOKUP(VALUE($U439),test_out_xwalk!$C:$L,4,FALSE)</f>
        <v>#VALUE!</v>
      </c>
      <c r="AJ439" s="129" t="e">
        <f>VLOOKUP(VALUE($U439),test_out_xwalk!$C:$L,9,FALSE)</f>
        <v>#VALUE!</v>
      </c>
      <c r="AK439" t="e">
        <f>_xlfn.XLOOKUP(VALUE(U439),test_out_xwalk!C:C,test_out_xwalk!A:A)</f>
        <v>#VALUE!</v>
      </c>
    </row>
    <row r="440" spans="1:37" x14ac:dyDescent="0.55000000000000004">
      <c r="A440" s="121" t="str">
        <f>IF('summary_EPA Pond'!$A440="","Check Summary EPA POND worksheet Column A",'summary_EPA Pond'!$A440)</f>
        <v>Check Summary EPA POND worksheet Column A</v>
      </c>
      <c r="B440" s="121" t="str" cm="1">
        <f t="array" ref="B440">IFERROR(_xlfn.TEXTSPLIT(A440,"_"),"")</f>
        <v>Check Summary EPA POND worksheet Column A</v>
      </c>
      <c r="H440" s="121" t="str" cm="1">
        <f t="array" ref="H440">IF(D440="","",(_xlfn.TEXTSPLIT(D440,"-")))</f>
        <v/>
      </c>
      <c r="K440" s="129" t="e">
        <f>VLOOKUP(VALUE($B440),test_out_xwalk!$C:$L,3,FALSE)</f>
        <v>#VALUE!</v>
      </c>
      <c r="L440" s="129" t="e">
        <f>VLOOKUP(VALUE($B440),test_out_xwalk!$C:$L,5,FALSE)</f>
        <v>#VALUE!</v>
      </c>
      <c r="M440" s="129" t="e">
        <f>VLOOKUP(VALUE($B440),test_out_xwalk!$C:$L,6,FALSE)</f>
        <v>#VALUE!</v>
      </c>
      <c r="N440" s="129" t="e">
        <f>VLOOKUP(VALUE($B440),test_out_xwalk!$C:$L,8,FALSE)</f>
        <v>#VALUE!</v>
      </c>
      <c r="O440" s="129" t="e">
        <f>VLOOKUP(VALUE($B440),test_out_xwalk!$C:$L,7,FALSE)</f>
        <v>#VALUE!</v>
      </c>
      <c r="P440" s="129" t="e">
        <f>VLOOKUP(VALUE($B440),test_out_xwalk!$C:$L,4,FALSE)</f>
        <v>#VALUE!</v>
      </c>
      <c r="Q440" s="129" t="e">
        <f>VLOOKUP(VALUE($B440),test_out_xwalk!$C:$L,9,FALSE)</f>
        <v>#VALUE!</v>
      </c>
      <c r="R440" t="e">
        <f>_xlfn.XLOOKUP(VALUE(B440),test_out_xwalk!$C:$C,test_out_xwalk!$A:$A)</f>
        <v>#VALUE!</v>
      </c>
      <c r="T440" s="121" t="str">
        <f>IF('summary_EPA Pond'!$O440="","Check Summary EPA POND worksheet Column O",'summary_EPA Pond'!$O440)</f>
        <v>Check Summary EPA POND worksheet Column O</v>
      </c>
      <c r="U440" s="121" t="str" cm="1">
        <f t="array" ref="U440">IFERROR(_xlfn.TEXTSPLIT(T440,"_"),"")</f>
        <v>Check Summary EPA POND worksheet Column O</v>
      </c>
      <c r="AA440" s="121" t="str" cm="1">
        <f t="array" ref="AA440">IF(W440="","",(_xlfn.TEXTSPLIT(W440,"-")))</f>
        <v/>
      </c>
      <c r="AD440" s="129" t="e">
        <f>VLOOKUP(VALUE($U440),test_out_xwalk!$C:$L,3,FALSE)</f>
        <v>#VALUE!</v>
      </c>
      <c r="AE440" s="129" t="e">
        <f>VLOOKUP(VALUE($U440),test_out_xwalk!$C:$L,5,FALSE)</f>
        <v>#VALUE!</v>
      </c>
      <c r="AF440" s="129" t="e">
        <f>VLOOKUP(VALUE($U440),test_out_xwalk!$C:$L,6,FALSE)</f>
        <v>#VALUE!</v>
      </c>
      <c r="AG440" s="129" t="e">
        <f>VLOOKUP(VALUE($U440),test_out_xwalk!$C:$L,8,FALSE)</f>
        <v>#VALUE!</v>
      </c>
      <c r="AH440" s="129" t="e">
        <f>VLOOKUP(VALUE($U440),test_out_xwalk!$C:$L,7,FALSE)</f>
        <v>#VALUE!</v>
      </c>
      <c r="AI440" s="129" t="e">
        <f>VLOOKUP(VALUE($U440),test_out_xwalk!$C:$L,4,FALSE)</f>
        <v>#VALUE!</v>
      </c>
      <c r="AJ440" s="129" t="e">
        <f>VLOOKUP(VALUE($U440),test_out_xwalk!$C:$L,9,FALSE)</f>
        <v>#VALUE!</v>
      </c>
      <c r="AK440" t="e">
        <f>_xlfn.XLOOKUP(VALUE(U440),test_out_xwalk!C:C,test_out_xwalk!A:A)</f>
        <v>#VALUE!</v>
      </c>
    </row>
    <row r="441" spans="1:37" x14ac:dyDescent="0.55000000000000004">
      <c r="A441" s="121" t="str">
        <f>IF('summary_EPA Pond'!$A441="","Check Summary EPA POND worksheet Column A",'summary_EPA Pond'!$A441)</f>
        <v>Check Summary EPA POND worksheet Column A</v>
      </c>
      <c r="B441" s="121" t="str" cm="1">
        <f t="array" ref="B441">IFERROR(_xlfn.TEXTSPLIT(A441,"_"),"")</f>
        <v>Check Summary EPA POND worksheet Column A</v>
      </c>
      <c r="H441" s="121" t="str" cm="1">
        <f t="array" ref="H441">IF(D441="","",(_xlfn.TEXTSPLIT(D441,"-")))</f>
        <v/>
      </c>
      <c r="K441" s="129" t="e">
        <f>VLOOKUP(VALUE($B441),test_out_xwalk!$C:$L,3,FALSE)</f>
        <v>#VALUE!</v>
      </c>
      <c r="L441" s="129" t="e">
        <f>VLOOKUP(VALUE($B441),test_out_xwalk!$C:$L,5,FALSE)</f>
        <v>#VALUE!</v>
      </c>
      <c r="M441" s="129" t="e">
        <f>VLOOKUP(VALUE($B441),test_out_xwalk!$C:$L,6,FALSE)</f>
        <v>#VALUE!</v>
      </c>
      <c r="N441" s="129" t="e">
        <f>VLOOKUP(VALUE($B441),test_out_xwalk!$C:$L,8,FALSE)</f>
        <v>#VALUE!</v>
      </c>
      <c r="O441" s="129" t="e">
        <f>VLOOKUP(VALUE($B441),test_out_xwalk!$C:$L,7,FALSE)</f>
        <v>#VALUE!</v>
      </c>
      <c r="P441" s="129" t="e">
        <f>VLOOKUP(VALUE($B441),test_out_xwalk!$C:$L,4,FALSE)</f>
        <v>#VALUE!</v>
      </c>
      <c r="Q441" s="129" t="e">
        <f>VLOOKUP(VALUE($B441),test_out_xwalk!$C:$L,9,FALSE)</f>
        <v>#VALUE!</v>
      </c>
      <c r="R441" t="e">
        <f>_xlfn.XLOOKUP(VALUE(B441),test_out_xwalk!$C:$C,test_out_xwalk!$A:$A)</f>
        <v>#VALUE!</v>
      </c>
      <c r="T441" s="121" t="str">
        <f>IF('summary_EPA Pond'!$O441="","Check Summary EPA POND worksheet Column O",'summary_EPA Pond'!$O441)</f>
        <v>Check Summary EPA POND worksheet Column O</v>
      </c>
      <c r="U441" s="121" t="str" cm="1">
        <f t="array" ref="U441">IFERROR(_xlfn.TEXTSPLIT(T441,"_"),"")</f>
        <v>Check Summary EPA POND worksheet Column O</v>
      </c>
      <c r="AA441" s="121" t="str" cm="1">
        <f t="array" ref="AA441">IF(W441="","",(_xlfn.TEXTSPLIT(W441,"-")))</f>
        <v/>
      </c>
      <c r="AD441" s="129" t="e">
        <f>VLOOKUP(VALUE($U441),test_out_xwalk!$C:$L,3,FALSE)</f>
        <v>#VALUE!</v>
      </c>
      <c r="AE441" s="129" t="e">
        <f>VLOOKUP(VALUE($U441),test_out_xwalk!$C:$L,5,FALSE)</f>
        <v>#VALUE!</v>
      </c>
      <c r="AF441" s="129" t="e">
        <f>VLOOKUP(VALUE($U441),test_out_xwalk!$C:$L,6,FALSE)</f>
        <v>#VALUE!</v>
      </c>
      <c r="AG441" s="129" t="e">
        <f>VLOOKUP(VALUE($U441),test_out_xwalk!$C:$L,8,FALSE)</f>
        <v>#VALUE!</v>
      </c>
      <c r="AH441" s="129" t="e">
        <f>VLOOKUP(VALUE($U441),test_out_xwalk!$C:$L,7,FALSE)</f>
        <v>#VALUE!</v>
      </c>
      <c r="AI441" s="129" t="e">
        <f>VLOOKUP(VALUE($U441),test_out_xwalk!$C:$L,4,FALSE)</f>
        <v>#VALUE!</v>
      </c>
      <c r="AJ441" s="129" t="e">
        <f>VLOOKUP(VALUE($U441),test_out_xwalk!$C:$L,9,FALSE)</f>
        <v>#VALUE!</v>
      </c>
      <c r="AK441" t="e">
        <f>_xlfn.XLOOKUP(VALUE(U441),test_out_xwalk!C:C,test_out_xwalk!A:A)</f>
        <v>#VALUE!</v>
      </c>
    </row>
    <row r="442" spans="1:37" x14ac:dyDescent="0.55000000000000004">
      <c r="A442" s="121" t="str">
        <f>IF('summary_EPA Pond'!$A442="","Check Summary EPA POND worksheet Column A",'summary_EPA Pond'!$A442)</f>
        <v>Check Summary EPA POND worksheet Column A</v>
      </c>
      <c r="B442" s="121" t="str" cm="1">
        <f t="array" ref="B442">IFERROR(_xlfn.TEXTSPLIT(A442,"_"),"")</f>
        <v>Check Summary EPA POND worksheet Column A</v>
      </c>
      <c r="H442" s="121" t="str" cm="1">
        <f t="array" ref="H442">IF(D442="","",(_xlfn.TEXTSPLIT(D442,"-")))</f>
        <v/>
      </c>
      <c r="K442" s="129" t="e">
        <f>VLOOKUP(VALUE($B442),test_out_xwalk!$C:$L,3,FALSE)</f>
        <v>#VALUE!</v>
      </c>
      <c r="L442" s="129" t="e">
        <f>VLOOKUP(VALUE($B442),test_out_xwalk!$C:$L,5,FALSE)</f>
        <v>#VALUE!</v>
      </c>
      <c r="M442" s="129" t="e">
        <f>VLOOKUP(VALUE($B442),test_out_xwalk!$C:$L,6,FALSE)</f>
        <v>#VALUE!</v>
      </c>
      <c r="N442" s="129" t="e">
        <f>VLOOKUP(VALUE($B442),test_out_xwalk!$C:$L,8,FALSE)</f>
        <v>#VALUE!</v>
      </c>
      <c r="O442" s="129" t="e">
        <f>VLOOKUP(VALUE($B442),test_out_xwalk!$C:$L,7,FALSE)</f>
        <v>#VALUE!</v>
      </c>
      <c r="P442" s="129" t="e">
        <f>VLOOKUP(VALUE($B442),test_out_xwalk!$C:$L,4,FALSE)</f>
        <v>#VALUE!</v>
      </c>
      <c r="Q442" s="129" t="e">
        <f>VLOOKUP(VALUE($B442),test_out_xwalk!$C:$L,9,FALSE)</f>
        <v>#VALUE!</v>
      </c>
      <c r="R442" t="e">
        <f>_xlfn.XLOOKUP(VALUE(B442),test_out_xwalk!$C:$C,test_out_xwalk!$A:$A)</f>
        <v>#VALUE!</v>
      </c>
      <c r="T442" s="121" t="str">
        <f>IF('summary_EPA Pond'!$O442="","Check Summary EPA POND worksheet Column O",'summary_EPA Pond'!$O442)</f>
        <v>Check Summary EPA POND worksheet Column O</v>
      </c>
      <c r="U442" s="121" t="str" cm="1">
        <f t="array" ref="U442">IFERROR(_xlfn.TEXTSPLIT(T442,"_"),"")</f>
        <v>Check Summary EPA POND worksheet Column O</v>
      </c>
      <c r="AA442" s="121" t="str" cm="1">
        <f t="array" ref="AA442">IF(W442="","",(_xlfn.TEXTSPLIT(W442,"-")))</f>
        <v/>
      </c>
      <c r="AD442" s="129" t="e">
        <f>VLOOKUP(VALUE($U442),test_out_xwalk!$C:$L,3,FALSE)</f>
        <v>#VALUE!</v>
      </c>
      <c r="AE442" s="129" t="e">
        <f>VLOOKUP(VALUE($U442),test_out_xwalk!$C:$L,5,FALSE)</f>
        <v>#VALUE!</v>
      </c>
      <c r="AF442" s="129" t="e">
        <f>VLOOKUP(VALUE($U442),test_out_xwalk!$C:$L,6,FALSE)</f>
        <v>#VALUE!</v>
      </c>
      <c r="AG442" s="129" t="e">
        <f>VLOOKUP(VALUE($U442),test_out_xwalk!$C:$L,8,FALSE)</f>
        <v>#VALUE!</v>
      </c>
      <c r="AH442" s="129" t="e">
        <f>VLOOKUP(VALUE($U442),test_out_xwalk!$C:$L,7,FALSE)</f>
        <v>#VALUE!</v>
      </c>
      <c r="AI442" s="129" t="e">
        <f>VLOOKUP(VALUE($U442),test_out_xwalk!$C:$L,4,FALSE)</f>
        <v>#VALUE!</v>
      </c>
      <c r="AJ442" s="129" t="e">
        <f>VLOOKUP(VALUE($U442),test_out_xwalk!$C:$L,9,FALSE)</f>
        <v>#VALUE!</v>
      </c>
      <c r="AK442" t="e">
        <f>_xlfn.XLOOKUP(VALUE(U442),test_out_xwalk!C:C,test_out_xwalk!A:A)</f>
        <v>#VALUE!</v>
      </c>
    </row>
    <row r="443" spans="1:37" x14ac:dyDescent="0.55000000000000004">
      <c r="A443" s="121" t="str">
        <f>IF('summary_EPA Pond'!$A443="","Check Summary EPA POND worksheet Column A",'summary_EPA Pond'!$A443)</f>
        <v>Check Summary EPA POND worksheet Column A</v>
      </c>
      <c r="B443" s="121" t="str" cm="1">
        <f t="array" ref="B443">IFERROR(_xlfn.TEXTSPLIT(A443,"_"),"")</f>
        <v>Check Summary EPA POND worksheet Column A</v>
      </c>
      <c r="H443" s="121" t="str" cm="1">
        <f t="array" ref="H443">IF(D443="","",(_xlfn.TEXTSPLIT(D443,"-")))</f>
        <v/>
      </c>
      <c r="K443" s="129" t="e">
        <f>VLOOKUP(VALUE($B443),test_out_xwalk!$C:$L,3,FALSE)</f>
        <v>#VALUE!</v>
      </c>
      <c r="L443" s="129" t="e">
        <f>VLOOKUP(VALUE($B443),test_out_xwalk!$C:$L,5,FALSE)</f>
        <v>#VALUE!</v>
      </c>
      <c r="M443" s="129" t="e">
        <f>VLOOKUP(VALUE($B443),test_out_xwalk!$C:$L,6,FALSE)</f>
        <v>#VALUE!</v>
      </c>
      <c r="N443" s="129" t="e">
        <f>VLOOKUP(VALUE($B443),test_out_xwalk!$C:$L,8,FALSE)</f>
        <v>#VALUE!</v>
      </c>
      <c r="O443" s="129" t="e">
        <f>VLOOKUP(VALUE($B443),test_out_xwalk!$C:$L,7,FALSE)</f>
        <v>#VALUE!</v>
      </c>
      <c r="P443" s="129" t="e">
        <f>VLOOKUP(VALUE($B443),test_out_xwalk!$C:$L,4,FALSE)</f>
        <v>#VALUE!</v>
      </c>
      <c r="Q443" s="129" t="e">
        <f>VLOOKUP(VALUE($B443),test_out_xwalk!$C:$L,9,FALSE)</f>
        <v>#VALUE!</v>
      </c>
      <c r="R443" t="e">
        <f>_xlfn.XLOOKUP(VALUE(B443),test_out_xwalk!$C:$C,test_out_xwalk!$A:$A)</f>
        <v>#VALUE!</v>
      </c>
      <c r="T443" s="121" t="str">
        <f>IF('summary_EPA Pond'!$O443="","Check Summary EPA POND worksheet Column O",'summary_EPA Pond'!$O443)</f>
        <v>Check Summary EPA POND worksheet Column O</v>
      </c>
      <c r="U443" s="121" t="str" cm="1">
        <f t="array" ref="U443">IFERROR(_xlfn.TEXTSPLIT(T443,"_"),"")</f>
        <v>Check Summary EPA POND worksheet Column O</v>
      </c>
      <c r="AA443" s="121" t="str" cm="1">
        <f t="array" ref="AA443">IF(W443="","",(_xlfn.TEXTSPLIT(W443,"-")))</f>
        <v/>
      </c>
      <c r="AD443" s="129" t="e">
        <f>VLOOKUP(VALUE($U443),test_out_xwalk!$C:$L,3,FALSE)</f>
        <v>#VALUE!</v>
      </c>
      <c r="AE443" s="129" t="e">
        <f>VLOOKUP(VALUE($U443),test_out_xwalk!$C:$L,5,FALSE)</f>
        <v>#VALUE!</v>
      </c>
      <c r="AF443" s="129" t="e">
        <f>VLOOKUP(VALUE($U443),test_out_xwalk!$C:$L,6,FALSE)</f>
        <v>#VALUE!</v>
      </c>
      <c r="AG443" s="129" t="e">
        <f>VLOOKUP(VALUE($U443),test_out_xwalk!$C:$L,8,FALSE)</f>
        <v>#VALUE!</v>
      </c>
      <c r="AH443" s="129" t="e">
        <f>VLOOKUP(VALUE($U443),test_out_xwalk!$C:$L,7,FALSE)</f>
        <v>#VALUE!</v>
      </c>
      <c r="AI443" s="129" t="e">
        <f>VLOOKUP(VALUE($U443),test_out_xwalk!$C:$L,4,FALSE)</f>
        <v>#VALUE!</v>
      </c>
      <c r="AJ443" s="129" t="e">
        <f>VLOOKUP(VALUE($U443),test_out_xwalk!$C:$L,9,FALSE)</f>
        <v>#VALUE!</v>
      </c>
      <c r="AK443" t="e">
        <f>_xlfn.XLOOKUP(VALUE(U443),test_out_xwalk!C:C,test_out_xwalk!A:A)</f>
        <v>#VALUE!</v>
      </c>
    </row>
    <row r="444" spans="1:37" x14ac:dyDescent="0.55000000000000004">
      <c r="A444" s="121" t="str">
        <f>IF('summary_EPA Pond'!$A444="","Check Summary EPA POND worksheet Column A",'summary_EPA Pond'!$A444)</f>
        <v>Check Summary EPA POND worksheet Column A</v>
      </c>
      <c r="B444" s="121" t="str" cm="1">
        <f t="array" ref="B444">IFERROR(_xlfn.TEXTSPLIT(A444,"_"),"")</f>
        <v>Check Summary EPA POND worksheet Column A</v>
      </c>
      <c r="H444" s="121" t="str" cm="1">
        <f t="array" ref="H444">IF(D444="","",(_xlfn.TEXTSPLIT(D444,"-")))</f>
        <v/>
      </c>
      <c r="K444" s="129" t="e">
        <f>VLOOKUP(VALUE($B444),test_out_xwalk!$C:$L,3,FALSE)</f>
        <v>#VALUE!</v>
      </c>
      <c r="L444" s="129" t="e">
        <f>VLOOKUP(VALUE($B444),test_out_xwalk!$C:$L,5,FALSE)</f>
        <v>#VALUE!</v>
      </c>
      <c r="M444" s="129" t="e">
        <f>VLOOKUP(VALUE($B444),test_out_xwalk!$C:$L,6,FALSE)</f>
        <v>#VALUE!</v>
      </c>
      <c r="N444" s="129" t="e">
        <f>VLOOKUP(VALUE($B444),test_out_xwalk!$C:$L,8,FALSE)</f>
        <v>#VALUE!</v>
      </c>
      <c r="O444" s="129" t="e">
        <f>VLOOKUP(VALUE($B444),test_out_xwalk!$C:$L,7,FALSE)</f>
        <v>#VALUE!</v>
      </c>
      <c r="P444" s="129" t="e">
        <f>VLOOKUP(VALUE($B444),test_out_xwalk!$C:$L,4,FALSE)</f>
        <v>#VALUE!</v>
      </c>
      <c r="Q444" s="129" t="e">
        <f>VLOOKUP(VALUE($B444),test_out_xwalk!$C:$L,9,FALSE)</f>
        <v>#VALUE!</v>
      </c>
      <c r="R444" t="e">
        <f>_xlfn.XLOOKUP(VALUE(B444),test_out_xwalk!$C:$C,test_out_xwalk!$A:$A)</f>
        <v>#VALUE!</v>
      </c>
      <c r="T444" s="121" t="str">
        <f>IF('summary_EPA Pond'!$O444="","Check Summary EPA POND worksheet Column O",'summary_EPA Pond'!$O444)</f>
        <v>Check Summary EPA POND worksheet Column O</v>
      </c>
      <c r="U444" s="121" t="str" cm="1">
        <f t="array" ref="U444">IFERROR(_xlfn.TEXTSPLIT(T444,"_"),"")</f>
        <v>Check Summary EPA POND worksheet Column O</v>
      </c>
      <c r="AA444" s="121" t="str" cm="1">
        <f t="array" ref="AA444">IF(W444="","",(_xlfn.TEXTSPLIT(W444,"-")))</f>
        <v/>
      </c>
      <c r="AD444" s="129" t="e">
        <f>VLOOKUP(VALUE($U444),test_out_xwalk!$C:$L,3,FALSE)</f>
        <v>#VALUE!</v>
      </c>
      <c r="AE444" s="129" t="e">
        <f>VLOOKUP(VALUE($U444),test_out_xwalk!$C:$L,5,FALSE)</f>
        <v>#VALUE!</v>
      </c>
      <c r="AF444" s="129" t="e">
        <f>VLOOKUP(VALUE($U444),test_out_xwalk!$C:$L,6,FALSE)</f>
        <v>#VALUE!</v>
      </c>
      <c r="AG444" s="129" t="e">
        <f>VLOOKUP(VALUE($U444),test_out_xwalk!$C:$L,8,FALSE)</f>
        <v>#VALUE!</v>
      </c>
      <c r="AH444" s="129" t="e">
        <f>VLOOKUP(VALUE($U444),test_out_xwalk!$C:$L,7,FALSE)</f>
        <v>#VALUE!</v>
      </c>
      <c r="AI444" s="129" t="e">
        <f>VLOOKUP(VALUE($U444),test_out_xwalk!$C:$L,4,FALSE)</f>
        <v>#VALUE!</v>
      </c>
      <c r="AJ444" s="129" t="e">
        <f>VLOOKUP(VALUE($U444),test_out_xwalk!$C:$L,9,FALSE)</f>
        <v>#VALUE!</v>
      </c>
      <c r="AK444" t="e">
        <f>_xlfn.XLOOKUP(VALUE(U444),test_out_xwalk!C:C,test_out_xwalk!A:A)</f>
        <v>#VALUE!</v>
      </c>
    </row>
    <row r="445" spans="1:37" x14ac:dyDescent="0.55000000000000004">
      <c r="A445" s="121" t="str">
        <f>IF('summary_EPA Pond'!$A445="","Check Summary EPA POND worksheet Column A",'summary_EPA Pond'!$A445)</f>
        <v>Check Summary EPA POND worksheet Column A</v>
      </c>
      <c r="B445" s="121" t="str" cm="1">
        <f t="array" ref="B445">IFERROR(_xlfn.TEXTSPLIT(A445,"_"),"")</f>
        <v>Check Summary EPA POND worksheet Column A</v>
      </c>
      <c r="H445" s="121" t="str" cm="1">
        <f t="array" ref="H445">IF(D445="","",(_xlfn.TEXTSPLIT(D445,"-")))</f>
        <v/>
      </c>
      <c r="K445" s="129" t="e">
        <f>VLOOKUP(VALUE($B445),test_out_xwalk!$C:$L,3,FALSE)</f>
        <v>#VALUE!</v>
      </c>
      <c r="L445" s="129" t="e">
        <f>VLOOKUP(VALUE($B445),test_out_xwalk!$C:$L,5,FALSE)</f>
        <v>#VALUE!</v>
      </c>
      <c r="M445" s="129" t="e">
        <f>VLOOKUP(VALUE($B445),test_out_xwalk!$C:$L,6,FALSE)</f>
        <v>#VALUE!</v>
      </c>
      <c r="N445" s="129" t="e">
        <f>VLOOKUP(VALUE($B445),test_out_xwalk!$C:$L,8,FALSE)</f>
        <v>#VALUE!</v>
      </c>
      <c r="O445" s="129" t="e">
        <f>VLOOKUP(VALUE($B445),test_out_xwalk!$C:$L,7,FALSE)</f>
        <v>#VALUE!</v>
      </c>
      <c r="P445" s="129" t="e">
        <f>VLOOKUP(VALUE($B445),test_out_xwalk!$C:$L,4,FALSE)</f>
        <v>#VALUE!</v>
      </c>
      <c r="Q445" s="129" t="e">
        <f>VLOOKUP(VALUE($B445),test_out_xwalk!$C:$L,9,FALSE)</f>
        <v>#VALUE!</v>
      </c>
      <c r="R445" t="e">
        <f>_xlfn.XLOOKUP(VALUE(B445),test_out_xwalk!$C:$C,test_out_xwalk!$A:$A)</f>
        <v>#VALUE!</v>
      </c>
      <c r="T445" s="121" t="str">
        <f>IF('summary_EPA Pond'!$O445="","Check Summary EPA POND worksheet Column O",'summary_EPA Pond'!$O445)</f>
        <v>Check Summary EPA POND worksheet Column O</v>
      </c>
      <c r="U445" s="121" t="str" cm="1">
        <f t="array" ref="U445">IFERROR(_xlfn.TEXTSPLIT(T445,"_"),"")</f>
        <v>Check Summary EPA POND worksheet Column O</v>
      </c>
      <c r="AA445" s="121" t="str" cm="1">
        <f t="array" ref="AA445">IF(W445="","",(_xlfn.TEXTSPLIT(W445,"-")))</f>
        <v/>
      </c>
      <c r="AD445" s="129" t="e">
        <f>VLOOKUP(VALUE($U445),test_out_xwalk!$C:$L,3,FALSE)</f>
        <v>#VALUE!</v>
      </c>
      <c r="AE445" s="129" t="e">
        <f>VLOOKUP(VALUE($U445),test_out_xwalk!$C:$L,5,FALSE)</f>
        <v>#VALUE!</v>
      </c>
      <c r="AF445" s="129" t="e">
        <f>VLOOKUP(VALUE($U445),test_out_xwalk!$C:$L,6,FALSE)</f>
        <v>#VALUE!</v>
      </c>
      <c r="AG445" s="129" t="e">
        <f>VLOOKUP(VALUE($U445),test_out_xwalk!$C:$L,8,FALSE)</f>
        <v>#VALUE!</v>
      </c>
      <c r="AH445" s="129" t="e">
        <f>VLOOKUP(VALUE($U445),test_out_xwalk!$C:$L,7,FALSE)</f>
        <v>#VALUE!</v>
      </c>
      <c r="AI445" s="129" t="e">
        <f>VLOOKUP(VALUE($U445),test_out_xwalk!$C:$L,4,FALSE)</f>
        <v>#VALUE!</v>
      </c>
      <c r="AJ445" s="129" t="e">
        <f>VLOOKUP(VALUE($U445),test_out_xwalk!$C:$L,9,FALSE)</f>
        <v>#VALUE!</v>
      </c>
      <c r="AK445" t="e">
        <f>_xlfn.XLOOKUP(VALUE(U445),test_out_xwalk!C:C,test_out_xwalk!A:A)</f>
        <v>#VALUE!</v>
      </c>
    </row>
    <row r="446" spans="1:37" x14ac:dyDescent="0.55000000000000004">
      <c r="A446" s="121" t="str">
        <f>IF('summary_EPA Pond'!$A446="","Check Summary EPA POND worksheet Column A",'summary_EPA Pond'!$A446)</f>
        <v>Check Summary EPA POND worksheet Column A</v>
      </c>
      <c r="B446" s="121" t="str" cm="1">
        <f t="array" ref="B446">IFERROR(_xlfn.TEXTSPLIT(A446,"_"),"")</f>
        <v>Check Summary EPA POND worksheet Column A</v>
      </c>
      <c r="H446" s="121" t="str" cm="1">
        <f t="array" ref="H446">IF(D446="","",(_xlfn.TEXTSPLIT(D446,"-")))</f>
        <v/>
      </c>
      <c r="K446" s="129" t="e">
        <f>VLOOKUP(VALUE($B446),test_out_xwalk!$C:$L,3,FALSE)</f>
        <v>#VALUE!</v>
      </c>
      <c r="L446" s="129" t="e">
        <f>VLOOKUP(VALUE($B446),test_out_xwalk!$C:$L,5,FALSE)</f>
        <v>#VALUE!</v>
      </c>
      <c r="M446" s="129" t="e">
        <f>VLOOKUP(VALUE($B446),test_out_xwalk!$C:$L,6,FALSE)</f>
        <v>#VALUE!</v>
      </c>
      <c r="N446" s="129" t="e">
        <f>VLOOKUP(VALUE($B446),test_out_xwalk!$C:$L,8,FALSE)</f>
        <v>#VALUE!</v>
      </c>
      <c r="O446" s="129" t="e">
        <f>VLOOKUP(VALUE($B446),test_out_xwalk!$C:$L,7,FALSE)</f>
        <v>#VALUE!</v>
      </c>
      <c r="P446" s="129" t="e">
        <f>VLOOKUP(VALUE($B446),test_out_xwalk!$C:$L,4,FALSE)</f>
        <v>#VALUE!</v>
      </c>
      <c r="Q446" s="129" t="e">
        <f>VLOOKUP(VALUE($B446),test_out_xwalk!$C:$L,9,FALSE)</f>
        <v>#VALUE!</v>
      </c>
      <c r="R446" t="e">
        <f>_xlfn.XLOOKUP(VALUE(B446),test_out_xwalk!$C:$C,test_out_xwalk!$A:$A)</f>
        <v>#VALUE!</v>
      </c>
      <c r="T446" s="121" t="str">
        <f>IF('summary_EPA Pond'!$O446="","Check Summary EPA POND worksheet Column O",'summary_EPA Pond'!$O446)</f>
        <v>Check Summary EPA POND worksheet Column O</v>
      </c>
      <c r="U446" s="121" t="str" cm="1">
        <f t="array" ref="U446">IFERROR(_xlfn.TEXTSPLIT(T446,"_"),"")</f>
        <v>Check Summary EPA POND worksheet Column O</v>
      </c>
      <c r="AA446" s="121" t="str" cm="1">
        <f t="array" ref="AA446">IF(W446="","",(_xlfn.TEXTSPLIT(W446,"-")))</f>
        <v/>
      </c>
      <c r="AD446" s="129" t="e">
        <f>VLOOKUP(VALUE($U446),test_out_xwalk!$C:$L,3,FALSE)</f>
        <v>#VALUE!</v>
      </c>
      <c r="AE446" s="129" t="e">
        <f>VLOOKUP(VALUE($U446),test_out_xwalk!$C:$L,5,FALSE)</f>
        <v>#VALUE!</v>
      </c>
      <c r="AF446" s="129" t="e">
        <f>VLOOKUP(VALUE($U446),test_out_xwalk!$C:$L,6,FALSE)</f>
        <v>#VALUE!</v>
      </c>
      <c r="AG446" s="129" t="e">
        <f>VLOOKUP(VALUE($U446),test_out_xwalk!$C:$L,8,FALSE)</f>
        <v>#VALUE!</v>
      </c>
      <c r="AH446" s="129" t="e">
        <f>VLOOKUP(VALUE($U446),test_out_xwalk!$C:$L,7,FALSE)</f>
        <v>#VALUE!</v>
      </c>
      <c r="AI446" s="129" t="e">
        <f>VLOOKUP(VALUE($U446),test_out_xwalk!$C:$L,4,FALSE)</f>
        <v>#VALUE!</v>
      </c>
      <c r="AJ446" s="129" t="e">
        <f>VLOOKUP(VALUE($U446),test_out_xwalk!$C:$L,9,FALSE)</f>
        <v>#VALUE!</v>
      </c>
      <c r="AK446" t="e">
        <f>_xlfn.XLOOKUP(VALUE(U446),test_out_xwalk!C:C,test_out_xwalk!A:A)</f>
        <v>#VALUE!</v>
      </c>
    </row>
    <row r="447" spans="1:37" x14ac:dyDescent="0.55000000000000004">
      <c r="A447" s="121" t="str">
        <f>IF('summary_EPA Pond'!$A447="","Check Summary EPA POND worksheet Column A",'summary_EPA Pond'!$A447)</f>
        <v>Check Summary EPA POND worksheet Column A</v>
      </c>
      <c r="B447" s="121" t="str" cm="1">
        <f t="array" ref="B447">IFERROR(_xlfn.TEXTSPLIT(A447,"_"),"")</f>
        <v>Check Summary EPA POND worksheet Column A</v>
      </c>
      <c r="H447" s="121" t="str" cm="1">
        <f t="array" ref="H447">IF(D447="","",(_xlfn.TEXTSPLIT(D447,"-")))</f>
        <v/>
      </c>
      <c r="K447" s="129" t="e">
        <f>VLOOKUP(VALUE($B447),test_out_xwalk!$C:$L,3,FALSE)</f>
        <v>#VALUE!</v>
      </c>
      <c r="L447" s="129" t="e">
        <f>VLOOKUP(VALUE($B447),test_out_xwalk!$C:$L,5,FALSE)</f>
        <v>#VALUE!</v>
      </c>
      <c r="M447" s="129" t="e">
        <f>VLOOKUP(VALUE($B447),test_out_xwalk!$C:$L,6,FALSE)</f>
        <v>#VALUE!</v>
      </c>
      <c r="N447" s="129" t="e">
        <f>VLOOKUP(VALUE($B447),test_out_xwalk!$C:$L,8,FALSE)</f>
        <v>#VALUE!</v>
      </c>
      <c r="O447" s="129" t="e">
        <f>VLOOKUP(VALUE($B447),test_out_xwalk!$C:$L,7,FALSE)</f>
        <v>#VALUE!</v>
      </c>
      <c r="P447" s="129" t="e">
        <f>VLOOKUP(VALUE($B447),test_out_xwalk!$C:$L,4,FALSE)</f>
        <v>#VALUE!</v>
      </c>
      <c r="Q447" s="129" t="e">
        <f>VLOOKUP(VALUE($B447),test_out_xwalk!$C:$L,9,FALSE)</f>
        <v>#VALUE!</v>
      </c>
      <c r="R447" t="e">
        <f>_xlfn.XLOOKUP(VALUE(B447),test_out_xwalk!$C:$C,test_out_xwalk!$A:$A)</f>
        <v>#VALUE!</v>
      </c>
      <c r="T447" s="121" t="str">
        <f>IF('summary_EPA Pond'!$O447="","Check Summary EPA POND worksheet Column O",'summary_EPA Pond'!$O447)</f>
        <v>Check Summary EPA POND worksheet Column O</v>
      </c>
      <c r="U447" s="121" t="str" cm="1">
        <f t="array" ref="U447">IFERROR(_xlfn.TEXTSPLIT(T447,"_"),"")</f>
        <v>Check Summary EPA POND worksheet Column O</v>
      </c>
      <c r="AA447" s="121" t="str" cm="1">
        <f t="array" ref="AA447">IF(W447="","",(_xlfn.TEXTSPLIT(W447,"-")))</f>
        <v/>
      </c>
      <c r="AD447" s="129" t="e">
        <f>VLOOKUP(VALUE($U447),test_out_xwalk!$C:$L,3,FALSE)</f>
        <v>#VALUE!</v>
      </c>
      <c r="AE447" s="129" t="e">
        <f>VLOOKUP(VALUE($U447),test_out_xwalk!$C:$L,5,FALSE)</f>
        <v>#VALUE!</v>
      </c>
      <c r="AF447" s="129" t="e">
        <f>VLOOKUP(VALUE($U447),test_out_xwalk!$C:$L,6,FALSE)</f>
        <v>#VALUE!</v>
      </c>
      <c r="AG447" s="129" t="e">
        <f>VLOOKUP(VALUE($U447),test_out_xwalk!$C:$L,8,FALSE)</f>
        <v>#VALUE!</v>
      </c>
      <c r="AH447" s="129" t="e">
        <f>VLOOKUP(VALUE($U447),test_out_xwalk!$C:$L,7,FALSE)</f>
        <v>#VALUE!</v>
      </c>
      <c r="AI447" s="129" t="e">
        <f>VLOOKUP(VALUE($U447),test_out_xwalk!$C:$L,4,FALSE)</f>
        <v>#VALUE!</v>
      </c>
      <c r="AJ447" s="129" t="e">
        <f>VLOOKUP(VALUE($U447),test_out_xwalk!$C:$L,9,FALSE)</f>
        <v>#VALUE!</v>
      </c>
      <c r="AK447" t="e">
        <f>_xlfn.XLOOKUP(VALUE(U447),test_out_xwalk!C:C,test_out_xwalk!A:A)</f>
        <v>#VALUE!</v>
      </c>
    </row>
    <row r="448" spans="1:37" x14ac:dyDescent="0.55000000000000004">
      <c r="A448" s="121" t="str">
        <f>IF('summary_EPA Pond'!$A448="","Check Summary EPA POND worksheet Column A",'summary_EPA Pond'!$A448)</f>
        <v>Check Summary EPA POND worksheet Column A</v>
      </c>
      <c r="B448" s="121" t="str" cm="1">
        <f t="array" ref="B448">IFERROR(_xlfn.TEXTSPLIT(A448,"_"),"")</f>
        <v>Check Summary EPA POND worksheet Column A</v>
      </c>
      <c r="H448" s="121" t="str" cm="1">
        <f t="array" ref="H448">IF(D448="","",(_xlfn.TEXTSPLIT(D448,"-")))</f>
        <v/>
      </c>
      <c r="K448" s="129" t="e">
        <f>VLOOKUP(VALUE($B448),test_out_xwalk!$C:$L,3,FALSE)</f>
        <v>#VALUE!</v>
      </c>
      <c r="L448" s="129" t="e">
        <f>VLOOKUP(VALUE($B448),test_out_xwalk!$C:$L,5,FALSE)</f>
        <v>#VALUE!</v>
      </c>
      <c r="M448" s="129" t="e">
        <f>VLOOKUP(VALUE($B448),test_out_xwalk!$C:$L,6,FALSE)</f>
        <v>#VALUE!</v>
      </c>
      <c r="N448" s="129" t="e">
        <f>VLOOKUP(VALUE($B448),test_out_xwalk!$C:$L,8,FALSE)</f>
        <v>#VALUE!</v>
      </c>
      <c r="O448" s="129" t="e">
        <f>VLOOKUP(VALUE($B448),test_out_xwalk!$C:$L,7,FALSE)</f>
        <v>#VALUE!</v>
      </c>
      <c r="P448" s="129" t="e">
        <f>VLOOKUP(VALUE($B448),test_out_xwalk!$C:$L,4,FALSE)</f>
        <v>#VALUE!</v>
      </c>
      <c r="Q448" s="129" t="e">
        <f>VLOOKUP(VALUE($B448),test_out_xwalk!$C:$L,9,FALSE)</f>
        <v>#VALUE!</v>
      </c>
      <c r="R448" t="e">
        <f>_xlfn.XLOOKUP(VALUE(B448),test_out_xwalk!$C:$C,test_out_xwalk!$A:$A)</f>
        <v>#VALUE!</v>
      </c>
      <c r="T448" s="121" t="str">
        <f>IF('summary_EPA Pond'!$O448="","Check Summary EPA POND worksheet Column O",'summary_EPA Pond'!$O448)</f>
        <v>Check Summary EPA POND worksheet Column O</v>
      </c>
      <c r="U448" s="121" t="str" cm="1">
        <f t="array" ref="U448">IFERROR(_xlfn.TEXTSPLIT(T448,"_"),"")</f>
        <v>Check Summary EPA POND worksheet Column O</v>
      </c>
      <c r="AA448" s="121" t="str" cm="1">
        <f t="array" ref="AA448">IF(W448="","",(_xlfn.TEXTSPLIT(W448,"-")))</f>
        <v/>
      </c>
      <c r="AD448" s="129" t="e">
        <f>VLOOKUP(VALUE($U448),test_out_xwalk!$C:$L,3,FALSE)</f>
        <v>#VALUE!</v>
      </c>
      <c r="AE448" s="129" t="e">
        <f>VLOOKUP(VALUE($U448),test_out_xwalk!$C:$L,5,FALSE)</f>
        <v>#VALUE!</v>
      </c>
      <c r="AF448" s="129" t="e">
        <f>VLOOKUP(VALUE($U448),test_out_xwalk!$C:$L,6,FALSE)</f>
        <v>#VALUE!</v>
      </c>
      <c r="AG448" s="129" t="e">
        <f>VLOOKUP(VALUE($U448),test_out_xwalk!$C:$L,8,FALSE)</f>
        <v>#VALUE!</v>
      </c>
      <c r="AH448" s="129" t="e">
        <f>VLOOKUP(VALUE($U448),test_out_xwalk!$C:$L,7,FALSE)</f>
        <v>#VALUE!</v>
      </c>
      <c r="AI448" s="129" t="e">
        <f>VLOOKUP(VALUE($U448),test_out_xwalk!$C:$L,4,FALSE)</f>
        <v>#VALUE!</v>
      </c>
      <c r="AJ448" s="129" t="e">
        <f>VLOOKUP(VALUE($U448),test_out_xwalk!$C:$L,9,FALSE)</f>
        <v>#VALUE!</v>
      </c>
      <c r="AK448" t="e">
        <f>_xlfn.XLOOKUP(VALUE(U448),test_out_xwalk!C:C,test_out_xwalk!A:A)</f>
        <v>#VALUE!</v>
      </c>
    </row>
    <row r="449" spans="1:37" x14ac:dyDescent="0.55000000000000004">
      <c r="A449" s="121" t="str">
        <f>IF('summary_EPA Pond'!$A449="","Check Summary EPA POND worksheet Column A",'summary_EPA Pond'!$A449)</f>
        <v>Check Summary EPA POND worksheet Column A</v>
      </c>
      <c r="B449" s="121" t="str" cm="1">
        <f t="array" ref="B449">IFERROR(_xlfn.TEXTSPLIT(A449,"_"),"")</f>
        <v>Check Summary EPA POND worksheet Column A</v>
      </c>
      <c r="H449" s="121" t="str" cm="1">
        <f t="array" ref="H449">IF(D449="","",(_xlfn.TEXTSPLIT(D449,"-")))</f>
        <v/>
      </c>
      <c r="K449" s="129" t="e">
        <f>VLOOKUP(VALUE($B449),test_out_xwalk!$C:$L,3,FALSE)</f>
        <v>#VALUE!</v>
      </c>
      <c r="L449" s="129" t="e">
        <f>VLOOKUP(VALUE($B449),test_out_xwalk!$C:$L,5,FALSE)</f>
        <v>#VALUE!</v>
      </c>
      <c r="M449" s="129" t="e">
        <f>VLOOKUP(VALUE($B449),test_out_xwalk!$C:$L,6,FALSE)</f>
        <v>#VALUE!</v>
      </c>
      <c r="N449" s="129" t="e">
        <f>VLOOKUP(VALUE($B449),test_out_xwalk!$C:$L,8,FALSE)</f>
        <v>#VALUE!</v>
      </c>
      <c r="O449" s="129" t="e">
        <f>VLOOKUP(VALUE($B449),test_out_xwalk!$C:$L,7,FALSE)</f>
        <v>#VALUE!</v>
      </c>
      <c r="P449" s="129" t="e">
        <f>VLOOKUP(VALUE($B449),test_out_xwalk!$C:$L,4,FALSE)</f>
        <v>#VALUE!</v>
      </c>
      <c r="Q449" s="129" t="e">
        <f>VLOOKUP(VALUE($B449),test_out_xwalk!$C:$L,9,FALSE)</f>
        <v>#VALUE!</v>
      </c>
      <c r="R449" t="e">
        <f>_xlfn.XLOOKUP(VALUE(B449),test_out_xwalk!$C:$C,test_out_xwalk!$A:$A)</f>
        <v>#VALUE!</v>
      </c>
      <c r="T449" s="121" t="str">
        <f>IF('summary_EPA Pond'!$O449="","Check Summary EPA POND worksheet Column O",'summary_EPA Pond'!$O449)</f>
        <v>Check Summary EPA POND worksheet Column O</v>
      </c>
      <c r="U449" s="121" t="str" cm="1">
        <f t="array" ref="U449">IFERROR(_xlfn.TEXTSPLIT(T449,"_"),"")</f>
        <v>Check Summary EPA POND worksheet Column O</v>
      </c>
      <c r="AA449" s="121" t="str" cm="1">
        <f t="array" ref="AA449">IF(W449="","",(_xlfn.TEXTSPLIT(W449,"-")))</f>
        <v/>
      </c>
      <c r="AD449" s="129" t="e">
        <f>VLOOKUP(VALUE($U449),test_out_xwalk!$C:$L,3,FALSE)</f>
        <v>#VALUE!</v>
      </c>
      <c r="AE449" s="129" t="e">
        <f>VLOOKUP(VALUE($U449),test_out_xwalk!$C:$L,5,FALSE)</f>
        <v>#VALUE!</v>
      </c>
      <c r="AF449" s="129" t="e">
        <f>VLOOKUP(VALUE($U449),test_out_xwalk!$C:$L,6,FALSE)</f>
        <v>#VALUE!</v>
      </c>
      <c r="AG449" s="129" t="e">
        <f>VLOOKUP(VALUE($U449),test_out_xwalk!$C:$L,8,FALSE)</f>
        <v>#VALUE!</v>
      </c>
      <c r="AH449" s="129" t="e">
        <f>VLOOKUP(VALUE($U449),test_out_xwalk!$C:$L,7,FALSE)</f>
        <v>#VALUE!</v>
      </c>
      <c r="AI449" s="129" t="e">
        <f>VLOOKUP(VALUE($U449),test_out_xwalk!$C:$L,4,FALSE)</f>
        <v>#VALUE!</v>
      </c>
      <c r="AJ449" s="129" t="e">
        <f>VLOOKUP(VALUE($U449),test_out_xwalk!$C:$L,9,FALSE)</f>
        <v>#VALUE!</v>
      </c>
      <c r="AK449" t="e">
        <f>_xlfn.XLOOKUP(VALUE(U449),test_out_xwalk!C:C,test_out_xwalk!A:A)</f>
        <v>#VALUE!</v>
      </c>
    </row>
    <row r="450" spans="1:37" x14ac:dyDescent="0.55000000000000004">
      <c r="A450" s="121" t="str">
        <f>IF('summary_EPA Pond'!$A450="","Check Summary EPA POND worksheet Column A",'summary_EPA Pond'!$A450)</f>
        <v>Check Summary EPA POND worksheet Column A</v>
      </c>
      <c r="B450" s="121" t="str" cm="1">
        <f t="array" ref="B450">IFERROR(_xlfn.TEXTSPLIT(A450,"_"),"")</f>
        <v>Check Summary EPA POND worksheet Column A</v>
      </c>
      <c r="H450" s="121" t="str" cm="1">
        <f t="array" ref="H450">IF(D450="","",(_xlfn.TEXTSPLIT(D450,"-")))</f>
        <v/>
      </c>
      <c r="K450" s="129" t="e">
        <f>VLOOKUP(VALUE($B450),test_out_xwalk!$C:$L,3,FALSE)</f>
        <v>#VALUE!</v>
      </c>
      <c r="L450" s="129" t="e">
        <f>VLOOKUP(VALUE($B450),test_out_xwalk!$C:$L,5,FALSE)</f>
        <v>#VALUE!</v>
      </c>
      <c r="M450" s="129" t="e">
        <f>VLOOKUP(VALUE($B450),test_out_xwalk!$C:$L,6,FALSE)</f>
        <v>#VALUE!</v>
      </c>
      <c r="N450" s="129" t="e">
        <f>VLOOKUP(VALUE($B450),test_out_xwalk!$C:$L,8,FALSE)</f>
        <v>#VALUE!</v>
      </c>
      <c r="O450" s="129" t="e">
        <f>VLOOKUP(VALUE($B450),test_out_xwalk!$C:$L,7,FALSE)</f>
        <v>#VALUE!</v>
      </c>
      <c r="P450" s="129" t="e">
        <f>VLOOKUP(VALUE($B450),test_out_xwalk!$C:$L,4,FALSE)</f>
        <v>#VALUE!</v>
      </c>
      <c r="Q450" s="129" t="e">
        <f>VLOOKUP(VALUE($B450),test_out_xwalk!$C:$L,9,FALSE)</f>
        <v>#VALUE!</v>
      </c>
      <c r="R450" t="e">
        <f>_xlfn.XLOOKUP(VALUE(B450),test_out_xwalk!$C:$C,test_out_xwalk!$A:$A)</f>
        <v>#VALUE!</v>
      </c>
      <c r="T450" s="121" t="str">
        <f>IF('summary_EPA Pond'!$O450="","Check Summary EPA POND worksheet Column O",'summary_EPA Pond'!$O450)</f>
        <v>Check Summary EPA POND worksheet Column O</v>
      </c>
      <c r="U450" s="121" t="str" cm="1">
        <f t="array" ref="U450">IFERROR(_xlfn.TEXTSPLIT(T450,"_"),"")</f>
        <v>Check Summary EPA POND worksheet Column O</v>
      </c>
      <c r="AA450" s="121" t="str" cm="1">
        <f t="array" ref="AA450">IF(W450="","",(_xlfn.TEXTSPLIT(W450,"-")))</f>
        <v/>
      </c>
      <c r="AD450" s="129" t="e">
        <f>VLOOKUP(VALUE($U450),test_out_xwalk!$C:$L,3,FALSE)</f>
        <v>#VALUE!</v>
      </c>
      <c r="AE450" s="129" t="e">
        <f>VLOOKUP(VALUE($U450),test_out_xwalk!$C:$L,5,FALSE)</f>
        <v>#VALUE!</v>
      </c>
      <c r="AF450" s="129" t="e">
        <f>VLOOKUP(VALUE($U450),test_out_xwalk!$C:$L,6,FALSE)</f>
        <v>#VALUE!</v>
      </c>
      <c r="AG450" s="129" t="e">
        <f>VLOOKUP(VALUE($U450),test_out_xwalk!$C:$L,8,FALSE)</f>
        <v>#VALUE!</v>
      </c>
      <c r="AH450" s="129" t="e">
        <f>VLOOKUP(VALUE($U450),test_out_xwalk!$C:$L,7,FALSE)</f>
        <v>#VALUE!</v>
      </c>
      <c r="AI450" s="129" t="e">
        <f>VLOOKUP(VALUE($U450),test_out_xwalk!$C:$L,4,FALSE)</f>
        <v>#VALUE!</v>
      </c>
      <c r="AJ450" s="129" t="e">
        <f>VLOOKUP(VALUE($U450),test_out_xwalk!$C:$L,9,FALSE)</f>
        <v>#VALUE!</v>
      </c>
      <c r="AK450" t="e">
        <f>_xlfn.XLOOKUP(VALUE(U450),test_out_xwalk!C:C,test_out_xwalk!A:A)</f>
        <v>#VALUE!</v>
      </c>
    </row>
    <row r="451" spans="1:37" x14ac:dyDescent="0.55000000000000004">
      <c r="A451" s="121" t="str">
        <f>IF('summary_EPA Pond'!$A451="","Check Summary EPA POND worksheet Column A",'summary_EPA Pond'!$A451)</f>
        <v>Check Summary EPA POND worksheet Column A</v>
      </c>
      <c r="B451" s="121" t="str" cm="1">
        <f t="array" ref="B451">IFERROR(_xlfn.TEXTSPLIT(A451,"_"),"")</f>
        <v>Check Summary EPA POND worksheet Column A</v>
      </c>
      <c r="H451" s="121" t="str" cm="1">
        <f t="array" ref="H451">IF(D451="","",(_xlfn.TEXTSPLIT(D451,"-")))</f>
        <v/>
      </c>
      <c r="K451" s="129" t="e">
        <f>VLOOKUP(VALUE($B451),test_out_xwalk!$C:$L,3,FALSE)</f>
        <v>#VALUE!</v>
      </c>
      <c r="L451" s="129" t="e">
        <f>VLOOKUP(VALUE($B451),test_out_xwalk!$C:$L,5,FALSE)</f>
        <v>#VALUE!</v>
      </c>
      <c r="M451" s="129" t="e">
        <f>VLOOKUP(VALUE($B451),test_out_xwalk!$C:$L,6,FALSE)</f>
        <v>#VALUE!</v>
      </c>
      <c r="N451" s="129" t="e">
        <f>VLOOKUP(VALUE($B451),test_out_xwalk!$C:$L,8,FALSE)</f>
        <v>#VALUE!</v>
      </c>
      <c r="O451" s="129" t="e">
        <f>VLOOKUP(VALUE($B451),test_out_xwalk!$C:$L,7,FALSE)</f>
        <v>#VALUE!</v>
      </c>
      <c r="P451" s="129" t="e">
        <f>VLOOKUP(VALUE($B451),test_out_xwalk!$C:$L,4,FALSE)</f>
        <v>#VALUE!</v>
      </c>
      <c r="Q451" s="129" t="e">
        <f>VLOOKUP(VALUE($B451),test_out_xwalk!$C:$L,9,FALSE)</f>
        <v>#VALUE!</v>
      </c>
      <c r="R451" t="e">
        <f>_xlfn.XLOOKUP(VALUE(B451),test_out_xwalk!$C:$C,test_out_xwalk!$A:$A)</f>
        <v>#VALUE!</v>
      </c>
      <c r="T451" s="121" t="str">
        <f>IF('summary_EPA Pond'!$O451="","Check Summary EPA POND worksheet Column O",'summary_EPA Pond'!$O451)</f>
        <v>Check Summary EPA POND worksheet Column O</v>
      </c>
      <c r="U451" s="121" t="str" cm="1">
        <f t="array" ref="U451">IFERROR(_xlfn.TEXTSPLIT(T451,"_"),"")</f>
        <v>Check Summary EPA POND worksheet Column O</v>
      </c>
      <c r="AA451" s="121" t="str" cm="1">
        <f t="array" ref="AA451">IF(W451="","",(_xlfn.TEXTSPLIT(W451,"-")))</f>
        <v/>
      </c>
      <c r="AD451" s="129" t="e">
        <f>VLOOKUP(VALUE($U451),test_out_xwalk!$C:$L,3,FALSE)</f>
        <v>#VALUE!</v>
      </c>
      <c r="AE451" s="129" t="e">
        <f>VLOOKUP(VALUE($U451),test_out_xwalk!$C:$L,5,FALSE)</f>
        <v>#VALUE!</v>
      </c>
      <c r="AF451" s="129" t="e">
        <f>VLOOKUP(VALUE($U451),test_out_xwalk!$C:$L,6,FALSE)</f>
        <v>#VALUE!</v>
      </c>
      <c r="AG451" s="129" t="e">
        <f>VLOOKUP(VALUE($U451),test_out_xwalk!$C:$L,8,FALSE)</f>
        <v>#VALUE!</v>
      </c>
      <c r="AH451" s="129" t="e">
        <f>VLOOKUP(VALUE($U451),test_out_xwalk!$C:$L,7,FALSE)</f>
        <v>#VALUE!</v>
      </c>
      <c r="AI451" s="129" t="e">
        <f>VLOOKUP(VALUE($U451),test_out_xwalk!$C:$L,4,FALSE)</f>
        <v>#VALUE!</v>
      </c>
      <c r="AJ451" s="129" t="e">
        <f>VLOOKUP(VALUE($U451),test_out_xwalk!$C:$L,9,FALSE)</f>
        <v>#VALUE!</v>
      </c>
      <c r="AK451" t="e">
        <f>_xlfn.XLOOKUP(VALUE(U451),test_out_xwalk!C:C,test_out_xwalk!A:A)</f>
        <v>#VALUE!</v>
      </c>
    </row>
    <row r="452" spans="1:37" x14ac:dyDescent="0.55000000000000004">
      <c r="A452" s="121" t="str">
        <f>IF('summary_EPA Pond'!$A452="","Check Summary EPA POND worksheet Column A",'summary_EPA Pond'!$A452)</f>
        <v>Check Summary EPA POND worksheet Column A</v>
      </c>
      <c r="B452" s="121" t="str" cm="1">
        <f t="array" ref="B452">IFERROR(_xlfn.TEXTSPLIT(A452,"_"),"")</f>
        <v>Check Summary EPA POND worksheet Column A</v>
      </c>
      <c r="H452" s="121" t="str" cm="1">
        <f t="array" ref="H452">IF(D452="","",(_xlfn.TEXTSPLIT(D452,"-")))</f>
        <v/>
      </c>
      <c r="K452" s="129" t="e">
        <f>VLOOKUP(VALUE($B452),test_out_xwalk!$C:$L,3,FALSE)</f>
        <v>#VALUE!</v>
      </c>
      <c r="L452" s="129" t="e">
        <f>VLOOKUP(VALUE($B452),test_out_xwalk!$C:$L,5,FALSE)</f>
        <v>#VALUE!</v>
      </c>
      <c r="M452" s="129" t="e">
        <f>VLOOKUP(VALUE($B452),test_out_xwalk!$C:$L,6,FALSE)</f>
        <v>#VALUE!</v>
      </c>
      <c r="N452" s="129" t="e">
        <f>VLOOKUP(VALUE($B452),test_out_xwalk!$C:$L,8,FALSE)</f>
        <v>#VALUE!</v>
      </c>
      <c r="O452" s="129" t="e">
        <f>VLOOKUP(VALUE($B452),test_out_xwalk!$C:$L,7,FALSE)</f>
        <v>#VALUE!</v>
      </c>
      <c r="P452" s="129" t="e">
        <f>VLOOKUP(VALUE($B452),test_out_xwalk!$C:$L,4,FALSE)</f>
        <v>#VALUE!</v>
      </c>
      <c r="Q452" s="129" t="e">
        <f>VLOOKUP(VALUE($B452),test_out_xwalk!$C:$L,9,FALSE)</f>
        <v>#VALUE!</v>
      </c>
      <c r="R452" t="e">
        <f>_xlfn.XLOOKUP(VALUE(B452),test_out_xwalk!$C:$C,test_out_xwalk!$A:$A)</f>
        <v>#VALUE!</v>
      </c>
      <c r="T452" s="121" t="str">
        <f>IF('summary_EPA Pond'!$O452="","Check Summary EPA POND worksheet Column O",'summary_EPA Pond'!$O452)</f>
        <v>Check Summary EPA POND worksheet Column O</v>
      </c>
      <c r="U452" s="121" t="str" cm="1">
        <f t="array" ref="U452">IFERROR(_xlfn.TEXTSPLIT(T452,"_"),"")</f>
        <v>Check Summary EPA POND worksheet Column O</v>
      </c>
      <c r="AA452" s="121" t="str" cm="1">
        <f t="array" ref="AA452">IF(W452="","",(_xlfn.TEXTSPLIT(W452,"-")))</f>
        <v/>
      </c>
      <c r="AD452" s="129" t="e">
        <f>VLOOKUP(VALUE($U452),test_out_xwalk!$C:$L,3,FALSE)</f>
        <v>#VALUE!</v>
      </c>
      <c r="AE452" s="129" t="e">
        <f>VLOOKUP(VALUE($U452),test_out_xwalk!$C:$L,5,FALSE)</f>
        <v>#VALUE!</v>
      </c>
      <c r="AF452" s="129" t="e">
        <f>VLOOKUP(VALUE($U452),test_out_xwalk!$C:$L,6,FALSE)</f>
        <v>#VALUE!</v>
      </c>
      <c r="AG452" s="129" t="e">
        <f>VLOOKUP(VALUE($U452),test_out_xwalk!$C:$L,8,FALSE)</f>
        <v>#VALUE!</v>
      </c>
      <c r="AH452" s="129" t="e">
        <f>VLOOKUP(VALUE($U452),test_out_xwalk!$C:$L,7,FALSE)</f>
        <v>#VALUE!</v>
      </c>
      <c r="AI452" s="129" t="e">
        <f>VLOOKUP(VALUE($U452),test_out_xwalk!$C:$L,4,FALSE)</f>
        <v>#VALUE!</v>
      </c>
      <c r="AJ452" s="129" t="e">
        <f>VLOOKUP(VALUE($U452),test_out_xwalk!$C:$L,9,FALSE)</f>
        <v>#VALUE!</v>
      </c>
      <c r="AK452" t="e">
        <f>_xlfn.XLOOKUP(VALUE(U452),test_out_xwalk!C:C,test_out_xwalk!A:A)</f>
        <v>#VALUE!</v>
      </c>
    </row>
    <row r="453" spans="1:37" x14ac:dyDescent="0.55000000000000004">
      <c r="A453" s="121" t="str">
        <f>IF('summary_EPA Pond'!$A453="","Check Summary EPA POND worksheet Column A",'summary_EPA Pond'!$A453)</f>
        <v>Check Summary EPA POND worksheet Column A</v>
      </c>
      <c r="B453" s="121" t="str" cm="1">
        <f t="array" ref="B453">IFERROR(_xlfn.TEXTSPLIT(A453,"_"),"")</f>
        <v>Check Summary EPA POND worksheet Column A</v>
      </c>
      <c r="H453" s="121" t="str" cm="1">
        <f t="array" ref="H453">IF(D453="","",(_xlfn.TEXTSPLIT(D453,"-")))</f>
        <v/>
      </c>
      <c r="K453" s="129" t="e">
        <f>VLOOKUP(VALUE($B453),test_out_xwalk!$C:$L,3,FALSE)</f>
        <v>#VALUE!</v>
      </c>
      <c r="L453" s="129" t="e">
        <f>VLOOKUP(VALUE($B453),test_out_xwalk!$C:$L,5,FALSE)</f>
        <v>#VALUE!</v>
      </c>
      <c r="M453" s="129" t="e">
        <f>VLOOKUP(VALUE($B453),test_out_xwalk!$C:$L,6,FALSE)</f>
        <v>#VALUE!</v>
      </c>
      <c r="N453" s="129" t="e">
        <f>VLOOKUP(VALUE($B453),test_out_xwalk!$C:$L,8,FALSE)</f>
        <v>#VALUE!</v>
      </c>
      <c r="O453" s="129" t="e">
        <f>VLOOKUP(VALUE($B453),test_out_xwalk!$C:$L,7,FALSE)</f>
        <v>#VALUE!</v>
      </c>
      <c r="P453" s="129" t="e">
        <f>VLOOKUP(VALUE($B453),test_out_xwalk!$C:$L,4,FALSE)</f>
        <v>#VALUE!</v>
      </c>
      <c r="Q453" s="129" t="e">
        <f>VLOOKUP(VALUE($B453),test_out_xwalk!$C:$L,9,FALSE)</f>
        <v>#VALUE!</v>
      </c>
      <c r="R453" t="e">
        <f>_xlfn.XLOOKUP(VALUE(B453),test_out_xwalk!$C:$C,test_out_xwalk!$A:$A)</f>
        <v>#VALUE!</v>
      </c>
      <c r="T453" s="121" t="str">
        <f>IF('summary_EPA Pond'!$O453="","Check Summary EPA POND worksheet Column O",'summary_EPA Pond'!$O453)</f>
        <v>Check Summary EPA POND worksheet Column O</v>
      </c>
      <c r="U453" s="121" t="str" cm="1">
        <f t="array" ref="U453">IFERROR(_xlfn.TEXTSPLIT(T453,"_"),"")</f>
        <v>Check Summary EPA POND worksheet Column O</v>
      </c>
      <c r="AA453" s="121" t="str" cm="1">
        <f t="array" ref="AA453">IF(W453="","",(_xlfn.TEXTSPLIT(W453,"-")))</f>
        <v/>
      </c>
      <c r="AD453" s="129" t="e">
        <f>VLOOKUP(VALUE($U453),test_out_xwalk!$C:$L,3,FALSE)</f>
        <v>#VALUE!</v>
      </c>
      <c r="AE453" s="129" t="e">
        <f>VLOOKUP(VALUE($U453),test_out_xwalk!$C:$L,5,FALSE)</f>
        <v>#VALUE!</v>
      </c>
      <c r="AF453" s="129" t="e">
        <f>VLOOKUP(VALUE($U453),test_out_xwalk!$C:$L,6,FALSE)</f>
        <v>#VALUE!</v>
      </c>
      <c r="AG453" s="129" t="e">
        <f>VLOOKUP(VALUE($U453),test_out_xwalk!$C:$L,8,FALSE)</f>
        <v>#VALUE!</v>
      </c>
      <c r="AH453" s="129" t="e">
        <f>VLOOKUP(VALUE($U453),test_out_xwalk!$C:$L,7,FALSE)</f>
        <v>#VALUE!</v>
      </c>
      <c r="AI453" s="129" t="e">
        <f>VLOOKUP(VALUE($U453),test_out_xwalk!$C:$L,4,FALSE)</f>
        <v>#VALUE!</v>
      </c>
      <c r="AJ453" s="129" t="e">
        <f>VLOOKUP(VALUE($U453),test_out_xwalk!$C:$L,9,FALSE)</f>
        <v>#VALUE!</v>
      </c>
      <c r="AK453" t="e">
        <f>_xlfn.XLOOKUP(VALUE(U453),test_out_xwalk!C:C,test_out_xwalk!A:A)</f>
        <v>#VALUE!</v>
      </c>
    </row>
    <row r="454" spans="1:37" x14ac:dyDescent="0.55000000000000004">
      <c r="A454" s="121" t="str">
        <f>IF('summary_EPA Pond'!$A454="","Check Summary EPA POND worksheet Column A",'summary_EPA Pond'!$A454)</f>
        <v>Check Summary EPA POND worksheet Column A</v>
      </c>
      <c r="B454" s="121" t="str" cm="1">
        <f t="array" ref="B454">IFERROR(_xlfn.TEXTSPLIT(A454,"_"),"")</f>
        <v>Check Summary EPA POND worksheet Column A</v>
      </c>
      <c r="H454" s="121" t="str" cm="1">
        <f t="array" ref="H454">IF(D454="","",(_xlfn.TEXTSPLIT(D454,"-")))</f>
        <v/>
      </c>
      <c r="K454" s="129" t="e">
        <f>VLOOKUP(VALUE($B454),test_out_xwalk!$C:$L,3,FALSE)</f>
        <v>#VALUE!</v>
      </c>
      <c r="L454" s="129" t="e">
        <f>VLOOKUP(VALUE($B454),test_out_xwalk!$C:$L,5,FALSE)</f>
        <v>#VALUE!</v>
      </c>
      <c r="M454" s="129" t="e">
        <f>VLOOKUP(VALUE($B454),test_out_xwalk!$C:$L,6,FALSE)</f>
        <v>#VALUE!</v>
      </c>
      <c r="N454" s="129" t="e">
        <f>VLOOKUP(VALUE($B454),test_out_xwalk!$C:$L,8,FALSE)</f>
        <v>#VALUE!</v>
      </c>
      <c r="O454" s="129" t="e">
        <f>VLOOKUP(VALUE($B454),test_out_xwalk!$C:$L,7,FALSE)</f>
        <v>#VALUE!</v>
      </c>
      <c r="P454" s="129" t="e">
        <f>VLOOKUP(VALUE($B454),test_out_xwalk!$C:$L,4,FALSE)</f>
        <v>#VALUE!</v>
      </c>
      <c r="Q454" s="129" t="e">
        <f>VLOOKUP(VALUE($B454),test_out_xwalk!$C:$L,9,FALSE)</f>
        <v>#VALUE!</v>
      </c>
      <c r="R454" t="e">
        <f>_xlfn.XLOOKUP(VALUE(B454),test_out_xwalk!$C:$C,test_out_xwalk!$A:$A)</f>
        <v>#VALUE!</v>
      </c>
      <c r="T454" s="121" t="str">
        <f>IF('summary_EPA Pond'!$O454="","Check Summary EPA POND worksheet Column O",'summary_EPA Pond'!$O454)</f>
        <v>Check Summary EPA POND worksheet Column O</v>
      </c>
      <c r="U454" s="121" t="str" cm="1">
        <f t="array" ref="U454">IFERROR(_xlfn.TEXTSPLIT(T454,"_"),"")</f>
        <v>Check Summary EPA POND worksheet Column O</v>
      </c>
      <c r="AA454" s="121" t="str" cm="1">
        <f t="array" ref="AA454">IF(W454="","",(_xlfn.TEXTSPLIT(W454,"-")))</f>
        <v/>
      </c>
      <c r="AD454" s="129" t="e">
        <f>VLOOKUP(VALUE($U454),test_out_xwalk!$C:$L,3,FALSE)</f>
        <v>#VALUE!</v>
      </c>
      <c r="AE454" s="129" t="e">
        <f>VLOOKUP(VALUE($U454),test_out_xwalk!$C:$L,5,FALSE)</f>
        <v>#VALUE!</v>
      </c>
      <c r="AF454" s="129" t="e">
        <f>VLOOKUP(VALUE($U454),test_out_xwalk!$C:$L,6,FALSE)</f>
        <v>#VALUE!</v>
      </c>
      <c r="AG454" s="129" t="e">
        <f>VLOOKUP(VALUE($U454),test_out_xwalk!$C:$L,8,FALSE)</f>
        <v>#VALUE!</v>
      </c>
      <c r="AH454" s="129" t="e">
        <f>VLOOKUP(VALUE($U454),test_out_xwalk!$C:$L,7,FALSE)</f>
        <v>#VALUE!</v>
      </c>
      <c r="AI454" s="129" t="e">
        <f>VLOOKUP(VALUE($U454),test_out_xwalk!$C:$L,4,FALSE)</f>
        <v>#VALUE!</v>
      </c>
      <c r="AJ454" s="129" t="e">
        <f>VLOOKUP(VALUE($U454),test_out_xwalk!$C:$L,9,FALSE)</f>
        <v>#VALUE!</v>
      </c>
      <c r="AK454" t="e">
        <f>_xlfn.XLOOKUP(VALUE(U454),test_out_xwalk!C:C,test_out_xwalk!A:A)</f>
        <v>#VALUE!</v>
      </c>
    </row>
    <row r="455" spans="1:37" x14ac:dyDescent="0.55000000000000004">
      <c r="A455" s="121" t="str">
        <f>IF('summary_EPA Pond'!$A455="","Check Summary EPA POND worksheet Column A",'summary_EPA Pond'!$A455)</f>
        <v>Check Summary EPA POND worksheet Column A</v>
      </c>
      <c r="B455" s="121" t="str" cm="1">
        <f t="array" ref="B455">IFERROR(_xlfn.TEXTSPLIT(A455,"_"),"")</f>
        <v>Check Summary EPA POND worksheet Column A</v>
      </c>
      <c r="H455" s="121" t="str" cm="1">
        <f t="array" ref="H455">IF(D455="","",(_xlfn.TEXTSPLIT(D455,"-")))</f>
        <v/>
      </c>
      <c r="K455" s="129" t="e">
        <f>VLOOKUP(VALUE($B455),test_out_xwalk!$C:$L,3,FALSE)</f>
        <v>#VALUE!</v>
      </c>
      <c r="L455" s="129" t="e">
        <f>VLOOKUP(VALUE($B455),test_out_xwalk!$C:$L,5,FALSE)</f>
        <v>#VALUE!</v>
      </c>
      <c r="M455" s="129" t="e">
        <f>VLOOKUP(VALUE($B455),test_out_xwalk!$C:$L,6,FALSE)</f>
        <v>#VALUE!</v>
      </c>
      <c r="N455" s="129" t="e">
        <f>VLOOKUP(VALUE($B455),test_out_xwalk!$C:$L,8,FALSE)</f>
        <v>#VALUE!</v>
      </c>
      <c r="O455" s="129" t="e">
        <f>VLOOKUP(VALUE($B455),test_out_xwalk!$C:$L,7,FALSE)</f>
        <v>#VALUE!</v>
      </c>
      <c r="P455" s="129" t="e">
        <f>VLOOKUP(VALUE($B455),test_out_xwalk!$C:$L,4,FALSE)</f>
        <v>#VALUE!</v>
      </c>
      <c r="Q455" s="129" t="e">
        <f>VLOOKUP(VALUE($B455),test_out_xwalk!$C:$L,9,FALSE)</f>
        <v>#VALUE!</v>
      </c>
      <c r="R455" t="e">
        <f>_xlfn.XLOOKUP(VALUE(B455),test_out_xwalk!$C:$C,test_out_xwalk!$A:$A)</f>
        <v>#VALUE!</v>
      </c>
      <c r="T455" s="121" t="str">
        <f>IF('summary_EPA Pond'!$O455="","Check Summary EPA POND worksheet Column O",'summary_EPA Pond'!$O455)</f>
        <v>Check Summary EPA POND worksheet Column O</v>
      </c>
      <c r="U455" s="121" t="str" cm="1">
        <f t="array" ref="U455">IFERROR(_xlfn.TEXTSPLIT(T455,"_"),"")</f>
        <v>Check Summary EPA POND worksheet Column O</v>
      </c>
      <c r="AA455" s="121" t="str" cm="1">
        <f t="array" ref="AA455">IF(W455="","",(_xlfn.TEXTSPLIT(W455,"-")))</f>
        <v/>
      </c>
      <c r="AD455" s="129" t="e">
        <f>VLOOKUP(VALUE($U455),test_out_xwalk!$C:$L,3,FALSE)</f>
        <v>#VALUE!</v>
      </c>
      <c r="AE455" s="129" t="e">
        <f>VLOOKUP(VALUE($U455),test_out_xwalk!$C:$L,5,FALSE)</f>
        <v>#VALUE!</v>
      </c>
      <c r="AF455" s="129" t="e">
        <f>VLOOKUP(VALUE($U455),test_out_xwalk!$C:$L,6,FALSE)</f>
        <v>#VALUE!</v>
      </c>
      <c r="AG455" s="129" t="e">
        <f>VLOOKUP(VALUE($U455),test_out_xwalk!$C:$L,8,FALSE)</f>
        <v>#VALUE!</v>
      </c>
      <c r="AH455" s="129" t="e">
        <f>VLOOKUP(VALUE($U455),test_out_xwalk!$C:$L,7,FALSE)</f>
        <v>#VALUE!</v>
      </c>
      <c r="AI455" s="129" t="e">
        <f>VLOOKUP(VALUE($U455),test_out_xwalk!$C:$L,4,FALSE)</f>
        <v>#VALUE!</v>
      </c>
      <c r="AJ455" s="129" t="e">
        <f>VLOOKUP(VALUE($U455),test_out_xwalk!$C:$L,9,FALSE)</f>
        <v>#VALUE!</v>
      </c>
      <c r="AK455" t="e">
        <f>_xlfn.XLOOKUP(VALUE(U455),test_out_xwalk!C:C,test_out_xwalk!A:A)</f>
        <v>#VALUE!</v>
      </c>
    </row>
    <row r="456" spans="1:37" x14ac:dyDescent="0.55000000000000004">
      <c r="A456" s="121" t="str">
        <f>IF('summary_EPA Pond'!$A456="","Check Summary EPA POND worksheet Column A",'summary_EPA Pond'!$A456)</f>
        <v>Check Summary EPA POND worksheet Column A</v>
      </c>
      <c r="B456" s="121" t="str" cm="1">
        <f t="array" ref="B456">IFERROR(_xlfn.TEXTSPLIT(A456,"_"),"")</f>
        <v>Check Summary EPA POND worksheet Column A</v>
      </c>
      <c r="H456" s="121" t="str" cm="1">
        <f t="array" ref="H456">IF(D456="","",(_xlfn.TEXTSPLIT(D456,"-")))</f>
        <v/>
      </c>
      <c r="K456" s="129" t="e">
        <f>VLOOKUP(VALUE($B456),test_out_xwalk!$C:$L,3,FALSE)</f>
        <v>#VALUE!</v>
      </c>
      <c r="L456" s="129" t="e">
        <f>VLOOKUP(VALUE($B456),test_out_xwalk!$C:$L,5,FALSE)</f>
        <v>#VALUE!</v>
      </c>
      <c r="M456" s="129" t="e">
        <f>VLOOKUP(VALUE($B456),test_out_xwalk!$C:$L,6,FALSE)</f>
        <v>#VALUE!</v>
      </c>
      <c r="N456" s="129" t="e">
        <f>VLOOKUP(VALUE($B456),test_out_xwalk!$C:$L,8,FALSE)</f>
        <v>#VALUE!</v>
      </c>
      <c r="O456" s="129" t="e">
        <f>VLOOKUP(VALUE($B456),test_out_xwalk!$C:$L,7,FALSE)</f>
        <v>#VALUE!</v>
      </c>
      <c r="P456" s="129" t="e">
        <f>VLOOKUP(VALUE($B456),test_out_xwalk!$C:$L,4,FALSE)</f>
        <v>#VALUE!</v>
      </c>
      <c r="Q456" s="129" t="e">
        <f>VLOOKUP(VALUE($B456),test_out_xwalk!$C:$L,9,FALSE)</f>
        <v>#VALUE!</v>
      </c>
      <c r="R456" t="e">
        <f>_xlfn.XLOOKUP(VALUE(B456),test_out_xwalk!$C:$C,test_out_xwalk!$A:$A)</f>
        <v>#VALUE!</v>
      </c>
      <c r="T456" s="121" t="str">
        <f>IF('summary_EPA Pond'!$O456="","Check Summary EPA POND worksheet Column O",'summary_EPA Pond'!$O456)</f>
        <v>Check Summary EPA POND worksheet Column O</v>
      </c>
      <c r="U456" s="121" t="str" cm="1">
        <f t="array" ref="U456">IFERROR(_xlfn.TEXTSPLIT(T456,"_"),"")</f>
        <v>Check Summary EPA POND worksheet Column O</v>
      </c>
      <c r="AA456" s="121" t="str" cm="1">
        <f t="array" ref="AA456">IF(W456="","",(_xlfn.TEXTSPLIT(W456,"-")))</f>
        <v/>
      </c>
      <c r="AD456" s="129" t="e">
        <f>VLOOKUP(VALUE($U456),test_out_xwalk!$C:$L,3,FALSE)</f>
        <v>#VALUE!</v>
      </c>
      <c r="AE456" s="129" t="e">
        <f>VLOOKUP(VALUE($U456),test_out_xwalk!$C:$L,5,FALSE)</f>
        <v>#VALUE!</v>
      </c>
      <c r="AF456" s="129" t="e">
        <f>VLOOKUP(VALUE($U456),test_out_xwalk!$C:$L,6,FALSE)</f>
        <v>#VALUE!</v>
      </c>
      <c r="AG456" s="129" t="e">
        <f>VLOOKUP(VALUE($U456),test_out_xwalk!$C:$L,8,FALSE)</f>
        <v>#VALUE!</v>
      </c>
      <c r="AH456" s="129" t="e">
        <f>VLOOKUP(VALUE($U456),test_out_xwalk!$C:$L,7,FALSE)</f>
        <v>#VALUE!</v>
      </c>
      <c r="AI456" s="129" t="e">
        <f>VLOOKUP(VALUE($U456),test_out_xwalk!$C:$L,4,FALSE)</f>
        <v>#VALUE!</v>
      </c>
      <c r="AJ456" s="129" t="e">
        <f>VLOOKUP(VALUE($U456),test_out_xwalk!$C:$L,9,FALSE)</f>
        <v>#VALUE!</v>
      </c>
      <c r="AK456" t="e">
        <f>_xlfn.XLOOKUP(VALUE(U456),test_out_xwalk!C:C,test_out_xwalk!A:A)</f>
        <v>#VALUE!</v>
      </c>
    </row>
    <row r="457" spans="1:37" x14ac:dyDescent="0.55000000000000004">
      <c r="A457" s="121" t="str">
        <f>IF('summary_EPA Pond'!$A457="","Check Summary EPA POND worksheet Column A",'summary_EPA Pond'!$A457)</f>
        <v>Check Summary EPA POND worksheet Column A</v>
      </c>
      <c r="B457" s="121" t="str" cm="1">
        <f t="array" ref="B457">IFERROR(_xlfn.TEXTSPLIT(A457,"_"),"")</f>
        <v>Check Summary EPA POND worksheet Column A</v>
      </c>
      <c r="H457" s="121" t="str" cm="1">
        <f t="array" ref="H457">IF(D457="","",(_xlfn.TEXTSPLIT(D457,"-")))</f>
        <v/>
      </c>
      <c r="K457" s="129" t="e">
        <f>VLOOKUP(VALUE($B457),test_out_xwalk!$C:$L,3,FALSE)</f>
        <v>#VALUE!</v>
      </c>
      <c r="L457" s="129" t="e">
        <f>VLOOKUP(VALUE($B457),test_out_xwalk!$C:$L,5,FALSE)</f>
        <v>#VALUE!</v>
      </c>
      <c r="M457" s="129" t="e">
        <f>VLOOKUP(VALUE($B457),test_out_xwalk!$C:$L,6,FALSE)</f>
        <v>#VALUE!</v>
      </c>
      <c r="N457" s="129" t="e">
        <f>VLOOKUP(VALUE($B457),test_out_xwalk!$C:$L,8,FALSE)</f>
        <v>#VALUE!</v>
      </c>
      <c r="O457" s="129" t="e">
        <f>VLOOKUP(VALUE($B457),test_out_xwalk!$C:$L,7,FALSE)</f>
        <v>#VALUE!</v>
      </c>
      <c r="P457" s="129" t="e">
        <f>VLOOKUP(VALUE($B457),test_out_xwalk!$C:$L,4,FALSE)</f>
        <v>#VALUE!</v>
      </c>
      <c r="Q457" s="129" t="e">
        <f>VLOOKUP(VALUE($B457),test_out_xwalk!$C:$L,9,FALSE)</f>
        <v>#VALUE!</v>
      </c>
      <c r="R457" t="e">
        <f>_xlfn.XLOOKUP(VALUE(B457),test_out_xwalk!$C:$C,test_out_xwalk!$A:$A)</f>
        <v>#VALUE!</v>
      </c>
      <c r="T457" s="121" t="str">
        <f>IF('summary_EPA Pond'!$O457="","Check Summary EPA POND worksheet Column O",'summary_EPA Pond'!$O457)</f>
        <v>Check Summary EPA POND worksheet Column O</v>
      </c>
      <c r="U457" s="121" t="str" cm="1">
        <f t="array" ref="U457">IFERROR(_xlfn.TEXTSPLIT(T457,"_"),"")</f>
        <v>Check Summary EPA POND worksheet Column O</v>
      </c>
      <c r="AA457" s="121" t="str" cm="1">
        <f t="array" ref="AA457">IF(W457="","",(_xlfn.TEXTSPLIT(W457,"-")))</f>
        <v/>
      </c>
      <c r="AD457" s="129" t="e">
        <f>VLOOKUP(VALUE($U457),test_out_xwalk!$C:$L,3,FALSE)</f>
        <v>#VALUE!</v>
      </c>
      <c r="AE457" s="129" t="e">
        <f>VLOOKUP(VALUE($U457),test_out_xwalk!$C:$L,5,FALSE)</f>
        <v>#VALUE!</v>
      </c>
      <c r="AF457" s="129" t="e">
        <f>VLOOKUP(VALUE($U457),test_out_xwalk!$C:$L,6,FALSE)</f>
        <v>#VALUE!</v>
      </c>
      <c r="AG457" s="129" t="e">
        <f>VLOOKUP(VALUE($U457),test_out_xwalk!$C:$L,8,FALSE)</f>
        <v>#VALUE!</v>
      </c>
      <c r="AH457" s="129" t="e">
        <f>VLOOKUP(VALUE($U457),test_out_xwalk!$C:$L,7,FALSE)</f>
        <v>#VALUE!</v>
      </c>
      <c r="AI457" s="129" t="e">
        <f>VLOOKUP(VALUE($U457),test_out_xwalk!$C:$L,4,FALSE)</f>
        <v>#VALUE!</v>
      </c>
      <c r="AJ457" s="129" t="e">
        <f>VLOOKUP(VALUE($U457),test_out_xwalk!$C:$L,9,FALSE)</f>
        <v>#VALUE!</v>
      </c>
      <c r="AK457" t="e">
        <f>_xlfn.XLOOKUP(VALUE(U457),test_out_xwalk!C:C,test_out_xwalk!A:A)</f>
        <v>#VALUE!</v>
      </c>
    </row>
    <row r="458" spans="1:37" x14ac:dyDescent="0.55000000000000004">
      <c r="A458" s="121" t="str">
        <f>IF('summary_EPA Pond'!$A458="","Check Summary EPA POND worksheet Column A",'summary_EPA Pond'!$A458)</f>
        <v>Check Summary EPA POND worksheet Column A</v>
      </c>
      <c r="B458" s="121" t="str" cm="1">
        <f t="array" ref="B458">IFERROR(_xlfn.TEXTSPLIT(A458,"_"),"")</f>
        <v>Check Summary EPA POND worksheet Column A</v>
      </c>
      <c r="H458" s="121" t="str" cm="1">
        <f t="array" ref="H458">IF(D458="","",(_xlfn.TEXTSPLIT(D458,"-")))</f>
        <v/>
      </c>
      <c r="K458" s="129" t="e">
        <f>VLOOKUP(VALUE($B458),test_out_xwalk!$C:$L,3,FALSE)</f>
        <v>#VALUE!</v>
      </c>
      <c r="L458" s="129" t="e">
        <f>VLOOKUP(VALUE($B458),test_out_xwalk!$C:$L,5,FALSE)</f>
        <v>#VALUE!</v>
      </c>
      <c r="M458" s="129" t="e">
        <f>VLOOKUP(VALUE($B458),test_out_xwalk!$C:$L,6,FALSE)</f>
        <v>#VALUE!</v>
      </c>
      <c r="N458" s="129" t="e">
        <f>VLOOKUP(VALUE($B458),test_out_xwalk!$C:$L,8,FALSE)</f>
        <v>#VALUE!</v>
      </c>
      <c r="O458" s="129" t="e">
        <f>VLOOKUP(VALUE($B458),test_out_xwalk!$C:$L,7,FALSE)</f>
        <v>#VALUE!</v>
      </c>
      <c r="P458" s="129" t="e">
        <f>VLOOKUP(VALUE($B458),test_out_xwalk!$C:$L,4,FALSE)</f>
        <v>#VALUE!</v>
      </c>
      <c r="Q458" s="129" t="e">
        <f>VLOOKUP(VALUE($B458),test_out_xwalk!$C:$L,9,FALSE)</f>
        <v>#VALUE!</v>
      </c>
      <c r="R458" t="e">
        <f>_xlfn.XLOOKUP(VALUE(B458),test_out_xwalk!$C:$C,test_out_xwalk!$A:$A)</f>
        <v>#VALUE!</v>
      </c>
      <c r="T458" s="121" t="str">
        <f>IF('summary_EPA Pond'!$O458="","Check Summary EPA POND worksheet Column O",'summary_EPA Pond'!$O458)</f>
        <v>Check Summary EPA POND worksheet Column O</v>
      </c>
      <c r="U458" s="121" t="str" cm="1">
        <f t="array" ref="U458">IFERROR(_xlfn.TEXTSPLIT(T458,"_"),"")</f>
        <v>Check Summary EPA POND worksheet Column O</v>
      </c>
      <c r="AA458" s="121" t="str" cm="1">
        <f t="array" ref="AA458">IF(W458="","",(_xlfn.TEXTSPLIT(W458,"-")))</f>
        <v/>
      </c>
      <c r="AD458" s="129" t="e">
        <f>VLOOKUP(VALUE($U458),test_out_xwalk!$C:$L,3,FALSE)</f>
        <v>#VALUE!</v>
      </c>
      <c r="AE458" s="129" t="e">
        <f>VLOOKUP(VALUE($U458),test_out_xwalk!$C:$L,5,FALSE)</f>
        <v>#VALUE!</v>
      </c>
      <c r="AF458" s="129" t="e">
        <f>VLOOKUP(VALUE($U458),test_out_xwalk!$C:$L,6,FALSE)</f>
        <v>#VALUE!</v>
      </c>
      <c r="AG458" s="129" t="e">
        <f>VLOOKUP(VALUE($U458),test_out_xwalk!$C:$L,8,FALSE)</f>
        <v>#VALUE!</v>
      </c>
      <c r="AH458" s="129" t="e">
        <f>VLOOKUP(VALUE($U458),test_out_xwalk!$C:$L,7,FALSE)</f>
        <v>#VALUE!</v>
      </c>
      <c r="AI458" s="129" t="e">
        <f>VLOOKUP(VALUE($U458),test_out_xwalk!$C:$L,4,FALSE)</f>
        <v>#VALUE!</v>
      </c>
      <c r="AJ458" s="129" t="e">
        <f>VLOOKUP(VALUE($U458),test_out_xwalk!$C:$L,9,FALSE)</f>
        <v>#VALUE!</v>
      </c>
      <c r="AK458" t="e">
        <f>_xlfn.XLOOKUP(VALUE(U458),test_out_xwalk!C:C,test_out_xwalk!A:A)</f>
        <v>#VALUE!</v>
      </c>
    </row>
    <row r="459" spans="1:37" x14ac:dyDescent="0.55000000000000004">
      <c r="A459" s="121" t="str">
        <f>IF('summary_EPA Pond'!$A459="","Check Summary EPA POND worksheet Column A",'summary_EPA Pond'!$A459)</f>
        <v>Check Summary EPA POND worksheet Column A</v>
      </c>
      <c r="B459" s="121" t="str" cm="1">
        <f t="array" ref="B459">IFERROR(_xlfn.TEXTSPLIT(A459,"_"),"")</f>
        <v>Check Summary EPA POND worksheet Column A</v>
      </c>
      <c r="H459" s="121" t="str" cm="1">
        <f t="array" ref="H459">IF(D459="","",(_xlfn.TEXTSPLIT(D459,"-")))</f>
        <v/>
      </c>
      <c r="K459" s="129" t="e">
        <f>VLOOKUP(VALUE($B459),test_out_xwalk!$C:$L,3,FALSE)</f>
        <v>#VALUE!</v>
      </c>
      <c r="L459" s="129" t="e">
        <f>VLOOKUP(VALUE($B459),test_out_xwalk!$C:$L,5,FALSE)</f>
        <v>#VALUE!</v>
      </c>
      <c r="M459" s="129" t="e">
        <f>VLOOKUP(VALUE($B459),test_out_xwalk!$C:$L,6,FALSE)</f>
        <v>#VALUE!</v>
      </c>
      <c r="N459" s="129" t="e">
        <f>VLOOKUP(VALUE($B459),test_out_xwalk!$C:$L,8,FALSE)</f>
        <v>#VALUE!</v>
      </c>
      <c r="O459" s="129" t="e">
        <f>VLOOKUP(VALUE($B459),test_out_xwalk!$C:$L,7,FALSE)</f>
        <v>#VALUE!</v>
      </c>
      <c r="P459" s="129" t="e">
        <f>VLOOKUP(VALUE($B459),test_out_xwalk!$C:$L,4,FALSE)</f>
        <v>#VALUE!</v>
      </c>
      <c r="Q459" s="129" t="e">
        <f>VLOOKUP(VALUE($B459),test_out_xwalk!$C:$L,9,FALSE)</f>
        <v>#VALUE!</v>
      </c>
      <c r="R459" t="e">
        <f>_xlfn.XLOOKUP(VALUE(B459),test_out_xwalk!$C:$C,test_out_xwalk!$A:$A)</f>
        <v>#VALUE!</v>
      </c>
      <c r="T459" s="121" t="str">
        <f>IF('summary_EPA Pond'!$O459="","Check Summary EPA POND worksheet Column O",'summary_EPA Pond'!$O459)</f>
        <v>Check Summary EPA POND worksheet Column O</v>
      </c>
      <c r="U459" s="121" t="str" cm="1">
        <f t="array" ref="U459">IFERROR(_xlfn.TEXTSPLIT(T459,"_"),"")</f>
        <v>Check Summary EPA POND worksheet Column O</v>
      </c>
      <c r="AA459" s="121" t="str" cm="1">
        <f t="array" ref="AA459">IF(W459="","",(_xlfn.TEXTSPLIT(W459,"-")))</f>
        <v/>
      </c>
      <c r="AD459" s="129" t="e">
        <f>VLOOKUP(VALUE($U459),test_out_xwalk!$C:$L,3,FALSE)</f>
        <v>#VALUE!</v>
      </c>
      <c r="AE459" s="129" t="e">
        <f>VLOOKUP(VALUE($U459),test_out_xwalk!$C:$L,5,FALSE)</f>
        <v>#VALUE!</v>
      </c>
      <c r="AF459" s="129" t="e">
        <f>VLOOKUP(VALUE($U459),test_out_xwalk!$C:$L,6,FALSE)</f>
        <v>#VALUE!</v>
      </c>
      <c r="AG459" s="129" t="e">
        <f>VLOOKUP(VALUE($U459),test_out_xwalk!$C:$L,8,FALSE)</f>
        <v>#VALUE!</v>
      </c>
      <c r="AH459" s="129" t="e">
        <f>VLOOKUP(VALUE($U459),test_out_xwalk!$C:$L,7,FALSE)</f>
        <v>#VALUE!</v>
      </c>
      <c r="AI459" s="129" t="e">
        <f>VLOOKUP(VALUE($U459),test_out_xwalk!$C:$L,4,FALSE)</f>
        <v>#VALUE!</v>
      </c>
      <c r="AJ459" s="129" t="e">
        <f>VLOOKUP(VALUE($U459),test_out_xwalk!$C:$L,9,FALSE)</f>
        <v>#VALUE!</v>
      </c>
      <c r="AK459" t="e">
        <f>_xlfn.XLOOKUP(VALUE(U459),test_out_xwalk!C:C,test_out_xwalk!A:A)</f>
        <v>#VALUE!</v>
      </c>
    </row>
    <row r="460" spans="1:37" x14ac:dyDescent="0.55000000000000004">
      <c r="A460" s="121" t="str">
        <f>IF('summary_EPA Pond'!$A460="","Check Summary EPA POND worksheet Column A",'summary_EPA Pond'!$A460)</f>
        <v>Check Summary EPA POND worksheet Column A</v>
      </c>
      <c r="B460" s="121" t="str" cm="1">
        <f t="array" ref="B460">IFERROR(_xlfn.TEXTSPLIT(A460,"_"),"")</f>
        <v>Check Summary EPA POND worksheet Column A</v>
      </c>
      <c r="H460" s="121" t="str" cm="1">
        <f t="array" ref="H460">IF(D460="","",(_xlfn.TEXTSPLIT(D460,"-")))</f>
        <v/>
      </c>
      <c r="K460" s="129" t="e">
        <f>VLOOKUP(VALUE($B460),test_out_xwalk!$C:$L,3,FALSE)</f>
        <v>#VALUE!</v>
      </c>
      <c r="L460" s="129" t="e">
        <f>VLOOKUP(VALUE($B460),test_out_xwalk!$C:$L,5,FALSE)</f>
        <v>#VALUE!</v>
      </c>
      <c r="M460" s="129" t="e">
        <f>VLOOKUP(VALUE($B460),test_out_xwalk!$C:$L,6,FALSE)</f>
        <v>#VALUE!</v>
      </c>
      <c r="N460" s="129" t="e">
        <f>VLOOKUP(VALUE($B460),test_out_xwalk!$C:$L,8,FALSE)</f>
        <v>#VALUE!</v>
      </c>
      <c r="O460" s="129" t="e">
        <f>VLOOKUP(VALUE($B460),test_out_xwalk!$C:$L,7,FALSE)</f>
        <v>#VALUE!</v>
      </c>
      <c r="P460" s="129" t="e">
        <f>VLOOKUP(VALUE($B460),test_out_xwalk!$C:$L,4,FALSE)</f>
        <v>#VALUE!</v>
      </c>
      <c r="Q460" s="129" t="e">
        <f>VLOOKUP(VALUE($B460),test_out_xwalk!$C:$L,9,FALSE)</f>
        <v>#VALUE!</v>
      </c>
      <c r="R460" t="e">
        <f>_xlfn.XLOOKUP(VALUE(B460),test_out_xwalk!$C:$C,test_out_xwalk!$A:$A)</f>
        <v>#VALUE!</v>
      </c>
      <c r="T460" s="121" t="str">
        <f>IF('summary_EPA Pond'!$O460="","Check Summary EPA POND worksheet Column O",'summary_EPA Pond'!$O460)</f>
        <v>Check Summary EPA POND worksheet Column O</v>
      </c>
      <c r="U460" s="121" t="str" cm="1">
        <f t="array" ref="U460">IFERROR(_xlfn.TEXTSPLIT(T460,"_"),"")</f>
        <v>Check Summary EPA POND worksheet Column O</v>
      </c>
      <c r="AA460" s="121" t="str" cm="1">
        <f t="array" ref="AA460">IF(W460="","",(_xlfn.TEXTSPLIT(W460,"-")))</f>
        <v/>
      </c>
      <c r="AD460" s="129" t="e">
        <f>VLOOKUP(VALUE($U460),test_out_xwalk!$C:$L,3,FALSE)</f>
        <v>#VALUE!</v>
      </c>
      <c r="AE460" s="129" t="e">
        <f>VLOOKUP(VALUE($U460),test_out_xwalk!$C:$L,5,FALSE)</f>
        <v>#VALUE!</v>
      </c>
      <c r="AF460" s="129" t="e">
        <f>VLOOKUP(VALUE($U460),test_out_xwalk!$C:$L,6,FALSE)</f>
        <v>#VALUE!</v>
      </c>
      <c r="AG460" s="129" t="e">
        <f>VLOOKUP(VALUE($U460),test_out_xwalk!$C:$L,8,FALSE)</f>
        <v>#VALUE!</v>
      </c>
      <c r="AH460" s="129" t="e">
        <f>VLOOKUP(VALUE($U460),test_out_xwalk!$C:$L,7,FALSE)</f>
        <v>#VALUE!</v>
      </c>
      <c r="AI460" s="129" t="e">
        <f>VLOOKUP(VALUE($U460),test_out_xwalk!$C:$L,4,FALSE)</f>
        <v>#VALUE!</v>
      </c>
      <c r="AJ460" s="129" t="e">
        <f>VLOOKUP(VALUE($U460),test_out_xwalk!$C:$L,9,FALSE)</f>
        <v>#VALUE!</v>
      </c>
      <c r="AK460" t="e">
        <f>_xlfn.XLOOKUP(VALUE(U460),test_out_xwalk!C:C,test_out_xwalk!A:A)</f>
        <v>#VALUE!</v>
      </c>
    </row>
    <row r="461" spans="1:37" x14ac:dyDescent="0.55000000000000004">
      <c r="A461" s="121" t="str">
        <f>IF('summary_EPA Pond'!$A461="","Check Summary EPA POND worksheet Column A",'summary_EPA Pond'!$A461)</f>
        <v>Check Summary EPA POND worksheet Column A</v>
      </c>
      <c r="B461" s="121" t="str" cm="1">
        <f t="array" ref="B461">IFERROR(_xlfn.TEXTSPLIT(A461,"_"),"")</f>
        <v>Check Summary EPA POND worksheet Column A</v>
      </c>
      <c r="H461" s="121" t="str" cm="1">
        <f t="array" ref="H461">IF(D461="","",(_xlfn.TEXTSPLIT(D461,"-")))</f>
        <v/>
      </c>
      <c r="K461" s="129" t="e">
        <f>VLOOKUP(VALUE($B461),test_out_xwalk!$C:$L,3,FALSE)</f>
        <v>#VALUE!</v>
      </c>
      <c r="L461" s="129" t="e">
        <f>VLOOKUP(VALUE($B461),test_out_xwalk!$C:$L,5,FALSE)</f>
        <v>#VALUE!</v>
      </c>
      <c r="M461" s="129" t="e">
        <f>VLOOKUP(VALUE($B461),test_out_xwalk!$C:$L,6,FALSE)</f>
        <v>#VALUE!</v>
      </c>
      <c r="N461" s="129" t="e">
        <f>VLOOKUP(VALUE($B461),test_out_xwalk!$C:$L,8,FALSE)</f>
        <v>#VALUE!</v>
      </c>
      <c r="O461" s="129" t="e">
        <f>VLOOKUP(VALUE($B461),test_out_xwalk!$C:$L,7,FALSE)</f>
        <v>#VALUE!</v>
      </c>
      <c r="P461" s="129" t="e">
        <f>VLOOKUP(VALUE($B461),test_out_xwalk!$C:$L,4,FALSE)</f>
        <v>#VALUE!</v>
      </c>
      <c r="Q461" s="129" t="e">
        <f>VLOOKUP(VALUE($B461),test_out_xwalk!$C:$L,9,FALSE)</f>
        <v>#VALUE!</v>
      </c>
      <c r="R461" t="e">
        <f>_xlfn.XLOOKUP(VALUE(B461),test_out_xwalk!$C:$C,test_out_xwalk!$A:$A)</f>
        <v>#VALUE!</v>
      </c>
      <c r="T461" s="121" t="str">
        <f>IF('summary_EPA Pond'!$O461="","Check Summary EPA POND worksheet Column O",'summary_EPA Pond'!$O461)</f>
        <v>Check Summary EPA POND worksheet Column O</v>
      </c>
      <c r="U461" s="121" t="str" cm="1">
        <f t="array" ref="U461">IFERROR(_xlfn.TEXTSPLIT(T461,"_"),"")</f>
        <v>Check Summary EPA POND worksheet Column O</v>
      </c>
      <c r="AA461" s="121" t="str" cm="1">
        <f t="array" ref="AA461">IF(W461="","",(_xlfn.TEXTSPLIT(W461,"-")))</f>
        <v/>
      </c>
      <c r="AD461" s="129" t="e">
        <f>VLOOKUP(VALUE($U461),test_out_xwalk!$C:$L,3,FALSE)</f>
        <v>#VALUE!</v>
      </c>
      <c r="AE461" s="129" t="e">
        <f>VLOOKUP(VALUE($U461),test_out_xwalk!$C:$L,5,FALSE)</f>
        <v>#VALUE!</v>
      </c>
      <c r="AF461" s="129" t="e">
        <f>VLOOKUP(VALUE($U461),test_out_xwalk!$C:$L,6,FALSE)</f>
        <v>#VALUE!</v>
      </c>
      <c r="AG461" s="129" t="e">
        <f>VLOOKUP(VALUE($U461),test_out_xwalk!$C:$L,8,FALSE)</f>
        <v>#VALUE!</v>
      </c>
      <c r="AH461" s="129" t="e">
        <f>VLOOKUP(VALUE($U461),test_out_xwalk!$C:$L,7,FALSE)</f>
        <v>#VALUE!</v>
      </c>
      <c r="AI461" s="129" t="e">
        <f>VLOOKUP(VALUE($U461),test_out_xwalk!$C:$L,4,FALSE)</f>
        <v>#VALUE!</v>
      </c>
      <c r="AJ461" s="129" t="e">
        <f>VLOOKUP(VALUE($U461),test_out_xwalk!$C:$L,9,FALSE)</f>
        <v>#VALUE!</v>
      </c>
      <c r="AK461" t="e">
        <f>_xlfn.XLOOKUP(VALUE(U461),test_out_xwalk!C:C,test_out_xwalk!A:A)</f>
        <v>#VALUE!</v>
      </c>
    </row>
    <row r="462" spans="1:37" x14ac:dyDescent="0.55000000000000004">
      <c r="A462" s="121" t="str">
        <f>IF('summary_EPA Pond'!$A462="","Check Summary EPA POND worksheet Column A",'summary_EPA Pond'!$A462)</f>
        <v>Check Summary EPA POND worksheet Column A</v>
      </c>
      <c r="B462" s="121" t="str" cm="1">
        <f t="array" ref="B462">IFERROR(_xlfn.TEXTSPLIT(A462,"_"),"")</f>
        <v>Check Summary EPA POND worksheet Column A</v>
      </c>
      <c r="H462" s="121" t="str" cm="1">
        <f t="array" ref="H462">IF(D462="","",(_xlfn.TEXTSPLIT(D462,"-")))</f>
        <v/>
      </c>
      <c r="K462" s="129" t="e">
        <f>VLOOKUP(VALUE($B462),test_out_xwalk!$C:$L,3,FALSE)</f>
        <v>#VALUE!</v>
      </c>
      <c r="L462" s="129" t="e">
        <f>VLOOKUP(VALUE($B462),test_out_xwalk!$C:$L,5,FALSE)</f>
        <v>#VALUE!</v>
      </c>
      <c r="M462" s="129" t="e">
        <f>VLOOKUP(VALUE($B462),test_out_xwalk!$C:$L,6,FALSE)</f>
        <v>#VALUE!</v>
      </c>
      <c r="N462" s="129" t="e">
        <f>VLOOKUP(VALUE($B462),test_out_xwalk!$C:$L,8,FALSE)</f>
        <v>#VALUE!</v>
      </c>
      <c r="O462" s="129" t="e">
        <f>VLOOKUP(VALUE($B462),test_out_xwalk!$C:$L,7,FALSE)</f>
        <v>#VALUE!</v>
      </c>
      <c r="P462" s="129" t="e">
        <f>VLOOKUP(VALUE($B462),test_out_xwalk!$C:$L,4,FALSE)</f>
        <v>#VALUE!</v>
      </c>
      <c r="Q462" s="129" t="e">
        <f>VLOOKUP(VALUE($B462),test_out_xwalk!$C:$L,9,FALSE)</f>
        <v>#VALUE!</v>
      </c>
      <c r="R462" t="e">
        <f>_xlfn.XLOOKUP(VALUE(B462),test_out_xwalk!$C:$C,test_out_xwalk!$A:$A)</f>
        <v>#VALUE!</v>
      </c>
      <c r="T462" s="121" t="str">
        <f>IF('summary_EPA Pond'!$O462="","Check Summary EPA POND worksheet Column O",'summary_EPA Pond'!$O462)</f>
        <v>Check Summary EPA POND worksheet Column O</v>
      </c>
      <c r="U462" s="121" t="str" cm="1">
        <f t="array" ref="U462">IFERROR(_xlfn.TEXTSPLIT(T462,"_"),"")</f>
        <v>Check Summary EPA POND worksheet Column O</v>
      </c>
      <c r="AA462" s="121" t="str" cm="1">
        <f t="array" ref="AA462">IF(W462="","",(_xlfn.TEXTSPLIT(W462,"-")))</f>
        <v/>
      </c>
      <c r="AD462" s="129" t="e">
        <f>VLOOKUP(VALUE($U462),test_out_xwalk!$C:$L,3,FALSE)</f>
        <v>#VALUE!</v>
      </c>
      <c r="AE462" s="129" t="e">
        <f>VLOOKUP(VALUE($U462),test_out_xwalk!$C:$L,5,FALSE)</f>
        <v>#VALUE!</v>
      </c>
      <c r="AF462" s="129" t="e">
        <f>VLOOKUP(VALUE($U462),test_out_xwalk!$C:$L,6,FALSE)</f>
        <v>#VALUE!</v>
      </c>
      <c r="AG462" s="129" t="e">
        <f>VLOOKUP(VALUE($U462),test_out_xwalk!$C:$L,8,FALSE)</f>
        <v>#VALUE!</v>
      </c>
      <c r="AH462" s="129" t="e">
        <f>VLOOKUP(VALUE($U462),test_out_xwalk!$C:$L,7,FALSE)</f>
        <v>#VALUE!</v>
      </c>
      <c r="AI462" s="129" t="e">
        <f>VLOOKUP(VALUE($U462),test_out_xwalk!$C:$L,4,FALSE)</f>
        <v>#VALUE!</v>
      </c>
      <c r="AJ462" s="129" t="e">
        <f>VLOOKUP(VALUE($U462),test_out_xwalk!$C:$L,9,FALSE)</f>
        <v>#VALUE!</v>
      </c>
      <c r="AK462" t="e">
        <f>_xlfn.XLOOKUP(VALUE(U462),test_out_xwalk!C:C,test_out_xwalk!A:A)</f>
        <v>#VALUE!</v>
      </c>
    </row>
    <row r="463" spans="1:37" x14ac:dyDescent="0.55000000000000004">
      <c r="A463" s="121" t="str">
        <f>IF('summary_EPA Pond'!$A463="","Check Summary EPA POND worksheet Column A",'summary_EPA Pond'!$A463)</f>
        <v>Check Summary EPA POND worksheet Column A</v>
      </c>
      <c r="B463" s="121" t="str" cm="1">
        <f t="array" ref="B463">IFERROR(_xlfn.TEXTSPLIT(A463,"_"),"")</f>
        <v>Check Summary EPA POND worksheet Column A</v>
      </c>
      <c r="H463" s="121" t="str" cm="1">
        <f t="array" ref="H463">IF(D463="","",(_xlfn.TEXTSPLIT(D463,"-")))</f>
        <v/>
      </c>
      <c r="K463" s="129" t="e">
        <f>VLOOKUP(VALUE($B463),test_out_xwalk!$C:$L,3,FALSE)</f>
        <v>#VALUE!</v>
      </c>
      <c r="L463" s="129" t="e">
        <f>VLOOKUP(VALUE($B463),test_out_xwalk!$C:$L,5,FALSE)</f>
        <v>#VALUE!</v>
      </c>
      <c r="M463" s="129" t="e">
        <f>VLOOKUP(VALUE($B463),test_out_xwalk!$C:$L,6,FALSE)</f>
        <v>#VALUE!</v>
      </c>
      <c r="N463" s="129" t="e">
        <f>VLOOKUP(VALUE($B463),test_out_xwalk!$C:$L,8,FALSE)</f>
        <v>#VALUE!</v>
      </c>
      <c r="O463" s="129" t="e">
        <f>VLOOKUP(VALUE($B463),test_out_xwalk!$C:$L,7,FALSE)</f>
        <v>#VALUE!</v>
      </c>
      <c r="P463" s="129" t="e">
        <f>VLOOKUP(VALUE($B463),test_out_xwalk!$C:$L,4,FALSE)</f>
        <v>#VALUE!</v>
      </c>
      <c r="Q463" s="129" t="e">
        <f>VLOOKUP(VALUE($B463),test_out_xwalk!$C:$L,9,FALSE)</f>
        <v>#VALUE!</v>
      </c>
      <c r="R463" t="e">
        <f>_xlfn.XLOOKUP(VALUE(B463),test_out_xwalk!$C:$C,test_out_xwalk!$A:$A)</f>
        <v>#VALUE!</v>
      </c>
      <c r="T463" s="121" t="str">
        <f>IF('summary_EPA Pond'!$O463="","Check Summary EPA POND worksheet Column O",'summary_EPA Pond'!$O463)</f>
        <v>Check Summary EPA POND worksheet Column O</v>
      </c>
      <c r="U463" s="121" t="str" cm="1">
        <f t="array" ref="U463">IFERROR(_xlfn.TEXTSPLIT(T463,"_"),"")</f>
        <v>Check Summary EPA POND worksheet Column O</v>
      </c>
      <c r="AA463" s="121" t="str" cm="1">
        <f t="array" ref="AA463">IF(W463="","",(_xlfn.TEXTSPLIT(W463,"-")))</f>
        <v/>
      </c>
      <c r="AD463" s="129" t="e">
        <f>VLOOKUP(VALUE($U463),test_out_xwalk!$C:$L,3,FALSE)</f>
        <v>#VALUE!</v>
      </c>
      <c r="AE463" s="129" t="e">
        <f>VLOOKUP(VALUE($U463),test_out_xwalk!$C:$L,5,FALSE)</f>
        <v>#VALUE!</v>
      </c>
      <c r="AF463" s="129" t="e">
        <f>VLOOKUP(VALUE($U463),test_out_xwalk!$C:$L,6,FALSE)</f>
        <v>#VALUE!</v>
      </c>
      <c r="AG463" s="129" t="e">
        <f>VLOOKUP(VALUE($U463),test_out_xwalk!$C:$L,8,FALSE)</f>
        <v>#VALUE!</v>
      </c>
      <c r="AH463" s="129" t="e">
        <f>VLOOKUP(VALUE($U463),test_out_xwalk!$C:$L,7,FALSE)</f>
        <v>#VALUE!</v>
      </c>
      <c r="AI463" s="129" t="e">
        <f>VLOOKUP(VALUE($U463),test_out_xwalk!$C:$L,4,FALSE)</f>
        <v>#VALUE!</v>
      </c>
      <c r="AJ463" s="129" t="e">
        <f>VLOOKUP(VALUE($U463),test_out_xwalk!$C:$L,9,FALSE)</f>
        <v>#VALUE!</v>
      </c>
      <c r="AK463" t="e">
        <f>_xlfn.XLOOKUP(VALUE(U463),test_out_xwalk!C:C,test_out_xwalk!A:A)</f>
        <v>#VALUE!</v>
      </c>
    </row>
    <row r="464" spans="1:37" x14ac:dyDescent="0.55000000000000004">
      <c r="A464" s="121" t="str">
        <f>IF('summary_EPA Pond'!$A464="","Check Summary EPA POND worksheet Column A",'summary_EPA Pond'!$A464)</f>
        <v>Check Summary EPA POND worksheet Column A</v>
      </c>
      <c r="B464" s="121" t="str" cm="1">
        <f t="array" ref="B464">IFERROR(_xlfn.TEXTSPLIT(A464,"_"),"")</f>
        <v>Check Summary EPA POND worksheet Column A</v>
      </c>
      <c r="H464" s="121" t="str" cm="1">
        <f t="array" ref="H464">IF(D464="","",(_xlfn.TEXTSPLIT(D464,"-")))</f>
        <v/>
      </c>
      <c r="K464" s="129" t="e">
        <f>VLOOKUP(VALUE($B464),test_out_xwalk!$C:$L,3,FALSE)</f>
        <v>#VALUE!</v>
      </c>
      <c r="L464" s="129" t="e">
        <f>VLOOKUP(VALUE($B464),test_out_xwalk!$C:$L,5,FALSE)</f>
        <v>#VALUE!</v>
      </c>
      <c r="M464" s="129" t="e">
        <f>VLOOKUP(VALUE($B464),test_out_xwalk!$C:$L,6,FALSE)</f>
        <v>#VALUE!</v>
      </c>
      <c r="N464" s="129" t="e">
        <f>VLOOKUP(VALUE($B464),test_out_xwalk!$C:$L,8,FALSE)</f>
        <v>#VALUE!</v>
      </c>
      <c r="O464" s="129" t="e">
        <f>VLOOKUP(VALUE($B464),test_out_xwalk!$C:$L,7,FALSE)</f>
        <v>#VALUE!</v>
      </c>
      <c r="P464" s="129" t="e">
        <f>VLOOKUP(VALUE($B464),test_out_xwalk!$C:$L,4,FALSE)</f>
        <v>#VALUE!</v>
      </c>
      <c r="Q464" s="129" t="e">
        <f>VLOOKUP(VALUE($B464),test_out_xwalk!$C:$L,9,FALSE)</f>
        <v>#VALUE!</v>
      </c>
      <c r="R464" t="e">
        <f>_xlfn.XLOOKUP(VALUE(B464),test_out_xwalk!$C:$C,test_out_xwalk!$A:$A)</f>
        <v>#VALUE!</v>
      </c>
      <c r="T464" s="121" t="str">
        <f>IF('summary_EPA Pond'!$O464="","Check Summary EPA POND worksheet Column O",'summary_EPA Pond'!$O464)</f>
        <v>Check Summary EPA POND worksheet Column O</v>
      </c>
      <c r="U464" s="121" t="str" cm="1">
        <f t="array" ref="U464">IFERROR(_xlfn.TEXTSPLIT(T464,"_"),"")</f>
        <v>Check Summary EPA POND worksheet Column O</v>
      </c>
      <c r="AA464" s="121" t="str" cm="1">
        <f t="array" ref="AA464">IF(W464="","",(_xlfn.TEXTSPLIT(W464,"-")))</f>
        <v/>
      </c>
      <c r="AD464" s="129" t="e">
        <f>VLOOKUP(VALUE($U464),test_out_xwalk!$C:$L,3,FALSE)</f>
        <v>#VALUE!</v>
      </c>
      <c r="AE464" s="129" t="e">
        <f>VLOOKUP(VALUE($U464),test_out_xwalk!$C:$L,5,FALSE)</f>
        <v>#VALUE!</v>
      </c>
      <c r="AF464" s="129" t="e">
        <f>VLOOKUP(VALUE($U464),test_out_xwalk!$C:$L,6,FALSE)</f>
        <v>#VALUE!</v>
      </c>
      <c r="AG464" s="129" t="e">
        <f>VLOOKUP(VALUE($U464),test_out_xwalk!$C:$L,8,FALSE)</f>
        <v>#VALUE!</v>
      </c>
      <c r="AH464" s="129" t="e">
        <f>VLOOKUP(VALUE($U464),test_out_xwalk!$C:$L,7,FALSE)</f>
        <v>#VALUE!</v>
      </c>
      <c r="AI464" s="129" t="e">
        <f>VLOOKUP(VALUE($U464),test_out_xwalk!$C:$L,4,FALSE)</f>
        <v>#VALUE!</v>
      </c>
      <c r="AJ464" s="129" t="e">
        <f>VLOOKUP(VALUE($U464),test_out_xwalk!$C:$L,9,FALSE)</f>
        <v>#VALUE!</v>
      </c>
      <c r="AK464" t="e">
        <f>_xlfn.XLOOKUP(VALUE(U464),test_out_xwalk!C:C,test_out_xwalk!A:A)</f>
        <v>#VALUE!</v>
      </c>
    </row>
    <row r="465" spans="1:37" x14ac:dyDescent="0.55000000000000004">
      <c r="A465" s="121" t="str">
        <f>IF('summary_EPA Pond'!$A465="","Check Summary EPA POND worksheet Column A",'summary_EPA Pond'!$A465)</f>
        <v>Check Summary EPA POND worksheet Column A</v>
      </c>
      <c r="B465" s="121" t="str" cm="1">
        <f t="array" ref="B465">IFERROR(_xlfn.TEXTSPLIT(A465,"_"),"")</f>
        <v>Check Summary EPA POND worksheet Column A</v>
      </c>
      <c r="H465" s="121" t="str" cm="1">
        <f t="array" ref="H465">IF(D465="","",(_xlfn.TEXTSPLIT(D465,"-")))</f>
        <v/>
      </c>
      <c r="K465" s="129" t="e">
        <f>VLOOKUP(VALUE($B465),test_out_xwalk!$C:$L,3,FALSE)</f>
        <v>#VALUE!</v>
      </c>
      <c r="L465" s="129" t="e">
        <f>VLOOKUP(VALUE($B465),test_out_xwalk!$C:$L,5,FALSE)</f>
        <v>#VALUE!</v>
      </c>
      <c r="M465" s="129" t="e">
        <f>VLOOKUP(VALUE($B465),test_out_xwalk!$C:$L,6,FALSE)</f>
        <v>#VALUE!</v>
      </c>
      <c r="N465" s="129" t="e">
        <f>VLOOKUP(VALUE($B465),test_out_xwalk!$C:$L,8,FALSE)</f>
        <v>#VALUE!</v>
      </c>
      <c r="O465" s="129" t="e">
        <f>VLOOKUP(VALUE($B465),test_out_xwalk!$C:$L,7,FALSE)</f>
        <v>#VALUE!</v>
      </c>
      <c r="P465" s="129" t="e">
        <f>VLOOKUP(VALUE($B465),test_out_xwalk!$C:$L,4,FALSE)</f>
        <v>#VALUE!</v>
      </c>
      <c r="Q465" s="129" t="e">
        <f>VLOOKUP(VALUE($B465),test_out_xwalk!$C:$L,9,FALSE)</f>
        <v>#VALUE!</v>
      </c>
      <c r="R465" t="e">
        <f>_xlfn.XLOOKUP(VALUE(B465),test_out_xwalk!$C:$C,test_out_xwalk!$A:$A)</f>
        <v>#VALUE!</v>
      </c>
      <c r="T465" s="121" t="str">
        <f>IF('summary_EPA Pond'!$O465="","Check Summary EPA POND worksheet Column O",'summary_EPA Pond'!$O465)</f>
        <v>Check Summary EPA POND worksheet Column O</v>
      </c>
      <c r="U465" s="121" t="str" cm="1">
        <f t="array" ref="U465">IFERROR(_xlfn.TEXTSPLIT(T465,"_"),"")</f>
        <v>Check Summary EPA POND worksheet Column O</v>
      </c>
      <c r="AA465" s="121" t="str" cm="1">
        <f t="array" ref="AA465">IF(W465="","",(_xlfn.TEXTSPLIT(W465,"-")))</f>
        <v/>
      </c>
      <c r="AD465" s="129" t="e">
        <f>VLOOKUP(VALUE($U465),test_out_xwalk!$C:$L,3,FALSE)</f>
        <v>#VALUE!</v>
      </c>
      <c r="AE465" s="129" t="e">
        <f>VLOOKUP(VALUE($U465),test_out_xwalk!$C:$L,5,FALSE)</f>
        <v>#VALUE!</v>
      </c>
      <c r="AF465" s="129" t="e">
        <f>VLOOKUP(VALUE($U465),test_out_xwalk!$C:$L,6,FALSE)</f>
        <v>#VALUE!</v>
      </c>
      <c r="AG465" s="129" t="e">
        <f>VLOOKUP(VALUE($U465),test_out_xwalk!$C:$L,8,FALSE)</f>
        <v>#VALUE!</v>
      </c>
      <c r="AH465" s="129" t="e">
        <f>VLOOKUP(VALUE($U465),test_out_xwalk!$C:$L,7,FALSE)</f>
        <v>#VALUE!</v>
      </c>
      <c r="AI465" s="129" t="e">
        <f>VLOOKUP(VALUE($U465),test_out_xwalk!$C:$L,4,FALSE)</f>
        <v>#VALUE!</v>
      </c>
      <c r="AJ465" s="129" t="e">
        <f>VLOOKUP(VALUE($U465),test_out_xwalk!$C:$L,9,FALSE)</f>
        <v>#VALUE!</v>
      </c>
      <c r="AK465" t="e">
        <f>_xlfn.XLOOKUP(VALUE(U465),test_out_xwalk!C:C,test_out_xwalk!A:A)</f>
        <v>#VALUE!</v>
      </c>
    </row>
    <row r="466" spans="1:37" x14ac:dyDescent="0.55000000000000004">
      <c r="A466" s="121" t="str">
        <f>IF('summary_EPA Pond'!$A466="","Check Summary EPA POND worksheet Column A",'summary_EPA Pond'!$A466)</f>
        <v>Check Summary EPA POND worksheet Column A</v>
      </c>
      <c r="B466" s="121" t="str" cm="1">
        <f t="array" ref="B466">IFERROR(_xlfn.TEXTSPLIT(A466,"_"),"")</f>
        <v>Check Summary EPA POND worksheet Column A</v>
      </c>
      <c r="H466" s="121" t="str" cm="1">
        <f t="array" ref="H466">IF(D466="","",(_xlfn.TEXTSPLIT(D466,"-")))</f>
        <v/>
      </c>
      <c r="K466" s="129" t="e">
        <f>VLOOKUP(VALUE($B466),test_out_xwalk!$C:$L,3,FALSE)</f>
        <v>#VALUE!</v>
      </c>
      <c r="L466" s="129" t="e">
        <f>VLOOKUP(VALUE($B466),test_out_xwalk!$C:$L,5,FALSE)</f>
        <v>#VALUE!</v>
      </c>
      <c r="M466" s="129" t="e">
        <f>VLOOKUP(VALUE($B466),test_out_xwalk!$C:$L,6,FALSE)</f>
        <v>#VALUE!</v>
      </c>
      <c r="N466" s="129" t="e">
        <f>VLOOKUP(VALUE($B466),test_out_xwalk!$C:$L,8,FALSE)</f>
        <v>#VALUE!</v>
      </c>
      <c r="O466" s="129" t="e">
        <f>VLOOKUP(VALUE($B466),test_out_xwalk!$C:$L,7,FALSE)</f>
        <v>#VALUE!</v>
      </c>
      <c r="P466" s="129" t="e">
        <f>VLOOKUP(VALUE($B466),test_out_xwalk!$C:$L,4,FALSE)</f>
        <v>#VALUE!</v>
      </c>
      <c r="Q466" s="129" t="e">
        <f>VLOOKUP(VALUE($B466),test_out_xwalk!$C:$L,9,FALSE)</f>
        <v>#VALUE!</v>
      </c>
      <c r="R466" t="e">
        <f>_xlfn.XLOOKUP(VALUE(B466),test_out_xwalk!$C:$C,test_out_xwalk!$A:$A)</f>
        <v>#VALUE!</v>
      </c>
      <c r="T466" s="121" t="str">
        <f>IF('summary_EPA Pond'!$O466="","Check Summary EPA POND worksheet Column O",'summary_EPA Pond'!$O466)</f>
        <v>Check Summary EPA POND worksheet Column O</v>
      </c>
      <c r="U466" s="121" t="str" cm="1">
        <f t="array" ref="U466">IFERROR(_xlfn.TEXTSPLIT(T466,"_"),"")</f>
        <v>Check Summary EPA POND worksheet Column O</v>
      </c>
      <c r="AA466" s="121" t="str" cm="1">
        <f t="array" ref="AA466">IF(W466="","",(_xlfn.TEXTSPLIT(W466,"-")))</f>
        <v/>
      </c>
      <c r="AD466" s="129" t="e">
        <f>VLOOKUP(VALUE($U466),test_out_xwalk!$C:$L,3,FALSE)</f>
        <v>#VALUE!</v>
      </c>
      <c r="AE466" s="129" t="e">
        <f>VLOOKUP(VALUE($U466),test_out_xwalk!$C:$L,5,FALSE)</f>
        <v>#VALUE!</v>
      </c>
      <c r="AF466" s="129" t="e">
        <f>VLOOKUP(VALUE($U466),test_out_xwalk!$C:$L,6,FALSE)</f>
        <v>#VALUE!</v>
      </c>
      <c r="AG466" s="129" t="e">
        <f>VLOOKUP(VALUE($U466),test_out_xwalk!$C:$L,8,FALSE)</f>
        <v>#VALUE!</v>
      </c>
      <c r="AH466" s="129" t="e">
        <f>VLOOKUP(VALUE($U466),test_out_xwalk!$C:$L,7,FALSE)</f>
        <v>#VALUE!</v>
      </c>
      <c r="AI466" s="129" t="e">
        <f>VLOOKUP(VALUE($U466),test_out_xwalk!$C:$L,4,FALSE)</f>
        <v>#VALUE!</v>
      </c>
      <c r="AJ466" s="129" t="e">
        <f>VLOOKUP(VALUE($U466),test_out_xwalk!$C:$L,9,FALSE)</f>
        <v>#VALUE!</v>
      </c>
      <c r="AK466" t="e">
        <f>_xlfn.XLOOKUP(VALUE(U466),test_out_xwalk!C:C,test_out_xwalk!A:A)</f>
        <v>#VALUE!</v>
      </c>
    </row>
    <row r="467" spans="1:37" x14ac:dyDescent="0.55000000000000004">
      <c r="A467" s="121" t="str">
        <f>IF('summary_EPA Pond'!$A467="","Check Summary EPA POND worksheet Column A",'summary_EPA Pond'!$A467)</f>
        <v>Check Summary EPA POND worksheet Column A</v>
      </c>
      <c r="B467" s="121" t="str" cm="1">
        <f t="array" ref="B467">IFERROR(_xlfn.TEXTSPLIT(A467,"_"),"")</f>
        <v>Check Summary EPA POND worksheet Column A</v>
      </c>
      <c r="H467" s="121" t="str" cm="1">
        <f t="array" ref="H467">IF(D467="","",(_xlfn.TEXTSPLIT(D467,"-")))</f>
        <v/>
      </c>
      <c r="K467" s="129" t="e">
        <f>VLOOKUP(VALUE($B467),test_out_xwalk!$C:$L,3,FALSE)</f>
        <v>#VALUE!</v>
      </c>
      <c r="L467" s="129" t="e">
        <f>VLOOKUP(VALUE($B467),test_out_xwalk!$C:$L,5,FALSE)</f>
        <v>#VALUE!</v>
      </c>
      <c r="M467" s="129" t="e">
        <f>VLOOKUP(VALUE($B467),test_out_xwalk!$C:$L,6,FALSE)</f>
        <v>#VALUE!</v>
      </c>
      <c r="N467" s="129" t="e">
        <f>VLOOKUP(VALUE($B467),test_out_xwalk!$C:$L,8,FALSE)</f>
        <v>#VALUE!</v>
      </c>
      <c r="O467" s="129" t="e">
        <f>VLOOKUP(VALUE($B467),test_out_xwalk!$C:$L,7,FALSE)</f>
        <v>#VALUE!</v>
      </c>
      <c r="P467" s="129" t="e">
        <f>VLOOKUP(VALUE($B467),test_out_xwalk!$C:$L,4,FALSE)</f>
        <v>#VALUE!</v>
      </c>
      <c r="Q467" s="129" t="e">
        <f>VLOOKUP(VALUE($B467),test_out_xwalk!$C:$L,9,FALSE)</f>
        <v>#VALUE!</v>
      </c>
      <c r="R467" t="e">
        <f>_xlfn.XLOOKUP(VALUE(B467),test_out_xwalk!$C:$C,test_out_xwalk!$A:$A)</f>
        <v>#VALUE!</v>
      </c>
      <c r="T467" s="121" t="str">
        <f>IF('summary_EPA Pond'!$O467="","Check Summary EPA POND worksheet Column O",'summary_EPA Pond'!$O467)</f>
        <v>Check Summary EPA POND worksheet Column O</v>
      </c>
      <c r="U467" s="121" t="str" cm="1">
        <f t="array" ref="U467">IFERROR(_xlfn.TEXTSPLIT(T467,"_"),"")</f>
        <v>Check Summary EPA POND worksheet Column O</v>
      </c>
      <c r="AA467" s="121" t="str" cm="1">
        <f t="array" ref="AA467">IF(W467="","",(_xlfn.TEXTSPLIT(W467,"-")))</f>
        <v/>
      </c>
      <c r="AD467" s="129" t="e">
        <f>VLOOKUP(VALUE($U467),test_out_xwalk!$C:$L,3,FALSE)</f>
        <v>#VALUE!</v>
      </c>
      <c r="AE467" s="129" t="e">
        <f>VLOOKUP(VALUE($U467),test_out_xwalk!$C:$L,5,FALSE)</f>
        <v>#VALUE!</v>
      </c>
      <c r="AF467" s="129" t="e">
        <f>VLOOKUP(VALUE($U467),test_out_xwalk!$C:$L,6,FALSE)</f>
        <v>#VALUE!</v>
      </c>
      <c r="AG467" s="129" t="e">
        <f>VLOOKUP(VALUE($U467),test_out_xwalk!$C:$L,8,FALSE)</f>
        <v>#VALUE!</v>
      </c>
      <c r="AH467" s="129" t="e">
        <f>VLOOKUP(VALUE($U467),test_out_xwalk!$C:$L,7,FALSE)</f>
        <v>#VALUE!</v>
      </c>
      <c r="AI467" s="129" t="e">
        <f>VLOOKUP(VALUE($U467),test_out_xwalk!$C:$L,4,FALSE)</f>
        <v>#VALUE!</v>
      </c>
      <c r="AJ467" s="129" t="e">
        <f>VLOOKUP(VALUE($U467),test_out_xwalk!$C:$L,9,FALSE)</f>
        <v>#VALUE!</v>
      </c>
      <c r="AK467" t="e">
        <f>_xlfn.XLOOKUP(VALUE(U467),test_out_xwalk!C:C,test_out_xwalk!A:A)</f>
        <v>#VALUE!</v>
      </c>
    </row>
    <row r="468" spans="1:37" x14ac:dyDescent="0.55000000000000004">
      <c r="A468" s="121" t="str">
        <f>IF('summary_EPA Pond'!$A468="","Check Summary EPA POND worksheet Column A",'summary_EPA Pond'!$A468)</f>
        <v>Check Summary EPA POND worksheet Column A</v>
      </c>
      <c r="B468" s="121" t="str" cm="1">
        <f t="array" ref="B468">IFERROR(_xlfn.TEXTSPLIT(A468,"_"),"")</f>
        <v>Check Summary EPA POND worksheet Column A</v>
      </c>
      <c r="H468" s="121" t="str" cm="1">
        <f t="array" ref="H468">IF(D468="","",(_xlfn.TEXTSPLIT(D468,"-")))</f>
        <v/>
      </c>
      <c r="K468" s="129" t="e">
        <f>VLOOKUP(VALUE($B468),test_out_xwalk!$C:$L,3,FALSE)</f>
        <v>#VALUE!</v>
      </c>
      <c r="L468" s="129" t="e">
        <f>VLOOKUP(VALUE($B468),test_out_xwalk!$C:$L,5,FALSE)</f>
        <v>#VALUE!</v>
      </c>
      <c r="M468" s="129" t="e">
        <f>VLOOKUP(VALUE($B468),test_out_xwalk!$C:$L,6,FALSE)</f>
        <v>#VALUE!</v>
      </c>
      <c r="N468" s="129" t="e">
        <f>VLOOKUP(VALUE($B468),test_out_xwalk!$C:$L,8,FALSE)</f>
        <v>#VALUE!</v>
      </c>
      <c r="O468" s="129" t="e">
        <f>VLOOKUP(VALUE($B468),test_out_xwalk!$C:$L,7,FALSE)</f>
        <v>#VALUE!</v>
      </c>
      <c r="P468" s="129" t="e">
        <f>VLOOKUP(VALUE($B468),test_out_xwalk!$C:$L,4,FALSE)</f>
        <v>#VALUE!</v>
      </c>
      <c r="Q468" s="129" t="e">
        <f>VLOOKUP(VALUE($B468),test_out_xwalk!$C:$L,9,FALSE)</f>
        <v>#VALUE!</v>
      </c>
      <c r="R468" t="e">
        <f>_xlfn.XLOOKUP(VALUE(B468),test_out_xwalk!$C:$C,test_out_xwalk!$A:$A)</f>
        <v>#VALUE!</v>
      </c>
      <c r="T468" s="121" t="str">
        <f>IF('summary_EPA Pond'!$O468="","Check Summary EPA POND worksheet Column O",'summary_EPA Pond'!$O468)</f>
        <v>Check Summary EPA POND worksheet Column O</v>
      </c>
      <c r="U468" s="121" t="str" cm="1">
        <f t="array" ref="U468">IFERROR(_xlfn.TEXTSPLIT(T468,"_"),"")</f>
        <v>Check Summary EPA POND worksheet Column O</v>
      </c>
      <c r="AA468" s="121" t="str" cm="1">
        <f t="array" ref="AA468">IF(W468="","",(_xlfn.TEXTSPLIT(W468,"-")))</f>
        <v/>
      </c>
      <c r="AD468" s="129" t="e">
        <f>VLOOKUP(VALUE($U468),test_out_xwalk!$C:$L,3,FALSE)</f>
        <v>#VALUE!</v>
      </c>
      <c r="AE468" s="129" t="e">
        <f>VLOOKUP(VALUE($U468),test_out_xwalk!$C:$L,5,FALSE)</f>
        <v>#VALUE!</v>
      </c>
      <c r="AF468" s="129" t="e">
        <f>VLOOKUP(VALUE($U468),test_out_xwalk!$C:$L,6,FALSE)</f>
        <v>#VALUE!</v>
      </c>
      <c r="AG468" s="129" t="e">
        <f>VLOOKUP(VALUE($U468),test_out_xwalk!$C:$L,8,FALSE)</f>
        <v>#VALUE!</v>
      </c>
      <c r="AH468" s="129" t="e">
        <f>VLOOKUP(VALUE($U468),test_out_xwalk!$C:$L,7,FALSE)</f>
        <v>#VALUE!</v>
      </c>
      <c r="AI468" s="129" t="e">
        <f>VLOOKUP(VALUE($U468),test_out_xwalk!$C:$L,4,FALSE)</f>
        <v>#VALUE!</v>
      </c>
      <c r="AJ468" s="129" t="e">
        <f>VLOOKUP(VALUE($U468),test_out_xwalk!$C:$L,9,FALSE)</f>
        <v>#VALUE!</v>
      </c>
      <c r="AK468" t="e">
        <f>_xlfn.XLOOKUP(VALUE(U468),test_out_xwalk!C:C,test_out_xwalk!A:A)</f>
        <v>#VALUE!</v>
      </c>
    </row>
    <row r="469" spans="1:37" x14ac:dyDescent="0.55000000000000004">
      <c r="A469" s="121" t="str">
        <f>IF('summary_EPA Pond'!$A469="","Check Summary EPA POND worksheet Column A",'summary_EPA Pond'!$A469)</f>
        <v>Check Summary EPA POND worksheet Column A</v>
      </c>
      <c r="B469" s="121" t="str" cm="1">
        <f t="array" ref="B469">IFERROR(_xlfn.TEXTSPLIT(A469,"_"),"")</f>
        <v>Check Summary EPA POND worksheet Column A</v>
      </c>
      <c r="H469" s="121" t="str" cm="1">
        <f t="array" ref="H469">IF(D469="","",(_xlfn.TEXTSPLIT(D469,"-")))</f>
        <v/>
      </c>
      <c r="K469" s="129" t="e">
        <f>VLOOKUP(VALUE($B469),test_out_xwalk!$C:$L,3,FALSE)</f>
        <v>#VALUE!</v>
      </c>
      <c r="L469" s="129" t="e">
        <f>VLOOKUP(VALUE($B469),test_out_xwalk!$C:$L,5,FALSE)</f>
        <v>#VALUE!</v>
      </c>
      <c r="M469" s="129" t="e">
        <f>VLOOKUP(VALUE($B469),test_out_xwalk!$C:$L,6,FALSE)</f>
        <v>#VALUE!</v>
      </c>
      <c r="N469" s="129" t="e">
        <f>VLOOKUP(VALUE($B469),test_out_xwalk!$C:$L,8,FALSE)</f>
        <v>#VALUE!</v>
      </c>
      <c r="O469" s="129" t="e">
        <f>VLOOKUP(VALUE($B469),test_out_xwalk!$C:$L,7,FALSE)</f>
        <v>#VALUE!</v>
      </c>
      <c r="P469" s="129" t="e">
        <f>VLOOKUP(VALUE($B469),test_out_xwalk!$C:$L,4,FALSE)</f>
        <v>#VALUE!</v>
      </c>
      <c r="Q469" s="129" t="e">
        <f>VLOOKUP(VALUE($B469),test_out_xwalk!$C:$L,9,FALSE)</f>
        <v>#VALUE!</v>
      </c>
      <c r="R469" t="e">
        <f>_xlfn.XLOOKUP(VALUE(B469),test_out_xwalk!$C:$C,test_out_xwalk!$A:$A)</f>
        <v>#VALUE!</v>
      </c>
      <c r="T469" s="121" t="str">
        <f>IF('summary_EPA Pond'!$O469="","Check Summary EPA POND worksheet Column O",'summary_EPA Pond'!$O469)</f>
        <v>Check Summary EPA POND worksheet Column O</v>
      </c>
      <c r="U469" s="121" t="str" cm="1">
        <f t="array" ref="U469">IFERROR(_xlfn.TEXTSPLIT(T469,"_"),"")</f>
        <v>Check Summary EPA POND worksheet Column O</v>
      </c>
      <c r="AA469" s="121" t="str" cm="1">
        <f t="array" ref="AA469">IF(W469="","",(_xlfn.TEXTSPLIT(W469,"-")))</f>
        <v/>
      </c>
      <c r="AD469" s="129" t="e">
        <f>VLOOKUP(VALUE($U469),test_out_xwalk!$C:$L,3,FALSE)</f>
        <v>#VALUE!</v>
      </c>
      <c r="AE469" s="129" t="e">
        <f>VLOOKUP(VALUE($U469),test_out_xwalk!$C:$L,5,FALSE)</f>
        <v>#VALUE!</v>
      </c>
      <c r="AF469" s="129" t="e">
        <f>VLOOKUP(VALUE($U469),test_out_xwalk!$C:$L,6,FALSE)</f>
        <v>#VALUE!</v>
      </c>
      <c r="AG469" s="129" t="e">
        <f>VLOOKUP(VALUE($U469),test_out_xwalk!$C:$L,8,FALSE)</f>
        <v>#VALUE!</v>
      </c>
      <c r="AH469" s="129" t="e">
        <f>VLOOKUP(VALUE($U469),test_out_xwalk!$C:$L,7,FALSE)</f>
        <v>#VALUE!</v>
      </c>
      <c r="AI469" s="129" t="e">
        <f>VLOOKUP(VALUE($U469),test_out_xwalk!$C:$L,4,FALSE)</f>
        <v>#VALUE!</v>
      </c>
      <c r="AJ469" s="129" t="e">
        <f>VLOOKUP(VALUE($U469),test_out_xwalk!$C:$L,9,FALSE)</f>
        <v>#VALUE!</v>
      </c>
      <c r="AK469" t="e">
        <f>_xlfn.XLOOKUP(VALUE(U469),test_out_xwalk!C:C,test_out_xwalk!A:A)</f>
        <v>#VALUE!</v>
      </c>
    </row>
    <row r="470" spans="1:37" x14ac:dyDescent="0.55000000000000004">
      <c r="A470" s="121" t="str">
        <f>IF('summary_EPA Pond'!$A470="","Check Summary EPA POND worksheet Column A",'summary_EPA Pond'!$A470)</f>
        <v>Check Summary EPA POND worksheet Column A</v>
      </c>
      <c r="B470" s="121" t="str" cm="1">
        <f t="array" ref="B470">IFERROR(_xlfn.TEXTSPLIT(A470,"_"),"")</f>
        <v>Check Summary EPA POND worksheet Column A</v>
      </c>
      <c r="H470" s="121" t="str" cm="1">
        <f t="array" ref="H470">IF(D470="","",(_xlfn.TEXTSPLIT(D470,"-")))</f>
        <v/>
      </c>
      <c r="K470" s="129" t="e">
        <f>VLOOKUP(VALUE($B470),test_out_xwalk!$C:$L,3,FALSE)</f>
        <v>#VALUE!</v>
      </c>
      <c r="L470" s="129" t="e">
        <f>VLOOKUP(VALUE($B470),test_out_xwalk!$C:$L,5,FALSE)</f>
        <v>#VALUE!</v>
      </c>
      <c r="M470" s="129" t="e">
        <f>VLOOKUP(VALUE($B470),test_out_xwalk!$C:$L,6,FALSE)</f>
        <v>#VALUE!</v>
      </c>
      <c r="N470" s="129" t="e">
        <f>VLOOKUP(VALUE($B470),test_out_xwalk!$C:$L,8,FALSE)</f>
        <v>#VALUE!</v>
      </c>
      <c r="O470" s="129" t="e">
        <f>VLOOKUP(VALUE($B470),test_out_xwalk!$C:$L,7,FALSE)</f>
        <v>#VALUE!</v>
      </c>
      <c r="P470" s="129" t="e">
        <f>VLOOKUP(VALUE($B470),test_out_xwalk!$C:$L,4,FALSE)</f>
        <v>#VALUE!</v>
      </c>
      <c r="Q470" s="129" t="e">
        <f>VLOOKUP(VALUE($B470),test_out_xwalk!$C:$L,9,FALSE)</f>
        <v>#VALUE!</v>
      </c>
      <c r="R470" t="e">
        <f>_xlfn.XLOOKUP(VALUE(B470),test_out_xwalk!$C:$C,test_out_xwalk!$A:$A)</f>
        <v>#VALUE!</v>
      </c>
      <c r="T470" s="121" t="str">
        <f>IF('summary_EPA Pond'!$O470="","Check Summary EPA POND worksheet Column O",'summary_EPA Pond'!$O470)</f>
        <v>Check Summary EPA POND worksheet Column O</v>
      </c>
      <c r="U470" s="121" t="str" cm="1">
        <f t="array" ref="U470">IFERROR(_xlfn.TEXTSPLIT(T470,"_"),"")</f>
        <v>Check Summary EPA POND worksheet Column O</v>
      </c>
      <c r="AA470" s="121" t="str" cm="1">
        <f t="array" ref="AA470">IF(W470="","",(_xlfn.TEXTSPLIT(W470,"-")))</f>
        <v/>
      </c>
      <c r="AD470" s="129" t="e">
        <f>VLOOKUP(VALUE($U470),test_out_xwalk!$C:$L,3,FALSE)</f>
        <v>#VALUE!</v>
      </c>
      <c r="AE470" s="129" t="e">
        <f>VLOOKUP(VALUE($U470),test_out_xwalk!$C:$L,5,FALSE)</f>
        <v>#VALUE!</v>
      </c>
      <c r="AF470" s="129" t="e">
        <f>VLOOKUP(VALUE($U470),test_out_xwalk!$C:$L,6,FALSE)</f>
        <v>#VALUE!</v>
      </c>
      <c r="AG470" s="129" t="e">
        <f>VLOOKUP(VALUE($U470),test_out_xwalk!$C:$L,8,FALSE)</f>
        <v>#VALUE!</v>
      </c>
      <c r="AH470" s="129" t="e">
        <f>VLOOKUP(VALUE($U470),test_out_xwalk!$C:$L,7,FALSE)</f>
        <v>#VALUE!</v>
      </c>
      <c r="AI470" s="129" t="e">
        <f>VLOOKUP(VALUE($U470),test_out_xwalk!$C:$L,4,FALSE)</f>
        <v>#VALUE!</v>
      </c>
      <c r="AJ470" s="129" t="e">
        <f>VLOOKUP(VALUE($U470),test_out_xwalk!$C:$L,9,FALSE)</f>
        <v>#VALUE!</v>
      </c>
      <c r="AK470" t="e">
        <f>_xlfn.XLOOKUP(VALUE(U470),test_out_xwalk!C:C,test_out_xwalk!A:A)</f>
        <v>#VALUE!</v>
      </c>
    </row>
    <row r="471" spans="1:37" x14ac:dyDescent="0.55000000000000004">
      <c r="A471" s="121" t="str">
        <f>IF('summary_EPA Pond'!$A471="","Check Summary EPA POND worksheet Column A",'summary_EPA Pond'!$A471)</f>
        <v>Check Summary EPA POND worksheet Column A</v>
      </c>
      <c r="B471" s="121" t="str" cm="1">
        <f t="array" ref="B471">IFERROR(_xlfn.TEXTSPLIT(A471,"_"),"")</f>
        <v>Check Summary EPA POND worksheet Column A</v>
      </c>
      <c r="H471" s="121" t="str" cm="1">
        <f t="array" ref="H471">IF(D471="","",(_xlfn.TEXTSPLIT(D471,"-")))</f>
        <v/>
      </c>
      <c r="K471" s="129" t="e">
        <f>VLOOKUP(VALUE($B471),test_out_xwalk!$C:$L,3,FALSE)</f>
        <v>#VALUE!</v>
      </c>
      <c r="L471" s="129" t="e">
        <f>VLOOKUP(VALUE($B471),test_out_xwalk!$C:$L,5,FALSE)</f>
        <v>#VALUE!</v>
      </c>
      <c r="M471" s="129" t="e">
        <f>VLOOKUP(VALUE($B471),test_out_xwalk!$C:$L,6,FALSE)</f>
        <v>#VALUE!</v>
      </c>
      <c r="N471" s="129" t="e">
        <f>VLOOKUP(VALUE($B471),test_out_xwalk!$C:$L,8,FALSE)</f>
        <v>#VALUE!</v>
      </c>
      <c r="O471" s="129" t="e">
        <f>VLOOKUP(VALUE($B471),test_out_xwalk!$C:$L,7,FALSE)</f>
        <v>#VALUE!</v>
      </c>
      <c r="P471" s="129" t="e">
        <f>VLOOKUP(VALUE($B471),test_out_xwalk!$C:$L,4,FALSE)</f>
        <v>#VALUE!</v>
      </c>
      <c r="Q471" s="129" t="e">
        <f>VLOOKUP(VALUE($B471),test_out_xwalk!$C:$L,9,FALSE)</f>
        <v>#VALUE!</v>
      </c>
      <c r="R471" t="e">
        <f>_xlfn.XLOOKUP(VALUE(B471),test_out_xwalk!$C:$C,test_out_xwalk!$A:$A)</f>
        <v>#VALUE!</v>
      </c>
      <c r="T471" s="121" t="str">
        <f>IF('summary_EPA Pond'!$O471="","Check Summary EPA POND worksheet Column O",'summary_EPA Pond'!$O471)</f>
        <v>Check Summary EPA POND worksheet Column O</v>
      </c>
      <c r="U471" s="121" t="str" cm="1">
        <f t="array" ref="U471">IFERROR(_xlfn.TEXTSPLIT(T471,"_"),"")</f>
        <v>Check Summary EPA POND worksheet Column O</v>
      </c>
      <c r="AA471" s="121" t="str" cm="1">
        <f t="array" ref="AA471">IF(W471="","",(_xlfn.TEXTSPLIT(W471,"-")))</f>
        <v/>
      </c>
      <c r="AD471" s="129" t="e">
        <f>VLOOKUP(VALUE($U471),test_out_xwalk!$C:$L,3,FALSE)</f>
        <v>#VALUE!</v>
      </c>
      <c r="AE471" s="129" t="e">
        <f>VLOOKUP(VALUE($U471),test_out_xwalk!$C:$L,5,FALSE)</f>
        <v>#VALUE!</v>
      </c>
      <c r="AF471" s="129" t="e">
        <f>VLOOKUP(VALUE($U471),test_out_xwalk!$C:$L,6,FALSE)</f>
        <v>#VALUE!</v>
      </c>
      <c r="AG471" s="129" t="e">
        <f>VLOOKUP(VALUE($U471),test_out_xwalk!$C:$L,8,FALSE)</f>
        <v>#VALUE!</v>
      </c>
      <c r="AH471" s="129" t="e">
        <f>VLOOKUP(VALUE($U471),test_out_xwalk!$C:$L,7,FALSE)</f>
        <v>#VALUE!</v>
      </c>
      <c r="AI471" s="129" t="e">
        <f>VLOOKUP(VALUE($U471),test_out_xwalk!$C:$L,4,FALSE)</f>
        <v>#VALUE!</v>
      </c>
      <c r="AJ471" s="129" t="e">
        <f>VLOOKUP(VALUE($U471),test_out_xwalk!$C:$L,9,FALSE)</f>
        <v>#VALUE!</v>
      </c>
      <c r="AK471" t="e">
        <f>_xlfn.XLOOKUP(VALUE(U471),test_out_xwalk!C:C,test_out_xwalk!A:A)</f>
        <v>#VALUE!</v>
      </c>
    </row>
    <row r="472" spans="1:37" x14ac:dyDescent="0.55000000000000004">
      <c r="A472" s="121" t="str">
        <f>IF('summary_EPA Pond'!$A472="","Check Summary EPA POND worksheet Column A",'summary_EPA Pond'!$A472)</f>
        <v>Check Summary EPA POND worksheet Column A</v>
      </c>
      <c r="B472" s="121" t="str" cm="1">
        <f t="array" ref="B472">IFERROR(_xlfn.TEXTSPLIT(A472,"_"),"")</f>
        <v>Check Summary EPA POND worksheet Column A</v>
      </c>
      <c r="H472" s="121" t="str" cm="1">
        <f t="array" ref="H472">IF(D472="","",(_xlfn.TEXTSPLIT(D472,"-")))</f>
        <v/>
      </c>
      <c r="K472" s="129" t="e">
        <f>VLOOKUP(VALUE($B472),test_out_xwalk!$C:$L,3,FALSE)</f>
        <v>#VALUE!</v>
      </c>
      <c r="L472" s="129" t="e">
        <f>VLOOKUP(VALUE($B472),test_out_xwalk!$C:$L,5,FALSE)</f>
        <v>#VALUE!</v>
      </c>
      <c r="M472" s="129" t="e">
        <f>VLOOKUP(VALUE($B472),test_out_xwalk!$C:$L,6,FALSE)</f>
        <v>#VALUE!</v>
      </c>
      <c r="N472" s="129" t="e">
        <f>VLOOKUP(VALUE($B472),test_out_xwalk!$C:$L,8,FALSE)</f>
        <v>#VALUE!</v>
      </c>
      <c r="O472" s="129" t="e">
        <f>VLOOKUP(VALUE($B472),test_out_xwalk!$C:$L,7,FALSE)</f>
        <v>#VALUE!</v>
      </c>
      <c r="P472" s="129" t="e">
        <f>VLOOKUP(VALUE($B472),test_out_xwalk!$C:$L,4,FALSE)</f>
        <v>#VALUE!</v>
      </c>
      <c r="Q472" s="129" t="e">
        <f>VLOOKUP(VALUE($B472),test_out_xwalk!$C:$L,9,FALSE)</f>
        <v>#VALUE!</v>
      </c>
      <c r="R472" t="e">
        <f>_xlfn.XLOOKUP(VALUE(B472),test_out_xwalk!$C:$C,test_out_xwalk!$A:$A)</f>
        <v>#VALUE!</v>
      </c>
      <c r="T472" s="121" t="str">
        <f>IF('summary_EPA Pond'!$O472="","Check Summary EPA POND worksheet Column O",'summary_EPA Pond'!$O472)</f>
        <v>Check Summary EPA POND worksheet Column O</v>
      </c>
      <c r="U472" s="121" t="str" cm="1">
        <f t="array" ref="U472">IFERROR(_xlfn.TEXTSPLIT(T472,"_"),"")</f>
        <v>Check Summary EPA POND worksheet Column O</v>
      </c>
      <c r="AA472" s="121" t="str" cm="1">
        <f t="array" ref="AA472">IF(W472="","",(_xlfn.TEXTSPLIT(W472,"-")))</f>
        <v/>
      </c>
      <c r="AD472" s="129" t="e">
        <f>VLOOKUP(VALUE($U472),test_out_xwalk!$C:$L,3,FALSE)</f>
        <v>#VALUE!</v>
      </c>
      <c r="AE472" s="129" t="e">
        <f>VLOOKUP(VALUE($U472),test_out_xwalk!$C:$L,5,FALSE)</f>
        <v>#VALUE!</v>
      </c>
      <c r="AF472" s="129" t="e">
        <f>VLOOKUP(VALUE($U472),test_out_xwalk!$C:$L,6,FALSE)</f>
        <v>#VALUE!</v>
      </c>
      <c r="AG472" s="129" t="e">
        <f>VLOOKUP(VALUE($U472),test_out_xwalk!$C:$L,8,FALSE)</f>
        <v>#VALUE!</v>
      </c>
      <c r="AH472" s="129" t="e">
        <f>VLOOKUP(VALUE($U472),test_out_xwalk!$C:$L,7,FALSE)</f>
        <v>#VALUE!</v>
      </c>
      <c r="AI472" s="129" t="e">
        <f>VLOOKUP(VALUE($U472),test_out_xwalk!$C:$L,4,FALSE)</f>
        <v>#VALUE!</v>
      </c>
      <c r="AJ472" s="129" t="e">
        <f>VLOOKUP(VALUE($U472),test_out_xwalk!$C:$L,9,FALSE)</f>
        <v>#VALUE!</v>
      </c>
      <c r="AK472" t="e">
        <f>_xlfn.XLOOKUP(VALUE(U472),test_out_xwalk!C:C,test_out_xwalk!A:A)</f>
        <v>#VALUE!</v>
      </c>
    </row>
    <row r="473" spans="1:37" x14ac:dyDescent="0.55000000000000004">
      <c r="A473" s="121" t="str">
        <f>IF('summary_EPA Pond'!$A473="","Check Summary EPA POND worksheet Column A",'summary_EPA Pond'!$A473)</f>
        <v>Check Summary EPA POND worksheet Column A</v>
      </c>
      <c r="B473" s="121" t="str" cm="1">
        <f t="array" ref="B473">IFERROR(_xlfn.TEXTSPLIT(A473,"_"),"")</f>
        <v>Check Summary EPA POND worksheet Column A</v>
      </c>
      <c r="H473" s="121" t="str" cm="1">
        <f t="array" ref="H473">IF(D473="","",(_xlfn.TEXTSPLIT(D473,"-")))</f>
        <v/>
      </c>
      <c r="K473" s="129" t="e">
        <f>VLOOKUP(VALUE($B473),test_out_xwalk!$C:$L,3,FALSE)</f>
        <v>#VALUE!</v>
      </c>
      <c r="L473" s="129" t="e">
        <f>VLOOKUP(VALUE($B473),test_out_xwalk!$C:$L,5,FALSE)</f>
        <v>#VALUE!</v>
      </c>
      <c r="M473" s="129" t="e">
        <f>VLOOKUP(VALUE($B473),test_out_xwalk!$C:$L,6,FALSE)</f>
        <v>#VALUE!</v>
      </c>
      <c r="N473" s="129" t="e">
        <f>VLOOKUP(VALUE($B473),test_out_xwalk!$C:$L,8,FALSE)</f>
        <v>#VALUE!</v>
      </c>
      <c r="O473" s="129" t="e">
        <f>VLOOKUP(VALUE($B473),test_out_xwalk!$C:$L,7,FALSE)</f>
        <v>#VALUE!</v>
      </c>
      <c r="P473" s="129" t="e">
        <f>VLOOKUP(VALUE($B473),test_out_xwalk!$C:$L,4,FALSE)</f>
        <v>#VALUE!</v>
      </c>
      <c r="Q473" s="129" t="e">
        <f>VLOOKUP(VALUE($B473),test_out_xwalk!$C:$L,9,FALSE)</f>
        <v>#VALUE!</v>
      </c>
      <c r="R473" t="e">
        <f>_xlfn.XLOOKUP(VALUE(B473),test_out_xwalk!$C:$C,test_out_xwalk!$A:$A)</f>
        <v>#VALUE!</v>
      </c>
      <c r="T473" s="121" t="str">
        <f>IF('summary_EPA Pond'!$O473="","Check Summary EPA POND worksheet Column O",'summary_EPA Pond'!$O473)</f>
        <v>Check Summary EPA POND worksheet Column O</v>
      </c>
      <c r="U473" s="121" t="str" cm="1">
        <f t="array" ref="U473">IFERROR(_xlfn.TEXTSPLIT(T473,"_"),"")</f>
        <v>Check Summary EPA POND worksheet Column O</v>
      </c>
      <c r="AA473" s="121" t="str" cm="1">
        <f t="array" ref="AA473">IF(W473="","",(_xlfn.TEXTSPLIT(W473,"-")))</f>
        <v/>
      </c>
      <c r="AD473" s="129" t="e">
        <f>VLOOKUP(VALUE($U473),test_out_xwalk!$C:$L,3,FALSE)</f>
        <v>#VALUE!</v>
      </c>
      <c r="AE473" s="129" t="e">
        <f>VLOOKUP(VALUE($U473),test_out_xwalk!$C:$L,5,FALSE)</f>
        <v>#VALUE!</v>
      </c>
      <c r="AF473" s="129" t="e">
        <f>VLOOKUP(VALUE($U473),test_out_xwalk!$C:$L,6,FALSE)</f>
        <v>#VALUE!</v>
      </c>
      <c r="AG473" s="129" t="e">
        <f>VLOOKUP(VALUE($U473),test_out_xwalk!$C:$L,8,FALSE)</f>
        <v>#VALUE!</v>
      </c>
      <c r="AH473" s="129" t="e">
        <f>VLOOKUP(VALUE($U473),test_out_xwalk!$C:$L,7,FALSE)</f>
        <v>#VALUE!</v>
      </c>
      <c r="AI473" s="129" t="e">
        <f>VLOOKUP(VALUE($U473),test_out_xwalk!$C:$L,4,FALSE)</f>
        <v>#VALUE!</v>
      </c>
      <c r="AJ473" s="129" t="e">
        <f>VLOOKUP(VALUE($U473),test_out_xwalk!$C:$L,9,FALSE)</f>
        <v>#VALUE!</v>
      </c>
      <c r="AK473" t="e">
        <f>_xlfn.XLOOKUP(VALUE(U473),test_out_xwalk!C:C,test_out_xwalk!A:A)</f>
        <v>#VALUE!</v>
      </c>
    </row>
    <row r="474" spans="1:37" x14ac:dyDescent="0.55000000000000004">
      <c r="A474" s="121" t="str">
        <f>IF('summary_EPA Pond'!$A474="","Check Summary EPA POND worksheet Column A",'summary_EPA Pond'!$A474)</f>
        <v>Check Summary EPA POND worksheet Column A</v>
      </c>
      <c r="B474" s="121" t="str" cm="1">
        <f t="array" ref="B474">IFERROR(_xlfn.TEXTSPLIT(A474,"_"),"")</f>
        <v>Check Summary EPA POND worksheet Column A</v>
      </c>
      <c r="H474" s="121" t="str" cm="1">
        <f t="array" ref="H474">IF(D474="","",(_xlfn.TEXTSPLIT(D474,"-")))</f>
        <v/>
      </c>
      <c r="K474" s="129" t="e">
        <f>VLOOKUP(VALUE($B474),test_out_xwalk!$C:$L,3,FALSE)</f>
        <v>#VALUE!</v>
      </c>
      <c r="L474" s="129" t="e">
        <f>VLOOKUP(VALUE($B474),test_out_xwalk!$C:$L,5,FALSE)</f>
        <v>#VALUE!</v>
      </c>
      <c r="M474" s="129" t="e">
        <f>VLOOKUP(VALUE($B474),test_out_xwalk!$C:$L,6,FALSE)</f>
        <v>#VALUE!</v>
      </c>
      <c r="N474" s="129" t="e">
        <f>VLOOKUP(VALUE($B474),test_out_xwalk!$C:$L,8,FALSE)</f>
        <v>#VALUE!</v>
      </c>
      <c r="O474" s="129" t="e">
        <f>VLOOKUP(VALUE($B474),test_out_xwalk!$C:$L,7,FALSE)</f>
        <v>#VALUE!</v>
      </c>
      <c r="P474" s="129" t="e">
        <f>VLOOKUP(VALUE($B474),test_out_xwalk!$C:$L,4,FALSE)</f>
        <v>#VALUE!</v>
      </c>
      <c r="Q474" s="129" t="e">
        <f>VLOOKUP(VALUE($B474),test_out_xwalk!$C:$L,9,FALSE)</f>
        <v>#VALUE!</v>
      </c>
      <c r="R474" t="e">
        <f>_xlfn.XLOOKUP(VALUE(B474),test_out_xwalk!$C:$C,test_out_xwalk!$A:$A)</f>
        <v>#VALUE!</v>
      </c>
      <c r="T474" s="121" t="str">
        <f>IF('summary_EPA Pond'!$O474="","Check Summary EPA POND worksheet Column O",'summary_EPA Pond'!$O474)</f>
        <v>Check Summary EPA POND worksheet Column O</v>
      </c>
      <c r="U474" s="121" t="str" cm="1">
        <f t="array" ref="U474">IFERROR(_xlfn.TEXTSPLIT(T474,"_"),"")</f>
        <v>Check Summary EPA POND worksheet Column O</v>
      </c>
      <c r="AA474" s="121" t="str" cm="1">
        <f t="array" ref="AA474">IF(W474="","",(_xlfn.TEXTSPLIT(W474,"-")))</f>
        <v/>
      </c>
      <c r="AD474" s="129" t="e">
        <f>VLOOKUP(VALUE($U474),test_out_xwalk!$C:$L,3,FALSE)</f>
        <v>#VALUE!</v>
      </c>
      <c r="AE474" s="129" t="e">
        <f>VLOOKUP(VALUE($U474),test_out_xwalk!$C:$L,5,FALSE)</f>
        <v>#VALUE!</v>
      </c>
      <c r="AF474" s="129" t="e">
        <f>VLOOKUP(VALUE($U474),test_out_xwalk!$C:$L,6,FALSE)</f>
        <v>#VALUE!</v>
      </c>
      <c r="AG474" s="129" t="e">
        <f>VLOOKUP(VALUE($U474),test_out_xwalk!$C:$L,8,FALSE)</f>
        <v>#VALUE!</v>
      </c>
      <c r="AH474" s="129" t="e">
        <f>VLOOKUP(VALUE($U474),test_out_xwalk!$C:$L,7,FALSE)</f>
        <v>#VALUE!</v>
      </c>
      <c r="AI474" s="129" t="e">
        <f>VLOOKUP(VALUE($U474),test_out_xwalk!$C:$L,4,FALSE)</f>
        <v>#VALUE!</v>
      </c>
      <c r="AJ474" s="129" t="e">
        <f>VLOOKUP(VALUE($U474),test_out_xwalk!$C:$L,9,FALSE)</f>
        <v>#VALUE!</v>
      </c>
      <c r="AK474" t="e">
        <f>_xlfn.XLOOKUP(VALUE(U474),test_out_xwalk!C:C,test_out_xwalk!A:A)</f>
        <v>#VALUE!</v>
      </c>
    </row>
    <row r="475" spans="1:37" x14ac:dyDescent="0.55000000000000004">
      <c r="A475" s="121" t="str">
        <f>IF('summary_EPA Pond'!$A475="","Check Summary EPA POND worksheet Column A",'summary_EPA Pond'!$A475)</f>
        <v>Check Summary EPA POND worksheet Column A</v>
      </c>
      <c r="B475" s="121" t="str" cm="1">
        <f t="array" ref="B475">IFERROR(_xlfn.TEXTSPLIT(A475,"_"),"")</f>
        <v>Check Summary EPA POND worksheet Column A</v>
      </c>
      <c r="H475" s="121" t="str" cm="1">
        <f t="array" ref="H475">IF(D475="","",(_xlfn.TEXTSPLIT(D475,"-")))</f>
        <v/>
      </c>
      <c r="K475" s="129" t="e">
        <f>VLOOKUP(VALUE($B475),test_out_xwalk!$C:$L,3,FALSE)</f>
        <v>#VALUE!</v>
      </c>
      <c r="L475" s="129" t="e">
        <f>VLOOKUP(VALUE($B475),test_out_xwalk!$C:$L,5,FALSE)</f>
        <v>#VALUE!</v>
      </c>
      <c r="M475" s="129" t="e">
        <f>VLOOKUP(VALUE($B475),test_out_xwalk!$C:$L,6,FALSE)</f>
        <v>#VALUE!</v>
      </c>
      <c r="N475" s="129" t="e">
        <f>VLOOKUP(VALUE($B475),test_out_xwalk!$C:$L,8,FALSE)</f>
        <v>#VALUE!</v>
      </c>
      <c r="O475" s="129" t="e">
        <f>VLOOKUP(VALUE($B475),test_out_xwalk!$C:$L,7,FALSE)</f>
        <v>#VALUE!</v>
      </c>
      <c r="P475" s="129" t="e">
        <f>VLOOKUP(VALUE($B475),test_out_xwalk!$C:$L,4,FALSE)</f>
        <v>#VALUE!</v>
      </c>
      <c r="Q475" s="129" t="e">
        <f>VLOOKUP(VALUE($B475),test_out_xwalk!$C:$L,9,FALSE)</f>
        <v>#VALUE!</v>
      </c>
      <c r="R475" t="e">
        <f>_xlfn.XLOOKUP(VALUE(B475),test_out_xwalk!$C:$C,test_out_xwalk!$A:$A)</f>
        <v>#VALUE!</v>
      </c>
      <c r="T475" s="121" t="str">
        <f>IF('summary_EPA Pond'!$O475="","Check Summary EPA POND worksheet Column O",'summary_EPA Pond'!$O475)</f>
        <v>Check Summary EPA POND worksheet Column O</v>
      </c>
      <c r="U475" s="121" t="str" cm="1">
        <f t="array" ref="U475">IFERROR(_xlfn.TEXTSPLIT(T475,"_"),"")</f>
        <v>Check Summary EPA POND worksheet Column O</v>
      </c>
      <c r="AA475" s="121" t="str" cm="1">
        <f t="array" ref="AA475">IF(W475="","",(_xlfn.TEXTSPLIT(W475,"-")))</f>
        <v/>
      </c>
      <c r="AD475" s="129" t="e">
        <f>VLOOKUP(VALUE($U475),test_out_xwalk!$C:$L,3,FALSE)</f>
        <v>#VALUE!</v>
      </c>
      <c r="AE475" s="129" t="e">
        <f>VLOOKUP(VALUE($U475),test_out_xwalk!$C:$L,5,FALSE)</f>
        <v>#VALUE!</v>
      </c>
      <c r="AF475" s="129" t="e">
        <f>VLOOKUP(VALUE($U475),test_out_xwalk!$C:$L,6,FALSE)</f>
        <v>#VALUE!</v>
      </c>
      <c r="AG475" s="129" t="e">
        <f>VLOOKUP(VALUE($U475),test_out_xwalk!$C:$L,8,FALSE)</f>
        <v>#VALUE!</v>
      </c>
      <c r="AH475" s="129" t="e">
        <f>VLOOKUP(VALUE($U475),test_out_xwalk!$C:$L,7,FALSE)</f>
        <v>#VALUE!</v>
      </c>
      <c r="AI475" s="129" t="e">
        <f>VLOOKUP(VALUE($U475),test_out_xwalk!$C:$L,4,FALSE)</f>
        <v>#VALUE!</v>
      </c>
      <c r="AJ475" s="129" t="e">
        <f>VLOOKUP(VALUE($U475),test_out_xwalk!$C:$L,9,FALSE)</f>
        <v>#VALUE!</v>
      </c>
      <c r="AK475" t="e">
        <f>_xlfn.XLOOKUP(VALUE(U475),test_out_xwalk!C:C,test_out_xwalk!A:A)</f>
        <v>#VALUE!</v>
      </c>
    </row>
    <row r="476" spans="1:37" x14ac:dyDescent="0.55000000000000004">
      <c r="A476" s="121" t="str">
        <f>IF('summary_EPA Pond'!$A476="","Check Summary EPA POND worksheet Column A",'summary_EPA Pond'!$A476)</f>
        <v>Check Summary EPA POND worksheet Column A</v>
      </c>
      <c r="B476" s="121" t="str" cm="1">
        <f t="array" ref="B476">IFERROR(_xlfn.TEXTSPLIT(A476,"_"),"")</f>
        <v>Check Summary EPA POND worksheet Column A</v>
      </c>
      <c r="H476" s="121" t="str" cm="1">
        <f t="array" ref="H476">IF(D476="","",(_xlfn.TEXTSPLIT(D476,"-")))</f>
        <v/>
      </c>
      <c r="K476" s="129" t="e">
        <f>VLOOKUP(VALUE($B476),test_out_xwalk!$C:$L,3,FALSE)</f>
        <v>#VALUE!</v>
      </c>
      <c r="L476" s="129" t="e">
        <f>VLOOKUP(VALUE($B476),test_out_xwalk!$C:$L,5,FALSE)</f>
        <v>#VALUE!</v>
      </c>
      <c r="M476" s="129" t="e">
        <f>VLOOKUP(VALUE($B476),test_out_xwalk!$C:$L,6,FALSE)</f>
        <v>#VALUE!</v>
      </c>
      <c r="N476" s="129" t="e">
        <f>VLOOKUP(VALUE($B476),test_out_xwalk!$C:$L,8,FALSE)</f>
        <v>#VALUE!</v>
      </c>
      <c r="O476" s="129" t="e">
        <f>VLOOKUP(VALUE($B476),test_out_xwalk!$C:$L,7,FALSE)</f>
        <v>#VALUE!</v>
      </c>
      <c r="P476" s="129" t="e">
        <f>VLOOKUP(VALUE($B476),test_out_xwalk!$C:$L,4,FALSE)</f>
        <v>#VALUE!</v>
      </c>
      <c r="Q476" s="129" t="e">
        <f>VLOOKUP(VALUE($B476),test_out_xwalk!$C:$L,9,FALSE)</f>
        <v>#VALUE!</v>
      </c>
      <c r="R476" t="e">
        <f>_xlfn.XLOOKUP(VALUE(B476),test_out_xwalk!$C:$C,test_out_xwalk!$A:$A)</f>
        <v>#VALUE!</v>
      </c>
      <c r="T476" s="121" t="str">
        <f>IF('summary_EPA Pond'!$O476="","Check Summary EPA POND worksheet Column O",'summary_EPA Pond'!$O476)</f>
        <v>Check Summary EPA POND worksheet Column O</v>
      </c>
      <c r="U476" s="121" t="str" cm="1">
        <f t="array" ref="U476">IFERROR(_xlfn.TEXTSPLIT(T476,"_"),"")</f>
        <v>Check Summary EPA POND worksheet Column O</v>
      </c>
      <c r="AA476" s="121" t="str" cm="1">
        <f t="array" ref="AA476">IF(W476="","",(_xlfn.TEXTSPLIT(W476,"-")))</f>
        <v/>
      </c>
      <c r="AD476" s="129" t="e">
        <f>VLOOKUP(VALUE($U476),test_out_xwalk!$C:$L,3,FALSE)</f>
        <v>#VALUE!</v>
      </c>
      <c r="AE476" s="129" t="e">
        <f>VLOOKUP(VALUE($U476),test_out_xwalk!$C:$L,5,FALSE)</f>
        <v>#VALUE!</v>
      </c>
      <c r="AF476" s="129" t="e">
        <f>VLOOKUP(VALUE($U476),test_out_xwalk!$C:$L,6,FALSE)</f>
        <v>#VALUE!</v>
      </c>
      <c r="AG476" s="129" t="e">
        <f>VLOOKUP(VALUE($U476),test_out_xwalk!$C:$L,8,FALSE)</f>
        <v>#VALUE!</v>
      </c>
      <c r="AH476" s="129" t="e">
        <f>VLOOKUP(VALUE($U476),test_out_xwalk!$C:$L,7,FALSE)</f>
        <v>#VALUE!</v>
      </c>
      <c r="AI476" s="129" t="e">
        <f>VLOOKUP(VALUE($U476),test_out_xwalk!$C:$L,4,FALSE)</f>
        <v>#VALUE!</v>
      </c>
      <c r="AJ476" s="129" t="e">
        <f>VLOOKUP(VALUE($U476),test_out_xwalk!$C:$L,9,FALSE)</f>
        <v>#VALUE!</v>
      </c>
      <c r="AK476" t="e">
        <f>_xlfn.XLOOKUP(VALUE(U476),test_out_xwalk!C:C,test_out_xwalk!A:A)</f>
        <v>#VALUE!</v>
      </c>
    </row>
    <row r="477" spans="1:37" x14ac:dyDescent="0.55000000000000004">
      <c r="A477" s="121" t="str">
        <f>IF('summary_EPA Pond'!$A477="","Check Summary EPA POND worksheet Column A",'summary_EPA Pond'!$A477)</f>
        <v>Check Summary EPA POND worksheet Column A</v>
      </c>
      <c r="B477" s="121" t="str" cm="1">
        <f t="array" ref="B477">IFERROR(_xlfn.TEXTSPLIT(A477,"_"),"")</f>
        <v>Check Summary EPA POND worksheet Column A</v>
      </c>
      <c r="H477" s="121" t="str" cm="1">
        <f t="array" ref="H477">IF(D477="","",(_xlfn.TEXTSPLIT(D477,"-")))</f>
        <v/>
      </c>
      <c r="K477" s="129" t="e">
        <f>VLOOKUP(VALUE($B477),test_out_xwalk!$C:$L,3,FALSE)</f>
        <v>#VALUE!</v>
      </c>
      <c r="L477" s="129" t="e">
        <f>VLOOKUP(VALUE($B477),test_out_xwalk!$C:$L,5,FALSE)</f>
        <v>#VALUE!</v>
      </c>
      <c r="M477" s="129" t="e">
        <f>VLOOKUP(VALUE($B477),test_out_xwalk!$C:$L,6,FALSE)</f>
        <v>#VALUE!</v>
      </c>
      <c r="N477" s="129" t="e">
        <f>VLOOKUP(VALUE($B477),test_out_xwalk!$C:$L,8,FALSE)</f>
        <v>#VALUE!</v>
      </c>
      <c r="O477" s="129" t="e">
        <f>VLOOKUP(VALUE($B477),test_out_xwalk!$C:$L,7,FALSE)</f>
        <v>#VALUE!</v>
      </c>
      <c r="P477" s="129" t="e">
        <f>VLOOKUP(VALUE($B477),test_out_xwalk!$C:$L,4,FALSE)</f>
        <v>#VALUE!</v>
      </c>
      <c r="Q477" s="129" t="e">
        <f>VLOOKUP(VALUE($B477),test_out_xwalk!$C:$L,9,FALSE)</f>
        <v>#VALUE!</v>
      </c>
      <c r="R477" t="e">
        <f>_xlfn.XLOOKUP(VALUE(B477),test_out_xwalk!$C:$C,test_out_xwalk!$A:$A)</f>
        <v>#VALUE!</v>
      </c>
      <c r="T477" s="121" t="str">
        <f>IF('summary_EPA Pond'!$O477="","Check Summary EPA POND worksheet Column O",'summary_EPA Pond'!$O477)</f>
        <v>Check Summary EPA POND worksheet Column O</v>
      </c>
      <c r="U477" s="121" t="str" cm="1">
        <f t="array" ref="U477">IFERROR(_xlfn.TEXTSPLIT(T477,"_"),"")</f>
        <v>Check Summary EPA POND worksheet Column O</v>
      </c>
      <c r="AA477" s="121" t="str" cm="1">
        <f t="array" ref="AA477">IF(W477="","",(_xlfn.TEXTSPLIT(W477,"-")))</f>
        <v/>
      </c>
      <c r="AD477" s="129" t="e">
        <f>VLOOKUP(VALUE($U477),test_out_xwalk!$C:$L,3,FALSE)</f>
        <v>#VALUE!</v>
      </c>
      <c r="AE477" s="129" t="e">
        <f>VLOOKUP(VALUE($U477),test_out_xwalk!$C:$L,5,FALSE)</f>
        <v>#VALUE!</v>
      </c>
      <c r="AF477" s="129" t="e">
        <f>VLOOKUP(VALUE($U477),test_out_xwalk!$C:$L,6,FALSE)</f>
        <v>#VALUE!</v>
      </c>
      <c r="AG477" s="129" t="e">
        <f>VLOOKUP(VALUE($U477),test_out_xwalk!$C:$L,8,FALSE)</f>
        <v>#VALUE!</v>
      </c>
      <c r="AH477" s="129" t="e">
        <f>VLOOKUP(VALUE($U477),test_out_xwalk!$C:$L,7,FALSE)</f>
        <v>#VALUE!</v>
      </c>
      <c r="AI477" s="129" t="e">
        <f>VLOOKUP(VALUE($U477),test_out_xwalk!$C:$L,4,FALSE)</f>
        <v>#VALUE!</v>
      </c>
      <c r="AJ477" s="129" t="e">
        <f>VLOOKUP(VALUE($U477),test_out_xwalk!$C:$L,9,FALSE)</f>
        <v>#VALUE!</v>
      </c>
      <c r="AK477" t="e">
        <f>_xlfn.XLOOKUP(VALUE(U477),test_out_xwalk!C:C,test_out_xwalk!A:A)</f>
        <v>#VALUE!</v>
      </c>
    </row>
    <row r="478" spans="1:37" x14ac:dyDescent="0.55000000000000004">
      <c r="A478" s="121" t="str">
        <f>IF('summary_EPA Pond'!$A478="","Check Summary EPA POND worksheet Column A",'summary_EPA Pond'!$A478)</f>
        <v>Check Summary EPA POND worksheet Column A</v>
      </c>
      <c r="B478" s="121" t="str" cm="1">
        <f t="array" ref="B478">IFERROR(_xlfn.TEXTSPLIT(A478,"_"),"")</f>
        <v>Check Summary EPA POND worksheet Column A</v>
      </c>
      <c r="H478" s="121" t="str" cm="1">
        <f t="array" ref="H478">IF(D478="","",(_xlfn.TEXTSPLIT(D478,"-")))</f>
        <v/>
      </c>
      <c r="K478" s="129" t="e">
        <f>VLOOKUP(VALUE($B478),test_out_xwalk!$C:$L,3,FALSE)</f>
        <v>#VALUE!</v>
      </c>
      <c r="L478" s="129" t="e">
        <f>VLOOKUP(VALUE($B478),test_out_xwalk!$C:$L,5,FALSE)</f>
        <v>#VALUE!</v>
      </c>
      <c r="M478" s="129" t="e">
        <f>VLOOKUP(VALUE($B478),test_out_xwalk!$C:$L,6,FALSE)</f>
        <v>#VALUE!</v>
      </c>
      <c r="N478" s="129" t="e">
        <f>VLOOKUP(VALUE($B478),test_out_xwalk!$C:$L,8,FALSE)</f>
        <v>#VALUE!</v>
      </c>
      <c r="O478" s="129" t="e">
        <f>VLOOKUP(VALUE($B478),test_out_xwalk!$C:$L,7,FALSE)</f>
        <v>#VALUE!</v>
      </c>
      <c r="P478" s="129" t="e">
        <f>VLOOKUP(VALUE($B478),test_out_xwalk!$C:$L,4,FALSE)</f>
        <v>#VALUE!</v>
      </c>
      <c r="Q478" s="129" t="e">
        <f>VLOOKUP(VALUE($B478),test_out_xwalk!$C:$L,9,FALSE)</f>
        <v>#VALUE!</v>
      </c>
      <c r="R478" t="e">
        <f>_xlfn.XLOOKUP(VALUE(B478),test_out_xwalk!$C:$C,test_out_xwalk!$A:$A)</f>
        <v>#VALUE!</v>
      </c>
      <c r="T478" s="121" t="str">
        <f>IF('summary_EPA Pond'!$O478="","Check Summary EPA POND worksheet Column O",'summary_EPA Pond'!$O478)</f>
        <v>Check Summary EPA POND worksheet Column O</v>
      </c>
      <c r="U478" s="121" t="str" cm="1">
        <f t="array" ref="U478">IFERROR(_xlfn.TEXTSPLIT(T478,"_"),"")</f>
        <v>Check Summary EPA POND worksheet Column O</v>
      </c>
      <c r="AA478" s="121" t="str" cm="1">
        <f t="array" ref="AA478">IF(W478="","",(_xlfn.TEXTSPLIT(W478,"-")))</f>
        <v/>
      </c>
      <c r="AD478" s="129" t="e">
        <f>VLOOKUP(VALUE($U478),test_out_xwalk!$C:$L,3,FALSE)</f>
        <v>#VALUE!</v>
      </c>
      <c r="AE478" s="129" t="e">
        <f>VLOOKUP(VALUE($U478),test_out_xwalk!$C:$L,5,FALSE)</f>
        <v>#VALUE!</v>
      </c>
      <c r="AF478" s="129" t="e">
        <f>VLOOKUP(VALUE($U478),test_out_xwalk!$C:$L,6,FALSE)</f>
        <v>#VALUE!</v>
      </c>
      <c r="AG478" s="129" t="e">
        <f>VLOOKUP(VALUE($U478),test_out_xwalk!$C:$L,8,FALSE)</f>
        <v>#VALUE!</v>
      </c>
      <c r="AH478" s="129" t="e">
        <f>VLOOKUP(VALUE($U478),test_out_xwalk!$C:$L,7,FALSE)</f>
        <v>#VALUE!</v>
      </c>
      <c r="AI478" s="129" t="e">
        <f>VLOOKUP(VALUE($U478),test_out_xwalk!$C:$L,4,FALSE)</f>
        <v>#VALUE!</v>
      </c>
      <c r="AJ478" s="129" t="e">
        <f>VLOOKUP(VALUE($U478),test_out_xwalk!$C:$L,9,FALSE)</f>
        <v>#VALUE!</v>
      </c>
      <c r="AK478" t="e">
        <f>_xlfn.XLOOKUP(VALUE(U478),test_out_xwalk!C:C,test_out_xwalk!A:A)</f>
        <v>#VALUE!</v>
      </c>
    </row>
    <row r="479" spans="1:37" x14ac:dyDescent="0.55000000000000004">
      <c r="A479" s="121" t="str">
        <f>IF('summary_EPA Pond'!$A479="","Check Summary EPA POND worksheet Column A",'summary_EPA Pond'!$A479)</f>
        <v>Check Summary EPA POND worksheet Column A</v>
      </c>
      <c r="B479" s="121" t="str" cm="1">
        <f t="array" ref="B479">IFERROR(_xlfn.TEXTSPLIT(A479,"_"),"")</f>
        <v>Check Summary EPA POND worksheet Column A</v>
      </c>
      <c r="H479" s="121" t="str" cm="1">
        <f t="array" ref="H479">IF(D479="","",(_xlfn.TEXTSPLIT(D479,"-")))</f>
        <v/>
      </c>
      <c r="K479" s="129" t="e">
        <f>VLOOKUP(VALUE($B479),test_out_xwalk!$C:$L,3,FALSE)</f>
        <v>#VALUE!</v>
      </c>
      <c r="L479" s="129" t="e">
        <f>VLOOKUP(VALUE($B479),test_out_xwalk!$C:$L,5,FALSE)</f>
        <v>#VALUE!</v>
      </c>
      <c r="M479" s="129" t="e">
        <f>VLOOKUP(VALUE($B479),test_out_xwalk!$C:$L,6,FALSE)</f>
        <v>#VALUE!</v>
      </c>
      <c r="N479" s="129" t="e">
        <f>VLOOKUP(VALUE($B479),test_out_xwalk!$C:$L,8,FALSE)</f>
        <v>#VALUE!</v>
      </c>
      <c r="O479" s="129" t="e">
        <f>VLOOKUP(VALUE($B479),test_out_xwalk!$C:$L,7,FALSE)</f>
        <v>#VALUE!</v>
      </c>
      <c r="P479" s="129" t="e">
        <f>VLOOKUP(VALUE($B479),test_out_xwalk!$C:$L,4,FALSE)</f>
        <v>#VALUE!</v>
      </c>
      <c r="Q479" s="129" t="e">
        <f>VLOOKUP(VALUE($B479),test_out_xwalk!$C:$L,9,FALSE)</f>
        <v>#VALUE!</v>
      </c>
      <c r="R479" t="e">
        <f>_xlfn.XLOOKUP(VALUE(B479),test_out_xwalk!$C:$C,test_out_xwalk!$A:$A)</f>
        <v>#VALUE!</v>
      </c>
      <c r="T479" s="121" t="str">
        <f>IF('summary_EPA Pond'!$O479="","Check Summary EPA POND worksheet Column O",'summary_EPA Pond'!$O479)</f>
        <v>Check Summary EPA POND worksheet Column O</v>
      </c>
      <c r="U479" s="121" t="str" cm="1">
        <f t="array" ref="U479">IFERROR(_xlfn.TEXTSPLIT(T479,"_"),"")</f>
        <v>Check Summary EPA POND worksheet Column O</v>
      </c>
      <c r="AA479" s="121" t="str" cm="1">
        <f t="array" ref="AA479">IF(W479="","",(_xlfn.TEXTSPLIT(W479,"-")))</f>
        <v/>
      </c>
      <c r="AD479" s="129" t="e">
        <f>VLOOKUP(VALUE($U479),test_out_xwalk!$C:$L,3,FALSE)</f>
        <v>#VALUE!</v>
      </c>
      <c r="AE479" s="129" t="e">
        <f>VLOOKUP(VALUE($U479),test_out_xwalk!$C:$L,5,FALSE)</f>
        <v>#VALUE!</v>
      </c>
      <c r="AF479" s="129" t="e">
        <f>VLOOKUP(VALUE($U479),test_out_xwalk!$C:$L,6,FALSE)</f>
        <v>#VALUE!</v>
      </c>
      <c r="AG479" s="129" t="e">
        <f>VLOOKUP(VALUE($U479),test_out_xwalk!$C:$L,8,FALSE)</f>
        <v>#VALUE!</v>
      </c>
      <c r="AH479" s="129" t="e">
        <f>VLOOKUP(VALUE($U479),test_out_xwalk!$C:$L,7,FALSE)</f>
        <v>#VALUE!</v>
      </c>
      <c r="AI479" s="129" t="e">
        <f>VLOOKUP(VALUE($U479),test_out_xwalk!$C:$L,4,FALSE)</f>
        <v>#VALUE!</v>
      </c>
      <c r="AJ479" s="129" t="e">
        <f>VLOOKUP(VALUE($U479),test_out_xwalk!$C:$L,9,FALSE)</f>
        <v>#VALUE!</v>
      </c>
      <c r="AK479" t="e">
        <f>_xlfn.XLOOKUP(VALUE(U479),test_out_xwalk!C:C,test_out_xwalk!A:A)</f>
        <v>#VALUE!</v>
      </c>
    </row>
    <row r="480" spans="1:37" x14ac:dyDescent="0.55000000000000004">
      <c r="A480" s="121" t="str">
        <f>IF('summary_EPA Pond'!$A480="","Check Summary EPA POND worksheet Column A",'summary_EPA Pond'!$A480)</f>
        <v>Check Summary EPA POND worksheet Column A</v>
      </c>
      <c r="B480" s="121" t="str" cm="1">
        <f t="array" ref="B480">IFERROR(_xlfn.TEXTSPLIT(A480,"_"),"")</f>
        <v>Check Summary EPA POND worksheet Column A</v>
      </c>
      <c r="H480" s="121" t="str" cm="1">
        <f t="array" ref="H480">IF(D480="","",(_xlfn.TEXTSPLIT(D480,"-")))</f>
        <v/>
      </c>
      <c r="K480" s="129" t="e">
        <f>VLOOKUP(VALUE($B480),test_out_xwalk!$C:$L,3,FALSE)</f>
        <v>#VALUE!</v>
      </c>
      <c r="L480" s="129" t="e">
        <f>VLOOKUP(VALUE($B480),test_out_xwalk!$C:$L,5,FALSE)</f>
        <v>#VALUE!</v>
      </c>
      <c r="M480" s="129" t="e">
        <f>VLOOKUP(VALUE($B480),test_out_xwalk!$C:$L,6,FALSE)</f>
        <v>#VALUE!</v>
      </c>
      <c r="N480" s="129" t="e">
        <f>VLOOKUP(VALUE($B480),test_out_xwalk!$C:$L,8,FALSE)</f>
        <v>#VALUE!</v>
      </c>
      <c r="O480" s="129" t="e">
        <f>VLOOKUP(VALUE($B480),test_out_xwalk!$C:$L,7,FALSE)</f>
        <v>#VALUE!</v>
      </c>
      <c r="P480" s="129" t="e">
        <f>VLOOKUP(VALUE($B480),test_out_xwalk!$C:$L,4,FALSE)</f>
        <v>#VALUE!</v>
      </c>
      <c r="Q480" s="129" t="e">
        <f>VLOOKUP(VALUE($B480),test_out_xwalk!$C:$L,9,FALSE)</f>
        <v>#VALUE!</v>
      </c>
      <c r="R480" t="e">
        <f>_xlfn.XLOOKUP(VALUE(B480),test_out_xwalk!$C:$C,test_out_xwalk!$A:$A)</f>
        <v>#VALUE!</v>
      </c>
      <c r="T480" s="121" t="str">
        <f>IF('summary_EPA Pond'!$O480="","Check Summary EPA POND worksheet Column O",'summary_EPA Pond'!$O480)</f>
        <v>Check Summary EPA POND worksheet Column O</v>
      </c>
      <c r="U480" s="121" t="str" cm="1">
        <f t="array" ref="U480">IFERROR(_xlfn.TEXTSPLIT(T480,"_"),"")</f>
        <v>Check Summary EPA POND worksheet Column O</v>
      </c>
      <c r="AA480" s="121" t="str" cm="1">
        <f t="array" ref="AA480">IF(W480="","",(_xlfn.TEXTSPLIT(W480,"-")))</f>
        <v/>
      </c>
      <c r="AD480" s="129" t="e">
        <f>VLOOKUP(VALUE($U480),test_out_xwalk!$C:$L,3,FALSE)</f>
        <v>#VALUE!</v>
      </c>
      <c r="AE480" s="129" t="e">
        <f>VLOOKUP(VALUE($U480),test_out_xwalk!$C:$L,5,FALSE)</f>
        <v>#VALUE!</v>
      </c>
      <c r="AF480" s="129" t="e">
        <f>VLOOKUP(VALUE($U480),test_out_xwalk!$C:$L,6,FALSE)</f>
        <v>#VALUE!</v>
      </c>
      <c r="AG480" s="129" t="e">
        <f>VLOOKUP(VALUE($U480),test_out_xwalk!$C:$L,8,FALSE)</f>
        <v>#VALUE!</v>
      </c>
      <c r="AH480" s="129" t="e">
        <f>VLOOKUP(VALUE($U480),test_out_xwalk!$C:$L,7,FALSE)</f>
        <v>#VALUE!</v>
      </c>
      <c r="AI480" s="129" t="e">
        <f>VLOOKUP(VALUE($U480),test_out_xwalk!$C:$L,4,FALSE)</f>
        <v>#VALUE!</v>
      </c>
      <c r="AJ480" s="129" t="e">
        <f>VLOOKUP(VALUE($U480),test_out_xwalk!$C:$L,9,FALSE)</f>
        <v>#VALUE!</v>
      </c>
      <c r="AK480" t="e">
        <f>_xlfn.XLOOKUP(VALUE(U480),test_out_xwalk!C:C,test_out_xwalk!A:A)</f>
        <v>#VALUE!</v>
      </c>
    </row>
    <row r="481" spans="1:37" x14ac:dyDescent="0.55000000000000004">
      <c r="A481" s="121" t="str">
        <f>IF('summary_EPA Pond'!$A481="","Check Summary EPA POND worksheet Column A",'summary_EPA Pond'!$A481)</f>
        <v>Check Summary EPA POND worksheet Column A</v>
      </c>
      <c r="B481" s="121" t="str" cm="1">
        <f t="array" ref="B481">IFERROR(_xlfn.TEXTSPLIT(A481,"_"),"")</f>
        <v>Check Summary EPA POND worksheet Column A</v>
      </c>
      <c r="H481" s="121" t="str" cm="1">
        <f t="array" ref="H481">IF(D481="","",(_xlfn.TEXTSPLIT(D481,"-")))</f>
        <v/>
      </c>
      <c r="K481" s="129" t="e">
        <f>VLOOKUP(VALUE($B481),test_out_xwalk!$C:$L,3,FALSE)</f>
        <v>#VALUE!</v>
      </c>
      <c r="L481" s="129" t="e">
        <f>VLOOKUP(VALUE($B481),test_out_xwalk!$C:$L,5,FALSE)</f>
        <v>#VALUE!</v>
      </c>
      <c r="M481" s="129" t="e">
        <f>VLOOKUP(VALUE($B481),test_out_xwalk!$C:$L,6,FALSE)</f>
        <v>#VALUE!</v>
      </c>
      <c r="N481" s="129" t="e">
        <f>VLOOKUP(VALUE($B481),test_out_xwalk!$C:$L,8,FALSE)</f>
        <v>#VALUE!</v>
      </c>
      <c r="O481" s="129" t="e">
        <f>VLOOKUP(VALUE($B481),test_out_xwalk!$C:$L,7,FALSE)</f>
        <v>#VALUE!</v>
      </c>
      <c r="P481" s="129" t="e">
        <f>VLOOKUP(VALUE($B481),test_out_xwalk!$C:$L,4,FALSE)</f>
        <v>#VALUE!</v>
      </c>
      <c r="Q481" s="129" t="e">
        <f>VLOOKUP(VALUE($B481),test_out_xwalk!$C:$L,9,FALSE)</f>
        <v>#VALUE!</v>
      </c>
      <c r="R481" t="e">
        <f>_xlfn.XLOOKUP(VALUE(B481),test_out_xwalk!$C:$C,test_out_xwalk!$A:$A)</f>
        <v>#VALUE!</v>
      </c>
      <c r="T481" s="121" t="str">
        <f>IF('summary_EPA Pond'!$O481="","Check Summary EPA POND worksheet Column O",'summary_EPA Pond'!$O481)</f>
        <v>Check Summary EPA POND worksheet Column O</v>
      </c>
      <c r="U481" s="121" t="str" cm="1">
        <f t="array" ref="U481">IFERROR(_xlfn.TEXTSPLIT(T481,"_"),"")</f>
        <v>Check Summary EPA POND worksheet Column O</v>
      </c>
      <c r="AA481" s="121" t="str" cm="1">
        <f t="array" ref="AA481">IF(W481="","",(_xlfn.TEXTSPLIT(W481,"-")))</f>
        <v/>
      </c>
      <c r="AD481" s="129" t="e">
        <f>VLOOKUP(VALUE($U481),test_out_xwalk!$C:$L,3,FALSE)</f>
        <v>#VALUE!</v>
      </c>
      <c r="AE481" s="129" t="e">
        <f>VLOOKUP(VALUE($U481),test_out_xwalk!$C:$L,5,FALSE)</f>
        <v>#VALUE!</v>
      </c>
      <c r="AF481" s="129" t="e">
        <f>VLOOKUP(VALUE($U481),test_out_xwalk!$C:$L,6,FALSE)</f>
        <v>#VALUE!</v>
      </c>
      <c r="AG481" s="129" t="e">
        <f>VLOOKUP(VALUE($U481),test_out_xwalk!$C:$L,8,FALSE)</f>
        <v>#VALUE!</v>
      </c>
      <c r="AH481" s="129" t="e">
        <f>VLOOKUP(VALUE($U481),test_out_xwalk!$C:$L,7,FALSE)</f>
        <v>#VALUE!</v>
      </c>
      <c r="AI481" s="129" t="e">
        <f>VLOOKUP(VALUE($U481),test_out_xwalk!$C:$L,4,FALSE)</f>
        <v>#VALUE!</v>
      </c>
      <c r="AJ481" s="129" t="e">
        <f>VLOOKUP(VALUE($U481),test_out_xwalk!$C:$L,9,FALSE)</f>
        <v>#VALUE!</v>
      </c>
      <c r="AK481" t="e">
        <f>_xlfn.XLOOKUP(VALUE(U481),test_out_xwalk!C:C,test_out_xwalk!A:A)</f>
        <v>#VALUE!</v>
      </c>
    </row>
    <row r="482" spans="1:37" x14ac:dyDescent="0.55000000000000004">
      <c r="A482" s="121" t="str">
        <f>IF('summary_EPA Pond'!$A482="","Check Summary EPA POND worksheet Column A",'summary_EPA Pond'!$A482)</f>
        <v>Check Summary EPA POND worksheet Column A</v>
      </c>
      <c r="B482" s="121" t="str" cm="1">
        <f t="array" ref="B482">IFERROR(_xlfn.TEXTSPLIT(A482,"_"),"")</f>
        <v>Check Summary EPA POND worksheet Column A</v>
      </c>
      <c r="H482" s="121" t="str" cm="1">
        <f t="array" ref="H482">IF(D482="","",(_xlfn.TEXTSPLIT(D482,"-")))</f>
        <v/>
      </c>
      <c r="K482" s="129" t="e">
        <f>VLOOKUP(VALUE($B482),test_out_xwalk!$C:$L,3,FALSE)</f>
        <v>#VALUE!</v>
      </c>
      <c r="L482" s="129" t="e">
        <f>VLOOKUP(VALUE($B482),test_out_xwalk!$C:$L,5,FALSE)</f>
        <v>#VALUE!</v>
      </c>
      <c r="M482" s="129" t="e">
        <f>VLOOKUP(VALUE($B482),test_out_xwalk!$C:$L,6,FALSE)</f>
        <v>#VALUE!</v>
      </c>
      <c r="N482" s="129" t="e">
        <f>VLOOKUP(VALUE($B482),test_out_xwalk!$C:$L,8,FALSE)</f>
        <v>#VALUE!</v>
      </c>
      <c r="O482" s="129" t="e">
        <f>VLOOKUP(VALUE($B482),test_out_xwalk!$C:$L,7,FALSE)</f>
        <v>#VALUE!</v>
      </c>
      <c r="P482" s="129" t="e">
        <f>VLOOKUP(VALUE($B482),test_out_xwalk!$C:$L,4,FALSE)</f>
        <v>#VALUE!</v>
      </c>
      <c r="Q482" s="129" t="e">
        <f>VLOOKUP(VALUE($B482),test_out_xwalk!$C:$L,9,FALSE)</f>
        <v>#VALUE!</v>
      </c>
      <c r="R482" t="e">
        <f>_xlfn.XLOOKUP(VALUE(B482),test_out_xwalk!$C:$C,test_out_xwalk!$A:$A)</f>
        <v>#VALUE!</v>
      </c>
      <c r="T482" s="121" t="str">
        <f>IF('summary_EPA Pond'!$O482="","Check Summary EPA POND worksheet Column O",'summary_EPA Pond'!$O482)</f>
        <v>Check Summary EPA POND worksheet Column O</v>
      </c>
      <c r="U482" s="121" t="str" cm="1">
        <f t="array" ref="U482">IFERROR(_xlfn.TEXTSPLIT(T482,"_"),"")</f>
        <v>Check Summary EPA POND worksheet Column O</v>
      </c>
      <c r="AA482" s="121" t="str" cm="1">
        <f t="array" ref="AA482">IF(W482="","",(_xlfn.TEXTSPLIT(W482,"-")))</f>
        <v/>
      </c>
      <c r="AD482" s="129" t="e">
        <f>VLOOKUP(VALUE($U482),test_out_xwalk!$C:$L,3,FALSE)</f>
        <v>#VALUE!</v>
      </c>
      <c r="AE482" s="129" t="e">
        <f>VLOOKUP(VALUE($U482),test_out_xwalk!$C:$L,5,FALSE)</f>
        <v>#VALUE!</v>
      </c>
      <c r="AF482" s="129" t="e">
        <f>VLOOKUP(VALUE($U482),test_out_xwalk!$C:$L,6,FALSE)</f>
        <v>#VALUE!</v>
      </c>
      <c r="AG482" s="129" t="e">
        <f>VLOOKUP(VALUE($U482),test_out_xwalk!$C:$L,8,FALSE)</f>
        <v>#VALUE!</v>
      </c>
      <c r="AH482" s="129" t="e">
        <f>VLOOKUP(VALUE($U482),test_out_xwalk!$C:$L,7,FALSE)</f>
        <v>#VALUE!</v>
      </c>
      <c r="AI482" s="129" t="e">
        <f>VLOOKUP(VALUE($U482),test_out_xwalk!$C:$L,4,FALSE)</f>
        <v>#VALUE!</v>
      </c>
      <c r="AJ482" s="129" t="e">
        <f>VLOOKUP(VALUE($U482),test_out_xwalk!$C:$L,9,FALSE)</f>
        <v>#VALUE!</v>
      </c>
      <c r="AK482" t="e">
        <f>_xlfn.XLOOKUP(VALUE(U482),test_out_xwalk!C:C,test_out_xwalk!A:A)</f>
        <v>#VALUE!</v>
      </c>
    </row>
    <row r="483" spans="1:37" x14ac:dyDescent="0.55000000000000004">
      <c r="A483" s="121" t="str">
        <f>IF('summary_EPA Pond'!$A483="","Check Summary EPA POND worksheet Column A",'summary_EPA Pond'!$A483)</f>
        <v>Check Summary EPA POND worksheet Column A</v>
      </c>
      <c r="B483" s="121" t="str" cm="1">
        <f t="array" ref="B483">IFERROR(_xlfn.TEXTSPLIT(A483,"_"),"")</f>
        <v>Check Summary EPA POND worksheet Column A</v>
      </c>
      <c r="H483" s="121" t="str" cm="1">
        <f t="array" ref="H483">IF(D483="","",(_xlfn.TEXTSPLIT(D483,"-")))</f>
        <v/>
      </c>
      <c r="K483" s="129" t="e">
        <f>VLOOKUP(VALUE($B483),test_out_xwalk!$C:$L,3,FALSE)</f>
        <v>#VALUE!</v>
      </c>
      <c r="L483" s="129" t="e">
        <f>VLOOKUP(VALUE($B483),test_out_xwalk!$C:$L,5,FALSE)</f>
        <v>#VALUE!</v>
      </c>
      <c r="M483" s="129" t="e">
        <f>VLOOKUP(VALUE($B483),test_out_xwalk!$C:$L,6,FALSE)</f>
        <v>#VALUE!</v>
      </c>
      <c r="N483" s="129" t="e">
        <f>VLOOKUP(VALUE($B483),test_out_xwalk!$C:$L,8,FALSE)</f>
        <v>#VALUE!</v>
      </c>
      <c r="O483" s="129" t="e">
        <f>VLOOKUP(VALUE($B483),test_out_xwalk!$C:$L,7,FALSE)</f>
        <v>#VALUE!</v>
      </c>
      <c r="P483" s="129" t="e">
        <f>VLOOKUP(VALUE($B483),test_out_xwalk!$C:$L,4,FALSE)</f>
        <v>#VALUE!</v>
      </c>
      <c r="Q483" s="129" t="e">
        <f>VLOOKUP(VALUE($B483),test_out_xwalk!$C:$L,9,FALSE)</f>
        <v>#VALUE!</v>
      </c>
      <c r="R483" t="e">
        <f>_xlfn.XLOOKUP(VALUE(B483),test_out_xwalk!$C:$C,test_out_xwalk!$A:$A)</f>
        <v>#VALUE!</v>
      </c>
      <c r="T483" s="121" t="str">
        <f>IF('summary_EPA Pond'!$O483="","Check Summary EPA POND worksheet Column O",'summary_EPA Pond'!$O483)</f>
        <v>Check Summary EPA POND worksheet Column O</v>
      </c>
      <c r="U483" s="121" t="str" cm="1">
        <f t="array" ref="U483">IFERROR(_xlfn.TEXTSPLIT(T483,"_"),"")</f>
        <v>Check Summary EPA POND worksheet Column O</v>
      </c>
      <c r="AA483" s="121" t="str" cm="1">
        <f t="array" ref="AA483">IF(W483="","",(_xlfn.TEXTSPLIT(W483,"-")))</f>
        <v/>
      </c>
      <c r="AD483" s="129" t="e">
        <f>VLOOKUP(VALUE($U483),test_out_xwalk!$C:$L,3,FALSE)</f>
        <v>#VALUE!</v>
      </c>
      <c r="AE483" s="129" t="e">
        <f>VLOOKUP(VALUE($U483),test_out_xwalk!$C:$L,5,FALSE)</f>
        <v>#VALUE!</v>
      </c>
      <c r="AF483" s="129" t="e">
        <f>VLOOKUP(VALUE($U483),test_out_xwalk!$C:$L,6,FALSE)</f>
        <v>#VALUE!</v>
      </c>
      <c r="AG483" s="129" t="e">
        <f>VLOOKUP(VALUE($U483),test_out_xwalk!$C:$L,8,FALSE)</f>
        <v>#VALUE!</v>
      </c>
      <c r="AH483" s="129" t="e">
        <f>VLOOKUP(VALUE($U483),test_out_xwalk!$C:$L,7,FALSE)</f>
        <v>#VALUE!</v>
      </c>
      <c r="AI483" s="129" t="e">
        <f>VLOOKUP(VALUE($U483),test_out_xwalk!$C:$L,4,FALSE)</f>
        <v>#VALUE!</v>
      </c>
      <c r="AJ483" s="129" t="e">
        <f>VLOOKUP(VALUE($U483),test_out_xwalk!$C:$L,9,FALSE)</f>
        <v>#VALUE!</v>
      </c>
      <c r="AK483" t="e">
        <f>_xlfn.XLOOKUP(VALUE(U483),test_out_xwalk!C:C,test_out_xwalk!A:A)</f>
        <v>#VALUE!</v>
      </c>
    </row>
    <row r="484" spans="1:37" x14ac:dyDescent="0.55000000000000004">
      <c r="A484" s="121" t="str">
        <f>IF('summary_EPA Pond'!$A484="","Check Summary EPA POND worksheet Column A",'summary_EPA Pond'!$A484)</f>
        <v>Check Summary EPA POND worksheet Column A</v>
      </c>
      <c r="B484" s="121" t="str" cm="1">
        <f t="array" ref="B484">IFERROR(_xlfn.TEXTSPLIT(A484,"_"),"")</f>
        <v>Check Summary EPA POND worksheet Column A</v>
      </c>
      <c r="H484" s="121" t="str" cm="1">
        <f t="array" ref="H484">IF(D484="","",(_xlfn.TEXTSPLIT(D484,"-")))</f>
        <v/>
      </c>
      <c r="K484" s="129" t="e">
        <f>VLOOKUP(VALUE($B484),test_out_xwalk!$C:$L,3,FALSE)</f>
        <v>#VALUE!</v>
      </c>
      <c r="L484" s="129" t="e">
        <f>VLOOKUP(VALUE($B484),test_out_xwalk!$C:$L,5,FALSE)</f>
        <v>#VALUE!</v>
      </c>
      <c r="M484" s="129" t="e">
        <f>VLOOKUP(VALUE($B484),test_out_xwalk!$C:$L,6,FALSE)</f>
        <v>#VALUE!</v>
      </c>
      <c r="N484" s="129" t="e">
        <f>VLOOKUP(VALUE($B484),test_out_xwalk!$C:$L,8,FALSE)</f>
        <v>#VALUE!</v>
      </c>
      <c r="O484" s="129" t="e">
        <f>VLOOKUP(VALUE($B484),test_out_xwalk!$C:$L,7,FALSE)</f>
        <v>#VALUE!</v>
      </c>
      <c r="P484" s="129" t="e">
        <f>VLOOKUP(VALUE($B484),test_out_xwalk!$C:$L,4,FALSE)</f>
        <v>#VALUE!</v>
      </c>
      <c r="Q484" s="129" t="e">
        <f>VLOOKUP(VALUE($B484),test_out_xwalk!$C:$L,9,FALSE)</f>
        <v>#VALUE!</v>
      </c>
      <c r="R484" t="e">
        <f>_xlfn.XLOOKUP(VALUE(B484),test_out_xwalk!$C:$C,test_out_xwalk!$A:$A)</f>
        <v>#VALUE!</v>
      </c>
      <c r="T484" s="121" t="str">
        <f>IF('summary_EPA Pond'!$O484="","Check Summary EPA POND worksheet Column O",'summary_EPA Pond'!$O484)</f>
        <v>Check Summary EPA POND worksheet Column O</v>
      </c>
      <c r="U484" s="121" t="str" cm="1">
        <f t="array" ref="U484">IFERROR(_xlfn.TEXTSPLIT(T484,"_"),"")</f>
        <v>Check Summary EPA POND worksheet Column O</v>
      </c>
      <c r="AA484" s="121" t="str" cm="1">
        <f t="array" ref="AA484">IF(W484="","",(_xlfn.TEXTSPLIT(W484,"-")))</f>
        <v/>
      </c>
      <c r="AD484" s="129" t="e">
        <f>VLOOKUP(VALUE($U484),test_out_xwalk!$C:$L,3,FALSE)</f>
        <v>#VALUE!</v>
      </c>
      <c r="AE484" s="129" t="e">
        <f>VLOOKUP(VALUE($U484),test_out_xwalk!$C:$L,5,FALSE)</f>
        <v>#VALUE!</v>
      </c>
      <c r="AF484" s="129" t="e">
        <f>VLOOKUP(VALUE($U484),test_out_xwalk!$C:$L,6,FALSE)</f>
        <v>#VALUE!</v>
      </c>
      <c r="AG484" s="129" t="e">
        <f>VLOOKUP(VALUE($U484),test_out_xwalk!$C:$L,8,FALSE)</f>
        <v>#VALUE!</v>
      </c>
      <c r="AH484" s="129" t="e">
        <f>VLOOKUP(VALUE($U484),test_out_xwalk!$C:$L,7,FALSE)</f>
        <v>#VALUE!</v>
      </c>
      <c r="AI484" s="129" t="e">
        <f>VLOOKUP(VALUE($U484),test_out_xwalk!$C:$L,4,FALSE)</f>
        <v>#VALUE!</v>
      </c>
      <c r="AJ484" s="129" t="e">
        <f>VLOOKUP(VALUE($U484),test_out_xwalk!$C:$L,9,FALSE)</f>
        <v>#VALUE!</v>
      </c>
      <c r="AK484" t="e">
        <f>_xlfn.XLOOKUP(VALUE(U484),test_out_xwalk!C:C,test_out_xwalk!A:A)</f>
        <v>#VALUE!</v>
      </c>
    </row>
    <row r="485" spans="1:37" x14ac:dyDescent="0.55000000000000004">
      <c r="A485" s="121" t="str">
        <f>IF('summary_EPA Pond'!$A485="","Check Summary EPA POND worksheet Column A",'summary_EPA Pond'!$A485)</f>
        <v>Check Summary EPA POND worksheet Column A</v>
      </c>
      <c r="B485" s="121" t="str" cm="1">
        <f t="array" ref="B485">IFERROR(_xlfn.TEXTSPLIT(A485,"_"),"")</f>
        <v>Check Summary EPA POND worksheet Column A</v>
      </c>
      <c r="H485" s="121" t="str" cm="1">
        <f t="array" ref="H485">IF(D485="","",(_xlfn.TEXTSPLIT(D485,"-")))</f>
        <v/>
      </c>
      <c r="K485" s="129" t="e">
        <f>VLOOKUP(VALUE($B485),test_out_xwalk!$C:$L,3,FALSE)</f>
        <v>#VALUE!</v>
      </c>
      <c r="L485" s="129" t="e">
        <f>VLOOKUP(VALUE($B485),test_out_xwalk!$C:$L,5,FALSE)</f>
        <v>#VALUE!</v>
      </c>
      <c r="M485" s="129" t="e">
        <f>VLOOKUP(VALUE($B485),test_out_xwalk!$C:$L,6,FALSE)</f>
        <v>#VALUE!</v>
      </c>
      <c r="N485" s="129" t="e">
        <f>VLOOKUP(VALUE($B485),test_out_xwalk!$C:$L,8,FALSE)</f>
        <v>#VALUE!</v>
      </c>
      <c r="O485" s="129" t="e">
        <f>VLOOKUP(VALUE($B485),test_out_xwalk!$C:$L,7,FALSE)</f>
        <v>#VALUE!</v>
      </c>
      <c r="P485" s="129" t="e">
        <f>VLOOKUP(VALUE($B485),test_out_xwalk!$C:$L,4,FALSE)</f>
        <v>#VALUE!</v>
      </c>
      <c r="Q485" s="129" t="e">
        <f>VLOOKUP(VALUE($B485),test_out_xwalk!$C:$L,9,FALSE)</f>
        <v>#VALUE!</v>
      </c>
      <c r="R485" t="e">
        <f>_xlfn.XLOOKUP(VALUE(B485),test_out_xwalk!$C:$C,test_out_xwalk!$A:$A)</f>
        <v>#VALUE!</v>
      </c>
      <c r="T485" s="121" t="str">
        <f>IF('summary_EPA Pond'!$O485="","Check Summary EPA POND worksheet Column O",'summary_EPA Pond'!$O485)</f>
        <v>Check Summary EPA POND worksheet Column O</v>
      </c>
      <c r="U485" s="121" t="str" cm="1">
        <f t="array" ref="U485">IFERROR(_xlfn.TEXTSPLIT(T485,"_"),"")</f>
        <v>Check Summary EPA POND worksheet Column O</v>
      </c>
      <c r="AA485" s="121" t="str" cm="1">
        <f t="array" ref="AA485">IF(W485="","",(_xlfn.TEXTSPLIT(W485,"-")))</f>
        <v/>
      </c>
      <c r="AD485" s="129" t="e">
        <f>VLOOKUP(VALUE($U485),test_out_xwalk!$C:$L,3,FALSE)</f>
        <v>#VALUE!</v>
      </c>
      <c r="AE485" s="129" t="e">
        <f>VLOOKUP(VALUE($U485),test_out_xwalk!$C:$L,5,FALSE)</f>
        <v>#VALUE!</v>
      </c>
      <c r="AF485" s="129" t="e">
        <f>VLOOKUP(VALUE($U485),test_out_xwalk!$C:$L,6,FALSE)</f>
        <v>#VALUE!</v>
      </c>
      <c r="AG485" s="129" t="e">
        <f>VLOOKUP(VALUE($U485),test_out_xwalk!$C:$L,8,FALSE)</f>
        <v>#VALUE!</v>
      </c>
      <c r="AH485" s="129" t="e">
        <f>VLOOKUP(VALUE($U485),test_out_xwalk!$C:$L,7,FALSE)</f>
        <v>#VALUE!</v>
      </c>
      <c r="AI485" s="129" t="e">
        <f>VLOOKUP(VALUE($U485),test_out_xwalk!$C:$L,4,FALSE)</f>
        <v>#VALUE!</v>
      </c>
      <c r="AJ485" s="129" t="e">
        <f>VLOOKUP(VALUE($U485),test_out_xwalk!$C:$L,9,FALSE)</f>
        <v>#VALUE!</v>
      </c>
      <c r="AK485" t="e">
        <f>_xlfn.XLOOKUP(VALUE(U485),test_out_xwalk!C:C,test_out_xwalk!A:A)</f>
        <v>#VALUE!</v>
      </c>
    </row>
    <row r="486" spans="1:37" x14ac:dyDescent="0.55000000000000004">
      <c r="A486" s="121" t="str">
        <f>IF('summary_EPA Pond'!$A486="","Check Summary EPA POND worksheet Column A",'summary_EPA Pond'!$A486)</f>
        <v>Check Summary EPA POND worksheet Column A</v>
      </c>
      <c r="B486" s="121" t="str" cm="1">
        <f t="array" ref="B486">IFERROR(_xlfn.TEXTSPLIT(A486,"_"),"")</f>
        <v>Check Summary EPA POND worksheet Column A</v>
      </c>
      <c r="H486" s="121" t="str" cm="1">
        <f t="array" ref="H486">IF(D486="","",(_xlfn.TEXTSPLIT(D486,"-")))</f>
        <v/>
      </c>
      <c r="K486" s="129" t="e">
        <f>VLOOKUP(VALUE($B486),test_out_xwalk!$C:$L,3,FALSE)</f>
        <v>#VALUE!</v>
      </c>
      <c r="L486" s="129" t="e">
        <f>VLOOKUP(VALUE($B486),test_out_xwalk!$C:$L,5,FALSE)</f>
        <v>#VALUE!</v>
      </c>
      <c r="M486" s="129" t="e">
        <f>VLOOKUP(VALUE($B486),test_out_xwalk!$C:$L,6,FALSE)</f>
        <v>#VALUE!</v>
      </c>
      <c r="N486" s="129" t="e">
        <f>VLOOKUP(VALUE($B486),test_out_xwalk!$C:$L,8,FALSE)</f>
        <v>#VALUE!</v>
      </c>
      <c r="O486" s="129" t="e">
        <f>VLOOKUP(VALUE($B486),test_out_xwalk!$C:$L,7,FALSE)</f>
        <v>#VALUE!</v>
      </c>
      <c r="P486" s="129" t="e">
        <f>VLOOKUP(VALUE($B486),test_out_xwalk!$C:$L,4,FALSE)</f>
        <v>#VALUE!</v>
      </c>
      <c r="Q486" s="129" t="e">
        <f>VLOOKUP(VALUE($B486),test_out_xwalk!$C:$L,9,FALSE)</f>
        <v>#VALUE!</v>
      </c>
      <c r="R486" t="e">
        <f>_xlfn.XLOOKUP(VALUE(B486),test_out_xwalk!$C:$C,test_out_xwalk!$A:$A)</f>
        <v>#VALUE!</v>
      </c>
      <c r="T486" s="121" t="str">
        <f>IF('summary_EPA Pond'!$O486="","Check Summary EPA POND worksheet Column O",'summary_EPA Pond'!$O486)</f>
        <v>Check Summary EPA POND worksheet Column O</v>
      </c>
      <c r="U486" s="121" t="str" cm="1">
        <f t="array" ref="U486">IFERROR(_xlfn.TEXTSPLIT(T486,"_"),"")</f>
        <v>Check Summary EPA POND worksheet Column O</v>
      </c>
      <c r="AA486" s="121" t="str" cm="1">
        <f t="array" ref="AA486">IF(W486="","",(_xlfn.TEXTSPLIT(W486,"-")))</f>
        <v/>
      </c>
      <c r="AD486" s="129" t="e">
        <f>VLOOKUP(VALUE($U486),test_out_xwalk!$C:$L,3,FALSE)</f>
        <v>#VALUE!</v>
      </c>
      <c r="AE486" s="129" t="e">
        <f>VLOOKUP(VALUE($U486),test_out_xwalk!$C:$L,5,FALSE)</f>
        <v>#VALUE!</v>
      </c>
      <c r="AF486" s="129" t="e">
        <f>VLOOKUP(VALUE($U486),test_out_xwalk!$C:$L,6,FALSE)</f>
        <v>#VALUE!</v>
      </c>
      <c r="AG486" s="129" t="e">
        <f>VLOOKUP(VALUE($U486),test_out_xwalk!$C:$L,8,FALSE)</f>
        <v>#VALUE!</v>
      </c>
      <c r="AH486" s="129" t="e">
        <f>VLOOKUP(VALUE($U486),test_out_xwalk!$C:$L,7,FALSE)</f>
        <v>#VALUE!</v>
      </c>
      <c r="AI486" s="129" t="e">
        <f>VLOOKUP(VALUE($U486),test_out_xwalk!$C:$L,4,FALSE)</f>
        <v>#VALUE!</v>
      </c>
      <c r="AJ486" s="129" t="e">
        <f>VLOOKUP(VALUE($U486),test_out_xwalk!$C:$L,9,FALSE)</f>
        <v>#VALUE!</v>
      </c>
      <c r="AK486" t="e">
        <f>_xlfn.XLOOKUP(VALUE(U486),test_out_xwalk!C:C,test_out_xwalk!A:A)</f>
        <v>#VALUE!</v>
      </c>
    </row>
    <row r="487" spans="1:37" x14ac:dyDescent="0.55000000000000004">
      <c r="A487" s="121" t="str">
        <f>IF('summary_EPA Pond'!$A487="","Check Summary EPA POND worksheet Column A",'summary_EPA Pond'!$A487)</f>
        <v>Check Summary EPA POND worksheet Column A</v>
      </c>
      <c r="B487" s="121" t="str" cm="1">
        <f t="array" ref="B487">IFERROR(_xlfn.TEXTSPLIT(A487,"_"),"")</f>
        <v>Check Summary EPA POND worksheet Column A</v>
      </c>
      <c r="H487" s="121" t="str" cm="1">
        <f t="array" ref="H487">IF(D487="","",(_xlfn.TEXTSPLIT(D487,"-")))</f>
        <v/>
      </c>
      <c r="K487" s="129" t="e">
        <f>VLOOKUP(VALUE($B487),test_out_xwalk!$C:$L,3,FALSE)</f>
        <v>#VALUE!</v>
      </c>
      <c r="L487" s="129" t="e">
        <f>VLOOKUP(VALUE($B487),test_out_xwalk!$C:$L,5,FALSE)</f>
        <v>#VALUE!</v>
      </c>
      <c r="M487" s="129" t="e">
        <f>VLOOKUP(VALUE($B487),test_out_xwalk!$C:$L,6,FALSE)</f>
        <v>#VALUE!</v>
      </c>
      <c r="N487" s="129" t="e">
        <f>VLOOKUP(VALUE($B487),test_out_xwalk!$C:$L,8,FALSE)</f>
        <v>#VALUE!</v>
      </c>
      <c r="O487" s="129" t="e">
        <f>VLOOKUP(VALUE($B487),test_out_xwalk!$C:$L,7,FALSE)</f>
        <v>#VALUE!</v>
      </c>
      <c r="P487" s="129" t="e">
        <f>VLOOKUP(VALUE($B487),test_out_xwalk!$C:$L,4,FALSE)</f>
        <v>#VALUE!</v>
      </c>
      <c r="Q487" s="129" t="e">
        <f>VLOOKUP(VALUE($B487),test_out_xwalk!$C:$L,9,FALSE)</f>
        <v>#VALUE!</v>
      </c>
      <c r="R487" t="e">
        <f>_xlfn.XLOOKUP(VALUE(B487),test_out_xwalk!$C:$C,test_out_xwalk!$A:$A)</f>
        <v>#VALUE!</v>
      </c>
      <c r="T487" s="121" t="str">
        <f>IF('summary_EPA Pond'!$O487="","Check Summary EPA POND worksheet Column O",'summary_EPA Pond'!$O487)</f>
        <v>Check Summary EPA POND worksheet Column O</v>
      </c>
      <c r="U487" s="121" t="str" cm="1">
        <f t="array" ref="U487">IFERROR(_xlfn.TEXTSPLIT(T487,"_"),"")</f>
        <v>Check Summary EPA POND worksheet Column O</v>
      </c>
      <c r="AA487" s="121" t="str" cm="1">
        <f t="array" ref="AA487">IF(W487="","",(_xlfn.TEXTSPLIT(W487,"-")))</f>
        <v/>
      </c>
      <c r="AD487" s="129" t="e">
        <f>VLOOKUP(VALUE($U487),test_out_xwalk!$C:$L,3,FALSE)</f>
        <v>#VALUE!</v>
      </c>
      <c r="AE487" s="129" t="e">
        <f>VLOOKUP(VALUE($U487),test_out_xwalk!$C:$L,5,FALSE)</f>
        <v>#VALUE!</v>
      </c>
      <c r="AF487" s="129" t="e">
        <f>VLOOKUP(VALUE($U487),test_out_xwalk!$C:$L,6,FALSE)</f>
        <v>#VALUE!</v>
      </c>
      <c r="AG487" s="129" t="e">
        <f>VLOOKUP(VALUE($U487),test_out_xwalk!$C:$L,8,FALSE)</f>
        <v>#VALUE!</v>
      </c>
      <c r="AH487" s="129" t="e">
        <f>VLOOKUP(VALUE($U487),test_out_xwalk!$C:$L,7,FALSE)</f>
        <v>#VALUE!</v>
      </c>
      <c r="AI487" s="129" t="e">
        <f>VLOOKUP(VALUE($U487),test_out_xwalk!$C:$L,4,FALSE)</f>
        <v>#VALUE!</v>
      </c>
      <c r="AJ487" s="129" t="e">
        <f>VLOOKUP(VALUE($U487),test_out_xwalk!$C:$L,9,FALSE)</f>
        <v>#VALUE!</v>
      </c>
      <c r="AK487" t="e">
        <f>_xlfn.XLOOKUP(VALUE(U487),test_out_xwalk!C:C,test_out_xwalk!A:A)</f>
        <v>#VALUE!</v>
      </c>
    </row>
    <row r="488" spans="1:37" x14ac:dyDescent="0.55000000000000004">
      <c r="A488" s="121" t="str">
        <f>IF('summary_EPA Pond'!$A488="","Check Summary EPA POND worksheet Column A",'summary_EPA Pond'!$A488)</f>
        <v>Check Summary EPA POND worksheet Column A</v>
      </c>
      <c r="B488" s="121" t="str" cm="1">
        <f t="array" ref="B488">IFERROR(_xlfn.TEXTSPLIT(A488,"_"),"")</f>
        <v>Check Summary EPA POND worksheet Column A</v>
      </c>
      <c r="H488" s="121" t="str" cm="1">
        <f t="array" ref="H488">IF(D488="","",(_xlfn.TEXTSPLIT(D488,"-")))</f>
        <v/>
      </c>
      <c r="K488" s="129" t="e">
        <f>VLOOKUP(VALUE($B488),test_out_xwalk!$C:$L,3,FALSE)</f>
        <v>#VALUE!</v>
      </c>
      <c r="L488" s="129" t="e">
        <f>VLOOKUP(VALUE($B488),test_out_xwalk!$C:$L,5,FALSE)</f>
        <v>#VALUE!</v>
      </c>
      <c r="M488" s="129" t="e">
        <f>VLOOKUP(VALUE($B488),test_out_xwalk!$C:$L,6,FALSE)</f>
        <v>#VALUE!</v>
      </c>
      <c r="N488" s="129" t="e">
        <f>VLOOKUP(VALUE($B488),test_out_xwalk!$C:$L,8,FALSE)</f>
        <v>#VALUE!</v>
      </c>
      <c r="O488" s="129" t="e">
        <f>VLOOKUP(VALUE($B488),test_out_xwalk!$C:$L,7,FALSE)</f>
        <v>#VALUE!</v>
      </c>
      <c r="P488" s="129" t="e">
        <f>VLOOKUP(VALUE($B488),test_out_xwalk!$C:$L,4,FALSE)</f>
        <v>#VALUE!</v>
      </c>
      <c r="Q488" s="129" t="e">
        <f>VLOOKUP(VALUE($B488),test_out_xwalk!$C:$L,9,FALSE)</f>
        <v>#VALUE!</v>
      </c>
      <c r="R488" t="e">
        <f>_xlfn.XLOOKUP(VALUE(B488),test_out_xwalk!$C:$C,test_out_xwalk!$A:$A)</f>
        <v>#VALUE!</v>
      </c>
      <c r="T488" s="121" t="str">
        <f>IF('summary_EPA Pond'!$O488="","Check Summary EPA POND worksheet Column O",'summary_EPA Pond'!$O488)</f>
        <v>Check Summary EPA POND worksheet Column O</v>
      </c>
      <c r="U488" s="121" t="str" cm="1">
        <f t="array" ref="U488">IFERROR(_xlfn.TEXTSPLIT(T488,"_"),"")</f>
        <v>Check Summary EPA POND worksheet Column O</v>
      </c>
      <c r="AA488" s="121" t="str" cm="1">
        <f t="array" ref="AA488">IF(W488="","",(_xlfn.TEXTSPLIT(W488,"-")))</f>
        <v/>
      </c>
      <c r="AD488" s="129" t="e">
        <f>VLOOKUP(VALUE($U488),test_out_xwalk!$C:$L,3,FALSE)</f>
        <v>#VALUE!</v>
      </c>
      <c r="AE488" s="129" t="e">
        <f>VLOOKUP(VALUE($U488),test_out_xwalk!$C:$L,5,FALSE)</f>
        <v>#VALUE!</v>
      </c>
      <c r="AF488" s="129" t="e">
        <f>VLOOKUP(VALUE($U488),test_out_xwalk!$C:$L,6,FALSE)</f>
        <v>#VALUE!</v>
      </c>
      <c r="AG488" s="129" t="e">
        <f>VLOOKUP(VALUE($U488),test_out_xwalk!$C:$L,8,FALSE)</f>
        <v>#VALUE!</v>
      </c>
      <c r="AH488" s="129" t="e">
        <f>VLOOKUP(VALUE($U488),test_out_xwalk!$C:$L,7,FALSE)</f>
        <v>#VALUE!</v>
      </c>
      <c r="AI488" s="129" t="e">
        <f>VLOOKUP(VALUE($U488),test_out_xwalk!$C:$L,4,FALSE)</f>
        <v>#VALUE!</v>
      </c>
      <c r="AJ488" s="129" t="e">
        <f>VLOOKUP(VALUE($U488),test_out_xwalk!$C:$L,9,FALSE)</f>
        <v>#VALUE!</v>
      </c>
      <c r="AK488" t="e">
        <f>_xlfn.XLOOKUP(VALUE(U488),test_out_xwalk!C:C,test_out_xwalk!A:A)</f>
        <v>#VALUE!</v>
      </c>
    </row>
    <row r="489" spans="1:37" x14ac:dyDescent="0.55000000000000004">
      <c r="A489" s="121" t="str">
        <f>IF('summary_EPA Pond'!$A489="","Check Summary EPA POND worksheet Column A",'summary_EPA Pond'!$A489)</f>
        <v>Check Summary EPA POND worksheet Column A</v>
      </c>
      <c r="B489" s="121" t="str" cm="1">
        <f t="array" ref="B489">IFERROR(_xlfn.TEXTSPLIT(A489,"_"),"")</f>
        <v>Check Summary EPA POND worksheet Column A</v>
      </c>
      <c r="H489" s="121" t="str" cm="1">
        <f t="array" ref="H489">IF(D489="","",(_xlfn.TEXTSPLIT(D489,"-")))</f>
        <v/>
      </c>
      <c r="K489" s="129" t="e">
        <f>VLOOKUP(VALUE($B489),test_out_xwalk!$C:$L,3,FALSE)</f>
        <v>#VALUE!</v>
      </c>
      <c r="L489" s="129" t="e">
        <f>VLOOKUP(VALUE($B489),test_out_xwalk!$C:$L,5,FALSE)</f>
        <v>#VALUE!</v>
      </c>
      <c r="M489" s="129" t="e">
        <f>VLOOKUP(VALUE($B489),test_out_xwalk!$C:$L,6,FALSE)</f>
        <v>#VALUE!</v>
      </c>
      <c r="N489" s="129" t="e">
        <f>VLOOKUP(VALUE($B489),test_out_xwalk!$C:$L,8,FALSE)</f>
        <v>#VALUE!</v>
      </c>
      <c r="O489" s="129" t="e">
        <f>VLOOKUP(VALUE($B489),test_out_xwalk!$C:$L,7,FALSE)</f>
        <v>#VALUE!</v>
      </c>
      <c r="P489" s="129" t="e">
        <f>VLOOKUP(VALUE($B489),test_out_xwalk!$C:$L,4,FALSE)</f>
        <v>#VALUE!</v>
      </c>
      <c r="Q489" s="129" t="e">
        <f>VLOOKUP(VALUE($B489),test_out_xwalk!$C:$L,9,FALSE)</f>
        <v>#VALUE!</v>
      </c>
      <c r="R489" t="e">
        <f>_xlfn.XLOOKUP(VALUE(B489),test_out_xwalk!$C:$C,test_out_xwalk!$A:$A)</f>
        <v>#VALUE!</v>
      </c>
      <c r="T489" s="121" t="str">
        <f>IF('summary_EPA Pond'!$O489="","Check Summary EPA POND worksheet Column O",'summary_EPA Pond'!$O489)</f>
        <v>Check Summary EPA POND worksheet Column O</v>
      </c>
      <c r="U489" s="121" t="str" cm="1">
        <f t="array" ref="U489">IFERROR(_xlfn.TEXTSPLIT(T489,"_"),"")</f>
        <v>Check Summary EPA POND worksheet Column O</v>
      </c>
      <c r="AA489" s="121" t="str" cm="1">
        <f t="array" ref="AA489">IF(W489="","",(_xlfn.TEXTSPLIT(W489,"-")))</f>
        <v/>
      </c>
      <c r="AD489" s="129" t="e">
        <f>VLOOKUP(VALUE($U489),test_out_xwalk!$C:$L,3,FALSE)</f>
        <v>#VALUE!</v>
      </c>
      <c r="AE489" s="129" t="e">
        <f>VLOOKUP(VALUE($U489),test_out_xwalk!$C:$L,5,FALSE)</f>
        <v>#VALUE!</v>
      </c>
      <c r="AF489" s="129" t="e">
        <f>VLOOKUP(VALUE($U489),test_out_xwalk!$C:$L,6,FALSE)</f>
        <v>#VALUE!</v>
      </c>
      <c r="AG489" s="129" t="e">
        <f>VLOOKUP(VALUE($U489),test_out_xwalk!$C:$L,8,FALSE)</f>
        <v>#VALUE!</v>
      </c>
      <c r="AH489" s="129" t="e">
        <f>VLOOKUP(VALUE($U489),test_out_xwalk!$C:$L,7,FALSE)</f>
        <v>#VALUE!</v>
      </c>
      <c r="AI489" s="129" t="e">
        <f>VLOOKUP(VALUE($U489),test_out_xwalk!$C:$L,4,FALSE)</f>
        <v>#VALUE!</v>
      </c>
      <c r="AJ489" s="129" t="e">
        <f>VLOOKUP(VALUE($U489),test_out_xwalk!$C:$L,9,FALSE)</f>
        <v>#VALUE!</v>
      </c>
      <c r="AK489" t="e">
        <f>_xlfn.XLOOKUP(VALUE(U489),test_out_xwalk!C:C,test_out_xwalk!A:A)</f>
        <v>#VALUE!</v>
      </c>
    </row>
    <row r="490" spans="1:37" x14ac:dyDescent="0.55000000000000004">
      <c r="A490" s="121" t="str">
        <f>IF('summary_EPA Pond'!$A490="","Check Summary EPA POND worksheet Column A",'summary_EPA Pond'!$A490)</f>
        <v>Check Summary EPA POND worksheet Column A</v>
      </c>
      <c r="B490" s="121" t="str" cm="1">
        <f t="array" ref="B490">IFERROR(_xlfn.TEXTSPLIT(A490,"_"),"")</f>
        <v>Check Summary EPA POND worksheet Column A</v>
      </c>
      <c r="H490" s="121" t="str" cm="1">
        <f t="array" ref="H490">IF(D490="","",(_xlfn.TEXTSPLIT(D490,"-")))</f>
        <v/>
      </c>
      <c r="K490" s="129" t="e">
        <f>VLOOKUP(VALUE($B490),test_out_xwalk!$C:$L,3,FALSE)</f>
        <v>#VALUE!</v>
      </c>
      <c r="L490" s="129" t="e">
        <f>VLOOKUP(VALUE($B490),test_out_xwalk!$C:$L,5,FALSE)</f>
        <v>#VALUE!</v>
      </c>
      <c r="M490" s="129" t="e">
        <f>VLOOKUP(VALUE($B490),test_out_xwalk!$C:$L,6,FALSE)</f>
        <v>#VALUE!</v>
      </c>
      <c r="N490" s="129" t="e">
        <f>VLOOKUP(VALUE($B490),test_out_xwalk!$C:$L,8,FALSE)</f>
        <v>#VALUE!</v>
      </c>
      <c r="O490" s="129" t="e">
        <f>VLOOKUP(VALUE($B490),test_out_xwalk!$C:$L,7,FALSE)</f>
        <v>#VALUE!</v>
      </c>
      <c r="P490" s="129" t="e">
        <f>VLOOKUP(VALUE($B490),test_out_xwalk!$C:$L,4,FALSE)</f>
        <v>#VALUE!</v>
      </c>
      <c r="Q490" s="129" t="e">
        <f>VLOOKUP(VALUE($B490),test_out_xwalk!$C:$L,9,FALSE)</f>
        <v>#VALUE!</v>
      </c>
      <c r="R490" t="e">
        <f>_xlfn.XLOOKUP(VALUE(B490),test_out_xwalk!$C:$C,test_out_xwalk!$A:$A)</f>
        <v>#VALUE!</v>
      </c>
      <c r="T490" s="121" t="str">
        <f>IF('summary_EPA Pond'!$O490="","Check Summary EPA POND worksheet Column O",'summary_EPA Pond'!$O490)</f>
        <v>Check Summary EPA POND worksheet Column O</v>
      </c>
      <c r="U490" s="121" t="str" cm="1">
        <f t="array" ref="U490">IFERROR(_xlfn.TEXTSPLIT(T490,"_"),"")</f>
        <v>Check Summary EPA POND worksheet Column O</v>
      </c>
      <c r="AA490" s="121" t="str" cm="1">
        <f t="array" ref="AA490">IF(W490="","",(_xlfn.TEXTSPLIT(W490,"-")))</f>
        <v/>
      </c>
      <c r="AD490" s="129" t="e">
        <f>VLOOKUP(VALUE($U490),test_out_xwalk!$C:$L,3,FALSE)</f>
        <v>#VALUE!</v>
      </c>
      <c r="AE490" s="129" t="e">
        <f>VLOOKUP(VALUE($U490),test_out_xwalk!$C:$L,5,FALSE)</f>
        <v>#VALUE!</v>
      </c>
      <c r="AF490" s="129" t="e">
        <f>VLOOKUP(VALUE($U490),test_out_xwalk!$C:$L,6,FALSE)</f>
        <v>#VALUE!</v>
      </c>
      <c r="AG490" s="129" t="e">
        <f>VLOOKUP(VALUE($U490),test_out_xwalk!$C:$L,8,FALSE)</f>
        <v>#VALUE!</v>
      </c>
      <c r="AH490" s="129" t="e">
        <f>VLOOKUP(VALUE($U490),test_out_xwalk!$C:$L,7,FALSE)</f>
        <v>#VALUE!</v>
      </c>
      <c r="AI490" s="129" t="e">
        <f>VLOOKUP(VALUE($U490),test_out_xwalk!$C:$L,4,FALSE)</f>
        <v>#VALUE!</v>
      </c>
      <c r="AJ490" s="129" t="e">
        <f>VLOOKUP(VALUE($U490),test_out_xwalk!$C:$L,9,FALSE)</f>
        <v>#VALUE!</v>
      </c>
      <c r="AK490" t="e">
        <f>_xlfn.XLOOKUP(VALUE(U490),test_out_xwalk!C:C,test_out_xwalk!A:A)</f>
        <v>#VALUE!</v>
      </c>
    </row>
    <row r="491" spans="1:37" x14ac:dyDescent="0.55000000000000004">
      <c r="A491" s="121" t="str">
        <f>IF('summary_EPA Pond'!$A491="","Check Summary EPA POND worksheet Column A",'summary_EPA Pond'!$A491)</f>
        <v>Check Summary EPA POND worksheet Column A</v>
      </c>
      <c r="B491" s="121" t="str" cm="1">
        <f t="array" ref="B491">IFERROR(_xlfn.TEXTSPLIT(A491,"_"),"")</f>
        <v>Check Summary EPA POND worksheet Column A</v>
      </c>
      <c r="H491" s="121" t="str" cm="1">
        <f t="array" ref="H491">IF(D491="","",(_xlfn.TEXTSPLIT(D491,"-")))</f>
        <v/>
      </c>
      <c r="K491" s="129" t="e">
        <f>VLOOKUP(VALUE($B491),test_out_xwalk!$C:$L,3,FALSE)</f>
        <v>#VALUE!</v>
      </c>
      <c r="L491" s="129" t="e">
        <f>VLOOKUP(VALUE($B491),test_out_xwalk!$C:$L,5,FALSE)</f>
        <v>#VALUE!</v>
      </c>
      <c r="M491" s="129" t="e">
        <f>VLOOKUP(VALUE($B491),test_out_xwalk!$C:$L,6,FALSE)</f>
        <v>#VALUE!</v>
      </c>
      <c r="N491" s="129" t="e">
        <f>VLOOKUP(VALUE($B491),test_out_xwalk!$C:$L,8,FALSE)</f>
        <v>#VALUE!</v>
      </c>
      <c r="O491" s="129" t="e">
        <f>VLOOKUP(VALUE($B491),test_out_xwalk!$C:$L,7,FALSE)</f>
        <v>#VALUE!</v>
      </c>
      <c r="P491" s="129" t="e">
        <f>VLOOKUP(VALUE($B491),test_out_xwalk!$C:$L,4,FALSE)</f>
        <v>#VALUE!</v>
      </c>
      <c r="Q491" s="129" t="e">
        <f>VLOOKUP(VALUE($B491),test_out_xwalk!$C:$L,9,FALSE)</f>
        <v>#VALUE!</v>
      </c>
      <c r="R491" t="e">
        <f>_xlfn.XLOOKUP(VALUE(B491),test_out_xwalk!$C:$C,test_out_xwalk!$A:$A)</f>
        <v>#VALUE!</v>
      </c>
      <c r="T491" s="121" t="str">
        <f>IF('summary_EPA Pond'!$O491="","Check Summary EPA POND worksheet Column O",'summary_EPA Pond'!$O491)</f>
        <v>Check Summary EPA POND worksheet Column O</v>
      </c>
      <c r="U491" s="121" t="str" cm="1">
        <f t="array" ref="U491">IFERROR(_xlfn.TEXTSPLIT(T491,"_"),"")</f>
        <v>Check Summary EPA POND worksheet Column O</v>
      </c>
      <c r="AA491" s="121" t="str" cm="1">
        <f t="array" ref="AA491">IF(W491="","",(_xlfn.TEXTSPLIT(W491,"-")))</f>
        <v/>
      </c>
      <c r="AD491" s="129" t="e">
        <f>VLOOKUP(VALUE($U491),test_out_xwalk!$C:$L,3,FALSE)</f>
        <v>#VALUE!</v>
      </c>
      <c r="AE491" s="129" t="e">
        <f>VLOOKUP(VALUE($U491),test_out_xwalk!$C:$L,5,FALSE)</f>
        <v>#VALUE!</v>
      </c>
      <c r="AF491" s="129" t="e">
        <f>VLOOKUP(VALUE($U491),test_out_xwalk!$C:$L,6,FALSE)</f>
        <v>#VALUE!</v>
      </c>
      <c r="AG491" s="129" t="e">
        <f>VLOOKUP(VALUE($U491),test_out_xwalk!$C:$L,8,FALSE)</f>
        <v>#VALUE!</v>
      </c>
      <c r="AH491" s="129" t="e">
        <f>VLOOKUP(VALUE($U491),test_out_xwalk!$C:$L,7,FALSE)</f>
        <v>#VALUE!</v>
      </c>
      <c r="AI491" s="129" t="e">
        <f>VLOOKUP(VALUE($U491),test_out_xwalk!$C:$L,4,FALSE)</f>
        <v>#VALUE!</v>
      </c>
      <c r="AJ491" s="129" t="e">
        <f>VLOOKUP(VALUE($U491),test_out_xwalk!$C:$L,9,FALSE)</f>
        <v>#VALUE!</v>
      </c>
      <c r="AK491" t="e">
        <f>_xlfn.XLOOKUP(VALUE(U491),test_out_xwalk!C:C,test_out_xwalk!A:A)</f>
        <v>#VALUE!</v>
      </c>
    </row>
    <row r="492" spans="1:37" x14ac:dyDescent="0.55000000000000004">
      <c r="A492" s="121" t="str">
        <f>IF('summary_EPA Pond'!$A492="","Check Summary EPA POND worksheet Column A",'summary_EPA Pond'!$A492)</f>
        <v>Check Summary EPA POND worksheet Column A</v>
      </c>
      <c r="B492" s="121" t="str" cm="1">
        <f t="array" ref="B492">IFERROR(_xlfn.TEXTSPLIT(A492,"_"),"")</f>
        <v>Check Summary EPA POND worksheet Column A</v>
      </c>
      <c r="H492" s="121" t="str" cm="1">
        <f t="array" ref="H492">IF(D492="","",(_xlfn.TEXTSPLIT(D492,"-")))</f>
        <v/>
      </c>
      <c r="K492" s="129" t="e">
        <f>VLOOKUP(VALUE($B492),test_out_xwalk!$C:$L,3,FALSE)</f>
        <v>#VALUE!</v>
      </c>
      <c r="L492" s="129" t="e">
        <f>VLOOKUP(VALUE($B492),test_out_xwalk!$C:$L,5,FALSE)</f>
        <v>#VALUE!</v>
      </c>
      <c r="M492" s="129" t="e">
        <f>VLOOKUP(VALUE($B492),test_out_xwalk!$C:$L,6,FALSE)</f>
        <v>#VALUE!</v>
      </c>
      <c r="N492" s="129" t="e">
        <f>VLOOKUP(VALUE($B492),test_out_xwalk!$C:$L,8,FALSE)</f>
        <v>#VALUE!</v>
      </c>
      <c r="O492" s="129" t="e">
        <f>VLOOKUP(VALUE($B492),test_out_xwalk!$C:$L,7,FALSE)</f>
        <v>#VALUE!</v>
      </c>
      <c r="P492" s="129" t="e">
        <f>VLOOKUP(VALUE($B492),test_out_xwalk!$C:$L,4,FALSE)</f>
        <v>#VALUE!</v>
      </c>
      <c r="Q492" s="129" t="e">
        <f>VLOOKUP(VALUE($B492),test_out_xwalk!$C:$L,9,FALSE)</f>
        <v>#VALUE!</v>
      </c>
      <c r="R492" t="e">
        <f>_xlfn.XLOOKUP(VALUE(B492),test_out_xwalk!$C:$C,test_out_xwalk!$A:$A)</f>
        <v>#VALUE!</v>
      </c>
      <c r="T492" s="121" t="str">
        <f>IF('summary_EPA Pond'!$O492="","Check Summary EPA POND worksheet Column O",'summary_EPA Pond'!$O492)</f>
        <v>Check Summary EPA POND worksheet Column O</v>
      </c>
      <c r="U492" s="121" t="str" cm="1">
        <f t="array" ref="U492">IFERROR(_xlfn.TEXTSPLIT(T492,"_"),"")</f>
        <v>Check Summary EPA POND worksheet Column O</v>
      </c>
      <c r="AA492" s="121" t="str" cm="1">
        <f t="array" ref="AA492">IF(W492="","",(_xlfn.TEXTSPLIT(W492,"-")))</f>
        <v/>
      </c>
      <c r="AD492" s="129" t="e">
        <f>VLOOKUP(VALUE($U492),test_out_xwalk!$C:$L,3,FALSE)</f>
        <v>#VALUE!</v>
      </c>
      <c r="AE492" s="129" t="e">
        <f>VLOOKUP(VALUE($U492),test_out_xwalk!$C:$L,5,FALSE)</f>
        <v>#VALUE!</v>
      </c>
      <c r="AF492" s="129" t="e">
        <f>VLOOKUP(VALUE($U492),test_out_xwalk!$C:$L,6,FALSE)</f>
        <v>#VALUE!</v>
      </c>
      <c r="AG492" s="129" t="e">
        <f>VLOOKUP(VALUE($U492),test_out_xwalk!$C:$L,8,FALSE)</f>
        <v>#VALUE!</v>
      </c>
      <c r="AH492" s="129" t="e">
        <f>VLOOKUP(VALUE($U492),test_out_xwalk!$C:$L,7,FALSE)</f>
        <v>#VALUE!</v>
      </c>
      <c r="AI492" s="129" t="e">
        <f>VLOOKUP(VALUE($U492),test_out_xwalk!$C:$L,4,FALSE)</f>
        <v>#VALUE!</v>
      </c>
      <c r="AJ492" s="129" t="e">
        <f>VLOOKUP(VALUE($U492),test_out_xwalk!$C:$L,9,FALSE)</f>
        <v>#VALUE!</v>
      </c>
      <c r="AK492" t="e">
        <f>_xlfn.XLOOKUP(VALUE(U492),test_out_xwalk!C:C,test_out_xwalk!A:A)</f>
        <v>#VALUE!</v>
      </c>
    </row>
    <row r="493" spans="1:37" x14ac:dyDescent="0.55000000000000004">
      <c r="A493" s="121" t="str">
        <f>IF('summary_EPA Pond'!$A493="","Check Summary EPA POND worksheet Column A",'summary_EPA Pond'!$A493)</f>
        <v>Check Summary EPA POND worksheet Column A</v>
      </c>
      <c r="B493" s="121" t="str" cm="1">
        <f t="array" ref="B493">IFERROR(_xlfn.TEXTSPLIT(A493,"_"),"")</f>
        <v>Check Summary EPA POND worksheet Column A</v>
      </c>
      <c r="H493" s="121" t="str" cm="1">
        <f t="array" ref="H493">IF(D493="","",(_xlfn.TEXTSPLIT(D493,"-")))</f>
        <v/>
      </c>
      <c r="K493" s="129" t="e">
        <f>VLOOKUP(VALUE($B493),test_out_xwalk!$C:$L,3,FALSE)</f>
        <v>#VALUE!</v>
      </c>
      <c r="L493" s="129" t="e">
        <f>VLOOKUP(VALUE($B493),test_out_xwalk!$C:$L,5,FALSE)</f>
        <v>#VALUE!</v>
      </c>
      <c r="M493" s="129" t="e">
        <f>VLOOKUP(VALUE($B493),test_out_xwalk!$C:$L,6,FALSE)</f>
        <v>#VALUE!</v>
      </c>
      <c r="N493" s="129" t="e">
        <f>VLOOKUP(VALUE($B493),test_out_xwalk!$C:$L,8,FALSE)</f>
        <v>#VALUE!</v>
      </c>
      <c r="O493" s="129" t="e">
        <f>VLOOKUP(VALUE($B493),test_out_xwalk!$C:$L,7,FALSE)</f>
        <v>#VALUE!</v>
      </c>
      <c r="P493" s="129" t="e">
        <f>VLOOKUP(VALUE($B493),test_out_xwalk!$C:$L,4,FALSE)</f>
        <v>#VALUE!</v>
      </c>
      <c r="Q493" s="129" t="e">
        <f>VLOOKUP(VALUE($B493),test_out_xwalk!$C:$L,9,FALSE)</f>
        <v>#VALUE!</v>
      </c>
      <c r="R493" t="e">
        <f>_xlfn.XLOOKUP(VALUE(B493),test_out_xwalk!$C:$C,test_out_xwalk!$A:$A)</f>
        <v>#VALUE!</v>
      </c>
      <c r="T493" s="121" t="str">
        <f>IF('summary_EPA Pond'!$O493="","Check Summary EPA POND worksheet Column O",'summary_EPA Pond'!$O493)</f>
        <v>Check Summary EPA POND worksheet Column O</v>
      </c>
      <c r="U493" s="121" t="str" cm="1">
        <f t="array" ref="U493">IFERROR(_xlfn.TEXTSPLIT(T493,"_"),"")</f>
        <v>Check Summary EPA POND worksheet Column O</v>
      </c>
      <c r="AA493" s="121" t="str" cm="1">
        <f t="array" ref="AA493">IF(W493="","",(_xlfn.TEXTSPLIT(W493,"-")))</f>
        <v/>
      </c>
      <c r="AD493" s="129" t="e">
        <f>VLOOKUP(VALUE($U493),test_out_xwalk!$C:$L,3,FALSE)</f>
        <v>#VALUE!</v>
      </c>
      <c r="AE493" s="129" t="e">
        <f>VLOOKUP(VALUE($U493),test_out_xwalk!$C:$L,5,FALSE)</f>
        <v>#VALUE!</v>
      </c>
      <c r="AF493" s="129" t="e">
        <f>VLOOKUP(VALUE($U493),test_out_xwalk!$C:$L,6,FALSE)</f>
        <v>#VALUE!</v>
      </c>
      <c r="AG493" s="129" t="e">
        <f>VLOOKUP(VALUE($U493),test_out_xwalk!$C:$L,8,FALSE)</f>
        <v>#VALUE!</v>
      </c>
      <c r="AH493" s="129" t="e">
        <f>VLOOKUP(VALUE($U493),test_out_xwalk!$C:$L,7,FALSE)</f>
        <v>#VALUE!</v>
      </c>
      <c r="AI493" s="129" t="e">
        <f>VLOOKUP(VALUE($U493),test_out_xwalk!$C:$L,4,FALSE)</f>
        <v>#VALUE!</v>
      </c>
      <c r="AJ493" s="129" t="e">
        <f>VLOOKUP(VALUE($U493),test_out_xwalk!$C:$L,9,FALSE)</f>
        <v>#VALUE!</v>
      </c>
      <c r="AK493" t="e">
        <f>_xlfn.XLOOKUP(VALUE(U493),test_out_xwalk!C:C,test_out_xwalk!A:A)</f>
        <v>#VALUE!</v>
      </c>
    </row>
    <row r="494" spans="1:37" x14ac:dyDescent="0.55000000000000004">
      <c r="A494" s="121" t="str">
        <f>IF('summary_EPA Pond'!$A494="","Check Summary EPA POND worksheet Column A",'summary_EPA Pond'!$A494)</f>
        <v>Check Summary EPA POND worksheet Column A</v>
      </c>
      <c r="B494" s="121" t="str" cm="1">
        <f t="array" ref="B494">IFERROR(_xlfn.TEXTSPLIT(A494,"_"),"")</f>
        <v>Check Summary EPA POND worksheet Column A</v>
      </c>
      <c r="H494" s="121" t="str" cm="1">
        <f t="array" ref="H494">IF(D494="","",(_xlfn.TEXTSPLIT(D494,"-")))</f>
        <v/>
      </c>
      <c r="K494" s="129" t="e">
        <f>VLOOKUP(VALUE($B494),test_out_xwalk!$C:$L,3,FALSE)</f>
        <v>#VALUE!</v>
      </c>
      <c r="L494" s="129" t="e">
        <f>VLOOKUP(VALUE($B494),test_out_xwalk!$C:$L,5,FALSE)</f>
        <v>#VALUE!</v>
      </c>
      <c r="M494" s="129" t="e">
        <f>VLOOKUP(VALUE($B494),test_out_xwalk!$C:$L,6,FALSE)</f>
        <v>#VALUE!</v>
      </c>
      <c r="N494" s="129" t="e">
        <f>VLOOKUP(VALUE($B494),test_out_xwalk!$C:$L,8,FALSE)</f>
        <v>#VALUE!</v>
      </c>
      <c r="O494" s="129" t="e">
        <f>VLOOKUP(VALUE($B494),test_out_xwalk!$C:$L,7,FALSE)</f>
        <v>#VALUE!</v>
      </c>
      <c r="P494" s="129" t="e">
        <f>VLOOKUP(VALUE($B494),test_out_xwalk!$C:$L,4,FALSE)</f>
        <v>#VALUE!</v>
      </c>
      <c r="Q494" s="129" t="e">
        <f>VLOOKUP(VALUE($B494),test_out_xwalk!$C:$L,9,FALSE)</f>
        <v>#VALUE!</v>
      </c>
      <c r="R494" t="e">
        <f>_xlfn.XLOOKUP(VALUE(B494),test_out_xwalk!$C:$C,test_out_xwalk!$A:$A)</f>
        <v>#VALUE!</v>
      </c>
      <c r="T494" s="121" t="str">
        <f>IF('summary_EPA Pond'!$O494="","Check Summary EPA POND worksheet Column O",'summary_EPA Pond'!$O494)</f>
        <v>Check Summary EPA POND worksheet Column O</v>
      </c>
      <c r="U494" s="121" t="str" cm="1">
        <f t="array" ref="U494">IFERROR(_xlfn.TEXTSPLIT(T494,"_"),"")</f>
        <v>Check Summary EPA POND worksheet Column O</v>
      </c>
      <c r="AA494" s="121" t="str" cm="1">
        <f t="array" ref="AA494">IF(W494="","",(_xlfn.TEXTSPLIT(W494,"-")))</f>
        <v/>
      </c>
      <c r="AD494" s="129" t="e">
        <f>VLOOKUP(VALUE($U494),test_out_xwalk!$C:$L,3,FALSE)</f>
        <v>#VALUE!</v>
      </c>
      <c r="AE494" s="129" t="e">
        <f>VLOOKUP(VALUE($U494),test_out_xwalk!$C:$L,5,FALSE)</f>
        <v>#VALUE!</v>
      </c>
      <c r="AF494" s="129" t="e">
        <f>VLOOKUP(VALUE($U494),test_out_xwalk!$C:$L,6,FALSE)</f>
        <v>#VALUE!</v>
      </c>
      <c r="AG494" s="129" t="e">
        <f>VLOOKUP(VALUE($U494),test_out_xwalk!$C:$L,8,FALSE)</f>
        <v>#VALUE!</v>
      </c>
      <c r="AH494" s="129" t="e">
        <f>VLOOKUP(VALUE($U494),test_out_xwalk!$C:$L,7,FALSE)</f>
        <v>#VALUE!</v>
      </c>
      <c r="AI494" s="129" t="e">
        <f>VLOOKUP(VALUE($U494),test_out_xwalk!$C:$L,4,FALSE)</f>
        <v>#VALUE!</v>
      </c>
      <c r="AJ494" s="129" t="e">
        <f>VLOOKUP(VALUE($U494),test_out_xwalk!$C:$L,9,FALSE)</f>
        <v>#VALUE!</v>
      </c>
      <c r="AK494" t="e">
        <f>_xlfn.XLOOKUP(VALUE(U494),test_out_xwalk!C:C,test_out_xwalk!A:A)</f>
        <v>#VALUE!</v>
      </c>
    </row>
    <row r="495" spans="1:37" x14ac:dyDescent="0.55000000000000004">
      <c r="A495" s="121" t="str">
        <f>IF('summary_EPA Pond'!$A495="","Check Summary EPA POND worksheet Column A",'summary_EPA Pond'!$A495)</f>
        <v>Check Summary EPA POND worksheet Column A</v>
      </c>
      <c r="B495" s="121" t="str" cm="1">
        <f t="array" ref="B495">IFERROR(_xlfn.TEXTSPLIT(A495,"_"),"")</f>
        <v>Check Summary EPA POND worksheet Column A</v>
      </c>
      <c r="H495" s="121" t="str" cm="1">
        <f t="array" ref="H495">IF(D495="","",(_xlfn.TEXTSPLIT(D495,"-")))</f>
        <v/>
      </c>
      <c r="K495" s="129" t="e">
        <f>VLOOKUP(VALUE($B495),test_out_xwalk!$C:$L,3,FALSE)</f>
        <v>#VALUE!</v>
      </c>
      <c r="L495" s="129" t="e">
        <f>VLOOKUP(VALUE($B495),test_out_xwalk!$C:$L,5,FALSE)</f>
        <v>#VALUE!</v>
      </c>
      <c r="M495" s="129" t="e">
        <f>VLOOKUP(VALUE($B495),test_out_xwalk!$C:$L,6,FALSE)</f>
        <v>#VALUE!</v>
      </c>
      <c r="N495" s="129" t="e">
        <f>VLOOKUP(VALUE($B495),test_out_xwalk!$C:$L,8,FALSE)</f>
        <v>#VALUE!</v>
      </c>
      <c r="O495" s="129" t="e">
        <f>VLOOKUP(VALUE($B495),test_out_xwalk!$C:$L,7,FALSE)</f>
        <v>#VALUE!</v>
      </c>
      <c r="P495" s="129" t="e">
        <f>VLOOKUP(VALUE($B495),test_out_xwalk!$C:$L,4,FALSE)</f>
        <v>#VALUE!</v>
      </c>
      <c r="Q495" s="129" t="e">
        <f>VLOOKUP(VALUE($B495),test_out_xwalk!$C:$L,9,FALSE)</f>
        <v>#VALUE!</v>
      </c>
      <c r="R495" t="e">
        <f>_xlfn.XLOOKUP(VALUE(B495),test_out_xwalk!$C:$C,test_out_xwalk!$A:$A)</f>
        <v>#VALUE!</v>
      </c>
      <c r="T495" s="121" t="str">
        <f>IF('summary_EPA Pond'!$O495="","Check Summary EPA POND worksheet Column O",'summary_EPA Pond'!$O495)</f>
        <v>Check Summary EPA POND worksheet Column O</v>
      </c>
      <c r="U495" s="121" t="str" cm="1">
        <f t="array" ref="U495">IFERROR(_xlfn.TEXTSPLIT(T495,"_"),"")</f>
        <v>Check Summary EPA POND worksheet Column O</v>
      </c>
      <c r="AA495" s="121" t="str" cm="1">
        <f t="array" ref="AA495">IF(W495="","",(_xlfn.TEXTSPLIT(W495,"-")))</f>
        <v/>
      </c>
      <c r="AD495" s="129" t="e">
        <f>VLOOKUP(VALUE($U495),test_out_xwalk!$C:$L,3,FALSE)</f>
        <v>#VALUE!</v>
      </c>
      <c r="AE495" s="129" t="e">
        <f>VLOOKUP(VALUE($U495),test_out_xwalk!$C:$L,5,FALSE)</f>
        <v>#VALUE!</v>
      </c>
      <c r="AF495" s="129" t="e">
        <f>VLOOKUP(VALUE($U495),test_out_xwalk!$C:$L,6,FALSE)</f>
        <v>#VALUE!</v>
      </c>
      <c r="AG495" s="129" t="e">
        <f>VLOOKUP(VALUE($U495),test_out_xwalk!$C:$L,8,FALSE)</f>
        <v>#VALUE!</v>
      </c>
      <c r="AH495" s="129" t="e">
        <f>VLOOKUP(VALUE($U495),test_out_xwalk!$C:$L,7,FALSE)</f>
        <v>#VALUE!</v>
      </c>
      <c r="AI495" s="129" t="e">
        <f>VLOOKUP(VALUE($U495),test_out_xwalk!$C:$L,4,FALSE)</f>
        <v>#VALUE!</v>
      </c>
      <c r="AJ495" s="129" t="e">
        <f>VLOOKUP(VALUE($U495),test_out_xwalk!$C:$L,9,FALSE)</f>
        <v>#VALUE!</v>
      </c>
      <c r="AK495" t="e">
        <f>_xlfn.XLOOKUP(VALUE(U495),test_out_xwalk!C:C,test_out_xwalk!A:A)</f>
        <v>#VALUE!</v>
      </c>
    </row>
    <row r="496" spans="1:37" x14ac:dyDescent="0.55000000000000004">
      <c r="A496" s="121" t="str">
        <f>IF('summary_EPA Pond'!$A496="","Check Summary EPA POND worksheet Column A",'summary_EPA Pond'!$A496)</f>
        <v>Check Summary EPA POND worksheet Column A</v>
      </c>
      <c r="B496" s="121" t="str" cm="1">
        <f t="array" ref="B496">IFERROR(_xlfn.TEXTSPLIT(A496,"_"),"")</f>
        <v>Check Summary EPA POND worksheet Column A</v>
      </c>
      <c r="H496" s="121" t="str" cm="1">
        <f t="array" ref="H496">IF(D496="","",(_xlfn.TEXTSPLIT(D496,"-")))</f>
        <v/>
      </c>
      <c r="K496" s="129" t="e">
        <f>VLOOKUP(VALUE($B496),test_out_xwalk!$C:$L,3,FALSE)</f>
        <v>#VALUE!</v>
      </c>
      <c r="L496" s="129" t="e">
        <f>VLOOKUP(VALUE($B496),test_out_xwalk!$C:$L,5,FALSE)</f>
        <v>#VALUE!</v>
      </c>
      <c r="M496" s="129" t="e">
        <f>VLOOKUP(VALUE($B496),test_out_xwalk!$C:$L,6,FALSE)</f>
        <v>#VALUE!</v>
      </c>
      <c r="N496" s="129" t="e">
        <f>VLOOKUP(VALUE($B496),test_out_xwalk!$C:$L,8,FALSE)</f>
        <v>#VALUE!</v>
      </c>
      <c r="O496" s="129" t="e">
        <f>VLOOKUP(VALUE($B496),test_out_xwalk!$C:$L,7,FALSE)</f>
        <v>#VALUE!</v>
      </c>
      <c r="P496" s="129" t="e">
        <f>VLOOKUP(VALUE($B496),test_out_xwalk!$C:$L,4,FALSE)</f>
        <v>#VALUE!</v>
      </c>
      <c r="Q496" s="129" t="e">
        <f>VLOOKUP(VALUE($B496),test_out_xwalk!$C:$L,9,FALSE)</f>
        <v>#VALUE!</v>
      </c>
      <c r="R496" t="e">
        <f>_xlfn.XLOOKUP(VALUE(B496),test_out_xwalk!$C:$C,test_out_xwalk!$A:$A)</f>
        <v>#VALUE!</v>
      </c>
      <c r="T496" s="121" t="str">
        <f>IF('summary_EPA Pond'!$O496="","Check Summary EPA POND worksheet Column O",'summary_EPA Pond'!$O496)</f>
        <v>Check Summary EPA POND worksheet Column O</v>
      </c>
      <c r="U496" s="121" t="str" cm="1">
        <f t="array" ref="U496">IFERROR(_xlfn.TEXTSPLIT(T496,"_"),"")</f>
        <v>Check Summary EPA POND worksheet Column O</v>
      </c>
      <c r="AA496" s="121" t="str" cm="1">
        <f t="array" ref="AA496">IF(W496="","",(_xlfn.TEXTSPLIT(W496,"-")))</f>
        <v/>
      </c>
      <c r="AD496" s="129" t="e">
        <f>VLOOKUP(VALUE($U496),test_out_xwalk!$C:$L,3,FALSE)</f>
        <v>#VALUE!</v>
      </c>
      <c r="AE496" s="129" t="e">
        <f>VLOOKUP(VALUE($U496),test_out_xwalk!$C:$L,5,FALSE)</f>
        <v>#VALUE!</v>
      </c>
      <c r="AF496" s="129" t="e">
        <f>VLOOKUP(VALUE($U496),test_out_xwalk!$C:$L,6,FALSE)</f>
        <v>#VALUE!</v>
      </c>
      <c r="AG496" s="129" t="e">
        <f>VLOOKUP(VALUE($U496),test_out_xwalk!$C:$L,8,FALSE)</f>
        <v>#VALUE!</v>
      </c>
      <c r="AH496" s="129" t="e">
        <f>VLOOKUP(VALUE($U496),test_out_xwalk!$C:$L,7,FALSE)</f>
        <v>#VALUE!</v>
      </c>
      <c r="AI496" s="129" t="e">
        <f>VLOOKUP(VALUE($U496),test_out_xwalk!$C:$L,4,FALSE)</f>
        <v>#VALUE!</v>
      </c>
      <c r="AJ496" s="129" t="e">
        <f>VLOOKUP(VALUE($U496),test_out_xwalk!$C:$L,9,FALSE)</f>
        <v>#VALUE!</v>
      </c>
      <c r="AK496" t="e">
        <f>_xlfn.XLOOKUP(VALUE(U496),test_out_xwalk!C:C,test_out_xwalk!A:A)</f>
        <v>#VALUE!</v>
      </c>
    </row>
    <row r="497" spans="1:37" x14ac:dyDescent="0.55000000000000004">
      <c r="A497" s="121" t="str">
        <f>IF('summary_EPA Pond'!$A497="","Check Summary EPA POND worksheet Column A",'summary_EPA Pond'!$A497)</f>
        <v>Check Summary EPA POND worksheet Column A</v>
      </c>
      <c r="B497" s="121" t="str" cm="1">
        <f t="array" ref="B497">IFERROR(_xlfn.TEXTSPLIT(A497,"_"),"")</f>
        <v>Check Summary EPA POND worksheet Column A</v>
      </c>
      <c r="H497" s="121" t="str" cm="1">
        <f t="array" ref="H497">IF(D497="","",(_xlfn.TEXTSPLIT(D497,"-")))</f>
        <v/>
      </c>
      <c r="K497" s="129" t="e">
        <f>VLOOKUP(VALUE($B497),test_out_xwalk!$C:$L,3,FALSE)</f>
        <v>#VALUE!</v>
      </c>
      <c r="L497" s="129" t="e">
        <f>VLOOKUP(VALUE($B497),test_out_xwalk!$C:$L,5,FALSE)</f>
        <v>#VALUE!</v>
      </c>
      <c r="M497" s="129" t="e">
        <f>VLOOKUP(VALUE($B497),test_out_xwalk!$C:$L,6,FALSE)</f>
        <v>#VALUE!</v>
      </c>
      <c r="N497" s="129" t="e">
        <f>VLOOKUP(VALUE($B497),test_out_xwalk!$C:$L,8,FALSE)</f>
        <v>#VALUE!</v>
      </c>
      <c r="O497" s="129" t="e">
        <f>VLOOKUP(VALUE($B497),test_out_xwalk!$C:$L,7,FALSE)</f>
        <v>#VALUE!</v>
      </c>
      <c r="P497" s="129" t="e">
        <f>VLOOKUP(VALUE($B497),test_out_xwalk!$C:$L,4,FALSE)</f>
        <v>#VALUE!</v>
      </c>
      <c r="Q497" s="129" t="e">
        <f>VLOOKUP(VALUE($B497),test_out_xwalk!$C:$L,9,FALSE)</f>
        <v>#VALUE!</v>
      </c>
      <c r="R497" t="e">
        <f>_xlfn.XLOOKUP(VALUE(B497),test_out_xwalk!$C:$C,test_out_xwalk!$A:$A)</f>
        <v>#VALUE!</v>
      </c>
      <c r="T497" s="121" t="str">
        <f>IF('summary_EPA Pond'!$O497="","Check Summary EPA POND worksheet Column O",'summary_EPA Pond'!$O497)</f>
        <v>Check Summary EPA POND worksheet Column O</v>
      </c>
      <c r="U497" s="121" t="str" cm="1">
        <f t="array" ref="U497">IFERROR(_xlfn.TEXTSPLIT(T497,"_"),"")</f>
        <v>Check Summary EPA POND worksheet Column O</v>
      </c>
      <c r="AA497" s="121" t="str" cm="1">
        <f t="array" ref="AA497">IF(W497="","",(_xlfn.TEXTSPLIT(W497,"-")))</f>
        <v/>
      </c>
      <c r="AD497" s="129" t="e">
        <f>VLOOKUP(VALUE($U497),test_out_xwalk!$C:$L,3,FALSE)</f>
        <v>#VALUE!</v>
      </c>
      <c r="AE497" s="129" t="e">
        <f>VLOOKUP(VALUE($U497),test_out_xwalk!$C:$L,5,FALSE)</f>
        <v>#VALUE!</v>
      </c>
      <c r="AF497" s="129" t="e">
        <f>VLOOKUP(VALUE($U497),test_out_xwalk!$C:$L,6,FALSE)</f>
        <v>#VALUE!</v>
      </c>
      <c r="AG497" s="129" t="e">
        <f>VLOOKUP(VALUE($U497),test_out_xwalk!$C:$L,8,FALSE)</f>
        <v>#VALUE!</v>
      </c>
      <c r="AH497" s="129" t="e">
        <f>VLOOKUP(VALUE($U497),test_out_xwalk!$C:$L,7,FALSE)</f>
        <v>#VALUE!</v>
      </c>
      <c r="AI497" s="129" t="e">
        <f>VLOOKUP(VALUE($U497),test_out_xwalk!$C:$L,4,FALSE)</f>
        <v>#VALUE!</v>
      </c>
      <c r="AJ497" s="129" t="e">
        <f>VLOOKUP(VALUE($U497),test_out_xwalk!$C:$L,9,FALSE)</f>
        <v>#VALUE!</v>
      </c>
      <c r="AK497" t="e">
        <f>_xlfn.XLOOKUP(VALUE(U497),test_out_xwalk!C:C,test_out_xwalk!A:A)</f>
        <v>#VALUE!</v>
      </c>
    </row>
    <row r="498" spans="1:37" x14ac:dyDescent="0.55000000000000004">
      <c r="A498" s="121" t="str">
        <f>IF('summary_EPA Pond'!$A498="","Check Summary EPA POND worksheet Column A",'summary_EPA Pond'!$A498)</f>
        <v>Check Summary EPA POND worksheet Column A</v>
      </c>
      <c r="B498" s="121" t="str" cm="1">
        <f t="array" ref="B498">IFERROR(_xlfn.TEXTSPLIT(A498,"_"),"")</f>
        <v>Check Summary EPA POND worksheet Column A</v>
      </c>
      <c r="H498" s="121" t="str" cm="1">
        <f t="array" ref="H498">IF(D498="","",(_xlfn.TEXTSPLIT(D498,"-")))</f>
        <v/>
      </c>
      <c r="K498" s="129" t="e">
        <f>VLOOKUP(VALUE($B498),test_out_xwalk!$C:$L,3,FALSE)</f>
        <v>#VALUE!</v>
      </c>
      <c r="L498" s="129" t="e">
        <f>VLOOKUP(VALUE($B498),test_out_xwalk!$C:$L,5,FALSE)</f>
        <v>#VALUE!</v>
      </c>
      <c r="M498" s="129" t="e">
        <f>VLOOKUP(VALUE($B498),test_out_xwalk!$C:$L,6,FALSE)</f>
        <v>#VALUE!</v>
      </c>
      <c r="N498" s="129" t="e">
        <f>VLOOKUP(VALUE($B498),test_out_xwalk!$C:$L,8,FALSE)</f>
        <v>#VALUE!</v>
      </c>
      <c r="O498" s="129" t="e">
        <f>VLOOKUP(VALUE($B498),test_out_xwalk!$C:$L,7,FALSE)</f>
        <v>#VALUE!</v>
      </c>
      <c r="P498" s="129" t="e">
        <f>VLOOKUP(VALUE($B498),test_out_xwalk!$C:$L,4,FALSE)</f>
        <v>#VALUE!</v>
      </c>
      <c r="Q498" s="129" t="e">
        <f>VLOOKUP(VALUE($B498),test_out_xwalk!$C:$L,9,FALSE)</f>
        <v>#VALUE!</v>
      </c>
      <c r="R498" t="e">
        <f>_xlfn.XLOOKUP(VALUE(B498),test_out_xwalk!$C:$C,test_out_xwalk!$A:$A)</f>
        <v>#VALUE!</v>
      </c>
      <c r="T498" s="121" t="str">
        <f>IF('summary_EPA Pond'!$O498="","Check Summary EPA POND worksheet Column O",'summary_EPA Pond'!$O498)</f>
        <v>Check Summary EPA POND worksheet Column O</v>
      </c>
      <c r="U498" s="121" t="str" cm="1">
        <f t="array" ref="U498">IFERROR(_xlfn.TEXTSPLIT(T498,"_"),"")</f>
        <v>Check Summary EPA POND worksheet Column O</v>
      </c>
      <c r="AA498" s="121" t="str" cm="1">
        <f t="array" ref="AA498">IF(W498="","",(_xlfn.TEXTSPLIT(W498,"-")))</f>
        <v/>
      </c>
      <c r="AD498" s="129" t="e">
        <f>VLOOKUP(VALUE($U498),test_out_xwalk!$C:$L,3,FALSE)</f>
        <v>#VALUE!</v>
      </c>
      <c r="AE498" s="129" t="e">
        <f>VLOOKUP(VALUE($U498),test_out_xwalk!$C:$L,5,FALSE)</f>
        <v>#VALUE!</v>
      </c>
      <c r="AF498" s="129" t="e">
        <f>VLOOKUP(VALUE($U498),test_out_xwalk!$C:$L,6,FALSE)</f>
        <v>#VALUE!</v>
      </c>
      <c r="AG498" s="129" t="e">
        <f>VLOOKUP(VALUE($U498),test_out_xwalk!$C:$L,8,FALSE)</f>
        <v>#VALUE!</v>
      </c>
      <c r="AH498" s="129" t="e">
        <f>VLOOKUP(VALUE($U498),test_out_xwalk!$C:$L,7,FALSE)</f>
        <v>#VALUE!</v>
      </c>
      <c r="AI498" s="129" t="e">
        <f>VLOOKUP(VALUE($U498),test_out_xwalk!$C:$L,4,FALSE)</f>
        <v>#VALUE!</v>
      </c>
      <c r="AJ498" s="129" t="e">
        <f>VLOOKUP(VALUE($U498),test_out_xwalk!$C:$L,9,FALSE)</f>
        <v>#VALUE!</v>
      </c>
      <c r="AK498" t="e">
        <f>_xlfn.XLOOKUP(VALUE(U498),test_out_xwalk!C:C,test_out_xwalk!A:A)</f>
        <v>#VALUE!</v>
      </c>
    </row>
    <row r="499" spans="1:37" x14ac:dyDescent="0.55000000000000004">
      <c r="A499" s="121" t="str">
        <f>IF('summary_EPA Pond'!$A499="","Check Summary EPA POND worksheet Column A",'summary_EPA Pond'!$A499)</f>
        <v>Check Summary EPA POND worksheet Column A</v>
      </c>
      <c r="B499" s="121" t="str" cm="1">
        <f t="array" ref="B499">IFERROR(_xlfn.TEXTSPLIT(A499,"_"),"")</f>
        <v>Check Summary EPA POND worksheet Column A</v>
      </c>
      <c r="H499" s="121" t="str" cm="1">
        <f t="array" ref="H499">IF(D499="","",(_xlfn.TEXTSPLIT(D499,"-")))</f>
        <v/>
      </c>
      <c r="K499" s="129" t="e">
        <f>VLOOKUP(VALUE($B499),test_out_xwalk!$C:$L,3,FALSE)</f>
        <v>#VALUE!</v>
      </c>
      <c r="L499" s="129" t="e">
        <f>VLOOKUP(VALUE($B499),test_out_xwalk!$C:$L,5,FALSE)</f>
        <v>#VALUE!</v>
      </c>
      <c r="M499" s="129" t="e">
        <f>VLOOKUP(VALUE($B499),test_out_xwalk!$C:$L,6,FALSE)</f>
        <v>#VALUE!</v>
      </c>
      <c r="N499" s="129" t="e">
        <f>VLOOKUP(VALUE($B499),test_out_xwalk!$C:$L,8,FALSE)</f>
        <v>#VALUE!</v>
      </c>
      <c r="O499" s="129" t="e">
        <f>VLOOKUP(VALUE($B499),test_out_xwalk!$C:$L,7,FALSE)</f>
        <v>#VALUE!</v>
      </c>
      <c r="P499" s="129" t="e">
        <f>VLOOKUP(VALUE($B499),test_out_xwalk!$C:$L,4,FALSE)</f>
        <v>#VALUE!</v>
      </c>
      <c r="Q499" s="129" t="e">
        <f>VLOOKUP(VALUE($B499),test_out_xwalk!$C:$L,9,FALSE)</f>
        <v>#VALUE!</v>
      </c>
      <c r="R499" t="e">
        <f>_xlfn.XLOOKUP(VALUE(B499),test_out_xwalk!$C:$C,test_out_xwalk!$A:$A)</f>
        <v>#VALUE!</v>
      </c>
      <c r="T499" s="121" t="str">
        <f>IF('summary_EPA Pond'!$O499="","Check Summary EPA POND worksheet Column O",'summary_EPA Pond'!$O499)</f>
        <v>Check Summary EPA POND worksheet Column O</v>
      </c>
      <c r="U499" s="121" t="str" cm="1">
        <f t="array" ref="U499">IFERROR(_xlfn.TEXTSPLIT(T499,"_"),"")</f>
        <v>Check Summary EPA POND worksheet Column O</v>
      </c>
      <c r="AA499" s="121" t="str" cm="1">
        <f t="array" ref="AA499">IF(W499="","",(_xlfn.TEXTSPLIT(W499,"-")))</f>
        <v/>
      </c>
      <c r="AD499" s="129" t="e">
        <f>VLOOKUP(VALUE($U499),test_out_xwalk!$C:$L,3,FALSE)</f>
        <v>#VALUE!</v>
      </c>
      <c r="AE499" s="129" t="e">
        <f>VLOOKUP(VALUE($U499),test_out_xwalk!$C:$L,5,FALSE)</f>
        <v>#VALUE!</v>
      </c>
      <c r="AF499" s="129" t="e">
        <f>VLOOKUP(VALUE($U499),test_out_xwalk!$C:$L,6,FALSE)</f>
        <v>#VALUE!</v>
      </c>
      <c r="AG499" s="129" t="e">
        <f>VLOOKUP(VALUE($U499),test_out_xwalk!$C:$L,8,FALSE)</f>
        <v>#VALUE!</v>
      </c>
      <c r="AH499" s="129" t="e">
        <f>VLOOKUP(VALUE($U499),test_out_xwalk!$C:$L,7,FALSE)</f>
        <v>#VALUE!</v>
      </c>
      <c r="AI499" s="129" t="e">
        <f>VLOOKUP(VALUE($U499),test_out_xwalk!$C:$L,4,FALSE)</f>
        <v>#VALUE!</v>
      </c>
      <c r="AJ499" s="129" t="e">
        <f>VLOOKUP(VALUE($U499),test_out_xwalk!$C:$L,9,FALSE)</f>
        <v>#VALUE!</v>
      </c>
      <c r="AK499" t="e">
        <f>_xlfn.XLOOKUP(VALUE(U499),test_out_xwalk!C:C,test_out_xwalk!A:A)</f>
        <v>#VALUE!</v>
      </c>
    </row>
    <row r="500" spans="1:37" x14ac:dyDescent="0.55000000000000004">
      <c r="A500" s="121" t="str">
        <f>IF('summary_EPA Pond'!$A500="","Check Summary EPA POND worksheet Column A",'summary_EPA Pond'!$A500)</f>
        <v>Check Summary EPA POND worksheet Column A</v>
      </c>
      <c r="B500" s="121" t="str" cm="1">
        <f t="array" ref="B500">IFERROR(_xlfn.TEXTSPLIT(A500,"_"),"")</f>
        <v>Check Summary EPA POND worksheet Column A</v>
      </c>
      <c r="H500" s="121" t="str" cm="1">
        <f t="array" ref="H500">IF(D500="","",(_xlfn.TEXTSPLIT(D500,"-")))</f>
        <v/>
      </c>
      <c r="K500" s="129" t="e">
        <f>VLOOKUP(VALUE($B500),test_out_xwalk!$C:$L,3,FALSE)</f>
        <v>#VALUE!</v>
      </c>
      <c r="L500" s="129" t="e">
        <f>VLOOKUP(VALUE($B500),test_out_xwalk!$C:$L,5,FALSE)</f>
        <v>#VALUE!</v>
      </c>
      <c r="M500" s="129" t="e">
        <f>VLOOKUP(VALUE($B500),test_out_xwalk!$C:$L,6,FALSE)</f>
        <v>#VALUE!</v>
      </c>
      <c r="N500" s="129" t="e">
        <f>VLOOKUP(VALUE($B500),test_out_xwalk!$C:$L,8,FALSE)</f>
        <v>#VALUE!</v>
      </c>
      <c r="O500" s="129" t="e">
        <f>VLOOKUP(VALUE($B500),test_out_xwalk!$C:$L,7,FALSE)</f>
        <v>#VALUE!</v>
      </c>
      <c r="P500" s="129" t="e">
        <f>VLOOKUP(VALUE($B500),test_out_xwalk!$C:$L,4,FALSE)</f>
        <v>#VALUE!</v>
      </c>
      <c r="Q500" s="129" t="e">
        <f>VLOOKUP(VALUE($B500),test_out_xwalk!$C:$L,9,FALSE)</f>
        <v>#VALUE!</v>
      </c>
      <c r="R500" t="e">
        <f>_xlfn.XLOOKUP(VALUE(B500),test_out_xwalk!$C:$C,test_out_xwalk!$A:$A)</f>
        <v>#VALUE!</v>
      </c>
      <c r="T500" s="121" t="str">
        <f>IF('summary_EPA Pond'!$O500="","Check Summary EPA POND worksheet Column O",'summary_EPA Pond'!$O500)</f>
        <v>Check Summary EPA POND worksheet Column O</v>
      </c>
      <c r="U500" s="121" t="str" cm="1">
        <f t="array" ref="U500">IFERROR(_xlfn.TEXTSPLIT(T500,"_"),"")</f>
        <v>Check Summary EPA POND worksheet Column O</v>
      </c>
      <c r="AA500" s="121" t="str" cm="1">
        <f t="array" ref="AA500">IF(W500="","",(_xlfn.TEXTSPLIT(W500,"-")))</f>
        <v/>
      </c>
      <c r="AD500" s="129" t="e">
        <f>VLOOKUP(VALUE($U500),test_out_xwalk!$C:$L,3,FALSE)</f>
        <v>#VALUE!</v>
      </c>
      <c r="AE500" s="129" t="e">
        <f>VLOOKUP(VALUE($U500),test_out_xwalk!$C:$L,5,FALSE)</f>
        <v>#VALUE!</v>
      </c>
      <c r="AF500" s="129" t="e">
        <f>VLOOKUP(VALUE($U500),test_out_xwalk!$C:$L,6,FALSE)</f>
        <v>#VALUE!</v>
      </c>
      <c r="AG500" s="129" t="e">
        <f>VLOOKUP(VALUE($U500),test_out_xwalk!$C:$L,8,FALSE)</f>
        <v>#VALUE!</v>
      </c>
      <c r="AH500" s="129" t="e">
        <f>VLOOKUP(VALUE($U500),test_out_xwalk!$C:$L,7,FALSE)</f>
        <v>#VALUE!</v>
      </c>
      <c r="AI500" s="129" t="e">
        <f>VLOOKUP(VALUE($U500),test_out_xwalk!$C:$L,4,FALSE)</f>
        <v>#VALUE!</v>
      </c>
      <c r="AJ500" s="129" t="e">
        <f>VLOOKUP(VALUE($U500),test_out_xwalk!$C:$L,9,FALSE)</f>
        <v>#VALUE!</v>
      </c>
      <c r="AK500" t="e">
        <f>_xlfn.XLOOKUP(VALUE(U500),test_out_xwalk!C:C,test_out_xwalk!A:A)</f>
        <v>#VALUE!</v>
      </c>
    </row>
    <row r="501" spans="1:37" x14ac:dyDescent="0.55000000000000004">
      <c r="A501" s="121" t="str">
        <f>IF('summary_EPA Pond'!$A501="","Check Summary EPA POND worksheet Column A",'summary_EPA Pond'!$A501)</f>
        <v>Check Summary EPA POND worksheet Column A</v>
      </c>
      <c r="B501" s="121" t="str" cm="1">
        <f t="array" ref="B501">IFERROR(_xlfn.TEXTSPLIT(A501,"_"),"")</f>
        <v>Check Summary EPA POND worksheet Column A</v>
      </c>
      <c r="H501" s="121" t="str" cm="1">
        <f t="array" ref="H501">IF(D501="","",(_xlfn.TEXTSPLIT(D501,"-")))</f>
        <v/>
      </c>
      <c r="K501" s="129" t="e">
        <f>VLOOKUP(VALUE($B501),test_out_xwalk!$C:$L,3,FALSE)</f>
        <v>#VALUE!</v>
      </c>
      <c r="L501" s="129" t="e">
        <f>VLOOKUP(VALUE($B501),test_out_xwalk!$C:$L,5,FALSE)</f>
        <v>#VALUE!</v>
      </c>
      <c r="M501" s="129" t="e">
        <f>VLOOKUP(VALUE($B501),test_out_xwalk!$C:$L,6,FALSE)</f>
        <v>#VALUE!</v>
      </c>
      <c r="N501" s="129" t="e">
        <f>VLOOKUP(VALUE($B501),test_out_xwalk!$C:$L,8,FALSE)</f>
        <v>#VALUE!</v>
      </c>
      <c r="O501" s="129" t="e">
        <f>VLOOKUP(VALUE($B501),test_out_xwalk!$C:$L,7,FALSE)</f>
        <v>#VALUE!</v>
      </c>
      <c r="P501" s="129" t="e">
        <f>VLOOKUP(VALUE($B501),test_out_xwalk!$C:$L,4,FALSE)</f>
        <v>#VALUE!</v>
      </c>
      <c r="Q501" s="129" t="e">
        <f>VLOOKUP(VALUE($B501),test_out_xwalk!$C:$L,9,FALSE)</f>
        <v>#VALUE!</v>
      </c>
      <c r="R501" t="e">
        <f>_xlfn.XLOOKUP(VALUE(B501),test_out_xwalk!$C:$C,test_out_xwalk!$A:$A)</f>
        <v>#VALUE!</v>
      </c>
      <c r="T501" s="121" t="str">
        <f>IF('summary_EPA Pond'!$O501="","Check Summary EPA POND worksheet Column O",'summary_EPA Pond'!$O501)</f>
        <v>Check Summary EPA POND worksheet Column O</v>
      </c>
      <c r="U501" s="121" t="str" cm="1">
        <f t="array" ref="U501">IFERROR(_xlfn.TEXTSPLIT(T501,"_"),"")</f>
        <v>Check Summary EPA POND worksheet Column O</v>
      </c>
      <c r="AA501" s="121" t="str" cm="1">
        <f t="array" ref="AA501">IF(W501="","",(_xlfn.TEXTSPLIT(W501,"-")))</f>
        <v/>
      </c>
      <c r="AD501" s="129" t="e">
        <f>VLOOKUP(VALUE($U501),test_out_xwalk!$C:$L,3,FALSE)</f>
        <v>#VALUE!</v>
      </c>
      <c r="AE501" s="129" t="e">
        <f>VLOOKUP(VALUE($U501),test_out_xwalk!$C:$L,5,FALSE)</f>
        <v>#VALUE!</v>
      </c>
      <c r="AF501" s="129" t="e">
        <f>VLOOKUP(VALUE($U501),test_out_xwalk!$C:$L,6,FALSE)</f>
        <v>#VALUE!</v>
      </c>
      <c r="AG501" s="129" t="e">
        <f>VLOOKUP(VALUE($U501),test_out_xwalk!$C:$L,8,FALSE)</f>
        <v>#VALUE!</v>
      </c>
      <c r="AH501" s="129" t="e">
        <f>VLOOKUP(VALUE($U501),test_out_xwalk!$C:$L,7,FALSE)</f>
        <v>#VALUE!</v>
      </c>
      <c r="AI501" s="129" t="e">
        <f>VLOOKUP(VALUE($U501),test_out_xwalk!$C:$L,4,FALSE)</f>
        <v>#VALUE!</v>
      </c>
      <c r="AJ501" s="129" t="e">
        <f>VLOOKUP(VALUE($U501),test_out_xwalk!$C:$L,9,FALSE)</f>
        <v>#VALUE!</v>
      </c>
      <c r="AK501" t="e">
        <f>_xlfn.XLOOKUP(VALUE(U501),test_out_xwalk!C:C,test_out_xwalk!A:A)</f>
        <v>#VALUE!</v>
      </c>
    </row>
    <row r="502" spans="1:37" x14ac:dyDescent="0.55000000000000004">
      <c r="A502" s="121" t="str">
        <f>IF('summary_EPA Pond'!$A502="","Check Summary EPA POND worksheet Column A",'summary_EPA Pond'!$A502)</f>
        <v>Check Summary EPA POND worksheet Column A</v>
      </c>
      <c r="B502" s="121" t="str" cm="1">
        <f t="array" ref="B502">IFERROR(_xlfn.TEXTSPLIT(A502,"_"),"")</f>
        <v>Check Summary EPA POND worksheet Column A</v>
      </c>
      <c r="H502" s="121" t="str" cm="1">
        <f t="array" ref="H502">IF(D502="","",(_xlfn.TEXTSPLIT(D502,"-")))</f>
        <v/>
      </c>
      <c r="K502" s="129" t="e">
        <f>VLOOKUP(VALUE($B502),test_out_xwalk!$C:$L,3,FALSE)</f>
        <v>#VALUE!</v>
      </c>
      <c r="L502" s="129" t="e">
        <f>VLOOKUP(VALUE($B502),test_out_xwalk!$C:$L,5,FALSE)</f>
        <v>#VALUE!</v>
      </c>
      <c r="M502" s="129" t="e">
        <f>VLOOKUP(VALUE($B502),test_out_xwalk!$C:$L,6,FALSE)</f>
        <v>#VALUE!</v>
      </c>
      <c r="N502" s="129" t="e">
        <f>VLOOKUP(VALUE($B502),test_out_xwalk!$C:$L,8,FALSE)</f>
        <v>#VALUE!</v>
      </c>
      <c r="O502" s="129" t="e">
        <f>VLOOKUP(VALUE($B502),test_out_xwalk!$C:$L,7,FALSE)</f>
        <v>#VALUE!</v>
      </c>
      <c r="P502" s="129" t="e">
        <f>VLOOKUP(VALUE($B502),test_out_xwalk!$C:$L,4,FALSE)</f>
        <v>#VALUE!</v>
      </c>
      <c r="Q502" s="129" t="e">
        <f>VLOOKUP(VALUE($B502),test_out_xwalk!$C:$L,9,FALSE)</f>
        <v>#VALUE!</v>
      </c>
      <c r="R502" t="e">
        <f>_xlfn.XLOOKUP(VALUE(B502),test_out_xwalk!$C:$C,test_out_xwalk!$A:$A)</f>
        <v>#VALUE!</v>
      </c>
      <c r="T502" s="121" t="str">
        <f>IF('summary_EPA Pond'!$O502="","Check Summary EPA POND worksheet Column O",'summary_EPA Pond'!$O502)</f>
        <v>Check Summary EPA POND worksheet Column O</v>
      </c>
      <c r="U502" s="121" t="str" cm="1">
        <f t="array" ref="U502">IFERROR(_xlfn.TEXTSPLIT(T502,"_"),"")</f>
        <v>Check Summary EPA POND worksheet Column O</v>
      </c>
      <c r="AA502" s="121" t="str" cm="1">
        <f t="array" ref="AA502">IF(W502="","",(_xlfn.TEXTSPLIT(W502,"-")))</f>
        <v/>
      </c>
      <c r="AD502" s="129" t="e">
        <f>VLOOKUP(VALUE($U502),test_out_xwalk!$C:$L,3,FALSE)</f>
        <v>#VALUE!</v>
      </c>
      <c r="AE502" s="129" t="e">
        <f>VLOOKUP(VALUE($U502),test_out_xwalk!$C:$L,5,FALSE)</f>
        <v>#VALUE!</v>
      </c>
      <c r="AF502" s="129" t="e">
        <f>VLOOKUP(VALUE($U502),test_out_xwalk!$C:$L,6,FALSE)</f>
        <v>#VALUE!</v>
      </c>
      <c r="AG502" s="129" t="e">
        <f>VLOOKUP(VALUE($U502),test_out_xwalk!$C:$L,8,FALSE)</f>
        <v>#VALUE!</v>
      </c>
      <c r="AH502" s="129" t="e">
        <f>VLOOKUP(VALUE($U502),test_out_xwalk!$C:$L,7,FALSE)</f>
        <v>#VALUE!</v>
      </c>
      <c r="AI502" s="129" t="e">
        <f>VLOOKUP(VALUE($U502),test_out_xwalk!$C:$L,4,FALSE)</f>
        <v>#VALUE!</v>
      </c>
      <c r="AJ502" s="129" t="e">
        <f>VLOOKUP(VALUE($U502),test_out_xwalk!$C:$L,9,FALSE)</f>
        <v>#VALUE!</v>
      </c>
      <c r="AK502" t="e">
        <f>_xlfn.XLOOKUP(VALUE(U502),test_out_xwalk!C:C,test_out_xwalk!A:A)</f>
        <v>#VALUE!</v>
      </c>
    </row>
    <row r="503" spans="1:37" x14ac:dyDescent="0.55000000000000004">
      <c r="A503" s="121" t="str">
        <f>IF('summary_EPA Pond'!$A503="","Check Summary EPA POND worksheet Column A",'summary_EPA Pond'!$A503)</f>
        <v>Check Summary EPA POND worksheet Column A</v>
      </c>
      <c r="B503" s="121" t="str" cm="1">
        <f t="array" ref="B503">IFERROR(_xlfn.TEXTSPLIT(A503,"_"),"")</f>
        <v>Check Summary EPA POND worksheet Column A</v>
      </c>
      <c r="H503" s="121" t="str" cm="1">
        <f t="array" ref="H503">IF(D503="","",(_xlfn.TEXTSPLIT(D503,"-")))</f>
        <v/>
      </c>
      <c r="K503" s="129" t="e">
        <f>VLOOKUP(VALUE($B503),test_out_xwalk!$C:$L,3,FALSE)</f>
        <v>#VALUE!</v>
      </c>
      <c r="L503" s="129" t="e">
        <f>VLOOKUP(VALUE($B503),test_out_xwalk!$C:$L,5,FALSE)</f>
        <v>#VALUE!</v>
      </c>
      <c r="M503" s="129" t="e">
        <f>VLOOKUP(VALUE($B503),test_out_xwalk!$C:$L,6,FALSE)</f>
        <v>#VALUE!</v>
      </c>
      <c r="N503" s="129" t="e">
        <f>VLOOKUP(VALUE($B503),test_out_xwalk!$C:$L,8,FALSE)</f>
        <v>#VALUE!</v>
      </c>
      <c r="O503" s="129" t="e">
        <f>VLOOKUP(VALUE($B503),test_out_xwalk!$C:$L,7,FALSE)</f>
        <v>#VALUE!</v>
      </c>
      <c r="P503" s="129" t="e">
        <f>VLOOKUP(VALUE($B503),test_out_xwalk!$C:$L,4,FALSE)</f>
        <v>#VALUE!</v>
      </c>
      <c r="Q503" s="129" t="e">
        <f>VLOOKUP(VALUE($B503),test_out_xwalk!$C:$L,9,FALSE)</f>
        <v>#VALUE!</v>
      </c>
      <c r="R503" t="e">
        <f>_xlfn.XLOOKUP(VALUE(B503),test_out_xwalk!$C:$C,test_out_xwalk!$A:$A)</f>
        <v>#VALUE!</v>
      </c>
      <c r="T503" s="121" t="str">
        <f>IF('summary_EPA Pond'!$O503="","Check Summary EPA POND worksheet Column O",'summary_EPA Pond'!$O503)</f>
        <v>Check Summary EPA POND worksheet Column O</v>
      </c>
      <c r="U503" s="121" t="str" cm="1">
        <f t="array" ref="U503">IFERROR(_xlfn.TEXTSPLIT(T503,"_"),"")</f>
        <v>Check Summary EPA POND worksheet Column O</v>
      </c>
      <c r="AA503" s="121" t="str" cm="1">
        <f t="array" ref="AA503">IF(W503="","",(_xlfn.TEXTSPLIT(W503,"-")))</f>
        <v/>
      </c>
      <c r="AD503" s="129" t="e">
        <f>VLOOKUP(VALUE($U503),test_out_xwalk!$C:$L,3,FALSE)</f>
        <v>#VALUE!</v>
      </c>
      <c r="AE503" s="129" t="e">
        <f>VLOOKUP(VALUE($U503),test_out_xwalk!$C:$L,5,FALSE)</f>
        <v>#VALUE!</v>
      </c>
      <c r="AF503" s="129" t="e">
        <f>VLOOKUP(VALUE($U503),test_out_xwalk!$C:$L,6,FALSE)</f>
        <v>#VALUE!</v>
      </c>
      <c r="AG503" s="129" t="e">
        <f>VLOOKUP(VALUE($U503),test_out_xwalk!$C:$L,8,FALSE)</f>
        <v>#VALUE!</v>
      </c>
      <c r="AH503" s="129" t="e">
        <f>VLOOKUP(VALUE($U503),test_out_xwalk!$C:$L,7,FALSE)</f>
        <v>#VALUE!</v>
      </c>
      <c r="AI503" s="129" t="e">
        <f>VLOOKUP(VALUE($U503),test_out_xwalk!$C:$L,4,FALSE)</f>
        <v>#VALUE!</v>
      </c>
      <c r="AJ503" s="129" t="e">
        <f>VLOOKUP(VALUE($U503),test_out_xwalk!$C:$L,9,FALSE)</f>
        <v>#VALUE!</v>
      </c>
      <c r="AK503" t="e">
        <f>_xlfn.XLOOKUP(VALUE(U503),test_out_xwalk!C:C,test_out_xwalk!A:A)</f>
        <v>#VALUE!</v>
      </c>
    </row>
    <row r="504" spans="1:37" x14ac:dyDescent="0.55000000000000004">
      <c r="A504" s="121" t="str">
        <f>IF('summary_EPA Pond'!$A504="","Check Summary EPA POND worksheet Column A",'summary_EPA Pond'!$A504)</f>
        <v>Check Summary EPA POND worksheet Column A</v>
      </c>
      <c r="B504" s="121" t="str" cm="1">
        <f t="array" ref="B504">IFERROR(_xlfn.TEXTSPLIT(A504,"_"),"")</f>
        <v>Check Summary EPA POND worksheet Column A</v>
      </c>
      <c r="H504" s="121" t="str" cm="1">
        <f t="array" ref="H504">IF(D504="","",(_xlfn.TEXTSPLIT(D504,"-")))</f>
        <v/>
      </c>
      <c r="K504" s="129" t="e">
        <f>VLOOKUP(VALUE($B504),test_out_xwalk!$C:$L,3,FALSE)</f>
        <v>#VALUE!</v>
      </c>
      <c r="L504" s="129" t="e">
        <f>VLOOKUP(VALUE($B504),test_out_xwalk!$C:$L,5,FALSE)</f>
        <v>#VALUE!</v>
      </c>
      <c r="M504" s="129" t="e">
        <f>VLOOKUP(VALUE($B504),test_out_xwalk!$C:$L,6,FALSE)</f>
        <v>#VALUE!</v>
      </c>
      <c r="N504" s="129" t="e">
        <f>VLOOKUP(VALUE($B504),test_out_xwalk!$C:$L,8,FALSE)</f>
        <v>#VALUE!</v>
      </c>
      <c r="O504" s="129" t="e">
        <f>VLOOKUP(VALUE($B504),test_out_xwalk!$C:$L,7,FALSE)</f>
        <v>#VALUE!</v>
      </c>
      <c r="P504" s="129" t="e">
        <f>VLOOKUP(VALUE($B504),test_out_xwalk!$C:$L,4,FALSE)</f>
        <v>#VALUE!</v>
      </c>
      <c r="Q504" s="129" t="e">
        <f>VLOOKUP(VALUE($B504),test_out_xwalk!$C:$L,9,FALSE)</f>
        <v>#VALUE!</v>
      </c>
      <c r="R504" t="e">
        <f>_xlfn.XLOOKUP(VALUE(B504),test_out_xwalk!$C:$C,test_out_xwalk!$A:$A)</f>
        <v>#VALUE!</v>
      </c>
      <c r="T504" s="121" t="str">
        <f>IF('summary_EPA Pond'!$O504="","Check Summary EPA POND worksheet Column O",'summary_EPA Pond'!$O504)</f>
        <v>Check Summary EPA POND worksheet Column O</v>
      </c>
      <c r="U504" s="121" t="str" cm="1">
        <f t="array" ref="U504">IFERROR(_xlfn.TEXTSPLIT(T504,"_"),"")</f>
        <v>Check Summary EPA POND worksheet Column O</v>
      </c>
      <c r="AA504" s="121" t="str" cm="1">
        <f t="array" ref="AA504">IF(W504="","",(_xlfn.TEXTSPLIT(W504,"-")))</f>
        <v/>
      </c>
      <c r="AD504" s="129" t="e">
        <f>VLOOKUP(VALUE($U504),test_out_xwalk!$C:$L,3,FALSE)</f>
        <v>#VALUE!</v>
      </c>
      <c r="AE504" s="129" t="e">
        <f>VLOOKUP(VALUE($U504),test_out_xwalk!$C:$L,5,FALSE)</f>
        <v>#VALUE!</v>
      </c>
      <c r="AF504" s="129" t="e">
        <f>VLOOKUP(VALUE($U504),test_out_xwalk!$C:$L,6,FALSE)</f>
        <v>#VALUE!</v>
      </c>
      <c r="AG504" s="129" t="e">
        <f>VLOOKUP(VALUE($U504),test_out_xwalk!$C:$L,8,FALSE)</f>
        <v>#VALUE!</v>
      </c>
      <c r="AH504" s="129" t="e">
        <f>VLOOKUP(VALUE($U504),test_out_xwalk!$C:$L,7,FALSE)</f>
        <v>#VALUE!</v>
      </c>
      <c r="AI504" s="129" t="e">
        <f>VLOOKUP(VALUE($U504),test_out_xwalk!$C:$L,4,FALSE)</f>
        <v>#VALUE!</v>
      </c>
      <c r="AJ504" s="129" t="e">
        <f>VLOOKUP(VALUE($U504),test_out_xwalk!$C:$L,9,FALSE)</f>
        <v>#VALUE!</v>
      </c>
      <c r="AK504" t="e">
        <f>_xlfn.XLOOKUP(VALUE(U504),test_out_xwalk!C:C,test_out_xwalk!A:A)</f>
        <v>#VALUE!</v>
      </c>
    </row>
    <row r="505" spans="1:37" x14ac:dyDescent="0.55000000000000004">
      <c r="A505" s="121" t="str">
        <f>IF('summary_EPA Pond'!$A505="","Check Summary EPA POND worksheet Column A",'summary_EPA Pond'!$A505)</f>
        <v>Check Summary EPA POND worksheet Column A</v>
      </c>
      <c r="B505" s="121" t="str" cm="1">
        <f t="array" ref="B505">IFERROR(_xlfn.TEXTSPLIT(A505,"_"),"")</f>
        <v>Check Summary EPA POND worksheet Column A</v>
      </c>
      <c r="H505" s="121" t="str" cm="1">
        <f t="array" ref="H505">IF(D505="","",(_xlfn.TEXTSPLIT(D505,"-")))</f>
        <v/>
      </c>
      <c r="K505" s="129" t="e">
        <f>VLOOKUP(VALUE($B505),test_out_xwalk!$C:$L,3,FALSE)</f>
        <v>#VALUE!</v>
      </c>
      <c r="L505" s="129" t="e">
        <f>VLOOKUP(VALUE($B505),test_out_xwalk!$C:$L,5,FALSE)</f>
        <v>#VALUE!</v>
      </c>
      <c r="M505" s="129" t="e">
        <f>VLOOKUP(VALUE($B505),test_out_xwalk!$C:$L,6,FALSE)</f>
        <v>#VALUE!</v>
      </c>
      <c r="N505" s="129" t="e">
        <f>VLOOKUP(VALUE($B505),test_out_xwalk!$C:$L,8,FALSE)</f>
        <v>#VALUE!</v>
      </c>
      <c r="O505" s="129" t="e">
        <f>VLOOKUP(VALUE($B505),test_out_xwalk!$C:$L,7,FALSE)</f>
        <v>#VALUE!</v>
      </c>
      <c r="P505" s="129" t="e">
        <f>VLOOKUP(VALUE($B505),test_out_xwalk!$C:$L,4,FALSE)</f>
        <v>#VALUE!</v>
      </c>
      <c r="Q505" s="129" t="e">
        <f>VLOOKUP(VALUE($B505),test_out_xwalk!$C:$L,9,FALSE)</f>
        <v>#VALUE!</v>
      </c>
      <c r="R505" t="e">
        <f>_xlfn.XLOOKUP(VALUE(B505),test_out_xwalk!$C:$C,test_out_xwalk!$A:$A)</f>
        <v>#VALUE!</v>
      </c>
      <c r="T505" s="121" t="str">
        <f>IF('summary_EPA Pond'!$O505="","Check Summary EPA POND worksheet Column O",'summary_EPA Pond'!$O505)</f>
        <v>Check Summary EPA POND worksheet Column O</v>
      </c>
      <c r="U505" s="121" t="str" cm="1">
        <f t="array" ref="U505">IFERROR(_xlfn.TEXTSPLIT(T505,"_"),"")</f>
        <v>Check Summary EPA POND worksheet Column O</v>
      </c>
      <c r="AA505" s="121" t="str" cm="1">
        <f t="array" ref="AA505">IF(W505="","",(_xlfn.TEXTSPLIT(W505,"-")))</f>
        <v/>
      </c>
      <c r="AD505" s="129" t="e">
        <f>VLOOKUP(VALUE($U505),test_out_xwalk!$C:$L,3,FALSE)</f>
        <v>#VALUE!</v>
      </c>
      <c r="AE505" s="129" t="e">
        <f>VLOOKUP(VALUE($U505),test_out_xwalk!$C:$L,5,FALSE)</f>
        <v>#VALUE!</v>
      </c>
      <c r="AF505" s="129" t="e">
        <f>VLOOKUP(VALUE($U505),test_out_xwalk!$C:$L,6,FALSE)</f>
        <v>#VALUE!</v>
      </c>
      <c r="AG505" s="129" t="e">
        <f>VLOOKUP(VALUE($U505),test_out_xwalk!$C:$L,8,FALSE)</f>
        <v>#VALUE!</v>
      </c>
      <c r="AH505" s="129" t="e">
        <f>VLOOKUP(VALUE($U505),test_out_xwalk!$C:$L,7,FALSE)</f>
        <v>#VALUE!</v>
      </c>
      <c r="AI505" s="129" t="e">
        <f>VLOOKUP(VALUE($U505),test_out_xwalk!$C:$L,4,FALSE)</f>
        <v>#VALUE!</v>
      </c>
      <c r="AJ505" s="129" t="e">
        <f>VLOOKUP(VALUE($U505),test_out_xwalk!$C:$L,9,FALSE)</f>
        <v>#VALUE!</v>
      </c>
      <c r="AK505" t="e">
        <f>_xlfn.XLOOKUP(VALUE(U505),test_out_xwalk!C:C,test_out_xwalk!A:A)</f>
        <v>#VALUE!</v>
      </c>
    </row>
    <row r="506" spans="1:37" x14ac:dyDescent="0.55000000000000004">
      <c r="A506" s="121" t="str">
        <f>IF('summary_EPA Pond'!$A506="","Check Summary EPA POND worksheet Column A",'summary_EPA Pond'!$A506)</f>
        <v>Check Summary EPA POND worksheet Column A</v>
      </c>
      <c r="B506" s="121" t="str" cm="1">
        <f t="array" ref="B506">IFERROR(_xlfn.TEXTSPLIT(A506,"_"),"")</f>
        <v>Check Summary EPA POND worksheet Column A</v>
      </c>
      <c r="H506" s="121" t="str" cm="1">
        <f t="array" ref="H506">IF(D506="","",(_xlfn.TEXTSPLIT(D506,"-")))</f>
        <v/>
      </c>
      <c r="K506" s="129" t="e">
        <f>VLOOKUP(VALUE($B506),test_out_xwalk!$C:$L,3,FALSE)</f>
        <v>#VALUE!</v>
      </c>
      <c r="L506" s="129" t="e">
        <f>VLOOKUP(VALUE($B506),test_out_xwalk!$C:$L,5,FALSE)</f>
        <v>#VALUE!</v>
      </c>
      <c r="M506" s="129" t="e">
        <f>VLOOKUP(VALUE($B506),test_out_xwalk!$C:$L,6,FALSE)</f>
        <v>#VALUE!</v>
      </c>
      <c r="N506" s="129" t="e">
        <f>VLOOKUP(VALUE($B506),test_out_xwalk!$C:$L,8,FALSE)</f>
        <v>#VALUE!</v>
      </c>
      <c r="O506" s="129" t="e">
        <f>VLOOKUP(VALUE($B506),test_out_xwalk!$C:$L,7,FALSE)</f>
        <v>#VALUE!</v>
      </c>
      <c r="P506" s="129" t="e">
        <f>VLOOKUP(VALUE($B506),test_out_xwalk!$C:$L,4,FALSE)</f>
        <v>#VALUE!</v>
      </c>
      <c r="Q506" s="129" t="e">
        <f>VLOOKUP(VALUE($B506),test_out_xwalk!$C:$L,9,FALSE)</f>
        <v>#VALUE!</v>
      </c>
      <c r="R506" t="e">
        <f>_xlfn.XLOOKUP(VALUE(B506),test_out_xwalk!$C:$C,test_out_xwalk!$A:$A)</f>
        <v>#VALUE!</v>
      </c>
      <c r="T506" s="121" t="str">
        <f>IF('summary_EPA Pond'!$O506="","Check Summary EPA POND worksheet Column O",'summary_EPA Pond'!$O506)</f>
        <v>Check Summary EPA POND worksheet Column O</v>
      </c>
      <c r="U506" s="121" t="str" cm="1">
        <f t="array" ref="U506">IFERROR(_xlfn.TEXTSPLIT(T506,"_"),"")</f>
        <v>Check Summary EPA POND worksheet Column O</v>
      </c>
      <c r="AA506" s="121" t="str" cm="1">
        <f t="array" ref="AA506">IF(W506="","",(_xlfn.TEXTSPLIT(W506,"-")))</f>
        <v/>
      </c>
      <c r="AD506" s="129" t="e">
        <f>VLOOKUP(VALUE($U506),test_out_xwalk!$C:$L,3,FALSE)</f>
        <v>#VALUE!</v>
      </c>
      <c r="AE506" s="129" t="e">
        <f>VLOOKUP(VALUE($U506),test_out_xwalk!$C:$L,5,FALSE)</f>
        <v>#VALUE!</v>
      </c>
      <c r="AF506" s="129" t="e">
        <f>VLOOKUP(VALUE($U506),test_out_xwalk!$C:$L,6,FALSE)</f>
        <v>#VALUE!</v>
      </c>
      <c r="AG506" s="129" t="e">
        <f>VLOOKUP(VALUE($U506),test_out_xwalk!$C:$L,8,FALSE)</f>
        <v>#VALUE!</v>
      </c>
      <c r="AH506" s="129" t="e">
        <f>VLOOKUP(VALUE($U506),test_out_xwalk!$C:$L,7,FALSE)</f>
        <v>#VALUE!</v>
      </c>
      <c r="AI506" s="129" t="e">
        <f>VLOOKUP(VALUE($U506),test_out_xwalk!$C:$L,4,FALSE)</f>
        <v>#VALUE!</v>
      </c>
      <c r="AJ506" s="129" t="e">
        <f>VLOOKUP(VALUE($U506),test_out_xwalk!$C:$L,9,FALSE)</f>
        <v>#VALUE!</v>
      </c>
      <c r="AK506" t="e">
        <f>_xlfn.XLOOKUP(VALUE(U506),test_out_xwalk!C:C,test_out_xwalk!A:A)</f>
        <v>#VALUE!</v>
      </c>
    </row>
    <row r="507" spans="1:37" x14ac:dyDescent="0.55000000000000004">
      <c r="A507" s="121" t="str">
        <f>IF('summary_EPA Pond'!$A507="","Check Summary EPA POND worksheet Column A",'summary_EPA Pond'!$A507)</f>
        <v>Check Summary EPA POND worksheet Column A</v>
      </c>
      <c r="B507" s="121" t="str" cm="1">
        <f t="array" ref="B507">IFERROR(_xlfn.TEXTSPLIT(A507,"_"),"")</f>
        <v>Check Summary EPA POND worksheet Column A</v>
      </c>
      <c r="H507" s="121" t="str" cm="1">
        <f t="array" ref="H507">IF(D507="","",(_xlfn.TEXTSPLIT(D507,"-")))</f>
        <v/>
      </c>
      <c r="K507" s="129" t="e">
        <f>VLOOKUP(VALUE($B507),test_out_xwalk!$C:$L,3,FALSE)</f>
        <v>#VALUE!</v>
      </c>
      <c r="L507" s="129" t="e">
        <f>VLOOKUP(VALUE($B507),test_out_xwalk!$C:$L,5,FALSE)</f>
        <v>#VALUE!</v>
      </c>
      <c r="M507" s="129" t="e">
        <f>VLOOKUP(VALUE($B507),test_out_xwalk!$C:$L,6,FALSE)</f>
        <v>#VALUE!</v>
      </c>
      <c r="N507" s="129" t="e">
        <f>VLOOKUP(VALUE($B507),test_out_xwalk!$C:$L,8,FALSE)</f>
        <v>#VALUE!</v>
      </c>
      <c r="O507" s="129" t="e">
        <f>VLOOKUP(VALUE($B507),test_out_xwalk!$C:$L,7,FALSE)</f>
        <v>#VALUE!</v>
      </c>
      <c r="P507" s="129" t="e">
        <f>VLOOKUP(VALUE($B507),test_out_xwalk!$C:$L,4,FALSE)</f>
        <v>#VALUE!</v>
      </c>
      <c r="Q507" s="129" t="e">
        <f>VLOOKUP(VALUE($B507),test_out_xwalk!$C:$L,9,FALSE)</f>
        <v>#VALUE!</v>
      </c>
      <c r="R507" t="e">
        <f>_xlfn.XLOOKUP(VALUE(B507),test_out_xwalk!$C:$C,test_out_xwalk!$A:$A)</f>
        <v>#VALUE!</v>
      </c>
      <c r="T507" s="121" t="str">
        <f>IF('summary_EPA Pond'!$O507="","Check Summary EPA POND worksheet Column O",'summary_EPA Pond'!$O507)</f>
        <v>Check Summary EPA POND worksheet Column O</v>
      </c>
      <c r="U507" s="121" t="str" cm="1">
        <f t="array" ref="U507">IFERROR(_xlfn.TEXTSPLIT(T507,"_"),"")</f>
        <v>Check Summary EPA POND worksheet Column O</v>
      </c>
      <c r="AA507" s="121" t="str" cm="1">
        <f t="array" ref="AA507">IF(W507="","",(_xlfn.TEXTSPLIT(W507,"-")))</f>
        <v/>
      </c>
      <c r="AD507" s="129" t="e">
        <f>VLOOKUP(VALUE($U507),test_out_xwalk!$C:$L,3,FALSE)</f>
        <v>#VALUE!</v>
      </c>
      <c r="AE507" s="129" t="e">
        <f>VLOOKUP(VALUE($U507),test_out_xwalk!$C:$L,5,FALSE)</f>
        <v>#VALUE!</v>
      </c>
      <c r="AF507" s="129" t="e">
        <f>VLOOKUP(VALUE($U507),test_out_xwalk!$C:$L,6,FALSE)</f>
        <v>#VALUE!</v>
      </c>
      <c r="AG507" s="129" t="e">
        <f>VLOOKUP(VALUE($U507),test_out_xwalk!$C:$L,8,FALSE)</f>
        <v>#VALUE!</v>
      </c>
      <c r="AH507" s="129" t="e">
        <f>VLOOKUP(VALUE($U507),test_out_xwalk!$C:$L,7,FALSE)</f>
        <v>#VALUE!</v>
      </c>
      <c r="AI507" s="129" t="e">
        <f>VLOOKUP(VALUE($U507),test_out_xwalk!$C:$L,4,FALSE)</f>
        <v>#VALUE!</v>
      </c>
      <c r="AJ507" s="129" t="e">
        <f>VLOOKUP(VALUE($U507),test_out_xwalk!$C:$L,9,FALSE)</f>
        <v>#VALUE!</v>
      </c>
      <c r="AK507" t="e">
        <f>_xlfn.XLOOKUP(VALUE(U507),test_out_xwalk!C:C,test_out_xwalk!A:A)</f>
        <v>#VALUE!</v>
      </c>
    </row>
    <row r="508" spans="1:37" x14ac:dyDescent="0.55000000000000004">
      <c r="A508" s="121" t="str">
        <f>IF('summary_EPA Pond'!$A508="","Check Summary EPA POND worksheet Column A",'summary_EPA Pond'!$A508)</f>
        <v>Check Summary EPA POND worksheet Column A</v>
      </c>
      <c r="B508" s="121" t="str" cm="1">
        <f t="array" ref="B508">IFERROR(_xlfn.TEXTSPLIT(A508,"_"),"")</f>
        <v>Check Summary EPA POND worksheet Column A</v>
      </c>
      <c r="H508" s="121" t="str" cm="1">
        <f t="array" ref="H508">IF(D508="","",(_xlfn.TEXTSPLIT(D508,"-")))</f>
        <v/>
      </c>
      <c r="K508" s="129" t="e">
        <f>VLOOKUP(VALUE($B508),test_out_xwalk!$C:$L,3,FALSE)</f>
        <v>#VALUE!</v>
      </c>
      <c r="L508" s="129" t="e">
        <f>VLOOKUP(VALUE($B508),test_out_xwalk!$C:$L,5,FALSE)</f>
        <v>#VALUE!</v>
      </c>
      <c r="M508" s="129" t="e">
        <f>VLOOKUP(VALUE($B508),test_out_xwalk!$C:$L,6,FALSE)</f>
        <v>#VALUE!</v>
      </c>
      <c r="N508" s="129" t="e">
        <f>VLOOKUP(VALUE($B508),test_out_xwalk!$C:$L,8,FALSE)</f>
        <v>#VALUE!</v>
      </c>
      <c r="O508" s="129" t="e">
        <f>VLOOKUP(VALUE($B508),test_out_xwalk!$C:$L,7,FALSE)</f>
        <v>#VALUE!</v>
      </c>
      <c r="P508" s="129" t="e">
        <f>VLOOKUP(VALUE($B508),test_out_xwalk!$C:$L,4,FALSE)</f>
        <v>#VALUE!</v>
      </c>
      <c r="Q508" s="129" t="e">
        <f>VLOOKUP(VALUE($B508),test_out_xwalk!$C:$L,9,FALSE)</f>
        <v>#VALUE!</v>
      </c>
      <c r="R508" t="e">
        <f>_xlfn.XLOOKUP(VALUE(B508),test_out_xwalk!$C:$C,test_out_xwalk!$A:$A)</f>
        <v>#VALUE!</v>
      </c>
      <c r="T508" s="121" t="str">
        <f>IF('summary_EPA Pond'!$O508="","Check Summary EPA POND worksheet Column O",'summary_EPA Pond'!$O508)</f>
        <v>Check Summary EPA POND worksheet Column O</v>
      </c>
      <c r="U508" s="121" t="str" cm="1">
        <f t="array" ref="U508">IFERROR(_xlfn.TEXTSPLIT(T508,"_"),"")</f>
        <v>Check Summary EPA POND worksheet Column O</v>
      </c>
      <c r="AA508" s="121" t="str" cm="1">
        <f t="array" ref="AA508">IF(W508="","",(_xlfn.TEXTSPLIT(W508,"-")))</f>
        <v/>
      </c>
      <c r="AD508" s="129" t="e">
        <f>VLOOKUP(VALUE($U508),test_out_xwalk!$C:$L,3,FALSE)</f>
        <v>#VALUE!</v>
      </c>
      <c r="AE508" s="129" t="e">
        <f>VLOOKUP(VALUE($U508),test_out_xwalk!$C:$L,5,FALSE)</f>
        <v>#VALUE!</v>
      </c>
      <c r="AF508" s="129" t="e">
        <f>VLOOKUP(VALUE($U508),test_out_xwalk!$C:$L,6,FALSE)</f>
        <v>#VALUE!</v>
      </c>
      <c r="AG508" s="129" t="e">
        <f>VLOOKUP(VALUE($U508),test_out_xwalk!$C:$L,8,FALSE)</f>
        <v>#VALUE!</v>
      </c>
      <c r="AH508" s="129" t="e">
        <f>VLOOKUP(VALUE($U508),test_out_xwalk!$C:$L,7,FALSE)</f>
        <v>#VALUE!</v>
      </c>
      <c r="AI508" s="129" t="e">
        <f>VLOOKUP(VALUE($U508),test_out_xwalk!$C:$L,4,FALSE)</f>
        <v>#VALUE!</v>
      </c>
      <c r="AJ508" s="129" t="e">
        <f>VLOOKUP(VALUE($U508),test_out_xwalk!$C:$L,9,FALSE)</f>
        <v>#VALUE!</v>
      </c>
      <c r="AK508" t="e">
        <f>_xlfn.XLOOKUP(VALUE(U508),test_out_xwalk!C:C,test_out_xwalk!A:A)</f>
        <v>#VALUE!</v>
      </c>
    </row>
    <row r="509" spans="1:37" x14ac:dyDescent="0.55000000000000004">
      <c r="A509" s="121" t="str">
        <f>IF('summary_EPA Pond'!$A509="","Check Summary EPA POND worksheet Column A",'summary_EPA Pond'!$A509)</f>
        <v>Check Summary EPA POND worksheet Column A</v>
      </c>
      <c r="B509" s="121" t="str" cm="1">
        <f t="array" ref="B509">IFERROR(_xlfn.TEXTSPLIT(A509,"_"),"")</f>
        <v>Check Summary EPA POND worksheet Column A</v>
      </c>
      <c r="H509" s="121" t="str" cm="1">
        <f t="array" ref="H509">IF(D509="","",(_xlfn.TEXTSPLIT(D509,"-")))</f>
        <v/>
      </c>
      <c r="K509" s="129" t="e">
        <f>VLOOKUP(VALUE($B509),test_out_xwalk!$C:$L,3,FALSE)</f>
        <v>#VALUE!</v>
      </c>
      <c r="L509" s="129" t="e">
        <f>VLOOKUP(VALUE($B509),test_out_xwalk!$C:$L,5,FALSE)</f>
        <v>#VALUE!</v>
      </c>
      <c r="M509" s="129" t="e">
        <f>VLOOKUP(VALUE($B509),test_out_xwalk!$C:$L,6,FALSE)</f>
        <v>#VALUE!</v>
      </c>
      <c r="N509" s="129" t="e">
        <f>VLOOKUP(VALUE($B509),test_out_xwalk!$C:$L,8,FALSE)</f>
        <v>#VALUE!</v>
      </c>
      <c r="O509" s="129" t="e">
        <f>VLOOKUP(VALUE($B509),test_out_xwalk!$C:$L,7,FALSE)</f>
        <v>#VALUE!</v>
      </c>
      <c r="P509" s="129" t="e">
        <f>VLOOKUP(VALUE($B509),test_out_xwalk!$C:$L,4,FALSE)</f>
        <v>#VALUE!</v>
      </c>
      <c r="Q509" s="129" t="e">
        <f>VLOOKUP(VALUE($B509),test_out_xwalk!$C:$L,9,FALSE)</f>
        <v>#VALUE!</v>
      </c>
      <c r="R509" t="e">
        <f>_xlfn.XLOOKUP(VALUE(B509),test_out_xwalk!$C:$C,test_out_xwalk!$A:$A)</f>
        <v>#VALUE!</v>
      </c>
      <c r="T509" s="121" t="str">
        <f>IF('summary_EPA Pond'!$O509="","Check Summary EPA POND worksheet Column O",'summary_EPA Pond'!$O509)</f>
        <v>Check Summary EPA POND worksheet Column O</v>
      </c>
      <c r="U509" s="121" t="str" cm="1">
        <f t="array" ref="U509">IFERROR(_xlfn.TEXTSPLIT(T509,"_"),"")</f>
        <v>Check Summary EPA POND worksheet Column O</v>
      </c>
      <c r="AA509" s="121" t="str" cm="1">
        <f t="array" ref="AA509">IF(W509="","",(_xlfn.TEXTSPLIT(W509,"-")))</f>
        <v/>
      </c>
      <c r="AD509" s="129" t="e">
        <f>VLOOKUP(VALUE($U509),test_out_xwalk!$C:$L,3,FALSE)</f>
        <v>#VALUE!</v>
      </c>
      <c r="AE509" s="129" t="e">
        <f>VLOOKUP(VALUE($U509),test_out_xwalk!$C:$L,5,FALSE)</f>
        <v>#VALUE!</v>
      </c>
      <c r="AF509" s="129" t="e">
        <f>VLOOKUP(VALUE($U509),test_out_xwalk!$C:$L,6,FALSE)</f>
        <v>#VALUE!</v>
      </c>
      <c r="AG509" s="129" t="e">
        <f>VLOOKUP(VALUE($U509),test_out_xwalk!$C:$L,8,FALSE)</f>
        <v>#VALUE!</v>
      </c>
      <c r="AH509" s="129" t="e">
        <f>VLOOKUP(VALUE($U509),test_out_xwalk!$C:$L,7,FALSE)</f>
        <v>#VALUE!</v>
      </c>
      <c r="AI509" s="129" t="e">
        <f>VLOOKUP(VALUE($U509),test_out_xwalk!$C:$L,4,FALSE)</f>
        <v>#VALUE!</v>
      </c>
      <c r="AJ509" s="129" t="e">
        <f>VLOOKUP(VALUE($U509),test_out_xwalk!$C:$L,9,FALSE)</f>
        <v>#VALUE!</v>
      </c>
      <c r="AK509" t="e">
        <f>_xlfn.XLOOKUP(VALUE(U509),test_out_xwalk!C:C,test_out_xwalk!A:A)</f>
        <v>#VALUE!</v>
      </c>
    </row>
    <row r="510" spans="1:37" x14ac:dyDescent="0.55000000000000004">
      <c r="A510" s="121" t="str">
        <f>IF('summary_EPA Pond'!$A510="","Check Summary EPA POND worksheet Column A",'summary_EPA Pond'!$A510)</f>
        <v>Check Summary EPA POND worksheet Column A</v>
      </c>
      <c r="B510" s="121" t="str" cm="1">
        <f t="array" ref="B510">IFERROR(_xlfn.TEXTSPLIT(A510,"_"),"")</f>
        <v>Check Summary EPA POND worksheet Column A</v>
      </c>
      <c r="H510" s="121" t="str" cm="1">
        <f t="array" ref="H510">IF(D510="","",(_xlfn.TEXTSPLIT(D510,"-")))</f>
        <v/>
      </c>
      <c r="K510" s="129" t="e">
        <f>VLOOKUP(VALUE($B510),test_out_xwalk!$C:$L,3,FALSE)</f>
        <v>#VALUE!</v>
      </c>
      <c r="L510" s="129" t="e">
        <f>VLOOKUP(VALUE($B510),test_out_xwalk!$C:$L,5,FALSE)</f>
        <v>#VALUE!</v>
      </c>
      <c r="M510" s="129" t="e">
        <f>VLOOKUP(VALUE($B510),test_out_xwalk!$C:$L,6,FALSE)</f>
        <v>#VALUE!</v>
      </c>
      <c r="N510" s="129" t="e">
        <f>VLOOKUP(VALUE($B510),test_out_xwalk!$C:$L,8,FALSE)</f>
        <v>#VALUE!</v>
      </c>
      <c r="O510" s="129" t="e">
        <f>VLOOKUP(VALUE($B510),test_out_xwalk!$C:$L,7,FALSE)</f>
        <v>#VALUE!</v>
      </c>
      <c r="P510" s="129" t="e">
        <f>VLOOKUP(VALUE($B510),test_out_xwalk!$C:$L,4,FALSE)</f>
        <v>#VALUE!</v>
      </c>
      <c r="Q510" s="129" t="e">
        <f>VLOOKUP(VALUE($B510),test_out_xwalk!$C:$L,9,FALSE)</f>
        <v>#VALUE!</v>
      </c>
      <c r="R510" t="e">
        <f>_xlfn.XLOOKUP(VALUE(B510),test_out_xwalk!$C:$C,test_out_xwalk!$A:$A)</f>
        <v>#VALUE!</v>
      </c>
      <c r="T510" s="121" t="str">
        <f>IF('summary_EPA Pond'!$O510="","Check Summary EPA POND worksheet Column O",'summary_EPA Pond'!$O510)</f>
        <v>Check Summary EPA POND worksheet Column O</v>
      </c>
      <c r="U510" s="121" t="str" cm="1">
        <f t="array" ref="U510">IFERROR(_xlfn.TEXTSPLIT(T510,"_"),"")</f>
        <v>Check Summary EPA POND worksheet Column O</v>
      </c>
      <c r="AA510" s="121" t="str" cm="1">
        <f t="array" ref="AA510">IF(W510="","",(_xlfn.TEXTSPLIT(W510,"-")))</f>
        <v/>
      </c>
      <c r="AD510" s="129" t="e">
        <f>VLOOKUP(VALUE($U510),test_out_xwalk!$C:$L,3,FALSE)</f>
        <v>#VALUE!</v>
      </c>
      <c r="AE510" s="129" t="e">
        <f>VLOOKUP(VALUE($U510),test_out_xwalk!$C:$L,5,FALSE)</f>
        <v>#VALUE!</v>
      </c>
      <c r="AF510" s="129" t="e">
        <f>VLOOKUP(VALUE($U510),test_out_xwalk!$C:$L,6,FALSE)</f>
        <v>#VALUE!</v>
      </c>
      <c r="AG510" s="129" t="e">
        <f>VLOOKUP(VALUE($U510),test_out_xwalk!$C:$L,8,FALSE)</f>
        <v>#VALUE!</v>
      </c>
      <c r="AH510" s="129" t="e">
        <f>VLOOKUP(VALUE($U510),test_out_xwalk!$C:$L,7,FALSE)</f>
        <v>#VALUE!</v>
      </c>
      <c r="AI510" s="129" t="e">
        <f>VLOOKUP(VALUE($U510),test_out_xwalk!$C:$L,4,FALSE)</f>
        <v>#VALUE!</v>
      </c>
      <c r="AJ510" s="129" t="e">
        <f>VLOOKUP(VALUE($U510),test_out_xwalk!$C:$L,9,FALSE)</f>
        <v>#VALUE!</v>
      </c>
      <c r="AK510" t="e">
        <f>_xlfn.XLOOKUP(VALUE(U510),test_out_xwalk!C:C,test_out_xwalk!A:A)</f>
        <v>#VALUE!</v>
      </c>
    </row>
    <row r="511" spans="1:37" x14ac:dyDescent="0.55000000000000004">
      <c r="A511" s="121" t="str">
        <f>IF('summary_EPA Pond'!$A511="","Check Summary EPA POND worksheet Column A",'summary_EPA Pond'!$A511)</f>
        <v>Check Summary EPA POND worksheet Column A</v>
      </c>
      <c r="B511" s="121" t="str" cm="1">
        <f t="array" ref="B511">IFERROR(_xlfn.TEXTSPLIT(A511,"_"),"")</f>
        <v>Check Summary EPA POND worksheet Column A</v>
      </c>
      <c r="H511" s="121" t="str" cm="1">
        <f t="array" ref="H511">IF(D511="","",(_xlfn.TEXTSPLIT(D511,"-")))</f>
        <v/>
      </c>
      <c r="K511" s="129" t="e">
        <f>VLOOKUP(VALUE($B511),test_out_xwalk!$C:$L,3,FALSE)</f>
        <v>#VALUE!</v>
      </c>
      <c r="L511" s="129" t="e">
        <f>VLOOKUP(VALUE($B511),test_out_xwalk!$C:$L,5,FALSE)</f>
        <v>#VALUE!</v>
      </c>
      <c r="M511" s="129" t="e">
        <f>VLOOKUP(VALUE($B511),test_out_xwalk!$C:$L,6,FALSE)</f>
        <v>#VALUE!</v>
      </c>
      <c r="N511" s="129" t="e">
        <f>VLOOKUP(VALUE($B511),test_out_xwalk!$C:$L,8,FALSE)</f>
        <v>#VALUE!</v>
      </c>
      <c r="O511" s="129" t="e">
        <f>VLOOKUP(VALUE($B511),test_out_xwalk!$C:$L,7,FALSE)</f>
        <v>#VALUE!</v>
      </c>
      <c r="P511" s="129" t="e">
        <f>VLOOKUP(VALUE($B511),test_out_xwalk!$C:$L,4,FALSE)</f>
        <v>#VALUE!</v>
      </c>
      <c r="Q511" s="129" t="e">
        <f>VLOOKUP(VALUE($B511),test_out_xwalk!$C:$L,9,FALSE)</f>
        <v>#VALUE!</v>
      </c>
      <c r="R511" t="e">
        <f>_xlfn.XLOOKUP(VALUE(B511),test_out_xwalk!$C:$C,test_out_xwalk!$A:$A)</f>
        <v>#VALUE!</v>
      </c>
      <c r="T511" s="121" t="str">
        <f>IF('summary_EPA Pond'!$O511="","Check Summary EPA POND worksheet Column O",'summary_EPA Pond'!$O511)</f>
        <v>Check Summary EPA POND worksheet Column O</v>
      </c>
      <c r="U511" s="121" t="str" cm="1">
        <f t="array" ref="U511">IFERROR(_xlfn.TEXTSPLIT(T511,"_"),"")</f>
        <v>Check Summary EPA POND worksheet Column O</v>
      </c>
      <c r="AA511" s="121" t="str" cm="1">
        <f t="array" ref="AA511">IF(W511="","",(_xlfn.TEXTSPLIT(W511,"-")))</f>
        <v/>
      </c>
      <c r="AD511" s="129" t="e">
        <f>VLOOKUP(VALUE($U511),test_out_xwalk!$C:$L,3,FALSE)</f>
        <v>#VALUE!</v>
      </c>
      <c r="AE511" s="129" t="e">
        <f>VLOOKUP(VALUE($U511),test_out_xwalk!$C:$L,5,FALSE)</f>
        <v>#VALUE!</v>
      </c>
      <c r="AF511" s="129" t="e">
        <f>VLOOKUP(VALUE($U511),test_out_xwalk!$C:$L,6,FALSE)</f>
        <v>#VALUE!</v>
      </c>
      <c r="AG511" s="129" t="e">
        <f>VLOOKUP(VALUE($U511),test_out_xwalk!$C:$L,8,FALSE)</f>
        <v>#VALUE!</v>
      </c>
      <c r="AH511" s="129" t="e">
        <f>VLOOKUP(VALUE($U511),test_out_xwalk!$C:$L,7,FALSE)</f>
        <v>#VALUE!</v>
      </c>
      <c r="AI511" s="129" t="e">
        <f>VLOOKUP(VALUE($U511),test_out_xwalk!$C:$L,4,FALSE)</f>
        <v>#VALUE!</v>
      </c>
      <c r="AJ511" s="129" t="e">
        <f>VLOOKUP(VALUE($U511),test_out_xwalk!$C:$L,9,FALSE)</f>
        <v>#VALUE!</v>
      </c>
      <c r="AK511" t="e">
        <f>_xlfn.XLOOKUP(VALUE(U511),test_out_xwalk!C:C,test_out_xwalk!A:A)</f>
        <v>#VALUE!</v>
      </c>
    </row>
    <row r="512" spans="1:37" x14ac:dyDescent="0.55000000000000004">
      <c r="A512" s="121" t="str">
        <f>IF('summary_EPA Pond'!$A512="","Check Summary EPA POND worksheet Column A",'summary_EPA Pond'!$A512)</f>
        <v>Check Summary EPA POND worksheet Column A</v>
      </c>
      <c r="B512" s="121" t="str" cm="1">
        <f t="array" ref="B512">IFERROR(_xlfn.TEXTSPLIT(A512,"_"),"")</f>
        <v>Check Summary EPA POND worksheet Column A</v>
      </c>
      <c r="H512" s="121" t="str" cm="1">
        <f t="array" ref="H512">IF(D512="","",(_xlfn.TEXTSPLIT(D512,"-")))</f>
        <v/>
      </c>
      <c r="K512" s="129" t="e">
        <f>VLOOKUP(VALUE($B512),test_out_xwalk!$C:$L,3,FALSE)</f>
        <v>#VALUE!</v>
      </c>
      <c r="L512" s="129" t="e">
        <f>VLOOKUP(VALUE($B512),test_out_xwalk!$C:$L,5,FALSE)</f>
        <v>#VALUE!</v>
      </c>
      <c r="M512" s="129" t="e">
        <f>VLOOKUP(VALUE($B512),test_out_xwalk!$C:$L,6,FALSE)</f>
        <v>#VALUE!</v>
      </c>
      <c r="N512" s="129" t="e">
        <f>VLOOKUP(VALUE($B512),test_out_xwalk!$C:$L,8,FALSE)</f>
        <v>#VALUE!</v>
      </c>
      <c r="O512" s="129" t="e">
        <f>VLOOKUP(VALUE($B512),test_out_xwalk!$C:$L,7,FALSE)</f>
        <v>#VALUE!</v>
      </c>
      <c r="P512" s="129" t="e">
        <f>VLOOKUP(VALUE($B512),test_out_xwalk!$C:$L,4,FALSE)</f>
        <v>#VALUE!</v>
      </c>
      <c r="Q512" s="129" t="e">
        <f>VLOOKUP(VALUE($B512),test_out_xwalk!$C:$L,9,FALSE)</f>
        <v>#VALUE!</v>
      </c>
      <c r="R512" t="e">
        <f>_xlfn.XLOOKUP(VALUE(B512),test_out_xwalk!$C:$C,test_out_xwalk!$A:$A)</f>
        <v>#VALUE!</v>
      </c>
      <c r="T512" s="121" t="str">
        <f>IF('summary_EPA Pond'!$O512="","Check Summary EPA POND worksheet Column O",'summary_EPA Pond'!$O512)</f>
        <v>Check Summary EPA POND worksheet Column O</v>
      </c>
      <c r="U512" s="121" t="str" cm="1">
        <f t="array" ref="U512">IFERROR(_xlfn.TEXTSPLIT(T512,"_"),"")</f>
        <v>Check Summary EPA POND worksheet Column O</v>
      </c>
      <c r="AA512" s="121" t="str" cm="1">
        <f t="array" ref="AA512">IF(W512="","",(_xlfn.TEXTSPLIT(W512,"-")))</f>
        <v/>
      </c>
      <c r="AD512" s="129" t="e">
        <f>VLOOKUP(VALUE($U512),test_out_xwalk!$C:$L,3,FALSE)</f>
        <v>#VALUE!</v>
      </c>
      <c r="AE512" s="129" t="e">
        <f>VLOOKUP(VALUE($U512),test_out_xwalk!$C:$L,5,FALSE)</f>
        <v>#VALUE!</v>
      </c>
      <c r="AF512" s="129" t="e">
        <f>VLOOKUP(VALUE($U512),test_out_xwalk!$C:$L,6,FALSE)</f>
        <v>#VALUE!</v>
      </c>
      <c r="AG512" s="129" t="e">
        <f>VLOOKUP(VALUE($U512),test_out_xwalk!$C:$L,8,FALSE)</f>
        <v>#VALUE!</v>
      </c>
      <c r="AH512" s="129" t="e">
        <f>VLOOKUP(VALUE($U512),test_out_xwalk!$C:$L,7,FALSE)</f>
        <v>#VALUE!</v>
      </c>
      <c r="AI512" s="129" t="e">
        <f>VLOOKUP(VALUE($U512),test_out_xwalk!$C:$L,4,FALSE)</f>
        <v>#VALUE!</v>
      </c>
      <c r="AJ512" s="129" t="e">
        <f>VLOOKUP(VALUE($U512),test_out_xwalk!$C:$L,9,FALSE)</f>
        <v>#VALUE!</v>
      </c>
      <c r="AK512" t="e">
        <f>_xlfn.XLOOKUP(VALUE(U512),test_out_xwalk!C:C,test_out_xwalk!A:A)</f>
        <v>#VALUE!</v>
      </c>
    </row>
    <row r="513" spans="1:37" x14ac:dyDescent="0.55000000000000004">
      <c r="A513" s="121" t="str">
        <f>IF('summary_EPA Pond'!$A513="","Check Summary EPA POND worksheet Column A",'summary_EPA Pond'!$A513)</f>
        <v>Check Summary EPA POND worksheet Column A</v>
      </c>
      <c r="B513" s="121" t="str" cm="1">
        <f t="array" ref="B513">IFERROR(_xlfn.TEXTSPLIT(A513,"_"),"")</f>
        <v>Check Summary EPA POND worksheet Column A</v>
      </c>
      <c r="H513" s="121" t="str" cm="1">
        <f t="array" ref="H513">IF(D513="","",(_xlfn.TEXTSPLIT(D513,"-")))</f>
        <v/>
      </c>
      <c r="K513" s="129" t="e">
        <f>VLOOKUP(VALUE($B513),test_out_xwalk!$C:$L,3,FALSE)</f>
        <v>#VALUE!</v>
      </c>
      <c r="L513" s="129" t="e">
        <f>VLOOKUP(VALUE($B513),test_out_xwalk!$C:$L,5,FALSE)</f>
        <v>#VALUE!</v>
      </c>
      <c r="M513" s="129" t="e">
        <f>VLOOKUP(VALUE($B513),test_out_xwalk!$C:$L,6,FALSE)</f>
        <v>#VALUE!</v>
      </c>
      <c r="N513" s="129" t="e">
        <f>VLOOKUP(VALUE($B513),test_out_xwalk!$C:$L,8,FALSE)</f>
        <v>#VALUE!</v>
      </c>
      <c r="O513" s="129" t="e">
        <f>VLOOKUP(VALUE($B513),test_out_xwalk!$C:$L,7,FALSE)</f>
        <v>#VALUE!</v>
      </c>
      <c r="P513" s="129" t="e">
        <f>VLOOKUP(VALUE($B513),test_out_xwalk!$C:$L,4,FALSE)</f>
        <v>#VALUE!</v>
      </c>
      <c r="Q513" s="129" t="e">
        <f>VLOOKUP(VALUE($B513),test_out_xwalk!$C:$L,9,FALSE)</f>
        <v>#VALUE!</v>
      </c>
      <c r="R513" t="e">
        <f>_xlfn.XLOOKUP(VALUE(B513),test_out_xwalk!$C:$C,test_out_xwalk!$A:$A)</f>
        <v>#VALUE!</v>
      </c>
      <c r="T513" s="121" t="str">
        <f>IF('summary_EPA Pond'!$O513="","Check Summary EPA POND worksheet Column O",'summary_EPA Pond'!$O513)</f>
        <v>Check Summary EPA POND worksheet Column O</v>
      </c>
      <c r="U513" s="121" t="str" cm="1">
        <f t="array" ref="U513">IFERROR(_xlfn.TEXTSPLIT(T513,"_"),"")</f>
        <v>Check Summary EPA POND worksheet Column O</v>
      </c>
      <c r="AA513" s="121" t="str" cm="1">
        <f t="array" ref="AA513">IF(W513="","",(_xlfn.TEXTSPLIT(W513,"-")))</f>
        <v/>
      </c>
      <c r="AD513" s="129" t="e">
        <f>VLOOKUP(VALUE($U513),test_out_xwalk!$C:$L,3,FALSE)</f>
        <v>#VALUE!</v>
      </c>
      <c r="AE513" s="129" t="e">
        <f>VLOOKUP(VALUE($U513),test_out_xwalk!$C:$L,5,FALSE)</f>
        <v>#VALUE!</v>
      </c>
      <c r="AF513" s="129" t="e">
        <f>VLOOKUP(VALUE($U513),test_out_xwalk!$C:$L,6,FALSE)</f>
        <v>#VALUE!</v>
      </c>
      <c r="AG513" s="129" t="e">
        <f>VLOOKUP(VALUE($U513),test_out_xwalk!$C:$L,8,FALSE)</f>
        <v>#VALUE!</v>
      </c>
      <c r="AH513" s="129" t="e">
        <f>VLOOKUP(VALUE($U513),test_out_xwalk!$C:$L,7,FALSE)</f>
        <v>#VALUE!</v>
      </c>
      <c r="AI513" s="129" t="e">
        <f>VLOOKUP(VALUE($U513),test_out_xwalk!$C:$L,4,FALSE)</f>
        <v>#VALUE!</v>
      </c>
      <c r="AJ513" s="129" t="e">
        <f>VLOOKUP(VALUE($U513),test_out_xwalk!$C:$L,9,FALSE)</f>
        <v>#VALUE!</v>
      </c>
      <c r="AK513" t="e">
        <f>_xlfn.XLOOKUP(VALUE(U513),test_out_xwalk!C:C,test_out_xwalk!A:A)</f>
        <v>#VALUE!</v>
      </c>
    </row>
    <row r="514" spans="1:37" x14ac:dyDescent="0.55000000000000004">
      <c r="A514" s="121" t="str">
        <f>IF('summary_EPA Pond'!$A514="","Check Summary EPA POND worksheet Column A",'summary_EPA Pond'!$A514)</f>
        <v>Check Summary EPA POND worksheet Column A</v>
      </c>
      <c r="B514" s="121" t="str" cm="1">
        <f t="array" ref="B514">IFERROR(_xlfn.TEXTSPLIT(A514,"_"),"")</f>
        <v>Check Summary EPA POND worksheet Column A</v>
      </c>
      <c r="H514" s="121" t="str" cm="1">
        <f t="array" ref="H514">IF(D514="","",(_xlfn.TEXTSPLIT(D514,"-")))</f>
        <v/>
      </c>
      <c r="K514" s="129" t="e">
        <f>VLOOKUP(VALUE($B514),test_out_xwalk!$C:$L,3,FALSE)</f>
        <v>#VALUE!</v>
      </c>
      <c r="L514" s="129" t="e">
        <f>VLOOKUP(VALUE($B514),test_out_xwalk!$C:$L,5,FALSE)</f>
        <v>#VALUE!</v>
      </c>
      <c r="M514" s="129" t="e">
        <f>VLOOKUP(VALUE($B514),test_out_xwalk!$C:$L,6,FALSE)</f>
        <v>#VALUE!</v>
      </c>
      <c r="N514" s="129" t="e">
        <f>VLOOKUP(VALUE($B514),test_out_xwalk!$C:$L,8,FALSE)</f>
        <v>#VALUE!</v>
      </c>
      <c r="O514" s="129" t="e">
        <f>VLOOKUP(VALUE($B514),test_out_xwalk!$C:$L,7,FALSE)</f>
        <v>#VALUE!</v>
      </c>
      <c r="P514" s="129" t="e">
        <f>VLOOKUP(VALUE($B514),test_out_xwalk!$C:$L,4,FALSE)</f>
        <v>#VALUE!</v>
      </c>
      <c r="Q514" s="129" t="e">
        <f>VLOOKUP(VALUE($B514),test_out_xwalk!$C:$L,9,FALSE)</f>
        <v>#VALUE!</v>
      </c>
      <c r="R514" t="e">
        <f>_xlfn.XLOOKUP(VALUE(B514),test_out_xwalk!$C:$C,test_out_xwalk!$A:$A)</f>
        <v>#VALUE!</v>
      </c>
      <c r="T514" s="121" t="str">
        <f>IF('summary_EPA Pond'!$O514="","Check Summary EPA POND worksheet Column O",'summary_EPA Pond'!$O514)</f>
        <v>Check Summary EPA POND worksheet Column O</v>
      </c>
      <c r="U514" s="121" t="str" cm="1">
        <f t="array" ref="U514">IFERROR(_xlfn.TEXTSPLIT(T514,"_"),"")</f>
        <v>Check Summary EPA POND worksheet Column O</v>
      </c>
      <c r="AA514" s="121" t="str" cm="1">
        <f t="array" ref="AA514">IF(W514="","",(_xlfn.TEXTSPLIT(W514,"-")))</f>
        <v/>
      </c>
      <c r="AD514" s="129" t="e">
        <f>VLOOKUP(VALUE($U514),test_out_xwalk!$C:$L,3,FALSE)</f>
        <v>#VALUE!</v>
      </c>
      <c r="AE514" s="129" t="e">
        <f>VLOOKUP(VALUE($U514),test_out_xwalk!$C:$L,5,FALSE)</f>
        <v>#VALUE!</v>
      </c>
      <c r="AF514" s="129" t="e">
        <f>VLOOKUP(VALUE($U514),test_out_xwalk!$C:$L,6,FALSE)</f>
        <v>#VALUE!</v>
      </c>
      <c r="AG514" s="129" t="e">
        <f>VLOOKUP(VALUE($U514),test_out_xwalk!$C:$L,8,FALSE)</f>
        <v>#VALUE!</v>
      </c>
      <c r="AH514" s="129" t="e">
        <f>VLOOKUP(VALUE($U514),test_out_xwalk!$C:$L,7,FALSE)</f>
        <v>#VALUE!</v>
      </c>
      <c r="AI514" s="129" t="e">
        <f>VLOOKUP(VALUE($U514),test_out_xwalk!$C:$L,4,FALSE)</f>
        <v>#VALUE!</v>
      </c>
      <c r="AJ514" s="129" t="e">
        <f>VLOOKUP(VALUE($U514),test_out_xwalk!$C:$L,9,FALSE)</f>
        <v>#VALUE!</v>
      </c>
      <c r="AK514" t="e">
        <f>_xlfn.XLOOKUP(VALUE(U514),test_out_xwalk!C:C,test_out_xwalk!A:A)</f>
        <v>#VALUE!</v>
      </c>
    </row>
    <row r="515" spans="1:37" x14ac:dyDescent="0.55000000000000004">
      <c r="A515" s="121" t="str">
        <f>IF('summary_EPA Pond'!$A515="","Check Summary EPA POND worksheet Column A",'summary_EPA Pond'!$A515)</f>
        <v>Check Summary EPA POND worksheet Column A</v>
      </c>
      <c r="B515" s="121" t="str" cm="1">
        <f t="array" ref="B515">IFERROR(_xlfn.TEXTSPLIT(A515,"_"),"")</f>
        <v>Check Summary EPA POND worksheet Column A</v>
      </c>
      <c r="H515" s="121" t="str" cm="1">
        <f t="array" ref="H515">IF(D515="","",(_xlfn.TEXTSPLIT(D515,"-")))</f>
        <v/>
      </c>
      <c r="K515" s="129" t="e">
        <f>VLOOKUP(VALUE($B515),test_out_xwalk!$C:$L,3,FALSE)</f>
        <v>#VALUE!</v>
      </c>
      <c r="L515" s="129" t="e">
        <f>VLOOKUP(VALUE($B515),test_out_xwalk!$C:$L,5,FALSE)</f>
        <v>#VALUE!</v>
      </c>
      <c r="M515" s="129" t="e">
        <f>VLOOKUP(VALUE($B515),test_out_xwalk!$C:$L,6,FALSE)</f>
        <v>#VALUE!</v>
      </c>
      <c r="N515" s="129" t="e">
        <f>VLOOKUP(VALUE($B515),test_out_xwalk!$C:$L,8,FALSE)</f>
        <v>#VALUE!</v>
      </c>
      <c r="O515" s="129" t="e">
        <f>VLOOKUP(VALUE($B515),test_out_xwalk!$C:$L,7,FALSE)</f>
        <v>#VALUE!</v>
      </c>
      <c r="P515" s="129" t="e">
        <f>VLOOKUP(VALUE($B515),test_out_xwalk!$C:$L,4,FALSE)</f>
        <v>#VALUE!</v>
      </c>
      <c r="Q515" s="129" t="e">
        <f>VLOOKUP(VALUE($B515),test_out_xwalk!$C:$L,9,FALSE)</f>
        <v>#VALUE!</v>
      </c>
      <c r="R515" t="e">
        <f>_xlfn.XLOOKUP(VALUE(B515),test_out_xwalk!$C:$C,test_out_xwalk!$A:$A)</f>
        <v>#VALUE!</v>
      </c>
      <c r="T515" s="121" t="str">
        <f>IF('summary_EPA Pond'!$O515="","Check Summary EPA POND worksheet Column O",'summary_EPA Pond'!$O515)</f>
        <v>Check Summary EPA POND worksheet Column O</v>
      </c>
      <c r="U515" s="121" t="str" cm="1">
        <f t="array" ref="U515">IFERROR(_xlfn.TEXTSPLIT(T515,"_"),"")</f>
        <v>Check Summary EPA POND worksheet Column O</v>
      </c>
      <c r="AA515" s="121" t="str" cm="1">
        <f t="array" ref="AA515">IF(W515="","",(_xlfn.TEXTSPLIT(W515,"-")))</f>
        <v/>
      </c>
      <c r="AD515" s="129" t="e">
        <f>VLOOKUP(VALUE($U515),test_out_xwalk!$C:$L,3,FALSE)</f>
        <v>#VALUE!</v>
      </c>
      <c r="AE515" s="129" t="e">
        <f>VLOOKUP(VALUE($U515),test_out_xwalk!$C:$L,5,FALSE)</f>
        <v>#VALUE!</v>
      </c>
      <c r="AF515" s="129" t="e">
        <f>VLOOKUP(VALUE($U515),test_out_xwalk!$C:$L,6,FALSE)</f>
        <v>#VALUE!</v>
      </c>
      <c r="AG515" s="129" t="e">
        <f>VLOOKUP(VALUE($U515),test_out_xwalk!$C:$L,8,FALSE)</f>
        <v>#VALUE!</v>
      </c>
      <c r="AH515" s="129" t="e">
        <f>VLOOKUP(VALUE($U515),test_out_xwalk!$C:$L,7,FALSE)</f>
        <v>#VALUE!</v>
      </c>
      <c r="AI515" s="129" t="e">
        <f>VLOOKUP(VALUE($U515),test_out_xwalk!$C:$L,4,FALSE)</f>
        <v>#VALUE!</v>
      </c>
      <c r="AJ515" s="129" t="e">
        <f>VLOOKUP(VALUE($U515),test_out_xwalk!$C:$L,9,FALSE)</f>
        <v>#VALUE!</v>
      </c>
      <c r="AK515" t="e">
        <f>_xlfn.XLOOKUP(VALUE(U515),test_out_xwalk!C:C,test_out_xwalk!A:A)</f>
        <v>#VALUE!</v>
      </c>
    </row>
    <row r="516" spans="1:37" x14ac:dyDescent="0.55000000000000004">
      <c r="A516" s="121" t="str">
        <f>IF('summary_EPA Pond'!$A516="","Check Summary EPA POND worksheet Column A",'summary_EPA Pond'!$A516)</f>
        <v>Check Summary EPA POND worksheet Column A</v>
      </c>
      <c r="B516" s="121" t="str" cm="1">
        <f t="array" ref="B516">IFERROR(_xlfn.TEXTSPLIT(A516,"_"),"")</f>
        <v>Check Summary EPA POND worksheet Column A</v>
      </c>
      <c r="H516" s="121" t="str" cm="1">
        <f t="array" ref="H516">IF(D516="","",(_xlfn.TEXTSPLIT(D516,"-")))</f>
        <v/>
      </c>
      <c r="K516" s="129" t="e">
        <f>VLOOKUP(VALUE($B516),test_out_xwalk!$C:$L,3,FALSE)</f>
        <v>#VALUE!</v>
      </c>
      <c r="L516" s="129" t="e">
        <f>VLOOKUP(VALUE($B516),test_out_xwalk!$C:$L,5,FALSE)</f>
        <v>#VALUE!</v>
      </c>
      <c r="M516" s="129" t="e">
        <f>VLOOKUP(VALUE($B516),test_out_xwalk!$C:$L,6,FALSE)</f>
        <v>#VALUE!</v>
      </c>
      <c r="N516" s="129" t="e">
        <f>VLOOKUP(VALUE($B516),test_out_xwalk!$C:$L,8,FALSE)</f>
        <v>#VALUE!</v>
      </c>
      <c r="O516" s="129" t="e">
        <f>VLOOKUP(VALUE($B516),test_out_xwalk!$C:$L,7,FALSE)</f>
        <v>#VALUE!</v>
      </c>
      <c r="P516" s="129" t="e">
        <f>VLOOKUP(VALUE($B516),test_out_xwalk!$C:$L,4,FALSE)</f>
        <v>#VALUE!</v>
      </c>
      <c r="Q516" s="129" t="e">
        <f>VLOOKUP(VALUE($B516),test_out_xwalk!$C:$L,9,FALSE)</f>
        <v>#VALUE!</v>
      </c>
      <c r="R516" t="e">
        <f>_xlfn.XLOOKUP(VALUE(B516),test_out_xwalk!$C:$C,test_out_xwalk!$A:$A)</f>
        <v>#VALUE!</v>
      </c>
      <c r="T516" s="121" t="str">
        <f>IF('summary_EPA Pond'!$O516="","Check Summary EPA POND worksheet Column O",'summary_EPA Pond'!$O516)</f>
        <v>Check Summary EPA POND worksheet Column O</v>
      </c>
      <c r="U516" s="121" t="str" cm="1">
        <f t="array" ref="U516">IFERROR(_xlfn.TEXTSPLIT(T516,"_"),"")</f>
        <v>Check Summary EPA POND worksheet Column O</v>
      </c>
      <c r="AA516" s="121" t="str" cm="1">
        <f t="array" ref="AA516">IF(W516="","",(_xlfn.TEXTSPLIT(W516,"-")))</f>
        <v/>
      </c>
      <c r="AD516" s="129" t="e">
        <f>VLOOKUP(VALUE($U516),test_out_xwalk!$C:$L,3,FALSE)</f>
        <v>#VALUE!</v>
      </c>
      <c r="AE516" s="129" t="e">
        <f>VLOOKUP(VALUE($U516),test_out_xwalk!$C:$L,5,FALSE)</f>
        <v>#VALUE!</v>
      </c>
      <c r="AF516" s="129" t="e">
        <f>VLOOKUP(VALUE($U516),test_out_xwalk!$C:$L,6,FALSE)</f>
        <v>#VALUE!</v>
      </c>
      <c r="AG516" s="129" t="e">
        <f>VLOOKUP(VALUE($U516),test_out_xwalk!$C:$L,8,FALSE)</f>
        <v>#VALUE!</v>
      </c>
      <c r="AH516" s="129" t="e">
        <f>VLOOKUP(VALUE($U516),test_out_xwalk!$C:$L,7,FALSE)</f>
        <v>#VALUE!</v>
      </c>
      <c r="AI516" s="129" t="e">
        <f>VLOOKUP(VALUE($U516),test_out_xwalk!$C:$L,4,FALSE)</f>
        <v>#VALUE!</v>
      </c>
      <c r="AJ516" s="129" t="e">
        <f>VLOOKUP(VALUE($U516),test_out_xwalk!$C:$L,9,FALSE)</f>
        <v>#VALUE!</v>
      </c>
      <c r="AK516" t="e">
        <f>_xlfn.XLOOKUP(VALUE(U516),test_out_xwalk!C:C,test_out_xwalk!A:A)</f>
        <v>#VALUE!</v>
      </c>
    </row>
    <row r="517" spans="1:37" x14ac:dyDescent="0.55000000000000004">
      <c r="A517" s="121" t="str">
        <f>IF('summary_EPA Pond'!$A517="","Check Summary EPA POND worksheet Column A",'summary_EPA Pond'!$A517)</f>
        <v>Check Summary EPA POND worksheet Column A</v>
      </c>
      <c r="B517" s="121" t="str" cm="1">
        <f t="array" ref="B517">IFERROR(_xlfn.TEXTSPLIT(A517,"_"),"")</f>
        <v>Check Summary EPA POND worksheet Column A</v>
      </c>
      <c r="H517" s="121" t="str" cm="1">
        <f t="array" ref="H517">IF(D517="","",(_xlfn.TEXTSPLIT(D517,"-")))</f>
        <v/>
      </c>
      <c r="K517" s="129" t="e">
        <f>VLOOKUP(VALUE($B517),test_out_xwalk!$C:$L,3,FALSE)</f>
        <v>#VALUE!</v>
      </c>
      <c r="L517" s="129" t="e">
        <f>VLOOKUP(VALUE($B517),test_out_xwalk!$C:$L,5,FALSE)</f>
        <v>#VALUE!</v>
      </c>
      <c r="M517" s="129" t="e">
        <f>VLOOKUP(VALUE($B517),test_out_xwalk!$C:$L,6,FALSE)</f>
        <v>#VALUE!</v>
      </c>
      <c r="N517" s="129" t="e">
        <f>VLOOKUP(VALUE($B517),test_out_xwalk!$C:$L,8,FALSE)</f>
        <v>#VALUE!</v>
      </c>
      <c r="O517" s="129" t="e">
        <f>VLOOKUP(VALUE($B517),test_out_xwalk!$C:$L,7,FALSE)</f>
        <v>#VALUE!</v>
      </c>
      <c r="P517" s="129" t="e">
        <f>VLOOKUP(VALUE($B517),test_out_xwalk!$C:$L,4,FALSE)</f>
        <v>#VALUE!</v>
      </c>
      <c r="Q517" s="129" t="e">
        <f>VLOOKUP(VALUE($B517),test_out_xwalk!$C:$L,9,FALSE)</f>
        <v>#VALUE!</v>
      </c>
      <c r="R517" t="e">
        <f>_xlfn.XLOOKUP(VALUE(B517),test_out_xwalk!$C:$C,test_out_xwalk!$A:$A)</f>
        <v>#VALUE!</v>
      </c>
      <c r="T517" s="121" t="str">
        <f>IF('summary_EPA Pond'!$O517="","Check Summary EPA POND worksheet Column O",'summary_EPA Pond'!$O517)</f>
        <v>Check Summary EPA POND worksheet Column O</v>
      </c>
      <c r="U517" s="121" t="str" cm="1">
        <f t="array" ref="U517">IFERROR(_xlfn.TEXTSPLIT(T517,"_"),"")</f>
        <v>Check Summary EPA POND worksheet Column O</v>
      </c>
      <c r="AA517" s="121" t="str" cm="1">
        <f t="array" ref="AA517">IF(W517="","",(_xlfn.TEXTSPLIT(W517,"-")))</f>
        <v/>
      </c>
      <c r="AD517" s="129" t="e">
        <f>VLOOKUP(VALUE($U517),test_out_xwalk!$C:$L,3,FALSE)</f>
        <v>#VALUE!</v>
      </c>
      <c r="AE517" s="129" t="e">
        <f>VLOOKUP(VALUE($U517),test_out_xwalk!$C:$L,5,FALSE)</f>
        <v>#VALUE!</v>
      </c>
      <c r="AF517" s="129" t="e">
        <f>VLOOKUP(VALUE($U517),test_out_xwalk!$C:$L,6,FALSE)</f>
        <v>#VALUE!</v>
      </c>
      <c r="AG517" s="129" t="e">
        <f>VLOOKUP(VALUE($U517),test_out_xwalk!$C:$L,8,FALSE)</f>
        <v>#VALUE!</v>
      </c>
      <c r="AH517" s="129" t="e">
        <f>VLOOKUP(VALUE($U517),test_out_xwalk!$C:$L,7,FALSE)</f>
        <v>#VALUE!</v>
      </c>
      <c r="AI517" s="129" t="e">
        <f>VLOOKUP(VALUE($U517),test_out_xwalk!$C:$L,4,FALSE)</f>
        <v>#VALUE!</v>
      </c>
      <c r="AJ517" s="129" t="e">
        <f>VLOOKUP(VALUE($U517),test_out_xwalk!$C:$L,9,FALSE)</f>
        <v>#VALUE!</v>
      </c>
      <c r="AK517" t="e">
        <f>_xlfn.XLOOKUP(VALUE(U517),test_out_xwalk!C:C,test_out_xwalk!A:A)</f>
        <v>#VALUE!</v>
      </c>
    </row>
    <row r="518" spans="1:37" x14ac:dyDescent="0.55000000000000004">
      <c r="A518" s="121" t="str">
        <f>IF('summary_EPA Pond'!$A518="","Check Summary EPA POND worksheet Column A",'summary_EPA Pond'!$A518)</f>
        <v>Check Summary EPA POND worksheet Column A</v>
      </c>
      <c r="B518" s="121" t="str" cm="1">
        <f t="array" ref="B518">IFERROR(_xlfn.TEXTSPLIT(A518,"_"),"")</f>
        <v>Check Summary EPA POND worksheet Column A</v>
      </c>
      <c r="H518" s="121" t="str" cm="1">
        <f t="array" ref="H518">IF(D518="","",(_xlfn.TEXTSPLIT(D518,"-")))</f>
        <v/>
      </c>
      <c r="K518" s="129" t="e">
        <f>VLOOKUP(VALUE($B518),test_out_xwalk!$C:$L,3,FALSE)</f>
        <v>#VALUE!</v>
      </c>
      <c r="L518" s="129" t="e">
        <f>VLOOKUP(VALUE($B518),test_out_xwalk!$C:$L,5,FALSE)</f>
        <v>#VALUE!</v>
      </c>
      <c r="M518" s="129" t="e">
        <f>VLOOKUP(VALUE($B518),test_out_xwalk!$C:$L,6,FALSE)</f>
        <v>#VALUE!</v>
      </c>
      <c r="N518" s="129" t="e">
        <f>VLOOKUP(VALUE($B518),test_out_xwalk!$C:$L,8,FALSE)</f>
        <v>#VALUE!</v>
      </c>
      <c r="O518" s="129" t="e">
        <f>VLOOKUP(VALUE($B518),test_out_xwalk!$C:$L,7,FALSE)</f>
        <v>#VALUE!</v>
      </c>
      <c r="P518" s="129" t="e">
        <f>VLOOKUP(VALUE($B518),test_out_xwalk!$C:$L,4,FALSE)</f>
        <v>#VALUE!</v>
      </c>
      <c r="Q518" s="129" t="e">
        <f>VLOOKUP(VALUE($B518),test_out_xwalk!$C:$L,9,FALSE)</f>
        <v>#VALUE!</v>
      </c>
      <c r="R518" t="e">
        <f>_xlfn.XLOOKUP(VALUE(B518),test_out_xwalk!$C:$C,test_out_xwalk!$A:$A)</f>
        <v>#VALUE!</v>
      </c>
      <c r="T518" s="121" t="str">
        <f>IF('summary_EPA Pond'!$O518="","Check Summary EPA POND worksheet Column O",'summary_EPA Pond'!$O518)</f>
        <v>Check Summary EPA POND worksheet Column O</v>
      </c>
      <c r="U518" s="121" t="str" cm="1">
        <f t="array" ref="U518">IFERROR(_xlfn.TEXTSPLIT(T518,"_"),"")</f>
        <v>Check Summary EPA POND worksheet Column O</v>
      </c>
      <c r="AA518" s="121" t="str" cm="1">
        <f t="array" ref="AA518">IF(W518="","",(_xlfn.TEXTSPLIT(W518,"-")))</f>
        <v/>
      </c>
      <c r="AD518" s="129" t="e">
        <f>VLOOKUP(VALUE($U518),test_out_xwalk!$C:$L,3,FALSE)</f>
        <v>#VALUE!</v>
      </c>
      <c r="AE518" s="129" t="e">
        <f>VLOOKUP(VALUE($U518),test_out_xwalk!$C:$L,5,FALSE)</f>
        <v>#VALUE!</v>
      </c>
      <c r="AF518" s="129" t="e">
        <f>VLOOKUP(VALUE($U518),test_out_xwalk!$C:$L,6,FALSE)</f>
        <v>#VALUE!</v>
      </c>
      <c r="AG518" s="129" t="e">
        <f>VLOOKUP(VALUE($U518),test_out_xwalk!$C:$L,8,FALSE)</f>
        <v>#VALUE!</v>
      </c>
      <c r="AH518" s="129" t="e">
        <f>VLOOKUP(VALUE($U518),test_out_xwalk!$C:$L,7,FALSE)</f>
        <v>#VALUE!</v>
      </c>
      <c r="AI518" s="129" t="e">
        <f>VLOOKUP(VALUE($U518),test_out_xwalk!$C:$L,4,FALSE)</f>
        <v>#VALUE!</v>
      </c>
      <c r="AJ518" s="129" t="e">
        <f>VLOOKUP(VALUE($U518),test_out_xwalk!$C:$L,9,FALSE)</f>
        <v>#VALUE!</v>
      </c>
      <c r="AK518" t="e">
        <f>_xlfn.XLOOKUP(VALUE(U518),test_out_xwalk!C:C,test_out_xwalk!A:A)</f>
        <v>#VALUE!</v>
      </c>
    </row>
    <row r="519" spans="1:37" x14ac:dyDescent="0.55000000000000004">
      <c r="A519" s="121" t="str">
        <f>IF('summary_EPA Pond'!$A519="","Check Summary EPA POND worksheet Column A",'summary_EPA Pond'!$A519)</f>
        <v>Check Summary EPA POND worksheet Column A</v>
      </c>
      <c r="B519" s="121" t="str" cm="1">
        <f t="array" ref="B519">IFERROR(_xlfn.TEXTSPLIT(A519,"_"),"")</f>
        <v>Check Summary EPA POND worksheet Column A</v>
      </c>
      <c r="H519" s="121" t="str" cm="1">
        <f t="array" ref="H519">IF(D519="","",(_xlfn.TEXTSPLIT(D519,"-")))</f>
        <v/>
      </c>
      <c r="K519" s="129" t="e">
        <f>VLOOKUP(VALUE($B519),test_out_xwalk!$C:$L,3,FALSE)</f>
        <v>#VALUE!</v>
      </c>
      <c r="L519" s="129" t="e">
        <f>VLOOKUP(VALUE($B519),test_out_xwalk!$C:$L,5,FALSE)</f>
        <v>#VALUE!</v>
      </c>
      <c r="M519" s="129" t="e">
        <f>VLOOKUP(VALUE($B519),test_out_xwalk!$C:$L,6,FALSE)</f>
        <v>#VALUE!</v>
      </c>
      <c r="N519" s="129" t="e">
        <f>VLOOKUP(VALUE($B519),test_out_xwalk!$C:$L,8,FALSE)</f>
        <v>#VALUE!</v>
      </c>
      <c r="O519" s="129" t="e">
        <f>VLOOKUP(VALUE($B519),test_out_xwalk!$C:$L,7,FALSE)</f>
        <v>#VALUE!</v>
      </c>
      <c r="P519" s="129" t="e">
        <f>VLOOKUP(VALUE($B519),test_out_xwalk!$C:$L,4,FALSE)</f>
        <v>#VALUE!</v>
      </c>
      <c r="Q519" s="129" t="e">
        <f>VLOOKUP(VALUE($B519),test_out_xwalk!$C:$L,9,FALSE)</f>
        <v>#VALUE!</v>
      </c>
      <c r="R519" t="e">
        <f>_xlfn.XLOOKUP(VALUE(B519),test_out_xwalk!$C:$C,test_out_xwalk!$A:$A)</f>
        <v>#VALUE!</v>
      </c>
      <c r="T519" s="121" t="str">
        <f>IF('summary_EPA Pond'!$O519="","Check Summary EPA POND worksheet Column O",'summary_EPA Pond'!$O519)</f>
        <v>Check Summary EPA POND worksheet Column O</v>
      </c>
      <c r="U519" s="121" t="str" cm="1">
        <f t="array" ref="U519">IFERROR(_xlfn.TEXTSPLIT(T519,"_"),"")</f>
        <v>Check Summary EPA POND worksheet Column O</v>
      </c>
      <c r="AA519" s="121" t="str" cm="1">
        <f t="array" ref="AA519">IF(W519="","",(_xlfn.TEXTSPLIT(W519,"-")))</f>
        <v/>
      </c>
      <c r="AD519" s="129" t="e">
        <f>VLOOKUP(VALUE($U519),test_out_xwalk!$C:$L,3,FALSE)</f>
        <v>#VALUE!</v>
      </c>
      <c r="AE519" s="129" t="e">
        <f>VLOOKUP(VALUE($U519),test_out_xwalk!$C:$L,5,FALSE)</f>
        <v>#VALUE!</v>
      </c>
      <c r="AF519" s="129" t="e">
        <f>VLOOKUP(VALUE($U519),test_out_xwalk!$C:$L,6,FALSE)</f>
        <v>#VALUE!</v>
      </c>
      <c r="AG519" s="129" t="e">
        <f>VLOOKUP(VALUE($U519),test_out_xwalk!$C:$L,8,FALSE)</f>
        <v>#VALUE!</v>
      </c>
      <c r="AH519" s="129" t="e">
        <f>VLOOKUP(VALUE($U519),test_out_xwalk!$C:$L,7,FALSE)</f>
        <v>#VALUE!</v>
      </c>
      <c r="AI519" s="129" t="e">
        <f>VLOOKUP(VALUE($U519),test_out_xwalk!$C:$L,4,FALSE)</f>
        <v>#VALUE!</v>
      </c>
      <c r="AJ519" s="129" t="e">
        <f>VLOOKUP(VALUE($U519),test_out_xwalk!$C:$L,9,FALSE)</f>
        <v>#VALUE!</v>
      </c>
      <c r="AK519" t="e">
        <f>_xlfn.XLOOKUP(VALUE(U519),test_out_xwalk!C:C,test_out_xwalk!A:A)</f>
        <v>#VALUE!</v>
      </c>
    </row>
    <row r="520" spans="1:37" x14ac:dyDescent="0.55000000000000004">
      <c r="A520" s="121" t="str">
        <f>IF('summary_EPA Pond'!$A520="","Check Summary EPA POND worksheet Column A",'summary_EPA Pond'!$A520)</f>
        <v>Check Summary EPA POND worksheet Column A</v>
      </c>
      <c r="B520" s="121" t="str" cm="1">
        <f t="array" ref="B520">IFERROR(_xlfn.TEXTSPLIT(A520,"_"),"")</f>
        <v>Check Summary EPA POND worksheet Column A</v>
      </c>
      <c r="H520" s="121" t="str" cm="1">
        <f t="array" ref="H520">IF(D520="","",(_xlfn.TEXTSPLIT(D520,"-")))</f>
        <v/>
      </c>
      <c r="K520" s="129" t="e">
        <f>VLOOKUP(VALUE($B520),test_out_xwalk!$C:$L,3,FALSE)</f>
        <v>#VALUE!</v>
      </c>
      <c r="L520" s="129" t="e">
        <f>VLOOKUP(VALUE($B520),test_out_xwalk!$C:$L,5,FALSE)</f>
        <v>#VALUE!</v>
      </c>
      <c r="M520" s="129" t="e">
        <f>VLOOKUP(VALUE($B520),test_out_xwalk!$C:$L,6,FALSE)</f>
        <v>#VALUE!</v>
      </c>
      <c r="N520" s="129" t="e">
        <f>VLOOKUP(VALUE($B520),test_out_xwalk!$C:$L,8,FALSE)</f>
        <v>#VALUE!</v>
      </c>
      <c r="O520" s="129" t="e">
        <f>VLOOKUP(VALUE($B520),test_out_xwalk!$C:$L,7,FALSE)</f>
        <v>#VALUE!</v>
      </c>
      <c r="P520" s="129" t="e">
        <f>VLOOKUP(VALUE($B520),test_out_xwalk!$C:$L,4,FALSE)</f>
        <v>#VALUE!</v>
      </c>
      <c r="Q520" s="129" t="e">
        <f>VLOOKUP(VALUE($B520),test_out_xwalk!$C:$L,9,FALSE)</f>
        <v>#VALUE!</v>
      </c>
      <c r="R520" t="e">
        <f>_xlfn.XLOOKUP(VALUE(B520),test_out_xwalk!$C:$C,test_out_xwalk!$A:$A)</f>
        <v>#VALUE!</v>
      </c>
      <c r="T520" s="121" t="str">
        <f>IF('summary_EPA Pond'!$O520="","Check Summary EPA POND worksheet Column O",'summary_EPA Pond'!$O520)</f>
        <v>Check Summary EPA POND worksheet Column O</v>
      </c>
      <c r="U520" s="121" t="str" cm="1">
        <f t="array" ref="U520">IFERROR(_xlfn.TEXTSPLIT(T520,"_"),"")</f>
        <v>Check Summary EPA POND worksheet Column O</v>
      </c>
      <c r="AA520" s="121" t="str" cm="1">
        <f t="array" ref="AA520">IF(W520="","",(_xlfn.TEXTSPLIT(W520,"-")))</f>
        <v/>
      </c>
      <c r="AD520" s="129" t="e">
        <f>VLOOKUP(VALUE($U520),test_out_xwalk!$C:$L,3,FALSE)</f>
        <v>#VALUE!</v>
      </c>
      <c r="AE520" s="129" t="e">
        <f>VLOOKUP(VALUE($U520),test_out_xwalk!$C:$L,5,FALSE)</f>
        <v>#VALUE!</v>
      </c>
      <c r="AF520" s="129" t="e">
        <f>VLOOKUP(VALUE($U520),test_out_xwalk!$C:$L,6,FALSE)</f>
        <v>#VALUE!</v>
      </c>
      <c r="AG520" s="129" t="e">
        <f>VLOOKUP(VALUE($U520),test_out_xwalk!$C:$L,8,FALSE)</f>
        <v>#VALUE!</v>
      </c>
      <c r="AH520" s="129" t="e">
        <f>VLOOKUP(VALUE($U520),test_out_xwalk!$C:$L,7,FALSE)</f>
        <v>#VALUE!</v>
      </c>
      <c r="AI520" s="129" t="e">
        <f>VLOOKUP(VALUE($U520),test_out_xwalk!$C:$L,4,FALSE)</f>
        <v>#VALUE!</v>
      </c>
      <c r="AJ520" s="129" t="e">
        <f>VLOOKUP(VALUE($U520),test_out_xwalk!$C:$L,9,FALSE)</f>
        <v>#VALUE!</v>
      </c>
      <c r="AK520" t="e">
        <f>_xlfn.XLOOKUP(VALUE(U520),test_out_xwalk!C:C,test_out_xwalk!A:A)</f>
        <v>#VALUE!</v>
      </c>
    </row>
    <row r="521" spans="1:37" x14ac:dyDescent="0.55000000000000004">
      <c r="A521" s="121" t="str">
        <f>IF('summary_EPA Pond'!$A521="","Check Summary EPA POND worksheet Column A",'summary_EPA Pond'!$A521)</f>
        <v>Check Summary EPA POND worksheet Column A</v>
      </c>
      <c r="B521" s="121" t="str" cm="1">
        <f t="array" ref="B521">IFERROR(_xlfn.TEXTSPLIT(A521,"_"),"")</f>
        <v>Check Summary EPA POND worksheet Column A</v>
      </c>
      <c r="H521" s="121" t="str" cm="1">
        <f t="array" ref="H521">IF(D521="","",(_xlfn.TEXTSPLIT(D521,"-")))</f>
        <v/>
      </c>
      <c r="K521" s="129" t="e">
        <f>VLOOKUP(VALUE($B521),test_out_xwalk!$C:$L,3,FALSE)</f>
        <v>#VALUE!</v>
      </c>
      <c r="L521" s="129" t="e">
        <f>VLOOKUP(VALUE($B521),test_out_xwalk!$C:$L,5,FALSE)</f>
        <v>#VALUE!</v>
      </c>
      <c r="M521" s="129" t="e">
        <f>VLOOKUP(VALUE($B521),test_out_xwalk!$C:$L,6,FALSE)</f>
        <v>#VALUE!</v>
      </c>
      <c r="N521" s="129" t="e">
        <f>VLOOKUP(VALUE($B521),test_out_xwalk!$C:$L,8,FALSE)</f>
        <v>#VALUE!</v>
      </c>
      <c r="O521" s="129" t="e">
        <f>VLOOKUP(VALUE($B521),test_out_xwalk!$C:$L,7,FALSE)</f>
        <v>#VALUE!</v>
      </c>
      <c r="P521" s="129" t="e">
        <f>VLOOKUP(VALUE($B521),test_out_xwalk!$C:$L,4,FALSE)</f>
        <v>#VALUE!</v>
      </c>
      <c r="Q521" s="129" t="e">
        <f>VLOOKUP(VALUE($B521),test_out_xwalk!$C:$L,9,FALSE)</f>
        <v>#VALUE!</v>
      </c>
      <c r="R521" t="e">
        <f>_xlfn.XLOOKUP(VALUE(B521),test_out_xwalk!$C:$C,test_out_xwalk!$A:$A)</f>
        <v>#VALUE!</v>
      </c>
      <c r="T521" s="121" t="str">
        <f>IF('summary_EPA Pond'!$O521="","Check Summary EPA POND worksheet Column O",'summary_EPA Pond'!$O521)</f>
        <v>Check Summary EPA POND worksheet Column O</v>
      </c>
      <c r="U521" s="121" t="str" cm="1">
        <f t="array" ref="U521">IFERROR(_xlfn.TEXTSPLIT(T521,"_"),"")</f>
        <v>Check Summary EPA POND worksheet Column O</v>
      </c>
      <c r="AA521" s="121" t="str" cm="1">
        <f t="array" ref="AA521">IF(W521="","",(_xlfn.TEXTSPLIT(W521,"-")))</f>
        <v/>
      </c>
      <c r="AD521" s="129" t="e">
        <f>VLOOKUP(VALUE($U521),test_out_xwalk!$C:$L,3,FALSE)</f>
        <v>#VALUE!</v>
      </c>
      <c r="AE521" s="129" t="e">
        <f>VLOOKUP(VALUE($U521),test_out_xwalk!$C:$L,5,FALSE)</f>
        <v>#VALUE!</v>
      </c>
      <c r="AF521" s="129" t="e">
        <f>VLOOKUP(VALUE($U521),test_out_xwalk!$C:$L,6,FALSE)</f>
        <v>#VALUE!</v>
      </c>
      <c r="AG521" s="129" t="e">
        <f>VLOOKUP(VALUE($U521),test_out_xwalk!$C:$L,8,FALSE)</f>
        <v>#VALUE!</v>
      </c>
      <c r="AH521" s="129" t="e">
        <f>VLOOKUP(VALUE($U521),test_out_xwalk!$C:$L,7,FALSE)</f>
        <v>#VALUE!</v>
      </c>
      <c r="AI521" s="129" t="e">
        <f>VLOOKUP(VALUE($U521),test_out_xwalk!$C:$L,4,FALSE)</f>
        <v>#VALUE!</v>
      </c>
      <c r="AJ521" s="129" t="e">
        <f>VLOOKUP(VALUE($U521),test_out_xwalk!$C:$L,9,FALSE)</f>
        <v>#VALUE!</v>
      </c>
      <c r="AK521" t="e">
        <f>_xlfn.XLOOKUP(VALUE(U521),test_out_xwalk!C:C,test_out_xwalk!A:A)</f>
        <v>#VALUE!</v>
      </c>
    </row>
    <row r="522" spans="1:37" x14ac:dyDescent="0.55000000000000004">
      <c r="A522" s="121" t="str">
        <f>IF('summary_EPA Pond'!$A522="","Check Summary EPA POND worksheet Column A",'summary_EPA Pond'!$A522)</f>
        <v>Check Summary EPA POND worksheet Column A</v>
      </c>
      <c r="B522" s="121" t="str" cm="1">
        <f t="array" ref="B522">IFERROR(_xlfn.TEXTSPLIT(A522,"_"),"")</f>
        <v>Check Summary EPA POND worksheet Column A</v>
      </c>
      <c r="H522" s="121" t="str" cm="1">
        <f t="array" ref="H522">IF(D522="","",(_xlfn.TEXTSPLIT(D522,"-")))</f>
        <v/>
      </c>
      <c r="K522" s="129" t="e">
        <f>VLOOKUP(VALUE($B522),test_out_xwalk!$C:$L,3,FALSE)</f>
        <v>#VALUE!</v>
      </c>
      <c r="L522" s="129" t="e">
        <f>VLOOKUP(VALUE($B522),test_out_xwalk!$C:$L,5,FALSE)</f>
        <v>#VALUE!</v>
      </c>
      <c r="M522" s="129" t="e">
        <f>VLOOKUP(VALUE($B522),test_out_xwalk!$C:$L,6,FALSE)</f>
        <v>#VALUE!</v>
      </c>
      <c r="N522" s="129" t="e">
        <f>VLOOKUP(VALUE($B522),test_out_xwalk!$C:$L,8,FALSE)</f>
        <v>#VALUE!</v>
      </c>
      <c r="O522" s="129" t="e">
        <f>VLOOKUP(VALUE($B522),test_out_xwalk!$C:$L,7,FALSE)</f>
        <v>#VALUE!</v>
      </c>
      <c r="P522" s="129" t="e">
        <f>VLOOKUP(VALUE($B522),test_out_xwalk!$C:$L,4,FALSE)</f>
        <v>#VALUE!</v>
      </c>
      <c r="Q522" s="129" t="e">
        <f>VLOOKUP(VALUE($B522),test_out_xwalk!$C:$L,9,FALSE)</f>
        <v>#VALUE!</v>
      </c>
      <c r="R522" t="e">
        <f>_xlfn.XLOOKUP(VALUE(B522),test_out_xwalk!$C:$C,test_out_xwalk!$A:$A)</f>
        <v>#VALUE!</v>
      </c>
      <c r="T522" s="121" t="str">
        <f>IF('summary_EPA Pond'!$O522="","Check Summary EPA POND worksheet Column O",'summary_EPA Pond'!$O522)</f>
        <v>Check Summary EPA POND worksheet Column O</v>
      </c>
      <c r="U522" s="121" t="str" cm="1">
        <f t="array" ref="U522">IFERROR(_xlfn.TEXTSPLIT(T522,"_"),"")</f>
        <v>Check Summary EPA POND worksheet Column O</v>
      </c>
      <c r="AA522" s="121" t="str" cm="1">
        <f t="array" ref="AA522">IF(W522="","",(_xlfn.TEXTSPLIT(W522,"-")))</f>
        <v/>
      </c>
      <c r="AD522" s="129" t="e">
        <f>VLOOKUP(VALUE($U522),test_out_xwalk!$C:$L,3,FALSE)</f>
        <v>#VALUE!</v>
      </c>
      <c r="AE522" s="129" t="e">
        <f>VLOOKUP(VALUE($U522),test_out_xwalk!$C:$L,5,FALSE)</f>
        <v>#VALUE!</v>
      </c>
      <c r="AF522" s="129" t="e">
        <f>VLOOKUP(VALUE($U522),test_out_xwalk!$C:$L,6,FALSE)</f>
        <v>#VALUE!</v>
      </c>
      <c r="AG522" s="129" t="e">
        <f>VLOOKUP(VALUE($U522),test_out_xwalk!$C:$L,8,FALSE)</f>
        <v>#VALUE!</v>
      </c>
      <c r="AH522" s="129" t="e">
        <f>VLOOKUP(VALUE($U522),test_out_xwalk!$C:$L,7,FALSE)</f>
        <v>#VALUE!</v>
      </c>
      <c r="AI522" s="129" t="e">
        <f>VLOOKUP(VALUE($U522),test_out_xwalk!$C:$L,4,FALSE)</f>
        <v>#VALUE!</v>
      </c>
      <c r="AJ522" s="129" t="e">
        <f>VLOOKUP(VALUE($U522),test_out_xwalk!$C:$L,9,FALSE)</f>
        <v>#VALUE!</v>
      </c>
      <c r="AK522" t="e">
        <f>_xlfn.XLOOKUP(VALUE(U522),test_out_xwalk!C:C,test_out_xwalk!A:A)</f>
        <v>#VALUE!</v>
      </c>
    </row>
    <row r="523" spans="1:37" x14ac:dyDescent="0.55000000000000004">
      <c r="A523" s="121" t="str">
        <f>IF('summary_EPA Pond'!$A523="","Check Summary EPA POND worksheet Column A",'summary_EPA Pond'!$A523)</f>
        <v>Check Summary EPA POND worksheet Column A</v>
      </c>
      <c r="B523" s="121" t="str" cm="1">
        <f t="array" ref="B523">IFERROR(_xlfn.TEXTSPLIT(A523,"_"),"")</f>
        <v>Check Summary EPA POND worksheet Column A</v>
      </c>
      <c r="H523" s="121" t="str" cm="1">
        <f t="array" ref="H523">IF(D523="","",(_xlfn.TEXTSPLIT(D523,"-")))</f>
        <v/>
      </c>
      <c r="K523" s="129" t="e">
        <f>VLOOKUP(VALUE($B523),test_out_xwalk!$C:$L,3,FALSE)</f>
        <v>#VALUE!</v>
      </c>
      <c r="L523" s="129" t="e">
        <f>VLOOKUP(VALUE($B523),test_out_xwalk!$C:$L,5,FALSE)</f>
        <v>#VALUE!</v>
      </c>
      <c r="M523" s="129" t="e">
        <f>VLOOKUP(VALUE($B523),test_out_xwalk!$C:$L,6,FALSE)</f>
        <v>#VALUE!</v>
      </c>
      <c r="N523" s="129" t="e">
        <f>VLOOKUP(VALUE($B523),test_out_xwalk!$C:$L,8,FALSE)</f>
        <v>#VALUE!</v>
      </c>
      <c r="O523" s="129" t="e">
        <f>VLOOKUP(VALUE($B523),test_out_xwalk!$C:$L,7,FALSE)</f>
        <v>#VALUE!</v>
      </c>
      <c r="P523" s="129" t="e">
        <f>VLOOKUP(VALUE($B523),test_out_xwalk!$C:$L,4,FALSE)</f>
        <v>#VALUE!</v>
      </c>
      <c r="Q523" s="129" t="e">
        <f>VLOOKUP(VALUE($B523),test_out_xwalk!$C:$L,9,FALSE)</f>
        <v>#VALUE!</v>
      </c>
      <c r="R523" t="e">
        <f>_xlfn.XLOOKUP(VALUE(B523),test_out_xwalk!$C:$C,test_out_xwalk!$A:$A)</f>
        <v>#VALUE!</v>
      </c>
      <c r="T523" s="121" t="str">
        <f>IF('summary_EPA Pond'!$O523="","Check Summary EPA POND worksheet Column O",'summary_EPA Pond'!$O523)</f>
        <v>Check Summary EPA POND worksheet Column O</v>
      </c>
      <c r="U523" s="121" t="str" cm="1">
        <f t="array" ref="U523">IFERROR(_xlfn.TEXTSPLIT(T523,"_"),"")</f>
        <v>Check Summary EPA POND worksheet Column O</v>
      </c>
      <c r="AA523" s="121" t="str" cm="1">
        <f t="array" ref="AA523">IF(W523="","",(_xlfn.TEXTSPLIT(W523,"-")))</f>
        <v/>
      </c>
      <c r="AD523" s="129" t="e">
        <f>VLOOKUP(VALUE($U523),test_out_xwalk!$C:$L,3,FALSE)</f>
        <v>#VALUE!</v>
      </c>
      <c r="AE523" s="129" t="e">
        <f>VLOOKUP(VALUE($U523),test_out_xwalk!$C:$L,5,FALSE)</f>
        <v>#VALUE!</v>
      </c>
      <c r="AF523" s="129" t="e">
        <f>VLOOKUP(VALUE($U523),test_out_xwalk!$C:$L,6,FALSE)</f>
        <v>#VALUE!</v>
      </c>
      <c r="AG523" s="129" t="e">
        <f>VLOOKUP(VALUE($U523),test_out_xwalk!$C:$L,8,FALSE)</f>
        <v>#VALUE!</v>
      </c>
      <c r="AH523" s="129" t="e">
        <f>VLOOKUP(VALUE($U523),test_out_xwalk!$C:$L,7,FALSE)</f>
        <v>#VALUE!</v>
      </c>
      <c r="AI523" s="129" t="e">
        <f>VLOOKUP(VALUE($U523),test_out_xwalk!$C:$L,4,FALSE)</f>
        <v>#VALUE!</v>
      </c>
      <c r="AJ523" s="129" t="e">
        <f>VLOOKUP(VALUE($U523),test_out_xwalk!$C:$L,9,FALSE)</f>
        <v>#VALUE!</v>
      </c>
      <c r="AK523" t="e">
        <f>_xlfn.XLOOKUP(VALUE(U523),test_out_xwalk!C:C,test_out_xwalk!A:A)</f>
        <v>#VALUE!</v>
      </c>
    </row>
    <row r="524" spans="1:37" x14ac:dyDescent="0.55000000000000004">
      <c r="A524" s="121" t="str">
        <f>IF('summary_EPA Pond'!$A524="","Check Summary EPA POND worksheet Column A",'summary_EPA Pond'!$A524)</f>
        <v>Check Summary EPA POND worksheet Column A</v>
      </c>
      <c r="B524" s="121" t="str" cm="1">
        <f t="array" ref="B524">IFERROR(_xlfn.TEXTSPLIT(A524,"_"),"")</f>
        <v>Check Summary EPA POND worksheet Column A</v>
      </c>
      <c r="H524" s="121" t="str" cm="1">
        <f t="array" ref="H524">IF(D524="","",(_xlfn.TEXTSPLIT(D524,"-")))</f>
        <v/>
      </c>
      <c r="K524" s="129" t="e">
        <f>VLOOKUP(VALUE($B524),test_out_xwalk!$C:$L,3,FALSE)</f>
        <v>#VALUE!</v>
      </c>
      <c r="L524" s="129" t="e">
        <f>VLOOKUP(VALUE($B524),test_out_xwalk!$C:$L,5,FALSE)</f>
        <v>#VALUE!</v>
      </c>
      <c r="M524" s="129" t="e">
        <f>VLOOKUP(VALUE($B524),test_out_xwalk!$C:$L,6,FALSE)</f>
        <v>#VALUE!</v>
      </c>
      <c r="N524" s="129" t="e">
        <f>VLOOKUP(VALUE($B524),test_out_xwalk!$C:$L,8,FALSE)</f>
        <v>#VALUE!</v>
      </c>
      <c r="O524" s="129" t="e">
        <f>VLOOKUP(VALUE($B524),test_out_xwalk!$C:$L,7,FALSE)</f>
        <v>#VALUE!</v>
      </c>
      <c r="P524" s="129" t="e">
        <f>VLOOKUP(VALUE($B524),test_out_xwalk!$C:$L,4,FALSE)</f>
        <v>#VALUE!</v>
      </c>
      <c r="Q524" s="129" t="e">
        <f>VLOOKUP(VALUE($B524),test_out_xwalk!$C:$L,9,FALSE)</f>
        <v>#VALUE!</v>
      </c>
      <c r="R524" t="e">
        <f>_xlfn.XLOOKUP(VALUE(B524),test_out_xwalk!$C:$C,test_out_xwalk!$A:$A)</f>
        <v>#VALUE!</v>
      </c>
      <c r="T524" s="121" t="str">
        <f>IF('summary_EPA Pond'!$O524="","Check Summary EPA POND worksheet Column O",'summary_EPA Pond'!$O524)</f>
        <v>Check Summary EPA POND worksheet Column O</v>
      </c>
      <c r="U524" s="121" t="str" cm="1">
        <f t="array" ref="U524">IFERROR(_xlfn.TEXTSPLIT(T524,"_"),"")</f>
        <v>Check Summary EPA POND worksheet Column O</v>
      </c>
      <c r="AA524" s="121" t="str" cm="1">
        <f t="array" ref="AA524">IF(W524="","",(_xlfn.TEXTSPLIT(W524,"-")))</f>
        <v/>
      </c>
      <c r="AD524" s="129" t="e">
        <f>VLOOKUP(VALUE($U524),test_out_xwalk!$C:$L,3,FALSE)</f>
        <v>#VALUE!</v>
      </c>
      <c r="AE524" s="129" t="e">
        <f>VLOOKUP(VALUE($U524),test_out_xwalk!$C:$L,5,FALSE)</f>
        <v>#VALUE!</v>
      </c>
      <c r="AF524" s="129" t="e">
        <f>VLOOKUP(VALUE($U524),test_out_xwalk!$C:$L,6,FALSE)</f>
        <v>#VALUE!</v>
      </c>
      <c r="AG524" s="129" t="e">
        <f>VLOOKUP(VALUE($U524),test_out_xwalk!$C:$L,8,FALSE)</f>
        <v>#VALUE!</v>
      </c>
      <c r="AH524" s="129" t="e">
        <f>VLOOKUP(VALUE($U524),test_out_xwalk!$C:$L,7,FALSE)</f>
        <v>#VALUE!</v>
      </c>
      <c r="AI524" s="129" t="e">
        <f>VLOOKUP(VALUE($U524),test_out_xwalk!$C:$L,4,FALSE)</f>
        <v>#VALUE!</v>
      </c>
      <c r="AJ524" s="129" t="e">
        <f>VLOOKUP(VALUE($U524),test_out_xwalk!$C:$L,9,FALSE)</f>
        <v>#VALUE!</v>
      </c>
      <c r="AK524" t="e">
        <f>_xlfn.XLOOKUP(VALUE(U524),test_out_xwalk!C:C,test_out_xwalk!A:A)</f>
        <v>#VALUE!</v>
      </c>
    </row>
    <row r="525" spans="1:37" x14ac:dyDescent="0.55000000000000004">
      <c r="A525" s="121" t="str">
        <f>IF('summary_EPA Pond'!$A525="","Check Summary EPA POND worksheet Column A",'summary_EPA Pond'!$A525)</f>
        <v>Check Summary EPA POND worksheet Column A</v>
      </c>
      <c r="B525" s="121" t="str" cm="1">
        <f t="array" ref="B525">IFERROR(_xlfn.TEXTSPLIT(A525,"_"),"")</f>
        <v>Check Summary EPA POND worksheet Column A</v>
      </c>
      <c r="H525" s="121" t="str" cm="1">
        <f t="array" ref="H525">IF(D525="","",(_xlfn.TEXTSPLIT(D525,"-")))</f>
        <v/>
      </c>
      <c r="K525" s="129" t="e">
        <f>VLOOKUP(VALUE($B525),test_out_xwalk!$C:$L,3,FALSE)</f>
        <v>#VALUE!</v>
      </c>
      <c r="L525" s="129" t="e">
        <f>VLOOKUP(VALUE($B525),test_out_xwalk!$C:$L,5,FALSE)</f>
        <v>#VALUE!</v>
      </c>
      <c r="M525" s="129" t="e">
        <f>VLOOKUP(VALUE($B525),test_out_xwalk!$C:$L,6,FALSE)</f>
        <v>#VALUE!</v>
      </c>
      <c r="N525" s="129" t="e">
        <f>VLOOKUP(VALUE($B525),test_out_xwalk!$C:$L,8,FALSE)</f>
        <v>#VALUE!</v>
      </c>
      <c r="O525" s="129" t="e">
        <f>VLOOKUP(VALUE($B525),test_out_xwalk!$C:$L,7,FALSE)</f>
        <v>#VALUE!</v>
      </c>
      <c r="P525" s="129" t="e">
        <f>VLOOKUP(VALUE($B525),test_out_xwalk!$C:$L,4,FALSE)</f>
        <v>#VALUE!</v>
      </c>
      <c r="Q525" s="129" t="e">
        <f>VLOOKUP(VALUE($B525),test_out_xwalk!$C:$L,9,FALSE)</f>
        <v>#VALUE!</v>
      </c>
      <c r="R525" t="e">
        <f>_xlfn.XLOOKUP(VALUE(B525),test_out_xwalk!$C:$C,test_out_xwalk!$A:$A)</f>
        <v>#VALUE!</v>
      </c>
      <c r="T525" s="121" t="str">
        <f>IF('summary_EPA Pond'!$O525="","Check Summary EPA POND worksheet Column O",'summary_EPA Pond'!$O525)</f>
        <v>Check Summary EPA POND worksheet Column O</v>
      </c>
      <c r="U525" s="121" t="str" cm="1">
        <f t="array" ref="U525">IFERROR(_xlfn.TEXTSPLIT(T525,"_"),"")</f>
        <v>Check Summary EPA POND worksheet Column O</v>
      </c>
      <c r="AA525" s="121" t="str" cm="1">
        <f t="array" ref="AA525">IF(W525="","",(_xlfn.TEXTSPLIT(W525,"-")))</f>
        <v/>
      </c>
      <c r="AD525" s="129" t="e">
        <f>VLOOKUP(VALUE($U525),test_out_xwalk!$C:$L,3,FALSE)</f>
        <v>#VALUE!</v>
      </c>
      <c r="AE525" s="129" t="e">
        <f>VLOOKUP(VALUE($U525),test_out_xwalk!$C:$L,5,FALSE)</f>
        <v>#VALUE!</v>
      </c>
      <c r="AF525" s="129" t="e">
        <f>VLOOKUP(VALUE($U525),test_out_xwalk!$C:$L,6,FALSE)</f>
        <v>#VALUE!</v>
      </c>
      <c r="AG525" s="129" t="e">
        <f>VLOOKUP(VALUE($U525),test_out_xwalk!$C:$L,8,FALSE)</f>
        <v>#VALUE!</v>
      </c>
      <c r="AH525" s="129" t="e">
        <f>VLOOKUP(VALUE($U525),test_out_xwalk!$C:$L,7,FALSE)</f>
        <v>#VALUE!</v>
      </c>
      <c r="AI525" s="129" t="e">
        <f>VLOOKUP(VALUE($U525),test_out_xwalk!$C:$L,4,FALSE)</f>
        <v>#VALUE!</v>
      </c>
      <c r="AJ525" s="129" t="e">
        <f>VLOOKUP(VALUE($U525),test_out_xwalk!$C:$L,9,FALSE)</f>
        <v>#VALUE!</v>
      </c>
      <c r="AK525" t="e">
        <f>_xlfn.XLOOKUP(VALUE(U525),test_out_xwalk!C:C,test_out_xwalk!A:A)</f>
        <v>#VALUE!</v>
      </c>
    </row>
    <row r="526" spans="1:37" x14ac:dyDescent="0.55000000000000004">
      <c r="A526" s="121" t="str">
        <f>IF('summary_EPA Pond'!$A526="","Check Summary EPA POND worksheet Column A",'summary_EPA Pond'!$A526)</f>
        <v>Check Summary EPA POND worksheet Column A</v>
      </c>
      <c r="B526" s="121" t="str" cm="1">
        <f t="array" ref="B526">IFERROR(_xlfn.TEXTSPLIT(A526,"_"),"")</f>
        <v>Check Summary EPA POND worksheet Column A</v>
      </c>
      <c r="H526" s="121" t="str" cm="1">
        <f t="array" ref="H526">IF(D526="","",(_xlfn.TEXTSPLIT(D526,"-")))</f>
        <v/>
      </c>
      <c r="K526" s="129" t="e">
        <f>VLOOKUP(VALUE($B526),test_out_xwalk!$C:$L,3,FALSE)</f>
        <v>#VALUE!</v>
      </c>
      <c r="L526" s="129" t="e">
        <f>VLOOKUP(VALUE($B526),test_out_xwalk!$C:$L,5,FALSE)</f>
        <v>#VALUE!</v>
      </c>
      <c r="M526" s="129" t="e">
        <f>VLOOKUP(VALUE($B526),test_out_xwalk!$C:$L,6,FALSE)</f>
        <v>#VALUE!</v>
      </c>
      <c r="N526" s="129" t="e">
        <f>VLOOKUP(VALUE($B526),test_out_xwalk!$C:$L,8,FALSE)</f>
        <v>#VALUE!</v>
      </c>
      <c r="O526" s="129" t="e">
        <f>VLOOKUP(VALUE($B526),test_out_xwalk!$C:$L,7,FALSE)</f>
        <v>#VALUE!</v>
      </c>
      <c r="P526" s="129" t="e">
        <f>VLOOKUP(VALUE($B526),test_out_xwalk!$C:$L,4,FALSE)</f>
        <v>#VALUE!</v>
      </c>
      <c r="Q526" s="129" t="e">
        <f>VLOOKUP(VALUE($B526),test_out_xwalk!$C:$L,9,FALSE)</f>
        <v>#VALUE!</v>
      </c>
      <c r="R526" t="e">
        <f>_xlfn.XLOOKUP(VALUE(B526),test_out_xwalk!$C:$C,test_out_xwalk!$A:$A)</f>
        <v>#VALUE!</v>
      </c>
      <c r="T526" s="121" t="str">
        <f>IF('summary_EPA Pond'!$O526="","Check Summary EPA POND worksheet Column O",'summary_EPA Pond'!$O526)</f>
        <v>Check Summary EPA POND worksheet Column O</v>
      </c>
      <c r="U526" s="121" t="str" cm="1">
        <f t="array" ref="U526">IFERROR(_xlfn.TEXTSPLIT(T526,"_"),"")</f>
        <v>Check Summary EPA POND worksheet Column O</v>
      </c>
      <c r="AA526" s="121" t="str" cm="1">
        <f t="array" ref="AA526">IF(W526="","",(_xlfn.TEXTSPLIT(W526,"-")))</f>
        <v/>
      </c>
      <c r="AD526" s="129" t="e">
        <f>VLOOKUP(VALUE($U526),test_out_xwalk!$C:$L,3,FALSE)</f>
        <v>#VALUE!</v>
      </c>
      <c r="AE526" s="129" t="e">
        <f>VLOOKUP(VALUE($U526),test_out_xwalk!$C:$L,5,FALSE)</f>
        <v>#VALUE!</v>
      </c>
      <c r="AF526" s="129" t="e">
        <f>VLOOKUP(VALUE($U526),test_out_xwalk!$C:$L,6,FALSE)</f>
        <v>#VALUE!</v>
      </c>
      <c r="AG526" s="129" t="e">
        <f>VLOOKUP(VALUE($U526),test_out_xwalk!$C:$L,8,FALSE)</f>
        <v>#VALUE!</v>
      </c>
      <c r="AH526" s="129" t="e">
        <f>VLOOKUP(VALUE($U526),test_out_xwalk!$C:$L,7,FALSE)</f>
        <v>#VALUE!</v>
      </c>
      <c r="AI526" s="129" t="e">
        <f>VLOOKUP(VALUE($U526),test_out_xwalk!$C:$L,4,FALSE)</f>
        <v>#VALUE!</v>
      </c>
      <c r="AJ526" s="129" t="e">
        <f>VLOOKUP(VALUE($U526),test_out_xwalk!$C:$L,9,FALSE)</f>
        <v>#VALUE!</v>
      </c>
      <c r="AK526" t="e">
        <f>_xlfn.XLOOKUP(VALUE(U526),test_out_xwalk!C:C,test_out_xwalk!A:A)</f>
        <v>#VALUE!</v>
      </c>
    </row>
    <row r="527" spans="1:37" x14ac:dyDescent="0.55000000000000004">
      <c r="A527" s="121" t="str">
        <f>IF('summary_EPA Pond'!$A527="","Check Summary EPA POND worksheet Column A",'summary_EPA Pond'!$A527)</f>
        <v>Check Summary EPA POND worksheet Column A</v>
      </c>
      <c r="B527" s="121" t="str" cm="1">
        <f t="array" ref="B527">IFERROR(_xlfn.TEXTSPLIT(A527,"_"),"")</f>
        <v>Check Summary EPA POND worksheet Column A</v>
      </c>
      <c r="H527" s="121" t="str" cm="1">
        <f t="array" ref="H527">IF(D527="","",(_xlfn.TEXTSPLIT(D527,"-")))</f>
        <v/>
      </c>
      <c r="K527" s="129" t="e">
        <f>VLOOKUP(VALUE($B527),test_out_xwalk!$C:$L,3,FALSE)</f>
        <v>#VALUE!</v>
      </c>
      <c r="L527" s="129" t="e">
        <f>VLOOKUP(VALUE($B527),test_out_xwalk!$C:$L,5,FALSE)</f>
        <v>#VALUE!</v>
      </c>
      <c r="M527" s="129" t="e">
        <f>VLOOKUP(VALUE($B527),test_out_xwalk!$C:$L,6,FALSE)</f>
        <v>#VALUE!</v>
      </c>
      <c r="N527" s="129" t="e">
        <f>VLOOKUP(VALUE($B527),test_out_xwalk!$C:$L,8,FALSE)</f>
        <v>#VALUE!</v>
      </c>
      <c r="O527" s="129" t="e">
        <f>VLOOKUP(VALUE($B527),test_out_xwalk!$C:$L,7,FALSE)</f>
        <v>#VALUE!</v>
      </c>
      <c r="P527" s="129" t="e">
        <f>VLOOKUP(VALUE($B527),test_out_xwalk!$C:$L,4,FALSE)</f>
        <v>#VALUE!</v>
      </c>
      <c r="Q527" s="129" t="e">
        <f>VLOOKUP(VALUE($B527),test_out_xwalk!$C:$L,9,FALSE)</f>
        <v>#VALUE!</v>
      </c>
      <c r="R527" t="e">
        <f>_xlfn.XLOOKUP(VALUE(B527),test_out_xwalk!$C:$C,test_out_xwalk!$A:$A)</f>
        <v>#VALUE!</v>
      </c>
      <c r="T527" s="121" t="str">
        <f>IF('summary_EPA Pond'!$O527="","Check Summary EPA POND worksheet Column O",'summary_EPA Pond'!$O527)</f>
        <v>Check Summary EPA POND worksheet Column O</v>
      </c>
      <c r="U527" s="121" t="str" cm="1">
        <f t="array" ref="U527">IFERROR(_xlfn.TEXTSPLIT(T527,"_"),"")</f>
        <v>Check Summary EPA POND worksheet Column O</v>
      </c>
      <c r="AA527" s="121" t="str" cm="1">
        <f t="array" ref="AA527">IF(W527="","",(_xlfn.TEXTSPLIT(W527,"-")))</f>
        <v/>
      </c>
      <c r="AD527" s="129" t="e">
        <f>VLOOKUP(VALUE($U527),test_out_xwalk!$C:$L,3,FALSE)</f>
        <v>#VALUE!</v>
      </c>
      <c r="AE527" s="129" t="e">
        <f>VLOOKUP(VALUE($U527),test_out_xwalk!$C:$L,5,FALSE)</f>
        <v>#VALUE!</v>
      </c>
      <c r="AF527" s="129" t="e">
        <f>VLOOKUP(VALUE($U527),test_out_xwalk!$C:$L,6,FALSE)</f>
        <v>#VALUE!</v>
      </c>
      <c r="AG527" s="129" t="e">
        <f>VLOOKUP(VALUE($U527),test_out_xwalk!$C:$L,8,FALSE)</f>
        <v>#VALUE!</v>
      </c>
      <c r="AH527" s="129" t="e">
        <f>VLOOKUP(VALUE($U527),test_out_xwalk!$C:$L,7,FALSE)</f>
        <v>#VALUE!</v>
      </c>
      <c r="AI527" s="129" t="e">
        <f>VLOOKUP(VALUE($U527),test_out_xwalk!$C:$L,4,FALSE)</f>
        <v>#VALUE!</v>
      </c>
      <c r="AJ527" s="129" t="e">
        <f>VLOOKUP(VALUE($U527),test_out_xwalk!$C:$L,9,FALSE)</f>
        <v>#VALUE!</v>
      </c>
      <c r="AK527" t="e">
        <f>_xlfn.XLOOKUP(VALUE(U527),test_out_xwalk!C:C,test_out_xwalk!A:A)</f>
        <v>#VALUE!</v>
      </c>
    </row>
    <row r="528" spans="1:37" x14ac:dyDescent="0.55000000000000004">
      <c r="A528" s="121" t="str">
        <f>IF('summary_EPA Pond'!$A528="","Check Summary EPA POND worksheet Column A",'summary_EPA Pond'!$A528)</f>
        <v>Check Summary EPA POND worksheet Column A</v>
      </c>
      <c r="B528" s="121" t="str" cm="1">
        <f t="array" ref="B528">IFERROR(_xlfn.TEXTSPLIT(A528,"_"),"")</f>
        <v>Check Summary EPA POND worksheet Column A</v>
      </c>
      <c r="H528" s="121" t="str" cm="1">
        <f t="array" ref="H528">IF(D528="","",(_xlfn.TEXTSPLIT(D528,"-")))</f>
        <v/>
      </c>
      <c r="K528" s="129" t="e">
        <f>VLOOKUP(VALUE($B528),test_out_xwalk!$C:$L,3,FALSE)</f>
        <v>#VALUE!</v>
      </c>
      <c r="L528" s="129" t="e">
        <f>VLOOKUP(VALUE($B528),test_out_xwalk!$C:$L,5,FALSE)</f>
        <v>#VALUE!</v>
      </c>
      <c r="M528" s="129" t="e">
        <f>VLOOKUP(VALUE($B528),test_out_xwalk!$C:$L,6,FALSE)</f>
        <v>#VALUE!</v>
      </c>
      <c r="N528" s="129" t="e">
        <f>VLOOKUP(VALUE($B528),test_out_xwalk!$C:$L,8,FALSE)</f>
        <v>#VALUE!</v>
      </c>
      <c r="O528" s="129" t="e">
        <f>VLOOKUP(VALUE($B528),test_out_xwalk!$C:$L,7,FALSE)</f>
        <v>#VALUE!</v>
      </c>
      <c r="P528" s="129" t="e">
        <f>VLOOKUP(VALUE($B528),test_out_xwalk!$C:$L,4,FALSE)</f>
        <v>#VALUE!</v>
      </c>
      <c r="Q528" s="129" t="e">
        <f>VLOOKUP(VALUE($B528),test_out_xwalk!$C:$L,9,FALSE)</f>
        <v>#VALUE!</v>
      </c>
      <c r="R528" t="e">
        <f>_xlfn.XLOOKUP(VALUE(B528),test_out_xwalk!$C:$C,test_out_xwalk!$A:$A)</f>
        <v>#VALUE!</v>
      </c>
      <c r="T528" s="121" t="str">
        <f>IF('summary_EPA Pond'!$O528="","Check Summary EPA POND worksheet Column O",'summary_EPA Pond'!$O528)</f>
        <v>Check Summary EPA POND worksheet Column O</v>
      </c>
      <c r="U528" s="121" t="str" cm="1">
        <f t="array" ref="U528">IFERROR(_xlfn.TEXTSPLIT(T528,"_"),"")</f>
        <v>Check Summary EPA POND worksheet Column O</v>
      </c>
      <c r="AA528" s="121" t="str" cm="1">
        <f t="array" ref="AA528">IF(W528="","",(_xlfn.TEXTSPLIT(W528,"-")))</f>
        <v/>
      </c>
      <c r="AD528" s="129" t="e">
        <f>VLOOKUP(VALUE($U528),test_out_xwalk!$C:$L,3,FALSE)</f>
        <v>#VALUE!</v>
      </c>
      <c r="AE528" s="129" t="e">
        <f>VLOOKUP(VALUE($U528),test_out_xwalk!$C:$L,5,FALSE)</f>
        <v>#VALUE!</v>
      </c>
      <c r="AF528" s="129" t="e">
        <f>VLOOKUP(VALUE($U528),test_out_xwalk!$C:$L,6,FALSE)</f>
        <v>#VALUE!</v>
      </c>
      <c r="AG528" s="129" t="e">
        <f>VLOOKUP(VALUE($U528),test_out_xwalk!$C:$L,8,FALSE)</f>
        <v>#VALUE!</v>
      </c>
      <c r="AH528" s="129" t="e">
        <f>VLOOKUP(VALUE($U528),test_out_xwalk!$C:$L,7,FALSE)</f>
        <v>#VALUE!</v>
      </c>
      <c r="AI528" s="129" t="e">
        <f>VLOOKUP(VALUE($U528),test_out_xwalk!$C:$L,4,FALSE)</f>
        <v>#VALUE!</v>
      </c>
      <c r="AJ528" s="129" t="e">
        <f>VLOOKUP(VALUE($U528),test_out_xwalk!$C:$L,9,FALSE)</f>
        <v>#VALUE!</v>
      </c>
      <c r="AK528" t="e">
        <f>_xlfn.XLOOKUP(VALUE(U528),test_out_xwalk!C:C,test_out_xwalk!A:A)</f>
        <v>#VALUE!</v>
      </c>
    </row>
    <row r="529" spans="1:37" x14ac:dyDescent="0.55000000000000004">
      <c r="A529" s="121" t="str">
        <f>IF('summary_EPA Pond'!$A529="","Check Summary EPA POND worksheet Column A",'summary_EPA Pond'!$A529)</f>
        <v>Check Summary EPA POND worksheet Column A</v>
      </c>
      <c r="B529" s="121" t="str" cm="1">
        <f t="array" ref="B529">IFERROR(_xlfn.TEXTSPLIT(A529,"_"),"")</f>
        <v>Check Summary EPA POND worksheet Column A</v>
      </c>
      <c r="H529" s="121" t="str" cm="1">
        <f t="array" ref="H529">IF(D529="","",(_xlfn.TEXTSPLIT(D529,"-")))</f>
        <v/>
      </c>
      <c r="K529" s="129" t="e">
        <f>VLOOKUP(VALUE($B529),test_out_xwalk!$C:$L,3,FALSE)</f>
        <v>#VALUE!</v>
      </c>
      <c r="L529" s="129" t="e">
        <f>VLOOKUP(VALUE($B529),test_out_xwalk!$C:$L,5,FALSE)</f>
        <v>#VALUE!</v>
      </c>
      <c r="M529" s="129" t="e">
        <f>VLOOKUP(VALUE($B529),test_out_xwalk!$C:$L,6,FALSE)</f>
        <v>#VALUE!</v>
      </c>
      <c r="N529" s="129" t="e">
        <f>VLOOKUP(VALUE($B529),test_out_xwalk!$C:$L,8,FALSE)</f>
        <v>#VALUE!</v>
      </c>
      <c r="O529" s="129" t="e">
        <f>VLOOKUP(VALUE($B529),test_out_xwalk!$C:$L,7,FALSE)</f>
        <v>#VALUE!</v>
      </c>
      <c r="P529" s="129" t="e">
        <f>VLOOKUP(VALUE($B529),test_out_xwalk!$C:$L,4,FALSE)</f>
        <v>#VALUE!</v>
      </c>
      <c r="Q529" s="129" t="e">
        <f>VLOOKUP(VALUE($B529),test_out_xwalk!$C:$L,9,FALSE)</f>
        <v>#VALUE!</v>
      </c>
      <c r="R529" t="e">
        <f>_xlfn.XLOOKUP(VALUE(B529),test_out_xwalk!$C:$C,test_out_xwalk!$A:$A)</f>
        <v>#VALUE!</v>
      </c>
      <c r="T529" s="121" t="str">
        <f>IF('summary_EPA Pond'!$O529="","Check Summary EPA POND worksheet Column O",'summary_EPA Pond'!$O529)</f>
        <v>Check Summary EPA POND worksheet Column O</v>
      </c>
      <c r="U529" s="121" t="str" cm="1">
        <f t="array" ref="U529">IFERROR(_xlfn.TEXTSPLIT(T529,"_"),"")</f>
        <v>Check Summary EPA POND worksheet Column O</v>
      </c>
      <c r="AA529" s="121" t="str" cm="1">
        <f t="array" ref="AA529">IF(W529="","",(_xlfn.TEXTSPLIT(W529,"-")))</f>
        <v/>
      </c>
      <c r="AD529" s="129" t="e">
        <f>VLOOKUP(VALUE($U529),test_out_xwalk!$C:$L,3,FALSE)</f>
        <v>#VALUE!</v>
      </c>
      <c r="AE529" s="129" t="e">
        <f>VLOOKUP(VALUE($U529),test_out_xwalk!$C:$L,5,FALSE)</f>
        <v>#VALUE!</v>
      </c>
      <c r="AF529" s="129" t="e">
        <f>VLOOKUP(VALUE($U529),test_out_xwalk!$C:$L,6,FALSE)</f>
        <v>#VALUE!</v>
      </c>
      <c r="AG529" s="129" t="e">
        <f>VLOOKUP(VALUE($U529),test_out_xwalk!$C:$L,8,FALSE)</f>
        <v>#VALUE!</v>
      </c>
      <c r="AH529" s="129" t="e">
        <f>VLOOKUP(VALUE($U529),test_out_xwalk!$C:$L,7,FALSE)</f>
        <v>#VALUE!</v>
      </c>
      <c r="AI529" s="129" t="e">
        <f>VLOOKUP(VALUE($U529),test_out_xwalk!$C:$L,4,FALSE)</f>
        <v>#VALUE!</v>
      </c>
      <c r="AJ529" s="129" t="e">
        <f>VLOOKUP(VALUE($U529),test_out_xwalk!$C:$L,9,FALSE)</f>
        <v>#VALUE!</v>
      </c>
      <c r="AK529" t="e">
        <f>_xlfn.XLOOKUP(VALUE(U529),test_out_xwalk!C:C,test_out_xwalk!A:A)</f>
        <v>#VALUE!</v>
      </c>
    </row>
    <row r="530" spans="1:37" x14ac:dyDescent="0.55000000000000004">
      <c r="A530" s="121" t="str">
        <f>IF('summary_EPA Pond'!$A530="","Check Summary EPA POND worksheet Column A",'summary_EPA Pond'!$A530)</f>
        <v>Check Summary EPA POND worksheet Column A</v>
      </c>
      <c r="B530" s="121" t="str" cm="1">
        <f t="array" ref="B530">IFERROR(_xlfn.TEXTSPLIT(A530,"_"),"")</f>
        <v>Check Summary EPA POND worksheet Column A</v>
      </c>
      <c r="H530" s="121" t="str" cm="1">
        <f t="array" ref="H530">IF(D530="","",(_xlfn.TEXTSPLIT(D530,"-")))</f>
        <v/>
      </c>
      <c r="K530" s="129" t="e">
        <f>VLOOKUP(VALUE($B530),test_out_xwalk!$C:$L,3,FALSE)</f>
        <v>#VALUE!</v>
      </c>
      <c r="L530" s="129" t="e">
        <f>VLOOKUP(VALUE($B530),test_out_xwalk!$C:$L,5,FALSE)</f>
        <v>#VALUE!</v>
      </c>
      <c r="M530" s="129" t="e">
        <f>VLOOKUP(VALUE($B530),test_out_xwalk!$C:$L,6,FALSE)</f>
        <v>#VALUE!</v>
      </c>
      <c r="N530" s="129" t="e">
        <f>VLOOKUP(VALUE($B530),test_out_xwalk!$C:$L,8,FALSE)</f>
        <v>#VALUE!</v>
      </c>
      <c r="O530" s="129" t="e">
        <f>VLOOKUP(VALUE($B530),test_out_xwalk!$C:$L,7,FALSE)</f>
        <v>#VALUE!</v>
      </c>
      <c r="P530" s="129" t="e">
        <f>VLOOKUP(VALUE($B530),test_out_xwalk!$C:$L,4,FALSE)</f>
        <v>#VALUE!</v>
      </c>
      <c r="Q530" s="129" t="e">
        <f>VLOOKUP(VALUE($B530),test_out_xwalk!$C:$L,9,FALSE)</f>
        <v>#VALUE!</v>
      </c>
      <c r="R530" t="e">
        <f>_xlfn.XLOOKUP(VALUE(B530),test_out_xwalk!$C:$C,test_out_xwalk!$A:$A)</f>
        <v>#VALUE!</v>
      </c>
      <c r="T530" s="121" t="str">
        <f>IF('summary_EPA Pond'!$O530="","Check Summary EPA POND worksheet Column O",'summary_EPA Pond'!$O530)</f>
        <v>Check Summary EPA POND worksheet Column O</v>
      </c>
      <c r="U530" s="121" t="str" cm="1">
        <f t="array" ref="U530">IFERROR(_xlfn.TEXTSPLIT(T530,"_"),"")</f>
        <v>Check Summary EPA POND worksheet Column O</v>
      </c>
      <c r="AA530" s="121" t="str" cm="1">
        <f t="array" ref="AA530">IF(W530="","",(_xlfn.TEXTSPLIT(W530,"-")))</f>
        <v/>
      </c>
      <c r="AD530" s="129" t="e">
        <f>VLOOKUP(VALUE($U530),test_out_xwalk!$C:$L,3,FALSE)</f>
        <v>#VALUE!</v>
      </c>
      <c r="AE530" s="129" t="e">
        <f>VLOOKUP(VALUE($U530),test_out_xwalk!$C:$L,5,FALSE)</f>
        <v>#VALUE!</v>
      </c>
      <c r="AF530" s="129" t="e">
        <f>VLOOKUP(VALUE($U530),test_out_xwalk!$C:$L,6,FALSE)</f>
        <v>#VALUE!</v>
      </c>
      <c r="AG530" s="129" t="e">
        <f>VLOOKUP(VALUE($U530),test_out_xwalk!$C:$L,8,FALSE)</f>
        <v>#VALUE!</v>
      </c>
      <c r="AH530" s="129" t="e">
        <f>VLOOKUP(VALUE($U530),test_out_xwalk!$C:$L,7,FALSE)</f>
        <v>#VALUE!</v>
      </c>
      <c r="AI530" s="129" t="e">
        <f>VLOOKUP(VALUE($U530),test_out_xwalk!$C:$L,4,FALSE)</f>
        <v>#VALUE!</v>
      </c>
      <c r="AJ530" s="129" t="e">
        <f>VLOOKUP(VALUE($U530),test_out_xwalk!$C:$L,9,FALSE)</f>
        <v>#VALUE!</v>
      </c>
      <c r="AK530" t="e">
        <f>_xlfn.XLOOKUP(VALUE(U530),test_out_xwalk!C:C,test_out_xwalk!A:A)</f>
        <v>#VALUE!</v>
      </c>
    </row>
    <row r="531" spans="1:37" x14ac:dyDescent="0.55000000000000004">
      <c r="A531" s="121" t="str">
        <f>IF('summary_EPA Pond'!$A531="","Check Summary EPA POND worksheet Column A",'summary_EPA Pond'!$A531)</f>
        <v>Check Summary EPA POND worksheet Column A</v>
      </c>
      <c r="B531" s="121" t="str" cm="1">
        <f t="array" ref="B531">IFERROR(_xlfn.TEXTSPLIT(A531,"_"),"")</f>
        <v>Check Summary EPA POND worksheet Column A</v>
      </c>
      <c r="H531" s="121" t="str" cm="1">
        <f t="array" ref="H531">IF(D531="","",(_xlfn.TEXTSPLIT(D531,"-")))</f>
        <v/>
      </c>
      <c r="K531" s="129" t="e">
        <f>VLOOKUP(VALUE($B531),test_out_xwalk!$C:$L,3,FALSE)</f>
        <v>#VALUE!</v>
      </c>
      <c r="L531" s="129" t="e">
        <f>VLOOKUP(VALUE($B531),test_out_xwalk!$C:$L,5,FALSE)</f>
        <v>#VALUE!</v>
      </c>
      <c r="M531" s="129" t="e">
        <f>VLOOKUP(VALUE($B531),test_out_xwalk!$C:$L,6,FALSE)</f>
        <v>#VALUE!</v>
      </c>
      <c r="N531" s="129" t="e">
        <f>VLOOKUP(VALUE($B531),test_out_xwalk!$C:$L,8,FALSE)</f>
        <v>#VALUE!</v>
      </c>
      <c r="O531" s="129" t="e">
        <f>VLOOKUP(VALUE($B531),test_out_xwalk!$C:$L,7,FALSE)</f>
        <v>#VALUE!</v>
      </c>
      <c r="P531" s="129" t="e">
        <f>VLOOKUP(VALUE($B531),test_out_xwalk!$C:$L,4,FALSE)</f>
        <v>#VALUE!</v>
      </c>
      <c r="Q531" s="129" t="e">
        <f>VLOOKUP(VALUE($B531),test_out_xwalk!$C:$L,9,FALSE)</f>
        <v>#VALUE!</v>
      </c>
      <c r="R531" t="e">
        <f>_xlfn.XLOOKUP(VALUE(B531),test_out_xwalk!$C:$C,test_out_xwalk!$A:$A)</f>
        <v>#VALUE!</v>
      </c>
      <c r="T531" s="121" t="str">
        <f>IF('summary_EPA Pond'!$O531="","Check Summary EPA POND worksheet Column O",'summary_EPA Pond'!$O531)</f>
        <v>Check Summary EPA POND worksheet Column O</v>
      </c>
      <c r="U531" s="121" t="str" cm="1">
        <f t="array" ref="U531">IFERROR(_xlfn.TEXTSPLIT(T531,"_"),"")</f>
        <v>Check Summary EPA POND worksheet Column O</v>
      </c>
      <c r="AA531" s="121" t="str" cm="1">
        <f t="array" ref="AA531">IF(W531="","",(_xlfn.TEXTSPLIT(W531,"-")))</f>
        <v/>
      </c>
      <c r="AD531" s="129" t="e">
        <f>VLOOKUP(VALUE($U531),test_out_xwalk!$C:$L,3,FALSE)</f>
        <v>#VALUE!</v>
      </c>
      <c r="AE531" s="129" t="e">
        <f>VLOOKUP(VALUE($U531),test_out_xwalk!$C:$L,5,FALSE)</f>
        <v>#VALUE!</v>
      </c>
      <c r="AF531" s="129" t="e">
        <f>VLOOKUP(VALUE($U531),test_out_xwalk!$C:$L,6,FALSE)</f>
        <v>#VALUE!</v>
      </c>
      <c r="AG531" s="129" t="e">
        <f>VLOOKUP(VALUE($U531),test_out_xwalk!$C:$L,8,FALSE)</f>
        <v>#VALUE!</v>
      </c>
      <c r="AH531" s="129" t="e">
        <f>VLOOKUP(VALUE($U531),test_out_xwalk!$C:$L,7,FALSE)</f>
        <v>#VALUE!</v>
      </c>
      <c r="AI531" s="129" t="e">
        <f>VLOOKUP(VALUE($U531),test_out_xwalk!$C:$L,4,FALSE)</f>
        <v>#VALUE!</v>
      </c>
      <c r="AJ531" s="129" t="e">
        <f>VLOOKUP(VALUE($U531),test_out_xwalk!$C:$L,9,FALSE)</f>
        <v>#VALUE!</v>
      </c>
      <c r="AK531" t="e">
        <f>_xlfn.XLOOKUP(VALUE(U531),test_out_xwalk!C:C,test_out_xwalk!A:A)</f>
        <v>#VALUE!</v>
      </c>
    </row>
    <row r="532" spans="1:37" x14ac:dyDescent="0.55000000000000004">
      <c r="A532" s="121" t="str">
        <f>IF('summary_EPA Pond'!$A532="","Check Summary EPA POND worksheet Column A",'summary_EPA Pond'!$A532)</f>
        <v>Check Summary EPA POND worksheet Column A</v>
      </c>
      <c r="B532" s="121" t="str" cm="1">
        <f t="array" ref="B532">IFERROR(_xlfn.TEXTSPLIT(A532,"_"),"")</f>
        <v>Check Summary EPA POND worksheet Column A</v>
      </c>
      <c r="H532" s="121" t="str" cm="1">
        <f t="array" ref="H532">IF(D532="","",(_xlfn.TEXTSPLIT(D532,"-")))</f>
        <v/>
      </c>
      <c r="K532" s="129" t="e">
        <f>VLOOKUP(VALUE($B532),test_out_xwalk!$C:$L,3,FALSE)</f>
        <v>#VALUE!</v>
      </c>
      <c r="L532" s="129" t="e">
        <f>VLOOKUP(VALUE($B532),test_out_xwalk!$C:$L,5,FALSE)</f>
        <v>#VALUE!</v>
      </c>
      <c r="M532" s="129" t="e">
        <f>VLOOKUP(VALUE($B532),test_out_xwalk!$C:$L,6,FALSE)</f>
        <v>#VALUE!</v>
      </c>
      <c r="N532" s="129" t="e">
        <f>VLOOKUP(VALUE($B532),test_out_xwalk!$C:$L,8,FALSE)</f>
        <v>#VALUE!</v>
      </c>
      <c r="O532" s="129" t="e">
        <f>VLOOKUP(VALUE($B532),test_out_xwalk!$C:$L,7,FALSE)</f>
        <v>#VALUE!</v>
      </c>
      <c r="P532" s="129" t="e">
        <f>VLOOKUP(VALUE($B532),test_out_xwalk!$C:$L,4,FALSE)</f>
        <v>#VALUE!</v>
      </c>
      <c r="Q532" s="129" t="e">
        <f>VLOOKUP(VALUE($B532),test_out_xwalk!$C:$L,9,FALSE)</f>
        <v>#VALUE!</v>
      </c>
      <c r="R532" t="e">
        <f>_xlfn.XLOOKUP(VALUE(B532),test_out_xwalk!$C:$C,test_out_xwalk!$A:$A)</f>
        <v>#VALUE!</v>
      </c>
      <c r="T532" s="121" t="str">
        <f>IF('summary_EPA Pond'!$O532="","Check Summary EPA POND worksheet Column O",'summary_EPA Pond'!$O532)</f>
        <v>Check Summary EPA POND worksheet Column O</v>
      </c>
      <c r="U532" s="121" t="str" cm="1">
        <f t="array" ref="U532">IFERROR(_xlfn.TEXTSPLIT(T532,"_"),"")</f>
        <v>Check Summary EPA POND worksheet Column O</v>
      </c>
      <c r="AA532" s="121" t="str" cm="1">
        <f t="array" ref="AA532">IF(W532="","",(_xlfn.TEXTSPLIT(W532,"-")))</f>
        <v/>
      </c>
      <c r="AD532" s="129" t="e">
        <f>VLOOKUP(VALUE($U532),test_out_xwalk!$C:$L,3,FALSE)</f>
        <v>#VALUE!</v>
      </c>
      <c r="AE532" s="129" t="e">
        <f>VLOOKUP(VALUE($U532),test_out_xwalk!$C:$L,5,FALSE)</f>
        <v>#VALUE!</v>
      </c>
      <c r="AF532" s="129" t="e">
        <f>VLOOKUP(VALUE($U532),test_out_xwalk!$C:$L,6,FALSE)</f>
        <v>#VALUE!</v>
      </c>
      <c r="AG532" s="129" t="e">
        <f>VLOOKUP(VALUE($U532),test_out_xwalk!$C:$L,8,FALSE)</f>
        <v>#VALUE!</v>
      </c>
      <c r="AH532" s="129" t="e">
        <f>VLOOKUP(VALUE($U532),test_out_xwalk!$C:$L,7,FALSE)</f>
        <v>#VALUE!</v>
      </c>
      <c r="AI532" s="129" t="e">
        <f>VLOOKUP(VALUE($U532),test_out_xwalk!$C:$L,4,FALSE)</f>
        <v>#VALUE!</v>
      </c>
      <c r="AJ532" s="129" t="e">
        <f>VLOOKUP(VALUE($U532),test_out_xwalk!$C:$L,9,FALSE)</f>
        <v>#VALUE!</v>
      </c>
      <c r="AK532" t="e">
        <f>_xlfn.XLOOKUP(VALUE(U532),test_out_xwalk!C:C,test_out_xwalk!A:A)</f>
        <v>#VALUE!</v>
      </c>
    </row>
    <row r="533" spans="1:37" x14ac:dyDescent="0.55000000000000004">
      <c r="A533" s="121" t="str">
        <f>IF('summary_EPA Pond'!$A533="","Check Summary EPA POND worksheet Column A",'summary_EPA Pond'!$A533)</f>
        <v>Check Summary EPA POND worksheet Column A</v>
      </c>
      <c r="B533" s="121" t="str" cm="1">
        <f t="array" ref="B533">IFERROR(_xlfn.TEXTSPLIT(A533,"_"),"")</f>
        <v>Check Summary EPA POND worksheet Column A</v>
      </c>
      <c r="H533" s="121" t="str" cm="1">
        <f t="array" ref="H533">IF(D533="","",(_xlfn.TEXTSPLIT(D533,"-")))</f>
        <v/>
      </c>
      <c r="K533" s="129" t="e">
        <f>VLOOKUP(VALUE($B533),test_out_xwalk!$C:$L,3,FALSE)</f>
        <v>#VALUE!</v>
      </c>
      <c r="L533" s="129" t="e">
        <f>VLOOKUP(VALUE($B533),test_out_xwalk!$C:$L,5,FALSE)</f>
        <v>#VALUE!</v>
      </c>
      <c r="M533" s="129" t="e">
        <f>VLOOKUP(VALUE($B533),test_out_xwalk!$C:$L,6,FALSE)</f>
        <v>#VALUE!</v>
      </c>
      <c r="N533" s="129" t="e">
        <f>VLOOKUP(VALUE($B533),test_out_xwalk!$C:$L,8,FALSE)</f>
        <v>#VALUE!</v>
      </c>
      <c r="O533" s="129" t="e">
        <f>VLOOKUP(VALUE($B533),test_out_xwalk!$C:$L,7,FALSE)</f>
        <v>#VALUE!</v>
      </c>
      <c r="P533" s="129" t="e">
        <f>VLOOKUP(VALUE($B533),test_out_xwalk!$C:$L,4,FALSE)</f>
        <v>#VALUE!</v>
      </c>
      <c r="Q533" s="129" t="e">
        <f>VLOOKUP(VALUE($B533),test_out_xwalk!$C:$L,9,FALSE)</f>
        <v>#VALUE!</v>
      </c>
      <c r="R533" t="e">
        <f>_xlfn.XLOOKUP(VALUE(B533),test_out_xwalk!$C:$C,test_out_xwalk!$A:$A)</f>
        <v>#VALUE!</v>
      </c>
      <c r="T533" s="121" t="str">
        <f>IF('summary_EPA Pond'!$O533="","Check Summary EPA POND worksheet Column O",'summary_EPA Pond'!$O533)</f>
        <v>Check Summary EPA POND worksheet Column O</v>
      </c>
      <c r="U533" s="121" t="str" cm="1">
        <f t="array" ref="U533">IFERROR(_xlfn.TEXTSPLIT(T533,"_"),"")</f>
        <v>Check Summary EPA POND worksheet Column O</v>
      </c>
      <c r="AA533" s="121" t="str" cm="1">
        <f t="array" ref="AA533">IF(W533="","",(_xlfn.TEXTSPLIT(W533,"-")))</f>
        <v/>
      </c>
      <c r="AD533" s="129" t="e">
        <f>VLOOKUP(VALUE($U533),test_out_xwalk!$C:$L,3,FALSE)</f>
        <v>#VALUE!</v>
      </c>
      <c r="AE533" s="129" t="e">
        <f>VLOOKUP(VALUE($U533),test_out_xwalk!$C:$L,5,FALSE)</f>
        <v>#VALUE!</v>
      </c>
      <c r="AF533" s="129" t="e">
        <f>VLOOKUP(VALUE($U533),test_out_xwalk!$C:$L,6,FALSE)</f>
        <v>#VALUE!</v>
      </c>
      <c r="AG533" s="129" t="e">
        <f>VLOOKUP(VALUE($U533),test_out_xwalk!$C:$L,8,FALSE)</f>
        <v>#VALUE!</v>
      </c>
      <c r="AH533" s="129" t="e">
        <f>VLOOKUP(VALUE($U533),test_out_xwalk!$C:$L,7,FALSE)</f>
        <v>#VALUE!</v>
      </c>
      <c r="AI533" s="129" t="e">
        <f>VLOOKUP(VALUE($U533),test_out_xwalk!$C:$L,4,FALSE)</f>
        <v>#VALUE!</v>
      </c>
      <c r="AJ533" s="129" t="e">
        <f>VLOOKUP(VALUE($U533),test_out_xwalk!$C:$L,9,FALSE)</f>
        <v>#VALUE!</v>
      </c>
      <c r="AK533" t="e">
        <f>_xlfn.XLOOKUP(VALUE(U533),test_out_xwalk!C:C,test_out_xwalk!A:A)</f>
        <v>#VALUE!</v>
      </c>
    </row>
    <row r="534" spans="1:37" x14ac:dyDescent="0.55000000000000004">
      <c r="A534" s="121" t="str">
        <f>IF('summary_EPA Pond'!$A534="","Check Summary EPA POND worksheet Column A",'summary_EPA Pond'!$A534)</f>
        <v>Check Summary EPA POND worksheet Column A</v>
      </c>
      <c r="B534" s="121" t="str" cm="1">
        <f t="array" ref="B534">IFERROR(_xlfn.TEXTSPLIT(A534,"_"),"")</f>
        <v>Check Summary EPA POND worksheet Column A</v>
      </c>
      <c r="H534" s="121" t="str" cm="1">
        <f t="array" ref="H534">IF(D534="","",(_xlfn.TEXTSPLIT(D534,"-")))</f>
        <v/>
      </c>
      <c r="K534" s="129" t="e">
        <f>VLOOKUP(VALUE($B534),test_out_xwalk!$C:$L,3,FALSE)</f>
        <v>#VALUE!</v>
      </c>
      <c r="L534" s="129" t="e">
        <f>VLOOKUP(VALUE($B534),test_out_xwalk!$C:$L,5,FALSE)</f>
        <v>#VALUE!</v>
      </c>
      <c r="M534" s="129" t="e">
        <f>VLOOKUP(VALUE($B534),test_out_xwalk!$C:$L,6,FALSE)</f>
        <v>#VALUE!</v>
      </c>
      <c r="N534" s="129" t="e">
        <f>VLOOKUP(VALUE($B534),test_out_xwalk!$C:$L,8,FALSE)</f>
        <v>#VALUE!</v>
      </c>
      <c r="O534" s="129" t="e">
        <f>VLOOKUP(VALUE($B534),test_out_xwalk!$C:$L,7,FALSE)</f>
        <v>#VALUE!</v>
      </c>
      <c r="P534" s="129" t="e">
        <f>VLOOKUP(VALUE($B534),test_out_xwalk!$C:$L,4,FALSE)</f>
        <v>#VALUE!</v>
      </c>
      <c r="Q534" s="129" t="e">
        <f>VLOOKUP(VALUE($B534),test_out_xwalk!$C:$L,9,FALSE)</f>
        <v>#VALUE!</v>
      </c>
      <c r="R534" t="e">
        <f>_xlfn.XLOOKUP(VALUE(B534),test_out_xwalk!$C:$C,test_out_xwalk!$A:$A)</f>
        <v>#VALUE!</v>
      </c>
      <c r="T534" s="121" t="str">
        <f>IF('summary_EPA Pond'!$O534="","Check Summary EPA POND worksheet Column O",'summary_EPA Pond'!$O534)</f>
        <v>Check Summary EPA POND worksheet Column O</v>
      </c>
      <c r="U534" s="121" t="str" cm="1">
        <f t="array" ref="U534">IFERROR(_xlfn.TEXTSPLIT(T534,"_"),"")</f>
        <v>Check Summary EPA POND worksheet Column O</v>
      </c>
      <c r="AA534" s="121" t="str" cm="1">
        <f t="array" ref="AA534">IF(W534="","",(_xlfn.TEXTSPLIT(W534,"-")))</f>
        <v/>
      </c>
      <c r="AD534" s="129" t="e">
        <f>VLOOKUP(VALUE($U534),test_out_xwalk!$C:$L,3,FALSE)</f>
        <v>#VALUE!</v>
      </c>
      <c r="AE534" s="129" t="e">
        <f>VLOOKUP(VALUE($U534),test_out_xwalk!$C:$L,5,FALSE)</f>
        <v>#VALUE!</v>
      </c>
      <c r="AF534" s="129" t="e">
        <f>VLOOKUP(VALUE($U534),test_out_xwalk!$C:$L,6,FALSE)</f>
        <v>#VALUE!</v>
      </c>
      <c r="AG534" s="129" t="e">
        <f>VLOOKUP(VALUE($U534),test_out_xwalk!$C:$L,8,FALSE)</f>
        <v>#VALUE!</v>
      </c>
      <c r="AH534" s="129" t="e">
        <f>VLOOKUP(VALUE($U534),test_out_xwalk!$C:$L,7,FALSE)</f>
        <v>#VALUE!</v>
      </c>
      <c r="AI534" s="129" t="e">
        <f>VLOOKUP(VALUE($U534),test_out_xwalk!$C:$L,4,FALSE)</f>
        <v>#VALUE!</v>
      </c>
      <c r="AJ534" s="129" t="e">
        <f>VLOOKUP(VALUE($U534),test_out_xwalk!$C:$L,9,FALSE)</f>
        <v>#VALUE!</v>
      </c>
      <c r="AK534" t="e">
        <f>_xlfn.XLOOKUP(VALUE(U534),test_out_xwalk!C:C,test_out_xwalk!A:A)</f>
        <v>#VALUE!</v>
      </c>
    </row>
    <row r="535" spans="1:37" x14ac:dyDescent="0.55000000000000004">
      <c r="A535" s="121" t="str">
        <f>IF('summary_EPA Pond'!$A535="","Check Summary EPA POND worksheet Column A",'summary_EPA Pond'!$A535)</f>
        <v>Check Summary EPA POND worksheet Column A</v>
      </c>
      <c r="B535" s="121" t="str" cm="1">
        <f t="array" ref="B535">IFERROR(_xlfn.TEXTSPLIT(A535,"_"),"")</f>
        <v>Check Summary EPA POND worksheet Column A</v>
      </c>
      <c r="H535" s="121" t="str" cm="1">
        <f t="array" ref="H535">IF(D535="","",(_xlfn.TEXTSPLIT(D535,"-")))</f>
        <v/>
      </c>
      <c r="K535" s="129" t="e">
        <f>VLOOKUP(VALUE($B535),test_out_xwalk!$C:$L,3,FALSE)</f>
        <v>#VALUE!</v>
      </c>
      <c r="L535" s="129" t="e">
        <f>VLOOKUP(VALUE($B535),test_out_xwalk!$C:$L,5,FALSE)</f>
        <v>#VALUE!</v>
      </c>
      <c r="M535" s="129" t="e">
        <f>VLOOKUP(VALUE($B535),test_out_xwalk!$C:$L,6,FALSE)</f>
        <v>#VALUE!</v>
      </c>
      <c r="N535" s="129" t="e">
        <f>VLOOKUP(VALUE($B535),test_out_xwalk!$C:$L,8,FALSE)</f>
        <v>#VALUE!</v>
      </c>
      <c r="O535" s="129" t="e">
        <f>VLOOKUP(VALUE($B535),test_out_xwalk!$C:$L,7,FALSE)</f>
        <v>#VALUE!</v>
      </c>
      <c r="P535" s="129" t="e">
        <f>VLOOKUP(VALUE($B535),test_out_xwalk!$C:$L,4,FALSE)</f>
        <v>#VALUE!</v>
      </c>
      <c r="Q535" s="129" t="e">
        <f>VLOOKUP(VALUE($B535),test_out_xwalk!$C:$L,9,FALSE)</f>
        <v>#VALUE!</v>
      </c>
      <c r="R535" t="e">
        <f>_xlfn.XLOOKUP(VALUE(B535),test_out_xwalk!$C:$C,test_out_xwalk!$A:$A)</f>
        <v>#VALUE!</v>
      </c>
      <c r="T535" s="121" t="str">
        <f>IF('summary_EPA Pond'!$O535="","Check Summary EPA POND worksheet Column O",'summary_EPA Pond'!$O535)</f>
        <v>Check Summary EPA POND worksheet Column O</v>
      </c>
      <c r="U535" s="121" t="str" cm="1">
        <f t="array" ref="U535">IFERROR(_xlfn.TEXTSPLIT(T535,"_"),"")</f>
        <v>Check Summary EPA POND worksheet Column O</v>
      </c>
      <c r="AA535" s="121" t="str" cm="1">
        <f t="array" ref="AA535">IF(W535="","",(_xlfn.TEXTSPLIT(W535,"-")))</f>
        <v/>
      </c>
      <c r="AD535" s="129" t="e">
        <f>VLOOKUP(VALUE($U535),test_out_xwalk!$C:$L,3,FALSE)</f>
        <v>#VALUE!</v>
      </c>
      <c r="AE535" s="129" t="e">
        <f>VLOOKUP(VALUE($U535),test_out_xwalk!$C:$L,5,FALSE)</f>
        <v>#VALUE!</v>
      </c>
      <c r="AF535" s="129" t="e">
        <f>VLOOKUP(VALUE($U535),test_out_xwalk!$C:$L,6,FALSE)</f>
        <v>#VALUE!</v>
      </c>
      <c r="AG535" s="129" t="e">
        <f>VLOOKUP(VALUE($U535),test_out_xwalk!$C:$L,8,FALSE)</f>
        <v>#VALUE!</v>
      </c>
      <c r="AH535" s="129" t="e">
        <f>VLOOKUP(VALUE($U535),test_out_xwalk!$C:$L,7,FALSE)</f>
        <v>#VALUE!</v>
      </c>
      <c r="AI535" s="129" t="e">
        <f>VLOOKUP(VALUE($U535),test_out_xwalk!$C:$L,4,FALSE)</f>
        <v>#VALUE!</v>
      </c>
      <c r="AJ535" s="129" t="e">
        <f>VLOOKUP(VALUE($U535),test_out_xwalk!$C:$L,9,FALSE)</f>
        <v>#VALUE!</v>
      </c>
      <c r="AK535" t="e">
        <f>_xlfn.XLOOKUP(VALUE(U535),test_out_xwalk!C:C,test_out_xwalk!A:A)</f>
        <v>#VALUE!</v>
      </c>
    </row>
    <row r="536" spans="1:37" x14ac:dyDescent="0.55000000000000004">
      <c r="A536" s="121" t="str">
        <f>IF('summary_EPA Pond'!$A536="","Check Summary EPA POND worksheet Column A",'summary_EPA Pond'!$A536)</f>
        <v>Check Summary EPA POND worksheet Column A</v>
      </c>
      <c r="B536" s="121" t="str" cm="1">
        <f t="array" ref="B536">IFERROR(_xlfn.TEXTSPLIT(A536,"_"),"")</f>
        <v>Check Summary EPA POND worksheet Column A</v>
      </c>
      <c r="H536" s="121" t="str" cm="1">
        <f t="array" ref="H536">IF(D536="","",(_xlfn.TEXTSPLIT(D536,"-")))</f>
        <v/>
      </c>
      <c r="K536" s="129" t="e">
        <f>VLOOKUP(VALUE($B536),test_out_xwalk!$C:$L,3,FALSE)</f>
        <v>#VALUE!</v>
      </c>
      <c r="L536" s="129" t="e">
        <f>VLOOKUP(VALUE($B536),test_out_xwalk!$C:$L,5,FALSE)</f>
        <v>#VALUE!</v>
      </c>
      <c r="M536" s="129" t="e">
        <f>VLOOKUP(VALUE($B536),test_out_xwalk!$C:$L,6,FALSE)</f>
        <v>#VALUE!</v>
      </c>
      <c r="N536" s="129" t="e">
        <f>VLOOKUP(VALUE($B536),test_out_xwalk!$C:$L,8,FALSE)</f>
        <v>#VALUE!</v>
      </c>
      <c r="O536" s="129" t="e">
        <f>VLOOKUP(VALUE($B536),test_out_xwalk!$C:$L,7,FALSE)</f>
        <v>#VALUE!</v>
      </c>
      <c r="P536" s="129" t="e">
        <f>VLOOKUP(VALUE($B536),test_out_xwalk!$C:$L,4,FALSE)</f>
        <v>#VALUE!</v>
      </c>
      <c r="Q536" s="129" t="e">
        <f>VLOOKUP(VALUE($B536),test_out_xwalk!$C:$L,9,FALSE)</f>
        <v>#VALUE!</v>
      </c>
      <c r="R536" t="e">
        <f>_xlfn.XLOOKUP(VALUE(B536),test_out_xwalk!$C:$C,test_out_xwalk!$A:$A)</f>
        <v>#VALUE!</v>
      </c>
      <c r="T536" s="121" t="str">
        <f>IF('summary_EPA Pond'!$O536="","Check Summary EPA POND worksheet Column O",'summary_EPA Pond'!$O536)</f>
        <v>Check Summary EPA POND worksheet Column O</v>
      </c>
      <c r="U536" s="121" t="str" cm="1">
        <f t="array" ref="U536">IFERROR(_xlfn.TEXTSPLIT(T536,"_"),"")</f>
        <v>Check Summary EPA POND worksheet Column O</v>
      </c>
      <c r="AA536" s="121" t="str" cm="1">
        <f t="array" ref="AA536">IF(W536="","",(_xlfn.TEXTSPLIT(W536,"-")))</f>
        <v/>
      </c>
      <c r="AD536" s="129" t="e">
        <f>VLOOKUP(VALUE($U536),test_out_xwalk!$C:$L,3,FALSE)</f>
        <v>#VALUE!</v>
      </c>
      <c r="AE536" s="129" t="e">
        <f>VLOOKUP(VALUE($U536),test_out_xwalk!$C:$L,5,FALSE)</f>
        <v>#VALUE!</v>
      </c>
      <c r="AF536" s="129" t="e">
        <f>VLOOKUP(VALUE($U536),test_out_xwalk!$C:$L,6,FALSE)</f>
        <v>#VALUE!</v>
      </c>
      <c r="AG536" s="129" t="e">
        <f>VLOOKUP(VALUE($U536),test_out_xwalk!$C:$L,8,FALSE)</f>
        <v>#VALUE!</v>
      </c>
      <c r="AH536" s="129" t="e">
        <f>VLOOKUP(VALUE($U536),test_out_xwalk!$C:$L,7,FALSE)</f>
        <v>#VALUE!</v>
      </c>
      <c r="AI536" s="129" t="e">
        <f>VLOOKUP(VALUE($U536),test_out_xwalk!$C:$L,4,FALSE)</f>
        <v>#VALUE!</v>
      </c>
      <c r="AJ536" s="129" t="e">
        <f>VLOOKUP(VALUE($U536),test_out_xwalk!$C:$L,9,FALSE)</f>
        <v>#VALUE!</v>
      </c>
      <c r="AK536" t="e">
        <f>_xlfn.XLOOKUP(VALUE(U536),test_out_xwalk!C:C,test_out_xwalk!A:A)</f>
        <v>#VALUE!</v>
      </c>
    </row>
    <row r="537" spans="1:37" x14ac:dyDescent="0.55000000000000004">
      <c r="A537" s="121" t="str">
        <f>IF('summary_EPA Pond'!$A537="","Check Summary EPA POND worksheet Column A",'summary_EPA Pond'!$A537)</f>
        <v>Check Summary EPA POND worksheet Column A</v>
      </c>
      <c r="B537" s="121" t="str" cm="1">
        <f t="array" ref="B537">IFERROR(_xlfn.TEXTSPLIT(A537,"_"),"")</f>
        <v>Check Summary EPA POND worksheet Column A</v>
      </c>
      <c r="H537" s="121" t="str" cm="1">
        <f t="array" ref="H537">IF(D537="","",(_xlfn.TEXTSPLIT(D537,"-")))</f>
        <v/>
      </c>
      <c r="K537" s="129" t="e">
        <f>VLOOKUP(VALUE($B537),test_out_xwalk!$C:$L,3,FALSE)</f>
        <v>#VALUE!</v>
      </c>
      <c r="L537" s="129" t="e">
        <f>VLOOKUP(VALUE($B537),test_out_xwalk!$C:$L,5,FALSE)</f>
        <v>#VALUE!</v>
      </c>
      <c r="M537" s="129" t="e">
        <f>VLOOKUP(VALUE($B537),test_out_xwalk!$C:$L,6,FALSE)</f>
        <v>#VALUE!</v>
      </c>
      <c r="N537" s="129" t="e">
        <f>VLOOKUP(VALUE($B537),test_out_xwalk!$C:$L,8,FALSE)</f>
        <v>#VALUE!</v>
      </c>
      <c r="O537" s="129" t="e">
        <f>VLOOKUP(VALUE($B537),test_out_xwalk!$C:$L,7,FALSE)</f>
        <v>#VALUE!</v>
      </c>
      <c r="P537" s="129" t="e">
        <f>VLOOKUP(VALUE($B537),test_out_xwalk!$C:$L,4,FALSE)</f>
        <v>#VALUE!</v>
      </c>
      <c r="Q537" s="129" t="e">
        <f>VLOOKUP(VALUE($B537),test_out_xwalk!$C:$L,9,FALSE)</f>
        <v>#VALUE!</v>
      </c>
      <c r="R537" t="e">
        <f>_xlfn.XLOOKUP(VALUE(B537),test_out_xwalk!$C:$C,test_out_xwalk!$A:$A)</f>
        <v>#VALUE!</v>
      </c>
      <c r="T537" s="121" t="str">
        <f>IF('summary_EPA Pond'!$O537="","Check Summary EPA POND worksheet Column O",'summary_EPA Pond'!$O537)</f>
        <v>Check Summary EPA POND worksheet Column O</v>
      </c>
      <c r="U537" s="121" t="str" cm="1">
        <f t="array" ref="U537">IFERROR(_xlfn.TEXTSPLIT(T537,"_"),"")</f>
        <v>Check Summary EPA POND worksheet Column O</v>
      </c>
      <c r="AA537" s="121" t="str" cm="1">
        <f t="array" ref="AA537">IF(W537="","",(_xlfn.TEXTSPLIT(W537,"-")))</f>
        <v/>
      </c>
      <c r="AD537" s="129" t="e">
        <f>VLOOKUP(VALUE($U537),test_out_xwalk!$C:$L,3,FALSE)</f>
        <v>#VALUE!</v>
      </c>
      <c r="AE537" s="129" t="e">
        <f>VLOOKUP(VALUE($U537),test_out_xwalk!$C:$L,5,FALSE)</f>
        <v>#VALUE!</v>
      </c>
      <c r="AF537" s="129" t="e">
        <f>VLOOKUP(VALUE($U537),test_out_xwalk!$C:$L,6,FALSE)</f>
        <v>#VALUE!</v>
      </c>
      <c r="AG537" s="129" t="e">
        <f>VLOOKUP(VALUE($U537),test_out_xwalk!$C:$L,8,FALSE)</f>
        <v>#VALUE!</v>
      </c>
      <c r="AH537" s="129" t="e">
        <f>VLOOKUP(VALUE($U537),test_out_xwalk!$C:$L,7,FALSE)</f>
        <v>#VALUE!</v>
      </c>
      <c r="AI537" s="129" t="e">
        <f>VLOOKUP(VALUE($U537),test_out_xwalk!$C:$L,4,FALSE)</f>
        <v>#VALUE!</v>
      </c>
      <c r="AJ537" s="129" t="e">
        <f>VLOOKUP(VALUE($U537),test_out_xwalk!$C:$L,9,FALSE)</f>
        <v>#VALUE!</v>
      </c>
      <c r="AK537" t="e">
        <f>_xlfn.XLOOKUP(VALUE(U537),test_out_xwalk!C:C,test_out_xwalk!A:A)</f>
        <v>#VALUE!</v>
      </c>
    </row>
    <row r="538" spans="1:37" x14ac:dyDescent="0.55000000000000004">
      <c r="A538" s="121" t="str">
        <f>IF('summary_EPA Pond'!$A538="","Check Summary EPA POND worksheet Column A",'summary_EPA Pond'!$A538)</f>
        <v>Check Summary EPA POND worksheet Column A</v>
      </c>
      <c r="B538" s="121" t="str" cm="1">
        <f t="array" ref="B538">IFERROR(_xlfn.TEXTSPLIT(A538,"_"),"")</f>
        <v>Check Summary EPA POND worksheet Column A</v>
      </c>
      <c r="H538" s="121" t="str" cm="1">
        <f t="array" ref="H538">IF(D538="","",(_xlfn.TEXTSPLIT(D538,"-")))</f>
        <v/>
      </c>
      <c r="K538" s="129" t="e">
        <f>VLOOKUP(VALUE($B538),test_out_xwalk!$C:$L,3,FALSE)</f>
        <v>#VALUE!</v>
      </c>
      <c r="L538" s="129" t="e">
        <f>VLOOKUP(VALUE($B538),test_out_xwalk!$C:$L,5,FALSE)</f>
        <v>#VALUE!</v>
      </c>
      <c r="M538" s="129" t="e">
        <f>VLOOKUP(VALUE($B538),test_out_xwalk!$C:$L,6,FALSE)</f>
        <v>#VALUE!</v>
      </c>
      <c r="N538" s="129" t="e">
        <f>VLOOKUP(VALUE($B538),test_out_xwalk!$C:$L,8,FALSE)</f>
        <v>#VALUE!</v>
      </c>
      <c r="O538" s="129" t="e">
        <f>VLOOKUP(VALUE($B538),test_out_xwalk!$C:$L,7,FALSE)</f>
        <v>#VALUE!</v>
      </c>
      <c r="P538" s="129" t="e">
        <f>VLOOKUP(VALUE($B538),test_out_xwalk!$C:$L,4,FALSE)</f>
        <v>#VALUE!</v>
      </c>
      <c r="Q538" s="129" t="e">
        <f>VLOOKUP(VALUE($B538),test_out_xwalk!$C:$L,9,FALSE)</f>
        <v>#VALUE!</v>
      </c>
      <c r="R538" t="e">
        <f>_xlfn.XLOOKUP(VALUE(B538),test_out_xwalk!$C:$C,test_out_xwalk!$A:$A)</f>
        <v>#VALUE!</v>
      </c>
      <c r="T538" s="121" t="str">
        <f>IF('summary_EPA Pond'!$O538="","Check Summary EPA POND worksheet Column O",'summary_EPA Pond'!$O538)</f>
        <v>Check Summary EPA POND worksheet Column O</v>
      </c>
      <c r="U538" s="121" t="str" cm="1">
        <f t="array" ref="U538">IFERROR(_xlfn.TEXTSPLIT(T538,"_"),"")</f>
        <v>Check Summary EPA POND worksheet Column O</v>
      </c>
      <c r="AA538" s="121" t="str" cm="1">
        <f t="array" ref="AA538">IF(W538="","",(_xlfn.TEXTSPLIT(W538,"-")))</f>
        <v/>
      </c>
      <c r="AD538" s="129" t="e">
        <f>VLOOKUP(VALUE($U538),test_out_xwalk!$C:$L,3,FALSE)</f>
        <v>#VALUE!</v>
      </c>
      <c r="AE538" s="129" t="e">
        <f>VLOOKUP(VALUE($U538),test_out_xwalk!$C:$L,5,FALSE)</f>
        <v>#VALUE!</v>
      </c>
      <c r="AF538" s="129" t="e">
        <f>VLOOKUP(VALUE($U538),test_out_xwalk!$C:$L,6,FALSE)</f>
        <v>#VALUE!</v>
      </c>
      <c r="AG538" s="129" t="e">
        <f>VLOOKUP(VALUE($U538),test_out_xwalk!$C:$L,8,FALSE)</f>
        <v>#VALUE!</v>
      </c>
      <c r="AH538" s="129" t="e">
        <f>VLOOKUP(VALUE($U538),test_out_xwalk!$C:$L,7,FALSE)</f>
        <v>#VALUE!</v>
      </c>
      <c r="AI538" s="129" t="e">
        <f>VLOOKUP(VALUE($U538),test_out_xwalk!$C:$L,4,FALSE)</f>
        <v>#VALUE!</v>
      </c>
      <c r="AJ538" s="129" t="e">
        <f>VLOOKUP(VALUE($U538),test_out_xwalk!$C:$L,9,FALSE)</f>
        <v>#VALUE!</v>
      </c>
      <c r="AK538" t="e">
        <f>_xlfn.XLOOKUP(VALUE(U538),test_out_xwalk!C:C,test_out_xwalk!A:A)</f>
        <v>#VALUE!</v>
      </c>
    </row>
    <row r="539" spans="1:37" x14ac:dyDescent="0.55000000000000004">
      <c r="A539" s="121" t="str">
        <f>IF('summary_EPA Pond'!$A539="","Check Summary EPA POND worksheet Column A",'summary_EPA Pond'!$A539)</f>
        <v>Check Summary EPA POND worksheet Column A</v>
      </c>
      <c r="B539" s="121" t="str" cm="1">
        <f t="array" ref="B539">IFERROR(_xlfn.TEXTSPLIT(A539,"_"),"")</f>
        <v>Check Summary EPA POND worksheet Column A</v>
      </c>
      <c r="H539" s="121" t="str" cm="1">
        <f t="array" ref="H539">IF(D539="","",(_xlfn.TEXTSPLIT(D539,"-")))</f>
        <v/>
      </c>
      <c r="K539" s="129" t="e">
        <f>VLOOKUP(VALUE($B539),test_out_xwalk!$C:$L,3,FALSE)</f>
        <v>#VALUE!</v>
      </c>
      <c r="L539" s="129" t="e">
        <f>VLOOKUP(VALUE($B539),test_out_xwalk!$C:$L,5,FALSE)</f>
        <v>#VALUE!</v>
      </c>
      <c r="M539" s="129" t="e">
        <f>VLOOKUP(VALUE($B539),test_out_xwalk!$C:$L,6,FALSE)</f>
        <v>#VALUE!</v>
      </c>
      <c r="N539" s="129" t="e">
        <f>VLOOKUP(VALUE($B539),test_out_xwalk!$C:$L,8,FALSE)</f>
        <v>#VALUE!</v>
      </c>
      <c r="O539" s="129" t="e">
        <f>VLOOKUP(VALUE($B539),test_out_xwalk!$C:$L,7,FALSE)</f>
        <v>#VALUE!</v>
      </c>
      <c r="P539" s="129" t="e">
        <f>VLOOKUP(VALUE($B539),test_out_xwalk!$C:$L,4,FALSE)</f>
        <v>#VALUE!</v>
      </c>
      <c r="Q539" s="129" t="e">
        <f>VLOOKUP(VALUE($B539),test_out_xwalk!$C:$L,9,FALSE)</f>
        <v>#VALUE!</v>
      </c>
      <c r="R539" t="e">
        <f>_xlfn.XLOOKUP(VALUE(B539),test_out_xwalk!$C:$C,test_out_xwalk!$A:$A)</f>
        <v>#VALUE!</v>
      </c>
      <c r="T539" s="121" t="str">
        <f>IF('summary_EPA Pond'!$O539="","Check Summary EPA POND worksheet Column O",'summary_EPA Pond'!$O539)</f>
        <v>Check Summary EPA POND worksheet Column O</v>
      </c>
      <c r="U539" s="121" t="str" cm="1">
        <f t="array" ref="U539">IFERROR(_xlfn.TEXTSPLIT(T539,"_"),"")</f>
        <v>Check Summary EPA POND worksheet Column O</v>
      </c>
      <c r="AA539" s="121" t="str" cm="1">
        <f t="array" ref="AA539">IF(W539="","",(_xlfn.TEXTSPLIT(W539,"-")))</f>
        <v/>
      </c>
      <c r="AD539" s="129" t="e">
        <f>VLOOKUP(VALUE($U539),test_out_xwalk!$C:$L,3,FALSE)</f>
        <v>#VALUE!</v>
      </c>
      <c r="AE539" s="129" t="e">
        <f>VLOOKUP(VALUE($U539),test_out_xwalk!$C:$L,5,FALSE)</f>
        <v>#VALUE!</v>
      </c>
      <c r="AF539" s="129" t="e">
        <f>VLOOKUP(VALUE($U539),test_out_xwalk!$C:$L,6,FALSE)</f>
        <v>#VALUE!</v>
      </c>
      <c r="AG539" s="129" t="e">
        <f>VLOOKUP(VALUE($U539),test_out_xwalk!$C:$L,8,FALSE)</f>
        <v>#VALUE!</v>
      </c>
      <c r="AH539" s="129" t="e">
        <f>VLOOKUP(VALUE($U539),test_out_xwalk!$C:$L,7,FALSE)</f>
        <v>#VALUE!</v>
      </c>
      <c r="AI539" s="129" t="e">
        <f>VLOOKUP(VALUE($U539),test_out_xwalk!$C:$L,4,FALSE)</f>
        <v>#VALUE!</v>
      </c>
      <c r="AJ539" s="129" t="e">
        <f>VLOOKUP(VALUE($U539),test_out_xwalk!$C:$L,9,FALSE)</f>
        <v>#VALUE!</v>
      </c>
      <c r="AK539" t="e">
        <f>_xlfn.XLOOKUP(VALUE(U539),test_out_xwalk!C:C,test_out_xwalk!A:A)</f>
        <v>#VALUE!</v>
      </c>
    </row>
    <row r="540" spans="1:37" x14ac:dyDescent="0.55000000000000004">
      <c r="A540" s="121" t="str">
        <f>IF('summary_EPA Pond'!$A540="","Check Summary EPA POND worksheet Column A",'summary_EPA Pond'!$A540)</f>
        <v>Check Summary EPA POND worksheet Column A</v>
      </c>
      <c r="B540" s="121" t="str" cm="1">
        <f t="array" ref="B540">IFERROR(_xlfn.TEXTSPLIT(A540,"_"),"")</f>
        <v>Check Summary EPA POND worksheet Column A</v>
      </c>
      <c r="H540" s="121" t="str" cm="1">
        <f t="array" ref="H540">IF(D540="","",(_xlfn.TEXTSPLIT(D540,"-")))</f>
        <v/>
      </c>
      <c r="K540" s="129" t="e">
        <f>VLOOKUP(VALUE($B540),test_out_xwalk!$C:$L,3,FALSE)</f>
        <v>#VALUE!</v>
      </c>
      <c r="L540" s="129" t="e">
        <f>VLOOKUP(VALUE($B540),test_out_xwalk!$C:$L,5,FALSE)</f>
        <v>#VALUE!</v>
      </c>
      <c r="M540" s="129" t="e">
        <f>VLOOKUP(VALUE($B540),test_out_xwalk!$C:$L,6,FALSE)</f>
        <v>#VALUE!</v>
      </c>
      <c r="N540" s="129" t="e">
        <f>VLOOKUP(VALUE($B540),test_out_xwalk!$C:$L,8,FALSE)</f>
        <v>#VALUE!</v>
      </c>
      <c r="O540" s="129" t="e">
        <f>VLOOKUP(VALUE($B540),test_out_xwalk!$C:$L,7,FALSE)</f>
        <v>#VALUE!</v>
      </c>
      <c r="P540" s="129" t="e">
        <f>VLOOKUP(VALUE($B540),test_out_xwalk!$C:$L,4,FALSE)</f>
        <v>#VALUE!</v>
      </c>
      <c r="Q540" s="129" t="e">
        <f>VLOOKUP(VALUE($B540),test_out_xwalk!$C:$L,9,FALSE)</f>
        <v>#VALUE!</v>
      </c>
      <c r="R540" t="e">
        <f>_xlfn.XLOOKUP(VALUE(B540),test_out_xwalk!$C:$C,test_out_xwalk!$A:$A)</f>
        <v>#VALUE!</v>
      </c>
      <c r="T540" s="121" t="str">
        <f>IF('summary_EPA Pond'!$O540="","Check Summary EPA POND worksheet Column O",'summary_EPA Pond'!$O540)</f>
        <v>Check Summary EPA POND worksheet Column O</v>
      </c>
      <c r="U540" s="121" t="str" cm="1">
        <f t="array" ref="U540">IFERROR(_xlfn.TEXTSPLIT(T540,"_"),"")</f>
        <v>Check Summary EPA POND worksheet Column O</v>
      </c>
      <c r="AA540" s="121" t="str" cm="1">
        <f t="array" ref="AA540">IF(W540="","",(_xlfn.TEXTSPLIT(W540,"-")))</f>
        <v/>
      </c>
      <c r="AD540" s="129" t="e">
        <f>VLOOKUP(VALUE($U540),test_out_xwalk!$C:$L,3,FALSE)</f>
        <v>#VALUE!</v>
      </c>
      <c r="AE540" s="129" t="e">
        <f>VLOOKUP(VALUE($U540),test_out_xwalk!$C:$L,5,FALSE)</f>
        <v>#VALUE!</v>
      </c>
      <c r="AF540" s="129" t="e">
        <f>VLOOKUP(VALUE($U540),test_out_xwalk!$C:$L,6,FALSE)</f>
        <v>#VALUE!</v>
      </c>
      <c r="AG540" s="129" t="e">
        <f>VLOOKUP(VALUE($U540),test_out_xwalk!$C:$L,8,FALSE)</f>
        <v>#VALUE!</v>
      </c>
      <c r="AH540" s="129" t="e">
        <f>VLOOKUP(VALUE($U540),test_out_xwalk!$C:$L,7,FALSE)</f>
        <v>#VALUE!</v>
      </c>
      <c r="AI540" s="129" t="e">
        <f>VLOOKUP(VALUE($U540),test_out_xwalk!$C:$L,4,FALSE)</f>
        <v>#VALUE!</v>
      </c>
      <c r="AJ540" s="129" t="e">
        <f>VLOOKUP(VALUE($U540),test_out_xwalk!$C:$L,9,FALSE)</f>
        <v>#VALUE!</v>
      </c>
      <c r="AK540" t="e">
        <f>_xlfn.XLOOKUP(VALUE(U540),test_out_xwalk!C:C,test_out_xwalk!A:A)</f>
        <v>#VALUE!</v>
      </c>
    </row>
    <row r="541" spans="1:37" x14ac:dyDescent="0.55000000000000004">
      <c r="A541" s="121" t="str">
        <f>IF('summary_EPA Pond'!$A541="","Check Summary EPA POND worksheet Column A",'summary_EPA Pond'!$A541)</f>
        <v>Check Summary EPA POND worksheet Column A</v>
      </c>
      <c r="B541" s="121" t="str" cm="1">
        <f t="array" ref="B541">IFERROR(_xlfn.TEXTSPLIT(A541,"_"),"")</f>
        <v>Check Summary EPA POND worksheet Column A</v>
      </c>
      <c r="H541" s="121" t="str" cm="1">
        <f t="array" ref="H541">IF(D541="","",(_xlfn.TEXTSPLIT(D541,"-")))</f>
        <v/>
      </c>
      <c r="K541" s="129" t="e">
        <f>VLOOKUP(VALUE($B541),test_out_xwalk!$C:$L,3,FALSE)</f>
        <v>#VALUE!</v>
      </c>
      <c r="L541" s="129" t="e">
        <f>VLOOKUP(VALUE($B541),test_out_xwalk!$C:$L,5,FALSE)</f>
        <v>#VALUE!</v>
      </c>
      <c r="M541" s="129" t="e">
        <f>VLOOKUP(VALUE($B541),test_out_xwalk!$C:$L,6,FALSE)</f>
        <v>#VALUE!</v>
      </c>
      <c r="N541" s="129" t="e">
        <f>VLOOKUP(VALUE($B541),test_out_xwalk!$C:$L,8,FALSE)</f>
        <v>#VALUE!</v>
      </c>
      <c r="O541" s="129" t="e">
        <f>VLOOKUP(VALUE($B541),test_out_xwalk!$C:$L,7,FALSE)</f>
        <v>#VALUE!</v>
      </c>
      <c r="P541" s="129" t="e">
        <f>VLOOKUP(VALUE($B541),test_out_xwalk!$C:$L,4,FALSE)</f>
        <v>#VALUE!</v>
      </c>
      <c r="Q541" s="129" t="e">
        <f>VLOOKUP(VALUE($B541),test_out_xwalk!$C:$L,9,FALSE)</f>
        <v>#VALUE!</v>
      </c>
      <c r="R541" t="e">
        <f>_xlfn.XLOOKUP(VALUE(B541),test_out_xwalk!$C:$C,test_out_xwalk!$A:$A)</f>
        <v>#VALUE!</v>
      </c>
      <c r="T541" s="121" t="str">
        <f>IF('summary_EPA Pond'!$O541="","Check Summary EPA POND worksheet Column O",'summary_EPA Pond'!$O541)</f>
        <v>Check Summary EPA POND worksheet Column O</v>
      </c>
      <c r="U541" s="121" t="str" cm="1">
        <f t="array" ref="U541">IFERROR(_xlfn.TEXTSPLIT(T541,"_"),"")</f>
        <v>Check Summary EPA POND worksheet Column O</v>
      </c>
      <c r="AA541" s="121" t="str" cm="1">
        <f t="array" ref="AA541">IF(W541="","",(_xlfn.TEXTSPLIT(W541,"-")))</f>
        <v/>
      </c>
      <c r="AD541" s="129" t="e">
        <f>VLOOKUP(VALUE($U541),test_out_xwalk!$C:$L,3,FALSE)</f>
        <v>#VALUE!</v>
      </c>
      <c r="AE541" s="129" t="e">
        <f>VLOOKUP(VALUE($U541),test_out_xwalk!$C:$L,5,FALSE)</f>
        <v>#VALUE!</v>
      </c>
      <c r="AF541" s="129" t="e">
        <f>VLOOKUP(VALUE($U541),test_out_xwalk!$C:$L,6,FALSE)</f>
        <v>#VALUE!</v>
      </c>
      <c r="AG541" s="129" t="e">
        <f>VLOOKUP(VALUE($U541),test_out_xwalk!$C:$L,8,FALSE)</f>
        <v>#VALUE!</v>
      </c>
      <c r="AH541" s="129" t="e">
        <f>VLOOKUP(VALUE($U541),test_out_xwalk!$C:$L,7,FALSE)</f>
        <v>#VALUE!</v>
      </c>
      <c r="AI541" s="129" t="e">
        <f>VLOOKUP(VALUE($U541),test_out_xwalk!$C:$L,4,FALSE)</f>
        <v>#VALUE!</v>
      </c>
      <c r="AJ541" s="129" t="e">
        <f>VLOOKUP(VALUE($U541),test_out_xwalk!$C:$L,9,FALSE)</f>
        <v>#VALUE!</v>
      </c>
      <c r="AK541" t="e">
        <f>_xlfn.XLOOKUP(VALUE(U541),test_out_xwalk!C:C,test_out_xwalk!A:A)</f>
        <v>#VALUE!</v>
      </c>
    </row>
    <row r="542" spans="1:37" x14ac:dyDescent="0.55000000000000004">
      <c r="A542" s="121" t="str">
        <f>IF('summary_EPA Pond'!$A542="","Check Summary EPA POND worksheet Column A",'summary_EPA Pond'!$A542)</f>
        <v>Check Summary EPA POND worksheet Column A</v>
      </c>
      <c r="B542" s="121" t="str" cm="1">
        <f t="array" ref="B542">IFERROR(_xlfn.TEXTSPLIT(A542,"_"),"")</f>
        <v>Check Summary EPA POND worksheet Column A</v>
      </c>
      <c r="H542" s="121" t="str" cm="1">
        <f t="array" ref="H542">IF(D542="","",(_xlfn.TEXTSPLIT(D542,"-")))</f>
        <v/>
      </c>
      <c r="K542" s="129" t="e">
        <f>VLOOKUP(VALUE($B542),test_out_xwalk!$C:$L,3,FALSE)</f>
        <v>#VALUE!</v>
      </c>
      <c r="L542" s="129" t="e">
        <f>VLOOKUP(VALUE($B542),test_out_xwalk!$C:$L,5,FALSE)</f>
        <v>#VALUE!</v>
      </c>
      <c r="M542" s="129" t="e">
        <f>VLOOKUP(VALUE($B542),test_out_xwalk!$C:$L,6,FALSE)</f>
        <v>#VALUE!</v>
      </c>
      <c r="N542" s="129" t="e">
        <f>VLOOKUP(VALUE($B542),test_out_xwalk!$C:$L,8,FALSE)</f>
        <v>#VALUE!</v>
      </c>
      <c r="O542" s="129" t="e">
        <f>VLOOKUP(VALUE($B542),test_out_xwalk!$C:$L,7,FALSE)</f>
        <v>#VALUE!</v>
      </c>
      <c r="P542" s="129" t="e">
        <f>VLOOKUP(VALUE($B542),test_out_xwalk!$C:$L,4,FALSE)</f>
        <v>#VALUE!</v>
      </c>
      <c r="Q542" s="129" t="e">
        <f>VLOOKUP(VALUE($B542),test_out_xwalk!$C:$L,9,FALSE)</f>
        <v>#VALUE!</v>
      </c>
      <c r="R542" t="e">
        <f>_xlfn.XLOOKUP(VALUE(B542),test_out_xwalk!$C:$C,test_out_xwalk!$A:$A)</f>
        <v>#VALUE!</v>
      </c>
      <c r="T542" s="121" t="str">
        <f>IF('summary_EPA Pond'!$O542="","Check Summary EPA POND worksheet Column O",'summary_EPA Pond'!$O542)</f>
        <v>Check Summary EPA POND worksheet Column O</v>
      </c>
      <c r="U542" s="121" t="str" cm="1">
        <f t="array" ref="U542">IFERROR(_xlfn.TEXTSPLIT(T542,"_"),"")</f>
        <v>Check Summary EPA POND worksheet Column O</v>
      </c>
      <c r="AA542" s="121" t="str" cm="1">
        <f t="array" ref="AA542">IF(W542="","",(_xlfn.TEXTSPLIT(W542,"-")))</f>
        <v/>
      </c>
      <c r="AD542" s="129" t="e">
        <f>VLOOKUP(VALUE($U542),test_out_xwalk!$C:$L,3,FALSE)</f>
        <v>#VALUE!</v>
      </c>
      <c r="AE542" s="129" t="e">
        <f>VLOOKUP(VALUE($U542),test_out_xwalk!$C:$L,5,FALSE)</f>
        <v>#VALUE!</v>
      </c>
      <c r="AF542" s="129" t="e">
        <f>VLOOKUP(VALUE($U542),test_out_xwalk!$C:$L,6,FALSE)</f>
        <v>#VALUE!</v>
      </c>
      <c r="AG542" s="129" t="e">
        <f>VLOOKUP(VALUE($U542),test_out_xwalk!$C:$L,8,FALSE)</f>
        <v>#VALUE!</v>
      </c>
      <c r="AH542" s="129" t="e">
        <f>VLOOKUP(VALUE($U542),test_out_xwalk!$C:$L,7,FALSE)</f>
        <v>#VALUE!</v>
      </c>
      <c r="AI542" s="129" t="e">
        <f>VLOOKUP(VALUE($U542),test_out_xwalk!$C:$L,4,FALSE)</f>
        <v>#VALUE!</v>
      </c>
      <c r="AJ542" s="129" t="e">
        <f>VLOOKUP(VALUE($U542),test_out_xwalk!$C:$L,9,FALSE)</f>
        <v>#VALUE!</v>
      </c>
      <c r="AK542" t="e">
        <f>_xlfn.XLOOKUP(VALUE(U542),test_out_xwalk!C:C,test_out_xwalk!A:A)</f>
        <v>#VALUE!</v>
      </c>
    </row>
    <row r="543" spans="1:37" x14ac:dyDescent="0.55000000000000004">
      <c r="A543" s="121" t="str">
        <f>IF('summary_EPA Pond'!$A543="","Check Summary EPA POND worksheet Column A",'summary_EPA Pond'!$A543)</f>
        <v>Check Summary EPA POND worksheet Column A</v>
      </c>
      <c r="B543" s="121" t="str" cm="1">
        <f t="array" ref="B543">IFERROR(_xlfn.TEXTSPLIT(A543,"_"),"")</f>
        <v>Check Summary EPA POND worksheet Column A</v>
      </c>
      <c r="H543" s="121" t="str" cm="1">
        <f t="array" ref="H543">IF(D543="","",(_xlfn.TEXTSPLIT(D543,"-")))</f>
        <v/>
      </c>
      <c r="K543" s="129" t="e">
        <f>VLOOKUP(VALUE($B543),test_out_xwalk!$C:$L,3,FALSE)</f>
        <v>#VALUE!</v>
      </c>
      <c r="L543" s="129" t="e">
        <f>VLOOKUP(VALUE($B543),test_out_xwalk!$C:$L,5,FALSE)</f>
        <v>#VALUE!</v>
      </c>
      <c r="M543" s="129" t="e">
        <f>VLOOKUP(VALUE($B543),test_out_xwalk!$C:$L,6,FALSE)</f>
        <v>#VALUE!</v>
      </c>
      <c r="N543" s="129" t="e">
        <f>VLOOKUP(VALUE($B543),test_out_xwalk!$C:$L,8,FALSE)</f>
        <v>#VALUE!</v>
      </c>
      <c r="O543" s="129" t="e">
        <f>VLOOKUP(VALUE($B543),test_out_xwalk!$C:$L,7,FALSE)</f>
        <v>#VALUE!</v>
      </c>
      <c r="P543" s="129" t="e">
        <f>VLOOKUP(VALUE($B543),test_out_xwalk!$C:$L,4,FALSE)</f>
        <v>#VALUE!</v>
      </c>
      <c r="Q543" s="129" t="e">
        <f>VLOOKUP(VALUE($B543),test_out_xwalk!$C:$L,9,FALSE)</f>
        <v>#VALUE!</v>
      </c>
      <c r="R543" t="e">
        <f>_xlfn.XLOOKUP(VALUE(B543),test_out_xwalk!$C:$C,test_out_xwalk!$A:$A)</f>
        <v>#VALUE!</v>
      </c>
      <c r="T543" s="121" t="str">
        <f>IF('summary_EPA Pond'!$O543="","Check Summary EPA POND worksheet Column O",'summary_EPA Pond'!$O543)</f>
        <v>Check Summary EPA POND worksheet Column O</v>
      </c>
      <c r="U543" s="121" t="str" cm="1">
        <f t="array" ref="U543">IFERROR(_xlfn.TEXTSPLIT(T543,"_"),"")</f>
        <v>Check Summary EPA POND worksheet Column O</v>
      </c>
      <c r="AA543" s="121" t="str" cm="1">
        <f t="array" ref="AA543">IF(W543="","",(_xlfn.TEXTSPLIT(W543,"-")))</f>
        <v/>
      </c>
      <c r="AD543" s="129" t="e">
        <f>VLOOKUP(VALUE($U543),test_out_xwalk!$C:$L,3,FALSE)</f>
        <v>#VALUE!</v>
      </c>
      <c r="AE543" s="129" t="e">
        <f>VLOOKUP(VALUE($U543),test_out_xwalk!$C:$L,5,FALSE)</f>
        <v>#VALUE!</v>
      </c>
      <c r="AF543" s="129" t="e">
        <f>VLOOKUP(VALUE($U543),test_out_xwalk!$C:$L,6,FALSE)</f>
        <v>#VALUE!</v>
      </c>
      <c r="AG543" s="129" t="e">
        <f>VLOOKUP(VALUE($U543),test_out_xwalk!$C:$L,8,FALSE)</f>
        <v>#VALUE!</v>
      </c>
      <c r="AH543" s="129" t="e">
        <f>VLOOKUP(VALUE($U543),test_out_xwalk!$C:$L,7,FALSE)</f>
        <v>#VALUE!</v>
      </c>
      <c r="AI543" s="129" t="e">
        <f>VLOOKUP(VALUE($U543),test_out_xwalk!$C:$L,4,FALSE)</f>
        <v>#VALUE!</v>
      </c>
      <c r="AJ543" s="129" t="e">
        <f>VLOOKUP(VALUE($U543),test_out_xwalk!$C:$L,9,FALSE)</f>
        <v>#VALUE!</v>
      </c>
      <c r="AK543" t="e">
        <f>_xlfn.XLOOKUP(VALUE(U543),test_out_xwalk!C:C,test_out_xwalk!A:A)</f>
        <v>#VALUE!</v>
      </c>
    </row>
    <row r="544" spans="1:37" x14ac:dyDescent="0.55000000000000004">
      <c r="A544" s="121" t="str">
        <f>IF('summary_EPA Pond'!$A544="","Check Summary EPA POND worksheet Column A",'summary_EPA Pond'!$A544)</f>
        <v>Check Summary EPA POND worksheet Column A</v>
      </c>
      <c r="B544" s="121" t="str" cm="1">
        <f t="array" ref="B544">IFERROR(_xlfn.TEXTSPLIT(A544,"_"),"")</f>
        <v>Check Summary EPA POND worksheet Column A</v>
      </c>
      <c r="H544" s="121" t="str" cm="1">
        <f t="array" ref="H544">IF(D544="","",(_xlfn.TEXTSPLIT(D544,"-")))</f>
        <v/>
      </c>
      <c r="K544" s="129" t="e">
        <f>VLOOKUP(VALUE($B544),test_out_xwalk!$C:$L,3,FALSE)</f>
        <v>#VALUE!</v>
      </c>
      <c r="L544" s="129" t="e">
        <f>VLOOKUP(VALUE($B544),test_out_xwalk!$C:$L,5,FALSE)</f>
        <v>#VALUE!</v>
      </c>
      <c r="M544" s="129" t="e">
        <f>VLOOKUP(VALUE($B544),test_out_xwalk!$C:$L,6,FALSE)</f>
        <v>#VALUE!</v>
      </c>
      <c r="N544" s="129" t="e">
        <f>VLOOKUP(VALUE($B544),test_out_xwalk!$C:$L,8,FALSE)</f>
        <v>#VALUE!</v>
      </c>
      <c r="O544" s="129" t="e">
        <f>VLOOKUP(VALUE($B544),test_out_xwalk!$C:$L,7,FALSE)</f>
        <v>#VALUE!</v>
      </c>
      <c r="P544" s="129" t="e">
        <f>VLOOKUP(VALUE($B544),test_out_xwalk!$C:$L,4,FALSE)</f>
        <v>#VALUE!</v>
      </c>
      <c r="Q544" s="129" t="e">
        <f>VLOOKUP(VALUE($B544),test_out_xwalk!$C:$L,9,FALSE)</f>
        <v>#VALUE!</v>
      </c>
      <c r="R544" t="e">
        <f>_xlfn.XLOOKUP(VALUE(B544),test_out_xwalk!$C:$C,test_out_xwalk!$A:$A)</f>
        <v>#VALUE!</v>
      </c>
      <c r="T544" s="121" t="str">
        <f>IF('summary_EPA Pond'!$O544="","Check Summary EPA POND worksheet Column O",'summary_EPA Pond'!$O544)</f>
        <v>Check Summary EPA POND worksheet Column O</v>
      </c>
      <c r="U544" s="121" t="str" cm="1">
        <f t="array" ref="U544">IFERROR(_xlfn.TEXTSPLIT(T544,"_"),"")</f>
        <v>Check Summary EPA POND worksheet Column O</v>
      </c>
      <c r="AA544" s="121" t="str" cm="1">
        <f t="array" ref="AA544">IF(W544="","",(_xlfn.TEXTSPLIT(W544,"-")))</f>
        <v/>
      </c>
      <c r="AD544" s="129" t="e">
        <f>VLOOKUP(VALUE($U544),test_out_xwalk!$C:$L,3,FALSE)</f>
        <v>#VALUE!</v>
      </c>
      <c r="AE544" s="129" t="e">
        <f>VLOOKUP(VALUE($U544),test_out_xwalk!$C:$L,5,FALSE)</f>
        <v>#VALUE!</v>
      </c>
      <c r="AF544" s="129" t="e">
        <f>VLOOKUP(VALUE($U544),test_out_xwalk!$C:$L,6,FALSE)</f>
        <v>#VALUE!</v>
      </c>
      <c r="AG544" s="129" t="e">
        <f>VLOOKUP(VALUE($U544),test_out_xwalk!$C:$L,8,FALSE)</f>
        <v>#VALUE!</v>
      </c>
      <c r="AH544" s="129" t="e">
        <f>VLOOKUP(VALUE($U544),test_out_xwalk!$C:$L,7,FALSE)</f>
        <v>#VALUE!</v>
      </c>
      <c r="AI544" s="129" t="e">
        <f>VLOOKUP(VALUE($U544),test_out_xwalk!$C:$L,4,FALSE)</f>
        <v>#VALUE!</v>
      </c>
      <c r="AJ544" s="129" t="e">
        <f>VLOOKUP(VALUE($U544),test_out_xwalk!$C:$L,9,FALSE)</f>
        <v>#VALUE!</v>
      </c>
      <c r="AK544" t="e">
        <f>_xlfn.XLOOKUP(VALUE(U544),test_out_xwalk!C:C,test_out_xwalk!A:A)</f>
        <v>#VALUE!</v>
      </c>
    </row>
    <row r="545" spans="1:37" x14ac:dyDescent="0.55000000000000004">
      <c r="A545" s="121" t="str">
        <f>IF('summary_EPA Pond'!$A545="","Check Summary EPA POND worksheet Column A",'summary_EPA Pond'!$A545)</f>
        <v>Check Summary EPA POND worksheet Column A</v>
      </c>
      <c r="B545" s="121" t="str" cm="1">
        <f t="array" ref="B545">IFERROR(_xlfn.TEXTSPLIT(A545,"_"),"")</f>
        <v>Check Summary EPA POND worksheet Column A</v>
      </c>
      <c r="H545" s="121" t="str" cm="1">
        <f t="array" ref="H545">IF(D545="","",(_xlfn.TEXTSPLIT(D545,"-")))</f>
        <v/>
      </c>
      <c r="K545" s="129" t="e">
        <f>VLOOKUP(VALUE($B545),test_out_xwalk!$C:$L,3,FALSE)</f>
        <v>#VALUE!</v>
      </c>
      <c r="L545" s="129" t="e">
        <f>VLOOKUP(VALUE($B545),test_out_xwalk!$C:$L,5,FALSE)</f>
        <v>#VALUE!</v>
      </c>
      <c r="M545" s="129" t="e">
        <f>VLOOKUP(VALUE($B545),test_out_xwalk!$C:$L,6,FALSE)</f>
        <v>#VALUE!</v>
      </c>
      <c r="N545" s="129" t="e">
        <f>VLOOKUP(VALUE($B545),test_out_xwalk!$C:$L,8,FALSE)</f>
        <v>#VALUE!</v>
      </c>
      <c r="O545" s="129" t="e">
        <f>VLOOKUP(VALUE($B545),test_out_xwalk!$C:$L,7,FALSE)</f>
        <v>#VALUE!</v>
      </c>
      <c r="P545" s="129" t="e">
        <f>VLOOKUP(VALUE($B545),test_out_xwalk!$C:$L,4,FALSE)</f>
        <v>#VALUE!</v>
      </c>
      <c r="Q545" s="129" t="e">
        <f>VLOOKUP(VALUE($B545),test_out_xwalk!$C:$L,9,FALSE)</f>
        <v>#VALUE!</v>
      </c>
      <c r="R545" t="e">
        <f>_xlfn.XLOOKUP(VALUE(B545),test_out_xwalk!$C:$C,test_out_xwalk!$A:$A)</f>
        <v>#VALUE!</v>
      </c>
      <c r="T545" s="121" t="str">
        <f>IF('summary_EPA Pond'!$O545="","Check Summary EPA POND worksheet Column O",'summary_EPA Pond'!$O545)</f>
        <v>Check Summary EPA POND worksheet Column O</v>
      </c>
      <c r="U545" s="121" t="str" cm="1">
        <f t="array" ref="U545">IFERROR(_xlfn.TEXTSPLIT(T545,"_"),"")</f>
        <v>Check Summary EPA POND worksheet Column O</v>
      </c>
      <c r="AA545" s="121" t="str" cm="1">
        <f t="array" ref="AA545">IF(W545="","",(_xlfn.TEXTSPLIT(W545,"-")))</f>
        <v/>
      </c>
      <c r="AD545" s="129" t="e">
        <f>VLOOKUP(VALUE($U545),test_out_xwalk!$C:$L,3,FALSE)</f>
        <v>#VALUE!</v>
      </c>
      <c r="AE545" s="129" t="e">
        <f>VLOOKUP(VALUE($U545),test_out_xwalk!$C:$L,5,FALSE)</f>
        <v>#VALUE!</v>
      </c>
      <c r="AF545" s="129" t="e">
        <f>VLOOKUP(VALUE($U545),test_out_xwalk!$C:$L,6,FALSE)</f>
        <v>#VALUE!</v>
      </c>
      <c r="AG545" s="129" t="e">
        <f>VLOOKUP(VALUE($U545),test_out_xwalk!$C:$L,8,FALSE)</f>
        <v>#VALUE!</v>
      </c>
      <c r="AH545" s="129" t="e">
        <f>VLOOKUP(VALUE($U545),test_out_xwalk!$C:$L,7,FALSE)</f>
        <v>#VALUE!</v>
      </c>
      <c r="AI545" s="129" t="e">
        <f>VLOOKUP(VALUE($U545),test_out_xwalk!$C:$L,4,FALSE)</f>
        <v>#VALUE!</v>
      </c>
      <c r="AJ545" s="129" t="e">
        <f>VLOOKUP(VALUE($U545),test_out_xwalk!$C:$L,9,FALSE)</f>
        <v>#VALUE!</v>
      </c>
      <c r="AK545" t="e">
        <f>_xlfn.XLOOKUP(VALUE(U545),test_out_xwalk!C:C,test_out_xwalk!A:A)</f>
        <v>#VALUE!</v>
      </c>
    </row>
    <row r="546" spans="1:37" x14ac:dyDescent="0.55000000000000004">
      <c r="A546" s="121" t="str">
        <f>IF('summary_EPA Pond'!$A546="","Check Summary EPA POND worksheet Column A",'summary_EPA Pond'!$A546)</f>
        <v>Check Summary EPA POND worksheet Column A</v>
      </c>
      <c r="B546" s="121" t="str" cm="1">
        <f t="array" ref="B546">IFERROR(_xlfn.TEXTSPLIT(A546,"_"),"")</f>
        <v>Check Summary EPA POND worksheet Column A</v>
      </c>
      <c r="H546" s="121" t="str" cm="1">
        <f t="array" ref="H546">IF(D546="","",(_xlfn.TEXTSPLIT(D546,"-")))</f>
        <v/>
      </c>
      <c r="K546" s="129" t="e">
        <f>VLOOKUP(VALUE($B546),test_out_xwalk!$C:$L,3,FALSE)</f>
        <v>#VALUE!</v>
      </c>
      <c r="L546" s="129" t="e">
        <f>VLOOKUP(VALUE($B546),test_out_xwalk!$C:$L,5,FALSE)</f>
        <v>#VALUE!</v>
      </c>
      <c r="M546" s="129" t="e">
        <f>VLOOKUP(VALUE($B546),test_out_xwalk!$C:$L,6,FALSE)</f>
        <v>#VALUE!</v>
      </c>
      <c r="N546" s="129" t="e">
        <f>VLOOKUP(VALUE($B546),test_out_xwalk!$C:$L,8,FALSE)</f>
        <v>#VALUE!</v>
      </c>
      <c r="O546" s="129" t="e">
        <f>VLOOKUP(VALUE($B546),test_out_xwalk!$C:$L,7,FALSE)</f>
        <v>#VALUE!</v>
      </c>
      <c r="P546" s="129" t="e">
        <f>VLOOKUP(VALUE($B546),test_out_xwalk!$C:$L,4,FALSE)</f>
        <v>#VALUE!</v>
      </c>
      <c r="Q546" s="129" t="e">
        <f>VLOOKUP(VALUE($B546),test_out_xwalk!$C:$L,9,FALSE)</f>
        <v>#VALUE!</v>
      </c>
      <c r="R546" t="e">
        <f>_xlfn.XLOOKUP(VALUE(B546),test_out_xwalk!$C:$C,test_out_xwalk!$A:$A)</f>
        <v>#VALUE!</v>
      </c>
      <c r="T546" s="121" t="str">
        <f>IF('summary_EPA Pond'!$O546="","Check Summary EPA POND worksheet Column O",'summary_EPA Pond'!$O546)</f>
        <v>Check Summary EPA POND worksheet Column O</v>
      </c>
      <c r="U546" s="121" t="str" cm="1">
        <f t="array" ref="U546">IFERROR(_xlfn.TEXTSPLIT(T546,"_"),"")</f>
        <v>Check Summary EPA POND worksheet Column O</v>
      </c>
      <c r="AA546" s="121" t="str" cm="1">
        <f t="array" ref="AA546">IF(W546="","",(_xlfn.TEXTSPLIT(W546,"-")))</f>
        <v/>
      </c>
      <c r="AD546" s="129" t="e">
        <f>VLOOKUP(VALUE($U546),test_out_xwalk!$C:$L,3,FALSE)</f>
        <v>#VALUE!</v>
      </c>
      <c r="AE546" s="129" t="e">
        <f>VLOOKUP(VALUE($U546),test_out_xwalk!$C:$L,5,FALSE)</f>
        <v>#VALUE!</v>
      </c>
      <c r="AF546" s="129" t="e">
        <f>VLOOKUP(VALUE($U546),test_out_xwalk!$C:$L,6,FALSE)</f>
        <v>#VALUE!</v>
      </c>
      <c r="AG546" s="129" t="e">
        <f>VLOOKUP(VALUE($U546),test_out_xwalk!$C:$L,8,FALSE)</f>
        <v>#VALUE!</v>
      </c>
      <c r="AH546" s="129" t="e">
        <f>VLOOKUP(VALUE($U546),test_out_xwalk!$C:$L,7,FALSE)</f>
        <v>#VALUE!</v>
      </c>
      <c r="AI546" s="129" t="e">
        <f>VLOOKUP(VALUE($U546),test_out_xwalk!$C:$L,4,FALSE)</f>
        <v>#VALUE!</v>
      </c>
      <c r="AJ546" s="129" t="e">
        <f>VLOOKUP(VALUE($U546),test_out_xwalk!$C:$L,9,FALSE)</f>
        <v>#VALUE!</v>
      </c>
      <c r="AK546" t="e">
        <f>_xlfn.XLOOKUP(VALUE(U546),test_out_xwalk!C:C,test_out_xwalk!A:A)</f>
        <v>#VALUE!</v>
      </c>
    </row>
    <row r="547" spans="1:37" x14ac:dyDescent="0.55000000000000004">
      <c r="A547" s="121" t="str">
        <f>IF('summary_EPA Pond'!$A547="","Check Summary EPA POND worksheet Column A",'summary_EPA Pond'!$A547)</f>
        <v>Check Summary EPA POND worksheet Column A</v>
      </c>
      <c r="B547" s="121" t="str" cm="1">
        <f t="array" ref="B547">IFERROR(_xlfn.TEXTSPLIT(A547,"_"),"")</f>
        <v>Check Summary EPA POND worksheet Column A</v>
      </c>
      <c r="H547" s="121" t="str" cm="1">
        <f t="array" ref="H547">IF(D547="","",(_xlfn.TEXTSPLIT(D547,"-")))</f>
        <v/>
      </c>
      <c r="K547" s="129" t="e">
        <f>VLOOKUP(VALUE($B547),test_out_xwalk!$C:$L,3,FALSE)</f>
        <v>#VALUE!</v>
      </c>
      <c r="L547" s="129" t="e">
        <f>VLOOKUP(VALUE($B547),test_out_xwalk!$C:$L,5,FALSE)</f>
        <v>#VALUE!</v>
      </c>
      <c r="M547" s="129" t="e">
        <f>VLOOKUP(VALUE($B547),test_out_xwalk!$C:$L,6,FALSE)</f>
        <v>#VALUE!</v>
      </c>
      <c r="N547" s="129" t="e">
        <f>VLOOKUP(VALUE($B547),test_out_xwalk!$C:$L,8,FALSE)</f>
        <v>#VALUE!</v>
      </c>
      <c r="O547" s="129" t="e">
        <f>VLOOKUP(VALUE($B547),test_out_xwalk!$C:$L,7,FALSE)</f>
        <v>#VALUE!</v>
      </c>
      <c r="P547" s="129" t="e">
        <f>VLOOKUP(VALUE($B547),test_out_xwalk!$C:$L,4,FALSE)</f>
        <v>#VALUE!</v>
      </c>
      <c r="Q547" s="129" t="e">
        <f>VLOOKUP(VALUE($B547),test_out_xwalk!$C:$L,9,FALSE)</f>
        <v>#VALUE!</v>
      </c>
      <c r="R547" t="e">
        <f>_xlfn.XLOOKUP(VALUE(B547),test_out_xwalk!$C:$C,test_out_xwalk!$A:$A)</f>
        <v>#VALUE!</v>
      </c>
      <c r="T547" s="121" t="str">
        <f>IF('summary_EPA Pond'!$O547="","Check Summary EPA POND worksheet Column O",'summary_EPA Pond'!$O547)</f>
        <v>Check Summary EPA POND worksheet Column O</v>
      </c>
      <c r="U547" s="121" t="str" cm="1">
        <f t="array" ref="U547">IFERROR(_xlfn.TEXTSPLIT(T547,"_"),"")</f>
        <v>Check Summary EPA POND worksheet Column O</v>
      </c>
      <c r="AA547" s="121" t="str" cm="1">
        <f t="array" ref="AA547">IF(W547="","",(_xlfn.TEXTSPLIT(W547,"-")))</f>
        <v/>
      </c>
      <c r="AD547" s="129" t="e">
        <f>VLOOKUP(VALUE($U547),test_out_xwalk!$C:$L,3,FALSE)</f>
        <v>#VALUE!</v>
      </c>
      <c r="AE547" s="129" t="e">
        <f>VLOOKUP(VALUE($U547),test_out_xwalk!$C:$L,5,FALSE)</f>
        <v>#VALUE!</v>
      </c>
      <c r="AF547" s="129" t="e">
        <f>VLOOKUP(VALUE($U547),test_out_xwalk!$C:$L,6,FALSE)</f>
        <v>#VALUE!</v>
      </c>
      <c r="AG547" s="129" t="e">
        <f>VLOOKUP(VALUE($U547),test_out_xwalk!$C:$L,8,FALSE)</f>
        <v>#VALUE!</v>
      </c>
      <c r="AH547" s="129" t="e">
        <f>VLOOKUP(VALUE($U547),test_out_xwalk!$C:$L,7,FALSE)</f>
        <v>#VALUE!</v>
      </c>
      <c r="AI547" s="129" t="e">
        <f>VLOOKUP(VALUE($U547),test_out_xwalk!$C:$L,4,FALSE)</f>
        <v>#VALUE!</v>
      </c>
      <c r="AJ547" s="129" t="e">
        <f>VLOOKUP(VALUE($U547),test_out_xwalk!$C:$L,9,FALSE)</f>
        <v>#VALUE!</v>
      </c>
      <c r="AK547" t="e">
        <f>_xlfn.XLOOKUP(VALUE(U547),test_out_xwalk!C:C,test_out_xwalk!A:A)</f>
        <v>#VALUE!</v>
      </c>
    </row>
    <row r="548" spans="1:37" x14ac:dyDescent="0.55000000000000004">
      <c r="A548" s="121" t="str">
        <f>IF('summary_EPA Pond'!$A548="","Check Summary EPA POND worksheet Column A",'summary_EPA Pond'!$A548)</f>
        <v>Check Summary EPA POND worksheet Column A</v>
      </c>
      <c r="B548" s="121" t="str" cm="1">
        <f t="array" ref="B548">IFERROR(_xlfn.TEXTSPLIT(A548,"_"),"")</f>
        <v>Check Summary EPA POND worksheet Column A</v>
      </c>
      <c r="H548" s="121" t="str" cm="1">
        <f t="array" ref="H548">IF(D548="","",(_xlfn.TEXTSPLIT(D548,"-")))</f>
        <v/>
      </c>
      <c r="K548" s="129" t="e">
        <f>VLOOKUP(VALUE($B548),test_out_xwalk!$C:$L,3,FALSE)</f>
        <v>#VALUE!</v>
      </c>
      <c r="L548" s="129" t="e">
        <f>VLOOKUP(VALUE($B548),test_out_xwalk!$C:$L,5,FALSE)</f>
        <v>#VALUE!</v>
      </c>
      <c r="M548" s="129" t="e">
        <f>VLOOKUP(VALUE($B548),test_out_xwalk!$C:$L,6,FALSE)</f>
        <v>#VALUE!</v>
      </c>
      <c r="N548" s="129" t="e">
        <f>VLOOKUP(VALUE($B548),test_out_xwalk!$C:$L,8,FALSE)</f>
        <v>#VALUE!</v>
      </c>
      <c r="O548" s="129" t="e">
        <f>VLOOKUP(VALUE($B548),test_out_xwalk!$C:$L,7,FALSE)</f>
        <v>#VALUE!</v>
      </c>
      <c r="P548" s="129" t="e">
        <f>VLOOKUP(VALUE($B548),test_out_xwalk!$C:$L,4,FALSE)</f>
        <v>#VALUE!</v>
      </c>
      <c r="Q548" s="129" t="e">
        <f>VLOOKUP(VALUE($B548),test_out_xwalk!$C:$L,9,FALSE)</f>
        <v>#VALUE!</v>
      </c>
      <c r="R548" t="e">
        <f>_xlfn.XLOOKUP(VALUE(B548),test_out_xwalk!$C:$C,test_out_xwalk!$A:$A)</f>
        <v>#VALUE!</v>
      </c>
      <c r="T548" s="121" t="str">
        <f>IF('summary_EPA Pond'!$O548="","Check Summary EPA POND worksheet Column O",'summary_EPA Pond'!$O548)</f>
        <v>Check Summary EPA POND worksheet Column O</v>
      </c>
      <c r="U548" s="121" t="str" cm="1">
        <f t="array" ref="U548">IFERROR(_xlfn.TEXTSPLIT(T548,"_"),"")</f>
        <v>Check Summary EPA POND worksheet Column O</v>
      </c>
      <c r="AA548" s="121" t="str" cm="1">
        <f t="array" ref="AA548">IF(W548="","",(_xlfn.TEXTSPLIT(W548,"-")))</f>
        <v/>
      </c>
      <c r="AD548" s="129" t="e">
        <f>VLOOKUP(VALUE($U548),test_out_xwalk!$C:$L,3,FALSE)</f>
        <v>#VALUE!</v>
      </c>
      <c r="AE548" s="129" t="e">
        <f>VLOOKUP(VALUE($U548),test_out_xwalk!$C:$L,5,FALSE)</f>
        <v>#VALUE!</v>
      </c>
      <c r="AF548" s="129" t="e">
        <f>VLOOKUP(VALUE($U548),test_out_xwalk!$C:$L,6,FALSE)</f>
        <v>#VALUE!</v>
      </c>
      <c r="AG548" s="129" t="e">
        <f>VLOOKUP(VALUE($U548),test_out_xwalk!$C:$L,8,FALSE)</f>
        <v>#VALUE!</v>
      </c>
      <c r="AH548" s="129" t="e">
        <f>VLOOKUP(VALUE($U548),test_out_xwalk!$C:$L,7,FALSE)</f>
        <v>#VALUE!</v>
      </c>
      <c r="AI548" s="129" t="e">
        <f>VLOOKUP(VALUE($U548),test_out_xwalk!$C:$L,4,FALSE)</f>
        <v>#VALUE!</v>
      </c>
      <c r="AJ548" s="129" t="e">
        <f>VLOOKUP(VALUE($U548),test_out_xwalk!$C:$L,9,FALSE)</f>
        <v>#VALUE!</v>
      </c>
      <c r="AK548" t="e">
        <f>_xlfn.XLOOKUP(VALUE(U548),test_out_xwalk!C:C,test_out_xwalk!A:A)</f>
        <v>#VALUE!</v>
      </c>
    </row>
    <row r="549" spans="1:37" x14ac:dyDescent="0.55000000000000004">
      <c r="A549" s="121" t="str">
        <f>IF('summary_EPA Pond'!$A549="","Check Summary EPA POND worksheet Column A",'summary_EPA Pond'!$A549)</f>
        <v>Check Summary EPA POND worksheet Column A</v>
      </c>
      <c r="B549" s="121" t="str" cm="1">
        <f t="array" ref="B549">IFERROR(_xlfn.TEXTSPLIT(A549,"_"),"")</f>
        <v>Check Summary EPA POND worksheet Column A</v>
      </c>
      <c r="H549" s="121" t="str" cm="1">
        <f t="array" ref="H549">IF(D549="","",(_xlfn.TEXTSPLIT(D549,"-")))</f>
        <v/>
      </c>
      <c r="K549" s="129" t="e">
        <f>VLOOKUP(VALUE($B549),test_out_xwalk!$C:$L,3,FALSE)</f>
        <v>#VALUE!</v>
      </c>
      <c r="L549" s="129" t="e">
        <f>VLOOKUP(VALUE($B549),test_out_xwalk!$C:$L,5,FALSE)</f>
        <v>#VALUE!</v>
      </c>
      <c r="M549" s="129" t="e">
        <f>VLOOKUP(VALUE($B549),test_out_xwalk!$C:$L,6,FALSE)</f>
        <v>#VALUE!</v>
      </c>
      <c r="N549" s="129" t="e">
        <f>VLOOKUP(VALUE($B549),test_out_xwalk!$C:$L,8,FALSE)</f>
        <v>#VALUE!</v>
      </c>
      <c r="O549" s="129" t="e">
        <f>VLOOKUP(VALUE($B549),test_out_xwalk!$C:$L,7,FALSE)</f>
        <v>#VALUE!</v>
      </c>
      <c r="P549" s="129" t="e">
        <f>VLOOKUP(VALUE($B549),test_out_xwalk!$C:$L,4,FALSE)</f>
        <v>#VALUE!</v>
      </c>
      <c r="Q549" s="129" t="e">
        <f>VLOOKUP(VALUE($B549),test_out_xwalk!$C:$L,9,FALSE)</f>
        <v>#VALUE!</v>
      </c>
      <c r="R549" t="e">
        <f>_xlfn.XLOOKUP(VALUE(B549),test_out_xwalk!$C:$C,test_out_xwalk!$A:$A)</f>
        <v>#VALUE!</v>
      </c>
      <c r="T549" s="121" t="str">
        <f>IF('summary_EPA Pond'!$O549="","Check Summary EPA POND worksheet Column O",'summary_EPA Pond'!$O549)</f>
        <v>Check Summary EPA POND worksheet Column O</v>
      </c>
      <c r="U549" s="121" t="str" cm="1">
        <f t="array" ref="U549">IFERROR(_xlfn.TEXTSPLIT(T549,"_"),"")</f>
        <v>Check Summary EPA POND worksheet Column O</v>
      </c>
      <c r="AA549" s="121" t="str" cm="1">
        <f t="array" ref="AA549">IF(W549="","",(_xlfn.TEXTSPLIT(W549,"-")))</f>
        <v/>
      </c>
      <c r="AD549" s="129" t="e">
        <f>VLOOKUP(VALUE($U549),test_out_xwalk!$C:$L,3,FALSE)</f>
        <v>#VALUE!</v>
      </c>
      <c r="AE549" s="129" t="e">
        <f>VLOOKUP(VALUE($U549),test_out_xwalk!$C:$L,5,FALSE)</f>
        <v>#VALUE!</v>
      </c>
      <c r="AF549" s="129" t="e">
        <f>VLOOKUP(VALUE($U549),test_out_xwalk!$C:$L,6,FALSE)</f>
        <v>#VALUE!</v>
      </c>
      <c r="AG549" s="129" t="e">
        <f>VLOOKUP(VALUE($U549),test_out_xwalk!$C:$L,8,FALSE)</f>
        <v>#VALUE!</v>
      </c>
      <c r="AH549" s="129" t="e">
        <f>VLOOKUP(VALUE($U549),test_out_xwalk!$C:$L,7,FALSE)</f>
        <v>#VALUE!</v>
      </c>
      <c r="AI549" s="129" t="e">
        <f>VLOOKUP(VALUE($U549),test_out_xwalk!$C:$L,4,FALSE)</f>
        <v>#VALUE!</v>
      </c>
      <c r="AJ549" s="129" t="e">
        <f>VLOOKUP(VALUE($U549),test_out_xwalk!$C:$L,9,FALSE)</f>
        <v>#VALUE!</v>
      </c>
      <c r="AK549" t="e">
        <f>_xlfn.XLOOKUP(VALUE(U549),test_out_xwalk!C:C,test_out_xwalk!A:A)</f>
        <v>#VALUE!</v>
      </c>
    </row>
    <row r="550" spans="1:37" x14ac:dyDescent="0.55000000000000004">
      <c r="A550" s="121" t="str">
        <f>IF('summary_EPA Pond'!$A550="","Check Summary EPA POND worksheet Column A",'summary_EPA Pond'!$A550)</f>
        <v>Check Summary EPA POND worksheet Column A</v>
      </c>
      <c r="B550" s="121" t="str" cm="1">
        <f t="array" ref="B550">IFERROR(_xlfn.TEXTSPLIT(A550,"_"),"")</f>
        <v>Check Summary EPA POND worksheet Column A</v>
      </c>
      <c r="H550" s="121" t="str" cm="1">
        <f t="array" ref="H550">IF(D550="","",(_xlfn.TEXTSPLIT(D550,"-")))</f>
        <v/>
      </c>
      <c r="K550" s="129" t="e">
        <f>VLOOKUP(VALUE($B550),test_out_xwalk!$C:$L,3,FALSE)</f>
        <v>#VALUE!</v>
      </c>
      <c r="L550" s="129" t="e">
        <f>VLOOKUP(VALUE($B550),test_out_xwalk!$C:$L,5,FALSE)</f>
        <v>#VALUE!</v>
      </c>
      <c r="M550" s="129" t="e">
        <f>VLOOKUP(VALUE($B550),test_out_xwalk!$C:$L,6,FALSE)</f>
        <v>#VALUE!</v>
      </c>
      <c r="N550" s="129" t="e">
        <f>VLOOKUP(VALUE($B550),test_out_xwalk!$C:$L,8,FALSE)</f>
        <v>#VALUE!</v>
      </c>
      <c r="O550" s="129" t="e">
        <f>VLOOKUP(VALUE($B550),test_out_xwalk!$C:$L,7,FALSE)</f>
        <v>#VALUE!</v>
      </c>
      <c r="P550" s="129" t="e">
        <f>VLOOKUP(VALUE($B550),test_out_xwalk!$C:$L,4,FALSE)</f>
        <v>#VALUE!</v>
      </c>
      <c r="Q550" s="129" t="e">
        <f>VLOOKUP(VALUE($B550),test_out_xwalk!$C:$L,9,FALSE)</f>
        <v>#VALUE!</v>
      </c>
      <c r="R550" t="e">
        <f>_xlfn.XLOOKUP(VALUE(B550),test_out_xwalk!$C:$C,test_out_xwalk!$A:$A)</f>
        <v>#VALUE!</v>
      </c>
      <c r="T550" s="121" t="str">
        <f>IF('summary_EPA Pond'!$O550="","Check Summary EPA POND worksheet Column O",'summary_EPA Pond'!$O550)</f>
        <v>Check Summary EPA POND worksheet Column O</v>
      </c>
      <c r="U550" s="121" t="str" cm="1">
        <f t="array" ref="U550">IFERROR(_xlfn.TEXTSPLIT(T550,"_"),"")</f>
        <v>Check Summary EPA POND worksheet Column O</v>
      </c>
      <c r="AA550" s="121" t="str" cm="1">
        <f t="array" ref="AA550">IF(W550="","",(_xlfn.TEXTSPLIT(W550,"-")))</f>
        <v/>
      </c>
      <c r="AD550" s="129" t="e">
        <f>VLOOKUP(VALUE($U550),test_out_xwalk!$C:$L,3,FALSE)</f>
        <v>#VALUE!</v>
      </c>
      <c r="AE550" s="129" t="e">
        <f>VLOOKUP(VALUE($U550),test_out_xwalk!$C:$L,5,FALSE)</f>
        <v>#VALUE!</v>
      </c>
      <c r="AF550" s="129" t="e">
        <f>VLOOKUP(VALUE($U550),test_out_xwalk!$C:$L,6,FALSE)</f>
        <v>#VALUE!</v>
      </c>
      <c r="AG550" s="129" t="e">
        <f>VLOOKUP(VALUE($U550),test_out_xwalk!$C:$L,8,FALSE)</f>
        <v>#VALUE!</v>
      </c>
      <c r="AH550" s="129" t="e">
        <f>VLOOKUP(VALUE($U550),test_out_xwalk!$C:$L,7,FALSE)</f>
        <v>#VALUE!</v>
      </c>
      <c r="AI550" s="129" t="e">
        <f>VLOOKUP(VALUE($U550),test_out_xwalk!$C:$L,4,FALSE)</f>
        <v>#VALUE!</v>
      </c>
      <c r="AJ550" s="129" t="e">
        <f>VLOOKUP(VALUE($U550),test_out_xwalk!$C:$L,9,FALSE)</f>
        <v>#VALUE!</v>
      </c>
      <c r="AK550" t="e">
        <f>_xlfn.XLOOKUP(VALUE(U550),test_out_xwalk!C:C,test_out_xwalk!A:A)</f>
        <v>#VALUE!</v>
      </c>
    </row>
    <row r="551" spans="1:37" x14ac:dyDescent="0.55000000000000004">
      <c r="A551" s="121" t="str">
        <f>IF('summary_EPA Pond'!$A551="","Check Summary EPA POND worksheet Column A",'summary_EPA Pond'!$A551)</f>
        <v>Check Summary EPA POND worksheet Column A</v>
      </c>
      <c r="B551" s="121" t="str" cm="1">
        <f t="array" ref="B551">IFERROR(_xlfn.TEXTSPLIT(A551,"_"),"")</f>
        <v>Check Summary EPA POND worksheet Column A</v>
      </c>
      <c r="H551" s="121" t="str" cm="1">
        <f t="array" ref="H551">IF(D551="","",(_xlfn.TEXTSPLIT(D551,"-")))</f>
        <v/>
      </c>
      <c r="K551" s="129" t="e">
        <f>VLOOKUP(VALUE($B551),test_out_xwalk!$C:$L,3,FALSE)</f>
        <v>#VALUE!</v>
      </c>
      <c r="L551" s="129" t="e">
        <f>VLOOKUP(VALUE($B551),test_out_xwalk!$C:$L,5,FALSE)</f>
        <v>#VALUE!</v>
      </c>
      <c r="M551" s="129" t="e">
        <f>VLOOKUP(VALUE($B551),test_out_xwalk!$C:$L,6,FALSE)</f>
        <v>#VALUE!</v>
      </c>
      <c r="N551" s="129" t="e">
        <f>VLOOKUP(VALUE($B551),test_out_xwalk!$C:$L,8,FALSE)</f>
        <v>#VALUE!</v>
      </c>
      <c r="O551" s="129" t="e">
        <f>VLOOKUP(VALUE($B551),test_out_xwalk!$C:$L,7,FALSE)</f>
        <v>#VALUE!</v>
      </c>
      <c r="P551" s="129" t="e">
        <f>VLOOKUP(VALUE($B551),test_out_xwalk!$C:$L,4,FALSE)</f>
        <v>#VALUE!</v>
      </c>
      <c r="Q551" s="129" t="e">
        <f>VLOOKUP(VALUE($B551),test_out_xwalk!$C:$L,9,FALSE)</f>
        <v>#VALUE!</v>
      </c>
      <c r="R551" t="e">
        <f>_xlfn.XLOOKUP(VALUE(B551),test_out_xwalk!$C:$C,test_out_xwalk!$A:$A)</f>
        <v>#VALUE!</v>
      </c>
      <c r="T551" s="121" t="str">
        <f>IF('summary_EPA Pond'!$O551="","Check Summary EPA POND worksheet Column O",'summary_EPA Pond'!$O551)</f>
        <v>Check Summary EPA POND worksheet Column O</v>
      </c>
      <c r="U551" s="121" t="str" cm="1">
        <f t="array" ref="U551">IFERROR(_xlfn.TEXTSPLIT(T551,"_"),"")</f>
        <v>Check Summary EPA POND worksheet Column O</v>
      </c>
      <c r="AA551" s="121" t="str" cm="1">
        <f t="array" ref="AA551">IF(W551="","",(_xlfn.TEXTSPLIT(W551,"-")))</f>
        <v/>
      </c>
      <c r="AD551" s="129" t="e">
        <f>VLOOKUP(VALUE($U551),test_out_xwalk!$C:$L,3,FALSE)</f>
        <v>#VALUE!</v>
      </c>
      <c r="AE551" s="129" t="e">
        <f>VLOOKUP(VALUE($U551),test_out_xwalk!$C:$L,5,FALSE)</f>
        <v>#VALUE!</v>
      </c>
      <c r="AF551" s="129" t="e">
        <f>VLOOKUP(VALUE($U551),test_out_xwalk!$C:$L,6,FALSE)</f>
        <v>#VALUE!</v>
      </c>
      <c r="AG551" s="129" t="e">
        <f>VLOOKUP(VALUE($U551),test_out_xwalk!$C:$L,8,FALSE)</f>
        <v>#VALUE!</v>
      </c>
      <c r="AH551" s="129" t="e">
        <f>VLOOKUP(VALUE($U551),test_out_xwalk!$C:$L,7,FALSE)</f>
        <v>#VALUE!</v>
      </c>
      <c r="AI551" s="129" t="e">
        <f>VLOOKUP(VALUE($U551),test_out_xwalk!$C:$L,4,FALSE)</f>
        <v>#VALUE!</v>
      </c>
      <c r="AJ551" s="129" t="e">
        <f>VLOOKUP(VALUE($U551),test_out_xwalk!$C:$L,9,FALSE)</f>
        <v>#VALUE!</v>
      </c>
      <c r="AK551" t="e">
        <f>_xlfn.XLOOKUP(VALUE(U551),test_out_xwalk!C:C,test_out_xwalk!A:A)</f>
        <v>#VALUE!</v>
      </c>
    </row>
    <row r="552" spans="1:37" x14ac:dyDescent="0.55000000000000004">
      <c r="A552" s="121" t="str">
        <f>IF('summary_EPA Pond'!$A552="","Check Summary EPA POND worksheet Column A",'summary_EPA Pond'!$A552)</f>
        <v>Check Summary EPA POND worksheet Column A</v>
      </c>
      <c r="B552" s="121" t="str" cm="1">
        <f t="array" ref="B552">IFERROR(_xlfn.TEXTSPLIT(A552,"_"),"")</f>
        <v>Check Summary EPA POND worksheet Column A</v>
      </c>
      <c r="H552" s="121" t="str" cm="1">
        <f t="array" ref="H552">IF(D552="","",(_xlfn.TEXTSPLIT(D552,"-")))</f>
        <v/>
      </c>
      <c r="K552" s="129" t="e">
        <f>VLOOKUP(VALUE($B552),test_out_xwalk!$C:$L,3,FALSE)</f>
        <v>#VALUE!</v>
      </c>
      <c r="L552" s="129" t="e">
        <f>VLOOKUP(VALUE($B552),test_out_xwalk!$C:$L,5,FALSE)</f>
        <v>#VALUE!</v>
      </c>
      <c r="M552" s="129" t="e">
        <f>VLOOKUP(VALUE($B552),test_out_xwalk!$C:$L,6,FALSE)</f>
        <v>#VALUE!</v>
      </c>
      <c r="N552" s="129" t="e">
        <f>VLOOKUP(VALUE($B552),test_out_xwalk!$C:$L,8,FALSE)</f>
        <v>#VALUE!</v>
      </c>
      <c r="O552" s="129" t="e">
        <f>VLOOKUP(VALUE($B552),test_out_xwalk!$C:$L,7,FALSE)</f>
        <v>#VALUE!</v>
      </c>
      <c r="P552" s="129" t="e">
        <f>VLOOKUP(VALUE($B552),test_out_xwalk!$C:$L,4,FALSE)</f>
        <v>#VALUE!</v>
      </c>
      <c r="Q552" s="129" t="e">
        <f>VLOOKUP(VALUE($B552),test_out_xwalk!$C:$L,9,FALSE)</f>
        <v>#VALUE!</v>
      </c>
      <c r="R552" t="e">
        <f>_xlfn.XLOOKUP(VALUE(B552),test_out_xwalk!$C:$C,test_out_xwalk!$A:$A)</f>
        <v>#VALUE!</v>
      </c>
      <c r="T552" s="121" t="str">
        <f>IF('summary_EPA Pond'!$O552="","Check Summary EPA POND worksheet Column O",'summary_EPA Pond'!$O552)</f>
        <v>Check Summary EPA POND worksheet Column O</v>
      </c>
      <c r="U552" s="121" t="str" cm="1">
        <f t="array" ref="U552">IFERROR(_xlfn.TEXTSPLIT(T552,"_"),"")</f>
        <v>Check Summary EPA POND worksheet Column O</v>
      </c>
      <c r="AA552" s="121" t="str" cm="1">
        <f t="array" ref="AA552">IF(W552="","",(_xlfn.TEXTSPLIT(W552,"-")))</f>
        <v/>
      </c>
      <c r="AD552" s="129" t="e">
        <f>VLOOKUP(VALUE($U552),test_out_xwalk!$C:$L,3,FALSE)</f>
        <v>#VALUE!</v>
      </c>
      <c r="AE552" s="129" t="e">
        <f>VLOOKUP(VALUE($U552),test_out_xwalk!$C:$L,5,FALSE)</f>
        <v>#VALUE!</v>
      </c>
      <c r="AF552" s="129" t="e">
        <f>VLOOKUP(VALUE($U552),test_out_xwalk!$C:$L,6,FALSE)</f>
        <v>#VALUE!</v>
      </c>
      <c r="AG552" s="129" t="e">
        <f>VLOOKUP(VALUE($U552),test_out_xwalk!$C:$L,8,FALSE)</f>
        <v>#VALUE!</v>
      </c>
      <c r="AH552" s="129" t="e">
        <f>VLOOKUP(VALUE($U552),test_out_xwalk!$C:$L,7,FALSE)</f>
        <v>#VALUE!</v>
      </c>
      <c r="AI552" s="129" t="e">
        <f>VLOOKUP(VALUE($U552),test_out_xwalk!$C:$L,4,FALSE)</f>
        <v>#VALUE!</v>
      </c>
      <c r="AJ552" s="129" t="e">
        <f>VLOOKUP(VALUE($U552),test_out_xwalk!$C:$L,9,FALSE)</f>
        <v>#VALUE!</v>
      </c>
      <c r="AK552" t="e">
        <f>_xlfn.XLOOKUP(VALUE(U552),test_out_xwalk!C:C,test_out_xwalk!A:A)</f>
        <v>#VALUE!</v>
      </c>
    </row>
    <row r="553" spans="1:37" x14ac:dyDescent="0.55000000000000004">
      <c r="A553" s="121" t="str">
        <f>IF('summary_EPA Pond'!$A553="","Check Summary EPA POND worksheet Column A",'summary_EPA Pond'!$A553)</f>
        <v>Check Summary EPA POND worksheet Column A</v>
      </c>
      <c r="B553" s="121" t="str" cm="1">
        <f t="array" ref="B553">IFERROR(_xlfn.TEXTSPLIT(A553,"_"),"")</f>
        <v>Check Summary EPA POND worksheet Column A</v>
      </c>
      <c r="H553" s="121" t="str" cm="1">
        <f t="array" ref="H553">IF(D553="","",(_xlfn.TEXTSPLIT(D553,"-")))</f>
        <v/>
      </c>
      <c r="K553" s="129" t="e">
        <f>VLOOKUP(VALUE($B553),test_out_xwalk!$C:$L,3,FALSE)</f>
        <v>#VALUE!</v>
      </c>
      <c r="L553" s="129" t="e">
        <f>VLOOKUP(VALUE($B553),test_out_xwalk!$C:$L,5,FALSE)</f>
        <v>#VALUE!</v>
      </c>
      <c r="M553" s="129" t="e">
        <f>VLOOKUP(VALUE($B553),test_out_xwalk!$C:$L,6,FALSE)</f>
        <v>#VALUE!</v>
      </c>
      <c r="N553" s="129" t="e">
        <f>VLOOKUP(VALUE($B553),test_out_xwalk!$C:$L,8,FALSE)</f>
        <v>#VALUE!</v>
      </c>
      <c r="O553" s="129" t="e">
        <f>VLOOKUP(VALUE($B553),test_out_xwalk!$C:$L,7,FALSE)</f>
        <v>#VALUE!</v>
      </c>
      <c r="P553" s="129" t="e">
        <f>VLOOKUP(VALUE($B553),test_out_xwalk!$C:$L,4,FALSE)</f>
        <v>#VALUE!</v>
      </c>
      <c r="Q553" s="129" t="e">
        <f>VLOOKUP(VALUE($B553),test_out_xwalk!$C:$L,9,FALSE)</f>
        <v>#VALUE!</v>
      </c>
      <c r="R553" t="e">
        <f>_xlfn.XLOOKUP(VALUE(B553),test_out_xwalk!$C:$C,test_out_xwalk!$A:$A)</f>
        <v>#VALUE!</v>
      </c>
      <c r="T553" s="121" t="str">
        <f>IF('summary_EPA Pond'!$O553="","Check Summary EPA POND worksheet Column O",'summary_EPA Pond'!$O553)</f>
        <v>Check Summary EPA POND worksheet Column O</v>
      </c>
      <c r="U553" s="121" t="str" cm="1">
        <f t="array" ref="U553">IFERROR(_xlfn.TEXTSPLIT(T553,"_"),"")</f>
        <v>Check Summary EPA POND worksheet Column O</v>
      </c>
      <c r="AA553" s="121" t="str" cm="1">
        <f t="array" ref="AA553">IF(W553="","",(_xlfn.TEXTSPLIT(W553,"-")))</f>
        <v/>
      </c>
      <c r="AD553" s="129" t="e">
        <f>VLOOKUP(VALUE($U553),test_out_xwalk!$C:$L,3,FALSE)</f>
        <v>#VALUE!</v>
      </c>
      <c r="AE553" s="129" t="e">
        <f>VLOOKUP(VALUE($U553),test_out_xwalk!$C:$L,5,FALSE)</f>
        <v>#VALUE!</v>
      </c>
      <c r="AF553" s="129" t="e">
        <f>VLOOKUP(VALUE($U553),test_out_xwalk!$C:$L,6,FALSE)</f>
        <v>#VALUE!</v>
      </c>
      <c r="AG553" s="129" t="e">
        <f>VLOOKUP(VALUE($U553),test_out_xwalk!$C:$L,8,FALSE)</f>
        <v>#VALUE!</v>
      </c>
      <c r="AH553" s="129" t="e">
        <f>VLOOKUP(VALUE($U553),test_out_xwalk!$C:$L,7,FALSE)</f>
        <v>#VALUE!</v>
      </c>
      <c r="AI553" s="129" t="e">
        <f>VLOOKUP(VALUE($U553),test_out_xwalk!$C:$L,4,FALSE)</f>
        <v>#VALUE!</v>
      </c>
      <c r="AJ553" s="129" t="e">
        <f>VLOOKUP(VALUE($U553),test_out_xwalk!$C:$L,9,FALSE)</f>
        <v>#VALUE!</v>
      </c>
      <c r="AK553" t="e">
        <f>_xlfn.XLOOKUP(VALUE(U553),test_out_xwalk!C:C,test_out_xwalk!A:A)</f>
        <v>#VALUE!</v>
      </c>
    </row>
    <row r="554" spans="1:37" x14ac:dyDescent="0.55000000000000004">
      <c r="A554" s="121" t="str">
        <f>IF('summary_EPA Pond'!$A554="","Check Summary EPA POND worksheet Column A",'summary_EPA Pond'!$A554)</f>
        <v>Check Summary EPA POND worksheet Column A</v>
      </c>
      <c r="B554" s="121" t="str" cm="1">
        <f t="array" ref="B554">IFERROR(_xlfn.TEXTSPLIT(A554,"_"),"")</f>
        <v>Check Summary EPA POND worksheet Column A</v>
      </c>
      <c r="H554" s="121" t="str" cm="1">
        <f t="array" ref="H554">IF(D554="","",(_xlfn.TEXTSPLIT(D554,"-")))</f>
        <v/>
      </c>
      <c r="K554" s="129" t="e">
        <f>VLOOKUP(VALUE($B554),test_out_xwalk!$C:$L,3,FALSE)</f>
        <v>#VALUE!</v>
      </c>
      <c r="L554" s="129" t="e">
        <f>VLOOKUP(VALUE($B554),test_out_xwalk!$C:$L,5,FALSE)</f>
        <v>#VALUE!</v>
      </c>
      <c r="M554" s="129" t="e">
        <f>VLOOKUP(VALUE($B554),test_out_xwalk!$C:$L,6,FALSE)</f>
        <v>#VALUE!</v>
      </c>
      <c r="N554" s="129" t="e">
        <f>VLOOKUP(VALUE($B554),test_out_xwalk!$C:$L,8,FALSE)</f>
        <v>#VALUE!</v>
      </c>
      <c r="O554" s="129" t="e">
        <f>VLOOKUP(VALUE($B554),test_out_xwalk!$C:$L,7,FALSE)</f>
        <v>#VALUE!</v>
      </c>
      <c r="P554" s="129" t="e">
        <f>VLOOKUP(VALUE($B554),test_out_xwalk!$C:$L,4,FALSE)</f>
        <v>#VALUE!</v>
      </c>
      <c r="Q554" s="129" t="e">
        <f>VLOOKUP(VALUE($B554),test_out_xwalk!$C:$L,9,FALSE)</f>
        <v>#VALUE!</v>
      </c>
      <c r="R554" t="e">
        <f>_xlfn.XLOOKUP(VALUE(B554),test_out_xwalk!$C:$C,test_out_xwalk!$A:$A)</f>
        <v>#VALUE!</v>
      </c>
      <c r="T554" s="121" t="str">
        <f>IF('summary_EPA Pond'!$O554="","Check Summary EPA POND worksheet Column O",'summary_EPA Pond'!$O554)</f>
        <v>Check Summary EPA POND worksheet Column O</v>
      </c>
      <c r="U554" s="121" t="str" cm="1">
        <f t="array" ref="U554">IFERROR(_xlfn.TEXTSPLIT(T554,"_"),"")</f>
        <v>Check Summary EPA POND worksheet Column O</v>
      </c>
      <c r="AA554" s="121" t="str" cm="1">
        <f t="array" ref="AA554">IF(W554="","",(_xlfn.TEXTSPLIT(W554,"-")))</f>
        <v/>
      </c>
      <c r="AD554" s="129" t="e">
        <f>VLOOKUP(VALUE($U554),test_out_xwalk!$C:$L,3,FALSE)</f>
        <v>#VALUE!</v>
      </c>
      <c r="AE554" s="129" t="e">
        <f>VLOOKUP(VALUE($U554),test_out_xwalk!$C:$L,5,FALSE)</f>
        <v>#VALUE!</v>
      </c>
      <c r="AF554" s="129" t="e">
        <f>VLOOKUP(VALUE($U554),test_out_xwalk!$C:$L,6,FALSE)</f>
        <v>#VALUE!</v>
      </c>
      <c r="AG554" s="129" t="e">
        <f>VLOOKUP(VALUE($U554),test_out_xwalk!$C:$L,8,FALSE)</f>
        <v>#VALUE!</v>
      </c>
      <c r="AH554" s="129" t="e">
        <f>VLOOKUP(VALUE($U554),test_out_xwalk!$C:$L,7,FALSE)</f>
        <v>#VALUE!</v>
      </c>
      <c r="AI554" s="129" t="e">
        <f>VLOOKUP(VALUE($U554),test_out_xwalk!$C:$L,4,FALSE)</f>
        <v>#VALUE!</v>
      </c>
      <c r="AJ554" s="129" t="e">
        <f>VLOOKUP(VALUE($U554),test_out_xwalk!$C:$L,9,FALSE)</f>
        <v>#VALUE!</v>
      </c>
      <c r="AK554" t="e">
        <f>_xlfn.XLOOKUP(VALUE(U554),test_out_xwalk!C:C,test_out_xwalk!A:A)</f>
        <v>#VALUE!</v>
      </c>
    </row>
    <row r="555" spans="1:37" x14ac:dyDescent="0.55000000000000004">
      <c r="A555" s="121" t="str">
        <f>IF('summary_EPA Pond'!$A555="","Check Summary EPA POND worksheet Column A",'summary_EPA Pond'!$A555)</f>
        <v>Check Summary EPA POND worksheet Column A</v>
      </c>
      <c r="B555" s="121" t="str" cm="1">
        <f t="array" ref="B555">IFERROR(_xlfn.TEXTSPLIT(A555,"_"),"")</f>
        <v>Check Summary EPA POND worksheet Column A</v>
      </c>
      <c r="H555" s="121" t="str" cm="1">
        <f t="array" ref="H555">IF(D555="","",(_xlfn.TEXTSPLIT(D555,"-")))</f>
        <v/>
      </c>
      <c r="K555" s="129" t="e">
        <f>VLOOKUP(VALUE($B555),test_out_xwalk!$C:$L,3,FALSE)</f>
        <v>#VALUE!</v>
      </c>
      <c r="L555" s="129" t="e">
        <f>VLOOKUP(VALUE($B555),test_out_xwalk!$C:$L,5,FALSE)</f>
        <v>#VALUE!</v>
      </c>
      <c r="M555" s="129" t="e">
        <f>VLOOKUP(VALUE($B555),test_out_xwalk!$C:$L,6,FALSE)</f>
        <v>#VALUE!</v>
      </c>
      <c r="N555" s="129" t="e">
        <f>VLOOKUP(VALUE($B555),test_out_xwalk!$C:$L,8,FALSE)</f>
        <v>#VALUE!</v>
      </c>
      <c r="O555" s="129" t="e">
        <f>VLOOKUP(VALUE($B555),test_out_xwalk!$C:$L,7,FALSE)</f>
        <v>#VALUE!</v>
      </c>
      <c r="P555" s="129" t="e">
        <f>VLOOKUP(VALUE($B555),test_out_xwalk!$C:$L,4,FALSE)</f>
        <v>#VALUE!</v>
      </c>
      <c r="Q555" s="129" t="e">
        <f>VLOOKUP(VALUE($B555),test_out_xwalk!$C:$L,9,FALSE)</f>
        <v>#VALUE!</v>
      </c>
      <c r="R555" t="e">
        <f>_xlfn.XLOOKUP(VALUE(B555),test_out_xwalk!$C:$C,test_out_xwalk!$A:$A)</f>
        <v>#VALUE!</v>
      </c>
      <c r="T555" s="121" t="str">
        <f>IF('summary_EPA Pond'!$O555="","Check Summary EPA POND worksheet Column O",'summary_EPA Pond'!$O555)</f>
        <v>Check Summary EPA POND worksheet Column O</v>
      </c>
      <c r="U555" s="121" t="str" cm="1">
        <f t="array" ref="U555">IFERROR(_xlfn.TEXTSPLIT(T555,"_"),"")</f>
        <v>Check Summary EPA POND worksheet Column O</v>
      </c>
      <c r="AA555" s="121" t="str" cm="1">
        <f t="array" ref="AA555">IF(W555="","",(_xlfn.TEXTSPLIT(W555,"-")))</f>
        <v/>
      </c>
      <c r="AD555" s="129" t="e">
        <f>VLOOKUP(VALUE($U555),test_out_xwalk!$C:$L,3,FALSE)</f>
        <v>#VALUE!</v>
      </c>
      <c r="AE555" s="129" t="e">
        <f>VLOOKUP(VALUE($U555),test_out_xwalk!$C:$L,5,FALSE)</f>
        <v>#VALUE!</v>
      </c>
      <c r="AF555" s="129" t="e">
        <f>VLOOKUP(VALUE($U555),test_out_xwalk!$C:$L,6,FALSE)</f>
        <v>#VALUE!</v>
      </c>
      <c r="AG555" s="129" t="e">
        <f>VLOOKUP(VALUE($U555),test_out_xwalk!$C:$L,8,FALSE)</f>
        <v>#VALUE!</v>
      </c>
      <c r="AH555" s="129" t="e">
        <f>VLOOKUP(VALUE($U555),test_out_xwalk!$C:$L,7,FALSE)</f>
        <v>#VALUE!</v>
      </c>
      <c r="AI555" s="129" t="e">
        <f>VLOOKUP(VALUE($U555),test_out_xwalk!$C:$L,4,FALSE)</f>
        <v>#VALUE!</v>
      </c>
      <c r="AJ555" s="129" t="e">
        <f>VLOOKUP(VALUE($U555),test_out_xwalk!$C:$L,9,FALSE)</f>
        <v>#VALUE!</v>
      </c>
      <c r="AK555" t="e">
        <f>_xlfn.XLOOKUP(VALUE(U555),test_out_xwalk!C:C,test_out_xwalk!A:A)</f>
        <v>#VALUE!</v>
      </c>
    </row>
    <row r="556" spans="1:37" x14ac:dyDescent="0.55000000000000004">
      <c r="A556" s="121" t="str">
        <f>IF('summary_EPA Pond'!$A556="","Check Summary EPA POND worksheet Column A",'summary_EPA Pond'!$A556)</f>
        <v>Check Summary EPA POND worksheet Column A</v>
      </c>
      <c r="B556" s="121" t="str" cm="1">
        <f t="array" ref="B556">IFERROR(_xlfn.TEXTSPLIT(A556,"_"),"")</f>
        <v>Check Summary EPA POND worksheet Column A</v>
      </c>
      <c r="H556" s="121" t="str" cm="1">
        <f t="array" ref="H556">IF(D556="","",(_xlfn.TEXTSPLIT(D556,"-")))</f>
        <v/>
      </c>
      <c r="K556" s="129" t="e">
        <f>VLOOKUP(VALUE($B556),test_out_xwalk!$C:$L,3,FALSE)</f>
        <v>#VALUE!</v>
      </c>
      <c r="L556" s="129" t="e">
        <f>VLOOKUP(VALUE($B556),test_out_xwalk!$C:$L,5,FALSE)</f>
        <v>#VALUE!</v>
      </c>
      <c r="M556" s="129" t="e">
        <f>VLOOKUP(VALUE($B556),test_out_xwalk!$C:$L,6,FALSE)</f>
        <v>#VALUE!</v>
      </c>
      <c r="N556" s="129" t="e">
        <f>VLOOKUP(VALUE($B556),test_out_xwalk!$C:$L,8,FALSE)</f>
        <v>#VALUE!</v>
      </c>
      <c r="O556" s="129" t="e">
        <f>VLOOKUP(VALUE($B556),test_out_xwalk!$C:$L,7,FALSE)</f>
        <v>#VALUE!</v>
      </c>
      <c r="P556" s="129" t="e">
        <f>VLOOKUP(VALUE($B556),test_out_xwalk!$C:$L,4,FALSE)</f>
        <v>#VALUE!</v>
      </c>
      <c r="Q556" s="129" t="e">
        <f>VLOOKUP(VALUE($B556),test_out_xwalk!$C:$L,9,FALSE)</f>
        <v>#VALUE!</v>
      </c>
      <c r="R556" t="e">
        <f>_xlfn.XLOOKUP(VALUE(B556),test_out_xwalk!$C:$C,test_out_xwalk!$A:$A)</f>
        <v>#VALUE!</v>
      </c>
      <c r="T556" s="121" t="str">
        <f>IF('summary_EPA Pond'!$O556="","Check Summary EPA POND worksheet Column O",'summary_EPA Pond'!$O556)</f>
        <v>Check Summary EPA POND worksheet Column O</v>
      </c>
      <c r="U556" s="121" t="str" cm="1">
        <f t="array" ref="U556">IFERROR(_xlfn.TEXTSPLIT(T556,"_"),"")</f>
        <v>Check Summary EPA POND worksheet Column O</v>
      </c>
      <c r="AA556" s="121" t="str" cm="1">
        <f t="array" ref="AA556">IF(W556="","",(_xlfn.TEXTSPLIT(W556,"-")))</f>
        <v/>
      </c>
      <c r="AD556" s="129" t="e">
        <f>VLOOKUP(VALUE($U556),test_out_xwalk!$C:$L,3,FALSE)</f>
        <v>#VALUE!</v>
      </c>
      <c r="AE556" s="129" t="e">
        <f>VLOOKUP(VALUE($U556),test_out_xwalk!$C:$L,5,FALSE)</f>
        <v>#VALUE!</v>
      </c>
      <c r="AF556" s="129" t="e">
        <f>VLOOKUP(VALUE($U556),test_out_xwalk!$C:$L,6,FALSE)</f>
        <v>#VALUE!</v>
      </c>
      <c r="AG556" s="129" t="e">
        <f>VLOOKUP(VALUE($U556),test_out_xwalk!$C:$L,8,FALSE)</f>
        <v>#VALUE!</v>
      </c>
      <c r="AH556" s="129" t="e">
        <f>VLOOKUP(VALUE($U556),test_out_xwalk!$C:$L,7,FALSE)</f>
        <v>#VALUE!</v>
      </c>
      <c r="AI556" s="129" t="e">
        <f>VLOOKUP(VALUE($U556),test_out_xwalk!$C:$L,4,FALSE)</f>
        <v>#VALUE!</v>
      </c>
      <c r="AJ556" s="129" t="e">
        <f>VLOOKUP(VALUE($U556),test_out_xwalk!$C:$L,9,FALSE)</f>
        <v>#VALUE!</v>
      </c>
      <c r="AK556" t="e">
        <f>_xlfn.XLOOKUP(VALUE(U556),test_out_xwalk!C:C,test_out_xwalk!A:A)</f>
        <v>#VALUE!</v>
      </c>
    </row>
    <row r="557" spans="1:37" x14ac:dyDescent="0.55000000000000004">
      <c r="A557" s="121" t="str">
        <f>IF('summary_EPA Pond'!$A557="","Check Summary EPA POND worksheet Column A",'summary_EPA Pond'!$A557)</f>
        <v>Check Summary EPA POND worksheet Column A</v>
      </c>
      <c r="B557" s="121" t="str" cm="1">
        <f t="array" ref="B557">IFERROR(_xlfn.TEXTSPLIT(A557,"_"),"")</f>
        <v>Check Summary EPA POND worksheet Column A</v>
      </c>
      <c r="H557" s="121" t="str" cm="1">
        <f t="array" ref="H557">IF(D557="","",(_xlfn.TEXTSPLIT(D557,"-")))</f>
        <v/>
      </c>
      <c r="K557" s="129" t="e">
        <f>VLOOKUP(VALUE($B557),test_out_xwalk!$C:$L,3,FALSE)</f>
        <v>#VALUE!</v>
      </c>
      <c r="L557" s="129" t="e">
        <f>VLOOKUP(VALUE($B557),test_out_xwalk!$C:$L,5,FALSE)</f>
        <v>#VALUE!</v>
      </c>
      <c r="M557" s="129" t="e">
        <f>VLOOKUP(VALUE($B557),test_out_xwalk!$C:$L,6,FALSE)</f>
        <v>#VALUE!</v>
      </c>
      <c r="N557" s="129" t="e">
        <f>VLOOKUP(VALUE($B557),test_out_xwalk!$C:$L,8,FALSE)</f>
        <v>#VALUE!</v>
      </c>
      <c r="O557" s="129" t="e">
        <f>VLOOKUP(VALUE($B557),test_out_xwalk!$C:$L,7,FALSE)</f>
        <v>#VALUE!</v>
      </c>
      <c r="P557" s="129" t="e">
        <f>VLOOKUP(VALUE($B557),test_out_xwalk!$C:$L,4,FALSE)</f>
        <v>#VALUE!</v>
      </c>
      <c r="Q557" s="129" t="e">
        <f>VLOOKUP(VALUE($B557),test_out_xwalk!$C:$L,9,FALSE)</f>
        <v>#VALUE!</v>
      </c>
      <c r="R557" t="e">
        <f>_xlfn.XLOOKUP(VALUE(B557),test_out_xwalk!$C:$C,test_out_xwalk!$A:$A)</f>
        <v>#VALUE!</v>
      </c>
      <c r="T557" s="121" t="str">
        <f>IF('summary_EPA Pond'!$O557="","Check Summary EPA POND worksheet Column O",'summary_EPA Pond'!$O557)</f>
        <v>Check Summary EPA POND worksheet Column O</v>
      </c>
      <c r="U557" s="121" t="str" cm="1">
        <f t="array" ref="U557">IFERROR(_xlfn.TEXTSPLIT(T557,"_"),"")</f>
        <v>Check Summary EPA POND worksheet Column O</v>
      </c>
      <c r="AA557" s="121" t="str" cm="1">
        <f t="array" ref="AA557">IF(W557="","",(_xlfn.TEXTSPLIT(W557,"-")))</f>
        <v/>
      </c>
      <c r="AD557" s="129" t="e">
        <f>VLOOKUP(VALUE($U557),test_out_xwalk!$C:$L,3,FALSE)</f>
        <v>#VALUE!</v>
      </c>
      <c r="AE557" s="129" t="e">
        <f>VLOOKUP(VALUE($U557),test_out_xwalk!$C:$L,5,FALSE)</f>
        <v>#VALUE!</v>
      </c>
      <c r="AF557" s="129" t="e">
        <f>VLOOKUP(VALUE($U557),test_out_xwalk!$C:$L,6,FALSE)</f>
        <v>#VALUE!</v>
      </c>
      <c r="AG557" s="129" t="e">
        <f>VLOOKUP(VALUE($U557),test_out_xwalk!$C:$L,8,FALSE)</f>
        <v>#VALUE!</v>
      </c>
      <c r="AH557" s="129" t="e">
        <f>VLOOKUP(VALUE($U557),test_out_xwalk!$C:$L,7,FALSE)</f>
        <v>#VALUE!</v>
      </c>
      <c r="AI557" s="129" t="e">
        <f>VLOOKUP(VALUE($U557),test_out_xwalk!$C:$L,4,FALSE)</f>
        <v>#VALUE!</v>
      </c>
      <c r="AJ557" s="129" t="e">
        <f>VLOOKUP(VALUE($U557),test_out_xwalk!$C:$L,9,FALSE)</f>
        <v>#VALUE!</v>
      </c>
      <c r="AK557" t="e">
        <f>_xlfn.XLOOKUP(VALUE(U557),test_out_xwalk!C:C,test_out_xwalk!A:A)</f>
        <v>#VALUE!</v>
      </c>
    </row>
    <row r="558" spans="1:37" x14ac:dyDescent="0.55000000000000004">
      <c r="A558" s="121" t="str">
        <f>IF('summary_EPA Pond'!$A558="","Check Summary EPA POND worksheet Column A",'summary_EPA Pond'!$A558)</f>
        <v>Check Summary EPA POND worksheet Column A</v>
      </c>
      <c r="B558" s="121" t="str" cm="1">
        <f t="array" ref="B558">IFERROR(_xlfn.TEXTSPLIT(A558,"_"),"")</f>
        <v>Check Summary EPA POND worksheet Column A</v>
      </c>
      <c r="H558" s="121" t="str" cm="1">
        <f t="array" ref="H558">IF(D558="","",(_xlfn.TEXTSPLIT(D558,"-")))</f>
        <v/>
      </c>
      <c r="K558" s="129" t="e">
        <f>VLOOKUP(VALUE($B558),test_out_xwalk!$C:$L,3,FALSE)</f>
        <v>#VALUE!</v>
      </c>
      <c r="L558" s="129" t="e">
        <f>VLOOKUP(VALUE($B558),test_out_xwalk!$C:$L,5,FALSE)</f>
        <v>#VALUE!</v>
      </c>
      <c r="M558" s="129" t="e">
        <f>VLOOKUP(VALUE($B558),test_out_xwalk!$C:$L,6,FALSE)</f>
        <v>#VALUE!</v>
      </c>
      <c r="N558" s="129" t="e">
        <f>VLOOKUP(VALUE($B558),test_out_xwalk!$C:$L,8,FALSE)</f>
        <v>#VALUE!</v>
      </c>
      <c r="O558" s="129" t="e">
        <f>VLOOKUP(VALUE($B558),test_out_xwalk!$C:$L,7,FALSE)</f>
        <v>#VALUE!</v>
      </c>
      <c r="P558" s="129" t="e">
        <f>VLOOKUP(VALUE($B558),test_out_xwalk!$C:$L,4,FALSE)</f>
        <v>#VALUE!</v>
      </c>
      <c r="Q558" s="129" t="e">
        <f>VLOOKUP(VALUE($B558),test_out_xwalk!$C:$L,9,FALSE)</f>
        <v>#VALUE!</v>
      </c>
      <c r="R558" t="e">
        <f>_xlfn.XLOOKUP(VALUE(B558),test_out_xwalk!$C:$C,test_out_xwalk!$A:$A)</f>
        <v>#VALUE!</v>
      </c>
      <c r="T558" s="121" t="str">
        <f>IF('summary_EPA Pond'!$O558="","Check Summary EPA POND worksheet Column O",'summary_EPA Pond'!$O558)</f>
        <v>Check Summary EPA POND worksheet Column O</v>
      </c>
      <c r="U558" s="121" t="str" cm="1">
        <f t="array" ref="U558">IFERROR(_xlfn.TEXTSPLIT(T558,"_"),"")</f>
        <v>Check Summary EPA POND worksheet Column O</v>
      </c>
      <c r="AA558" s="121" t="str" cm="1">
        <f t="array" ref="AA558">IF(W558="","",(_xlfn.TEXTSPLIT(W558,"-")))</f>
        <v/>
      </c>
      <c r="AD558" s="129" t="e">
        <f>VLOOKUP(VALUE($U558),test_out_xwalk!$C:$L,3,FALSE)</f>
        <v>#VALUE!</v>
      </c>
      <c r="AE558" s="129" t="e">
        <f>VLOOKUP(VALUE($U558),test_out_xwalk!$C:$L,5,FALSE)</f>
        <v>#VALUE!</v>
      </c>
      <c r="AF558" s="129" t="e">
        <f>VLOOKUP(VALUE($U558),test_out_xwalk!$C:$L,6,FALSE)</f>
        <v>#VALUE!</v>
      </c>
      <c r="AG558" s="129" t="e">
        <f>VLOOKUP(VALUE($U558),test_out_xwalk!$C:$L,8,FALSE)</f>
        <v>#VALUE!</v>
      </c>
      <c r="AH558" s="129" t="e">
        <f>VLOOKUP(VALUE($U558),test_out_xwalk!$C:$L,7,FALSE)</f>
        <v>#VALUE!</v>
      </c>
      <c r="AI558" s="129" t="e">
        <f>VLOOKUP(VALUE($U558),test_out_xwalk!$C:$L,4,FALSE)</f>
        <v>#VALUE!</v>
      </c>
      <c r="AJ558" s="129" t="e">
        <f>VLOOKUP(VALUE($U558),test_out_xwalk!$C:$L,9,FALSE)</f>
        <v>#VALUE!</v>
      </c>
      <c r="AK558" t="e">
        <f>_xlfn.XLOOKUP(VALUE(U558),test_out_xwalk!C:C,test_out_xwalk!A:A)</f>
        <v>#VALUE!</v>
      </c>
    </row>
    <row r="559" spans="1:37" x14ac:dyDescent="0.55000000000000004">
      <c r="A559" s="121" t="str">
        <f>IF('summary_EPA Pond'!$A559="","Check Summary EPA POND worksheet Column A",'summary_EPA Pond'!$A559)</f>
        <v>Check Summary EPA POND worksheet Column A</v>
      </c>
      <c r="B559" s="121" t="str" cm="1">
        <f t="array" ref="B559">IFERROR(_xlfn.TEXTSPLIT(A559,"_"),"")</f>
        <v>Check Summary EPA POND worksheet Column A</v>
      </c>
      <c r="H559" s="121" t="str" cm="1">
        <f t="array" ref="H559">IF(D559="","",(_xlfn.TEXTSPLIT(D559,"-")))</f>
        <v/>
      </c>
      <c r="K559" s="129" t="e">
        <f>VLOOKUP(VALUE($B559),test_out_xwalk!$C:$L,3,FALSE)</f>
        <v>#VALUE!</v>
      </c>
      <c r="L559" s="129" t="e">
        <f>VLOOKUP(VALUE($B559),test_out_xwalk!$C:$L,5,FALSE)</f>
        <v>#VALUE!</v>
      </c>
      <c r="M559" s="129" t="e">
        <f>VLOOKUP(VALUE($B559),test_out_xwalk!$C:$L,6,FALSE)</f>
        <v>#VALUE!</v>
      </c>
      <c r="N559" s="129" t="e">
        <f>VLOOKUP(VALUE($B559),test_out_xwalk!$C:$L,8,FALSE)</f>
        <v>#VALUE!</v>
      </c>
      <c r="O559" s="129" t="e">
        <f>VLOOKUP(VALUE($B559),test_out_xwalk!$C:$L,7,FALSE)</f>
        <v>#VALUE!</v>
      </c>
      <c r="P559" s="129" t="e">
        <f>VLOOKUP(VALUE($B559),test_out_xwalk!$C:$L,4,FALSE)</f>
        <v>#VALUE!</v>
      </c>
      <c r="Q559" s="129" t="e">
        <f>VLOOKUP(VALUE($B559),test_out_xwalk!$C:$L,9,FALSE)</f>
        <v>#VALUE!</v>
      </c>
      <c r="R559" t="e">
        <f>_xlfn.XLOOKUP(VALUE(B559),test_out_xwalk!$C:$C,test_out_xwalk!$A:$A)</f>
        <v>#VALUE!</v>
      </c>
      <c r="T559" s="121" t="str">
        <f>IF('summary_EPA Pond'!$O559="","Check Summary EPA POND worksheet Column O",'summary_EPA Pond'!$O559)</f>
        <v>Check Summary EPA POND worksheet Column O</v>
      </c>
      <c r="U559" s="121" t="str" cm="1">
        <f t="array" ref="U559">IFERROR(_xlfn.TEXTSPLIT(T559,"_"),"")</f>
        <v>Check Summary EPA POND worksheet Column O</v>
      </c>
      <c r="AA559" s="121" t="str" cm="1">
        <f t="array" ref="AA559">IF(W559="","",(_xlfn.TEXTSPLIT(W559,"-")))</f>
        <v/>
      </c>
      <c r="AD559" s="129" t="e">
        <f>VLOOKUP(VALUE($U559),test_out_xwalk!$C:$L,3,FALSE)</f>
        <v>#VALUE!</v>
      </c>
      <c r="AE559" s="129" t="e">
        <f>VLOOKUP(VALUE($U559),test_out_xwalk!$C:$L,5,FALSE)</f>
        <v>#VALUE!</v>
      </c>
      <c r="AF559" s="129" t="e">
        <f>VLOOKUP(VALUE($U559),test_out_xwalk!$C:$L,6,FALSE)</f>
        <v>#VALUE!</v>
      </c>
      <c r="AG559" s="129" t="e">
        <f>VLOOKUP(VALUE($U559),test_out_xwalk!$C:$L,8,FALSE)</f>
        <v>#VALUE!</v>
      </c>
      <c r="AH559" s="129" t="e">
        <f>VLOOKUP(VALUE($U559),test_out_xwalk!$C:$L,7,FALSE)</f>
        <v>#VALUE!</v>
      </c>
      <c r="AI559" s="129" t="e">
        <f>VLOOKUP(VALUE($U559),test_out_xwalk!$C:$L,4,FALSE)</f>
        <v>#VALUE!</v>
      </c>
      <c r="AJ559" s="129" t="e">
        <f>VLOOKUP(VALUE($U559),test_out_xwalk!$C:$L,9,FALSE)</f>
        <v>#VALUE!</v>
      </c>
      <c r="AK559" t="e">
        <f>_xlfn.XLOOKUP(VALUE(U559),test_out_xwalk!C:C,test_out_xwalk!A:A)</f>
        <v>#VALUE!</v>
      </c>
    </row>
    <row r="560" spans="1:37" x14ac:dyDescent="0.55000000000000004">
      <c r="A560" s="121" t="str">
        <f>IF('summary_EPA Pond'!$A560="","Check Summary EPA POND worksheet Column A",'summary_EPA Pond'!$A560)</f>
        <v>Check Summary EPA POND worksheet Column A</v>
      </c>
      <c r="B560" s="121" t="str" cm="1">
        <f t="array" ref="B560">IFERROR(_xlfn.TEXTSPLIT(A560,"_"),"")</f>
        <v>Check Summary EPA POND worksheet Column A</v>
      </c>
      <c r="H560" s="121" t="str" cm="1">
        <f t="array" ref="H560">IF(D560="","",(_xlfn.TEXTSPLIT(D560,"-")))</f>
        <v/>
      </c>
      <c r="K560" s="129" t="e">
        <f>VLOOKUP(VALUE($B560),test_out_xwalk!$C:$L,3,FALSE)</f>
        <v>#VALUE!</v>
      </c>
      <c r="L560" s="129" t="e">
        <f>VLOOKUP(VALUE($B560),test_out_xwalk!$C:$L,5,FALSE)</f>
        <v>#VALUE!</v>
      </c>
      <c r="M560" s="129" t="e">
        <f>VLOOKUP(VALUE($B560),test_out_xwalk!$C:$L,6,FALSE)</f>
        <v>#VALUE!</v>
      </c>
      <c r="N560" s="129" t="e">
        <f>VLOOKUP(VALUE($B560),test_out_xwalk!$C:$L,8,FALSE)</f>
        <v>#VALUE!</v>
      </c>
      <c r="O560" s="129" t="e">
        <f>VLOOKUP(VALUE($B560),test_out_xwalk!$C:$L,7,FALSE)</f>
        <v>#VALUE!</v>
      </c>
      <c r="P560" s="129" t="e">
        <f>VLOOKUP(VALUE($B560),test_out_xwalk!$C:$L,4,FALSE)</f>
        <v>#VALUE!</v>
      </c>
      <c r="Q560" s="129" t="e">
        <f>VLOOKUP(VALUE($B560),test_out_xwalk!$C:$L,9,FALSE)</f>
        <v>#VALUE!</v>
      </c>
      <c r="R560" t="e">
        <f>_xlfn.XLOOKUP(VALUE(B560),test_out_xwalk!$C:$C,test_out_xwalk!$A:$A)</f>
        <v>#VALUE!</v>
      </c>
      <c r="T560" s="121" t="str">
        <f>IF('summary_EPA Pond'!$O560="","Check Summary EPA POND worksheet Column O",'summary_EPA Pond'!$O560)</f>
        <v>Check Summary EPA POND worksheet Column O</v>
      </c>
      <c r="U560" s="121" t="str" cm="1">
        <f t="array" ref="U560">IFERROR(_xlfn.TEXTSPLIT(T560,"_"),"")</f>
        <v>Check Summary EPA POND worksheet Column O</v>
      </c>
      <c r="AA560" s="121" t="str" cm="1">
        <f t="array" ref="AA560">IF(W560="","",(_xlfn.TEXTSPLIT(W560,"-")))</f>
        <v/>
      </c>
      <c r="AD560" s="129" t="e">
        <f>VLOOKUP(VALUE($U560),test_out_xwalk!$C:$L,3,FALSE)</f>
        <v>#VALUE!</v>
      </c>
      <c r="AE560" s="129" t="e">
        <f>VLOOKUP(VALUE($U560),test_out_xwalk!$C:$L,5,FALSE)</f>
        <v>#VALUE!</v>
      </c>
      <c r="AF560" s="129" t="e">
        <f>VLOOKUP(VALUE($U560),test_out_xwalk!$C:$L,6,FALSE)</f>
        <v>#VALUE!</v>
      </c>
      <c r="AG560" s="129" t="e">
        <f>VLOOKUP(VALUE($U560),test_out_xwalk!$C:$L,8,FALSE)</f>
        <v>#VALUE!</v>
      </c>
      <c r="AH560" s="129" t="e">
        <f>VLOOKUP(VALUE($U560),test_out_xwalk!$C:$L,7,FALSE)</f>
        <v>#VALUE!</v>
      </c>
      <c r="AI560" s="129" t="e">
        <f>VLOOKUP(VALUE($U560),test_out_xwalk!$C:$L,4,FALSE)</f>
        <v>#VALUE!</v>
      </c>
      <c r="AJ560" s="129" t="e">
        <f>VLOOKUP(VALUE($U560),test_out_xwalk!$C:$L,9,FALSE)</f>
        <v>#VALUE!</v>
      </c>
      <c r="AK560" t="e">
        <f>_xlfn.XLOOKUP(VALUE(U560),test_out_xwalk!C:C,test_out_xwalk!A:A)</f>
        <v>#VALUE!</v>
      </c>
    </row>
    <row r="561" spans="1:37" x14ac:dyDescent="0.55000000000000004">
      <c r="A561" s="121" t="str">
        <f>IF('summary_EPA Pond'!$A561="","Check Summary EPA POND worksheet Column A",'summary_EPA Pond'!$A561)</f>
        <v>Check Summary EPA POND worksheet Column A</v>
      </c>
      <c r="B561" s="121" t="str" cm="1">
        <f t="array" ref="B561">IFERROR(_xlfn.TEXTSPLIT(A561,"_"),"")</f>
        <v>Check Summary EPA POND worksheet Column A</v>
      </c>
      <c r="H561" s="121" t="str" cm="1">
        <f t="array" ref="H561">IF(D561="","",(_xlfn.TEXTSPLIT(D561,"-")))</f>
        <v/>
      </c>
      <c r="K561" s="129" t="e">
        <f>VLOOKUP(VALUE($B561),test_out_xwalk!$C:$L,3,FALSE)</f>
        <v>#VALUE!</v>
      </c>
      <c r="L561" s="129" t="e">
        <f>VLOOKUP(VALUE($B561),test_out_xwalk!$C:$L,5,FALSE)</f>
        <v>#VALUE!</v>
      </c>
      <c r="M561" s="129" t="e">
        <f>VLOOKUP(VALUE($B561),test_out_xwalk!$C:$L,6,FALSE)</f>
        <v>#VALUE!</v>
      </c>
      <c r="N561" s="129" t="e">
        <f>VLOOKUP(VALUE($B561),test_out_xwalk!$C:$L,8,FALSE)</f>
        <v>#VALUE!</v>
      </c>
      <c r="O561" s="129" t="e">
        <f>VLOOKUP(VALUE($B561),test_out_xwalk!$C:$L,7,FALSE)</f>
        <v>#VALUE!</v>
      </c>
      <c r="P561" s="129" t="e">
        <f>VLOOKUP(VALUE($B561),test_out_xwalk!$C:$L,4,FALSE)</f>
        <v>#VALUE!</v>
      </c>
      <c r="Q561" s="129" t="e">
        <f>VLOOKUP(VALUE($B561),test_out_xwalk!$C:$L,9,FALSE)</f>
        <v>#VALUE!</v>
      </c>
      <c r="R561" t="e">
        <f>_xlfn.XLOOKUP(VALUE(B561),test_out_xwalk!$C:$C,test_out_xwalk!$A:$A)</f>
        <v>#VALUE!</v>
      </c>
      <c r="T561" s="121" t="str">
        <f>IF('summary_EPA Pond'!$O561="","Check Summary EPA POND worksheet Column O",'summary_EPA Pond'!$O561)</f>
        <v>Check Summary EPA POND worksheet Column O</v>
      </c>
      <c r="U561" s="121" t="str" cm="1">
        <f t="array" ref="U561">IFERROR(_xlfn.TEXTSPLIT(T561,"_"),"")</f>
        <v>Check Summary EPA POND worksheet Column O</v>
      </c>
      <c r="AA561" s="121" t="str" cm="1">
        <f t="array" ref="AA561">IF(W561="","",(_xlfn.TEXTSPLIT(W561,"-")))</f>
        <v/>
      </c>
      <c r="AD561" s="129" t="e">
        <f>VLOOKUP(VALUE($U561),test_out_xwalk!$C:$L,3,FALSE)</f>
        <v>#VALUE!</v>
      </c>
      <c r="AE561" s="129" t="e">
        <f>VLOOKUP(VALUE($U561),test_out_xwalk!$C:$L,5,FALSE)</f>
        <v>#VALUE!</v>
      </c>
      <c r="AF561" s="129" t="e">
        <f>VLOOKUP(VALUE($U561),test_out_xwalk!$C:$L,6,FALSE)</f>
        <v>#VALUE!</v>
      </c>
      <c r="AG561" s="129" t="e">
        <f>VLOOKUP(VALUE($U561),test_out_xwalk!$C:$L,8,FALSE)</f>
        <v>#VALUE!</v>
      </c>
      <c r="AH561" s="129" t="e">
        <f>VLOOKUP(VALUE($U561),test_out_xwalk!$C:$L,7,FALSE)</f>
        <v>#VALUE!</v>
      </c>
      <c r="AI561" s="129" t="e">
        <f>VLOOKUP(VALUE($U561),test_out_xwalk!$C:$L,4,FALSE)</f>
        <v>#VALUE!</v>
      </c>
      <c r="AJ561" s="129" t="e">
        <f>VLOOKUP(VALUE($U561),test_out_xwalk!$C:$L,9,FALSE)</f>
        <v>#VALUE!</v>
      </c>
      <c r="AK561" t="e">
        <f>_xlfn.XLOOKUP(VALUE(U561),test_out_xwalk!C:C,test_out_xwalk!A:A)</f>
        <v>#VALUE!</v>
      </c>
    </row>
    <row r="562" spans="1:37" x14ac:dyDescent="0.55000000000000004">
      <c r="A562" s="121" t="str">
        <f>IF('summary_EPA Pond'!$A562="","Check Summary EPA POND worksheet Column A",'summary_EPA Pond'!$A562)</f>
        <v>Check Summary EPA POND worksheet Column A</v>
      </c>
      <c r="B562" s="121" t="str" cm="1">
        <f t="array" ref="B562">IFERROR(_xlfn.TEXTSPLIT(A562,"_"),"")</f>
        <v>Check Summary EPA POND worksheet Column A</v>
      </c>
      <c r="H562" s="121" t="str" cm="1">
        <f t="array" ref="H562">IF(D562="","",(_xlfn.TEXTSPLIT(D562,"-")))</f>
        <v/>
      </c>
      <c r="K562" s="129" t="e">
        <f>VLOOKUP(VALUE($B562),test_out_xwalk!$C:$L,3,FALSE)</f>
        <v>#VALUE!</v>
      </c>
      <c r="L562" s="129" t="e">
        <f>VLOOKUP(VALUE($B562),test_out_xwalk!$C:$L,5,FALSE)</f>
        <v>#VALUE!</v>
      </c>
      <c r="M562" s="129" t="e">
        <f>VLOOKUP(VALUE($B562),test_out_xwalk!$C:$L,6,FALSE)</f>
        <v>#VALUE!</v>
      </c>
      <c r="N562" s="129" t="e">
        <f>VLOOKUP(VALUE($B562),test_out_xwalk!$C:$L,8,FALSE)</f>
        <v>#VALUE!</v>
      </c>
      <c r="O562" s="129" t="e">
        <f>VLOOKUP(VALUE($B562),test_out_xwalk!$C:$L,7,FALSE)</f>
        <v>#VALUE!</v>
      </c>
      <c r="P562" s="129" t="e">
        <f>VLOOKUP(VALUE($B562),test_out_xwalk!$C:$L,4,FALSE)</f>
        <v>#VALUE!</v>
      </c>
      <c r="Q562" s="129" t="e">
        <f>VLOOKUP(VALUE($B562),test_out_xwalk!$C:$L,9,FALSE)</f>
        <v>#VALUE!</v>
      </c>
      <c r="R562" t="e">
        <f>_xlfn.XLOOKUP(VALUE(B562),test_out_xwalk!$C:$C,test_out_xwalk!$A:$A)</f>
        <v>#VALUE!</v>
      </c>
      <c r="T562" s="121" t="str">
        <f>IF('summary_EPA Pond'!$O562="","Check Summary EPA POND worksheet Column O",'summary_EPA Pond'!$O562)</f>
        <v>Check Summary EPA POND worksheet Column O</v>
      </c>
      <c r="U562" s="121" t="str" cm="1">
        <f t="array" ref="U562">IFERROR(_xlfn.TEXTSPLIT(T562,"_"),"")</f>
        <v>Check Summary EPA POND worksheet Column O</v>
      </c>
      <c r="AA562" s="121" t="str" cm="1">
        <f t="array" ref="AA562">IF(W562="","",(_xlfn.TEXTSPLIT(W562,"-")))</f>
        <v/>
      </c>
      <c r="AD562" s="129" t="e">
        <f>VLOOKUP(VALUE($U562),test_out_xwalk!$C:$L,3,FALSE)</f>
        <v>#VALUE!</v>
      </c>
      <c r="AE562" s="129" t="e">
        <f>VLOOKUP(VALUE($U562),test_out_xwalk!$C:$L,5,FALSE)</f>
        <v>#VALUE!</v>
      </c>
      <c r="AF562" s="129" t="e">
        <f>VLOOKUP(VALUE($U562),test_out_xwalk!$C:$L,6,FALSE)</f>
        <v>#VALUE!</v>
      </c>
      <c r="AG562" s="129" t="e">
        <f>VLOOKUP(VALUE($U562),test_out_xwalk!$C:$L,8,FALSE)</f>
        <v>#VALUE!</v>
      </c>
      <c r="AH562" s="129" t="e">
        <f>VLOOKUP(VALUE($U562),test_out_xwalk!$C:$L,7,FALSE)</f>
        <v>#VALUE!</v>
      </c>
      <c r="AI562" s="129" t="e">
        <f>VLOOKUP(VALUE($U562),test_out_xwalk!$C:$L,4,FALSE)</f>
        <v>#VALUE!</v>
      </c>
      <c r="AJ562" s="129" t="e">
        <f>VLOOKUP(VALUE($U562),test_out_xwalk!$C:$L,9,FALSE)</f>
        <v>#VALUE!</v>
      </c>
      <c r="AK562" t="e">
        <f>_xlfn.XLOOKUP(VALUE(U562),test_out_xwalk!C:C,test_out_xwalk!A:A)</f>
        <v>#VALUE!</v>
      </c>
    </row>
    <row r="563" spans="1:37" x14ac:dyDescent="0.55000000000000004">
      <c r="A563" s="121" t="str">
        <f>IF('summary_EPA Pond'!$A563="","Check Summary EPA POND worksheet Column A",'summary_EPA Pond'!$A563)</f>
        <v>Check Summary EPA POND worksheet Column A</v>
      </c>
      <c r="B563" s="121" t="str" cm="1">
        <f t="array" ref="B563">IFERROR(_xlfn.TEXTSPLIT(A563,"_"),"")</f>
        <v>Check Summary EPA POND worksheet Column A</v>
      </c>
      <c r="H563" s="121" t="str" cm="1">
        <f t="array" ref="H563">IF(D563="","",(_xlfn.TEXTSPLIT(D563,"-")))</f>
        <v/>
      </c>
      <c r="K563" s="129" t="e">
        <f>VLOOKUP(VALUE($B563),test_out_xwalk!$C:$L,3,FALSE)</f>
        <v>#VALUE!</v>
      </c>
      <c r="L563" s="129" t="e">
        <f>VLOOKUP(VALUE($B563),test_out_xwalk!$C:$L,5,FALSE)</f>
        <v>#VALUE!</v>
      </c>
      <c r="M563" s="129" t="e">
        <f>VLOOKUP(VALUE($B563),test_out_xwalk!$C:$L,6,FALSE)</f>
        <v>#VALUE!</v>
      </c>
      <c r="N563" s="129" t="e">
        <f>VLOOKUP(VALUE($B563),test_out_xwalk!$C:$L,8,FALSE)</f>
        <v>#VALUE!</v>
      </c>
      <c r="O563" s="129" t="e">
        <f>VLOOKUP(VALUE($B563),test_out_xwalk!$C:$L,7,FALSE)</f>
        <v>#VALUE!</v>
      </c>
      <c r="P563" s="129" t="e">
        <f>VLOOKUP(VALUE($B563),test_out_xwalk!$C:$L,4,FALSE)</f>
        <v>#VALUE!</v>
      </c>
      <c r="Q563" s="129" t="e">
        <f>VLOOKUP(VALUE($B563),test_out_xwalk!$C:$L,9,FALSE)</f>
        <v>#VALUE!</v>
      </c>
      <c r="R563" t="e">
        <f>_xlfn.XLOOKUP(VALUE(B563),test_out_xwalk!$C:$C,test_out_xwalk!$A:$A)</f>
        <v>#VALUE!</v>
      </c>
      <c r="T563" s="121" t="str">
        <f>IF('summary_EPA Pond'!$O563="","Check Summary EPA POND worksheet Column O",'summary_EPA Pond'!$O563)</f>
        <v>Check Summary EPA POND worksheet Column O</v>
      </c>
      <c r="U563" s="121" t="str" cm="1">
        <f t="array" ref="U563">IFERROR(_xlfn.TEXTSPLIT(T563,"_"),"")</f>
        <v>Check Summary EPA POND worksheet Column O</v>
      </c>
      <c r="AA563" s="121" t="str" cm="1">
        <f t="array" ref="AA563">IF(W563="","",(_xlfn.TEXTSPLIT(W563,"-")))</f>
        <v/>
      </c>
      <c r="AD563" s="129" t="e">
        <f>VLOOKUP(VALUE($U563),test_out_xwalk!$C:$L,3,FALSE)</f>
        <v>#VALUE!</v>
      </c>
      <c r="AE563" s="129" t="e">
        <f>VLOOKUP(VALUE($U563),test_out_xwalk!$C:$L,5,FALSE)</f>
        <v>#VALUE!</v>
      </c>
      <c r="AF563" s="129" t="e">
        <f>VLOOKUP(VALUE($U563),test_out_xwalk!$C:$L,6,FALSE)</f>
        <v>#VALUE!</v>
      </c>
      <c r="AG563" s="129" t="e">
        <f>VLOOKUP(VALUE($U563),test_out_xwalk!$C:$L,8,FALSE)</f>
        <v>#VALUE!</v>
      </c>
      <c r="AH563" s="129" t="e">
        <f>VLOOKUP(VALUE($U563),test_out_xwalk!$C:$L,7,FALSE)</f>
        <v>#VALUE!</v>
      </c>
      <c r="AI563" s="129" t="e">
        <f>VLOOKUP(VALUE($U563),test_out_xwalk!$C:$L,4,FALSE)</f>
        <v>#VALUE!</v>
      </c>
      <c r="AJ563" s="129" t="e">
        <f>VLOOKUP(VALUE($U563),test_out_xwalk!$C:$L,9,FALSE)</f>
        <v>#VALUE!</v>
      </c>
      <c r="AK563" t="e">
        <f>_xlfn.XLOOKUP(VALUE(U563),test_out_xwalk!C:C,test_out_xwalk!A:A)</f>
        <v>#VALUE!</v>
      </c>
    </row>
    <row r="564" spans="1:37" x14ac:dyDescent="0.55000000000000004">
      <c r="A564" s="121" t="str">
        <f>IF('summary_EPA Pond'!$A564="","Check Summary EPA POND worksheet Column A",'summary_EPA Pond'!$A564)</f>
        <v>Check Summary EPA POND worksheet Column A</v>
      </c>
      <c r="B564" s="121" t="str" cm="1">
        <f t="array" ref="B564">IFERROR(_xlfn.TEXTSPLIT(A564,"_"),"")</f>
        <v>Check Summary EPA POND worksheet Column A</v>
      </c>
      <c r="H564" s="121" t="str" cm="1">
        <f t="array" ref="H564">IF(D564="","",(_xlfn.TEXTSPLIT(D564,"-")))</f>
        <v/>
      </c>
      <c r="K564" s="129" t="e">
        <f>VLOOKUP(VALUE($B564),test_out_xwalk!$C:$L,3,FALSE)</f>
        <v>#VALUE!</v>
      </c>
      <c r="L564" s="129" t="e">
        <f>VLOOKUP(VALUE($B564),test_out_xwalk!$C:$L,5,FALSE)</f>
        <v>#VALUE!</v>
      </c>
      <c r="M564" s="129" t="e">
        <f>VLOOKUP(VALUE($B564),test_out_xwalk!$C:$L,6,FALSE)</f>
        <v>#VALUE!</v>
      </c>
      <c r="N564" s="129" t="e">
        <f>VLOOKUP(VALUE($B564),test_out_xwalk!$C:$L,8,FALSE)</f>
        <v>#VALUE!</v>
      </c>
      <c r="O564" s="129" t="e">
        <f>VLOOKUP(VALUE($B564),test_out_xwalk!$C:$L,7,FALSE)</f>
        <v>#VALUE!</v>
      </c>
      <c r="P564" s="129" t="e">
        <f>VLOOKUP(VALUE($B564),test_out_xwalk!$C:$L,4,FALSE)</f>
        <v>#VALUE!</v>
      </c>
      <c r="Q564" s="129" t="e">
        <f>VLOOKUP(VALUE($B564),test_out_xwalk!$C:$L,9,FALSE)</f>
        <v>#VALUE!</v>
      </c>
      <c r="R564" t="e">
        <f>_xlfn.XLOOKUP(VALUE(B564),test_out_xwalk!$C:$C,test_out_xwalk!$A:$A)</f>
        <v>#VALUE!</v>
      </c>
      <c r="T564" s="121" t="str">
        <f>IF('summary_EPA Pond'!$O564="","Check Summary EPA POND worksheet Column O",'summary_EPA Pond'!$O564)</f>
        <v>Check Summary EPA POND worksheet Column O</v>
      </c>
      <c r="U564" s="121" t="str" cm="1">
        <f t="array" ref="U564">IFERROR(_xlfn.TEXTSPLIT(T564,"_"),"")</f>
        <v>Check Summary EPA POND worksheet Column O</v>
      </c>
      <c r="AA564" s="121" t="str" cm="1">
        <f t="array" ref="AA564">IF(W564="","",(_xlfn.TEXTSPLIT(W564,"-")))</f>
        <v/>
      </c>
      <c r="AD564" s="129" t="e">
        <f>VLOOKUP(VALUE($U564),test_out_xwalk!$C:$L,3,FALSE)</f>
        <v>#VALUE!</v>
      </c>
      <c r="AE564" s="129" t="e">
        <f>VLOOKUP(VALUE($U564),test_out_xwalk!$C:$L,5,FALSE)</f>
        <v>#VALUE!</v>
      </c>
      <c r="AF564" s="129" t="e">
        <f>VLOOKUP(VALUE($U564),test_out_xwalk!$C:$L,6,FALSE)</f>
        <v>#VALUE!</v>
      </c>
      <c r="AG564" s="129" t="e">
        <f>VLOOKUP(VALUE($U564),test_out_xwalk!$C:$L,8,FALSE)</f>
        <v>#VALUE!</v>
      </c>
      <c r="AH564" s="129" t="e">
        <f>VLOOKUP(VALUE($U564),test_out_xwalk!$C:$L,7,FALSE)</f>
        <v>#VALUE!</v>
      </c>
      <c r="AI564" s="129" t="e">
        <f>VLOOKUP(VALUE($U564),test_out_xwalk!$C:$L,4,FALSE)</f>
        <v>#VALUE!</v>
      </c>
      <c r="AJ564" s="129" t="e">
        <f>VLOOKUP(VALUE($U564),test_out_xwalk!$C:$L,9,FALSE)</f>
        <v>#VALUE!</v>
      </c>
      <c r="AK564" t="e">
        <f>_xlfn.XLOOKUP(VALUE(U564),test_out_xwalk!C:C,test_out_xwalk!A:A)</f>
        <v>#VALUE!</v>
      </c>
    </row>
    <row r="565" spans="1:37" x14ac:dyDescent="0.55000000000000004">
      <c r="A565" s="121" t="str">
        <f>IF('summary_EPA Pond'!$A565="","Check Summary EPA POND worksheet Column A",'summary_EPA Pond'!$A565)</f>
        <v>Check Summary EPA POND worksheet Column A</v>
      </c>
      <c r="B565" s="121" t="str" cm="1">
        <f t="array" ref="B565">IFERROR(_xlfn.TEXTSPLIT(A565,"_"),"")</f>
        <v>Check Summary EPA POND worksheet Column A</v>
      </c>
      <c r="H565" s="121" t="str" cm="1">
        <f t="array" ref="H565">IF(D565="","",(_xlfn.TEXTSPLIT(D565,"-")))</f>
        <v/>
      </c>
      <c r="K565" s="129" t="e">
        <f>VLOOKUP(VALUE($B565),test_out_xwalk!$C:$L,3,FALSE)</f>
        <v>#VALUE!</v>
      </c>
      <c r="L565" s="129" t="e">
        <f>VLOOKUP(VALUE($B565),test_out_xwalk!$C:$L,5,FALSE)</f>
        <v>#VALUE!</v>
      </c>
      <c r="M565" s="129" t="e">
        <f>VLOOKUP(VALUE($B565),test_out_xwalk!$C:$L,6,FALSE)</f>
        <v>#VALUE!</v>
      </c>
      <c r="N565" s="129" t="e">
        <f>VLOOKUP(VALUE($B565),test_out_xwalk!$C:$L,8,FALSE)</f>
        <v>#VALUE!</v>
      </c>
      <c r="O565" s="129" t="e">
        <f>VLOOKUP(VALUE($B565),test_out_xwalk!$C:$L,7,FALSE)</f>
        <v>#VALUE!</v>
      </c>
      <c r="P565" s="129" t="e">
        <f>VLOOKUP(VALUE($B565),test_out_xwalk!$C:$L,4,FALSE)</f>
        <v>#VALUE!</v>
      </c>
      <c r="Q565" s="129" t="e">
        <f>VLOOKUP(VALUE($B565),test_out_xwalk!$C:$L,9,FALSE)</f>
        <v>#VALUE!</v>
      </c>
      <c r="R565" t="e">
        <f>_xlfn.XLOOKUP(VALUE(B565),test_out_xwalk!$C:$C,test_out_xwalk!$A:$A)</f>
        <v>#VALUE!</v>
      </c>
      <c r="T565" s="121" t="str">
        <f>IF('summary_EPA Pond'!$O565="","Check Summary EPA POND worksheet Column O",'summary_EPA Pond'!$O565)</f>
        <v>Check Summary EPA POND worksheet Column O</v>
      </c>
      <c r="U565" s="121" t="str" cm="1">
        <f t="array" ref="U565">IFERROR(_xlfn.TEXTSPLIT(T565,"_"),"")</f>
        <v>Check Summary EPA POND worksheet Column O</v>
      </c>
      <c r="AA565" s="121" t="str" cm="1">
        <f t="array" ref="AA565">IF(W565="","",(_xlfn.TEXTSPLIT(W565,"-")))</f>
        <v/>
      </c>
      <c r="AD565" s="129" t="e">
        <f>VLOOKUP(VALUE($U565),test_out_xwalk!$C:$L,3,FALSE)</f>
        <v>#VALUE!</v>
      </c>
      <c r="AE565" s="129" t="e">
        <f>VLOOKUP(VALUE($U565),test_out_xwalk!$C:$L,5,FALSE)</f>
        <v>#VALUE!</v>
      </c>
      <c r="AF565" s="129" t="e">
        <f>VLOOKUP(VALUE($U565),test_out_xwalk!$C:$L,6,FALSE)</f>
        <v>#VALUE!</v>
      </c>
      <c r="AG565" s="129" t="e">
        <f>VLOOKUP(VALUE($U565),test_out_xwalk!$C:$L,8,FALSE)</f>
        <v>#VALUE!</v>
      </c>
      <c r="AH565" s="129" t="e">
        <f>VLOOKUP(VALUE($U565),test_out_xwalk!$C:$L,7,FALSE)</f>
        <v>#VALUE!</v>
      </c>
      <c r="AI565" s="129" t="e">
        <f>VLOOKUP(VALUE($U565),test_out_xwalk!$C:$L,4,FALSE)</f>
        <v>#VALUE!</v>
      </c>
      <c r="AJ565" s="129" t="e">
        <f>VLOOKUP(VALUE($U565),test_out_xwalk!$C:$L,9,FALSE)</f>
        <v>#VALUE!</v>
      </c>
      <c r="AK565" t="e">
        <f>_xlfn.XLOOKUP(VALUE(U565),test_out_xwalk!C:C,test_out_xwalk!A:A)</f>
        <v>#VALUE!</v>
      </c>
    </row>
    <row r="566" spans="1:37" x14ac:dyDescent="0.55000000000000004">
      <c r="A566" s="121" t="str">
        <f>IF('summary_EPA Pond'!$A566="","Check Summary EPA POND worksheet Column A",'summary_EPA Pond'!$A566)</f>
        <v>Check Summary EPA POND worksheet Column A</v>
      </c>
      <c r="B566" s="121" t="str" cm="1">
        <f t="array" ref="B566">IFERROR(_xlfn.TEXTSPLIT(A566,"_"),"")</f>
        <v>Check Summary EPA POND worksheet Column A</v>
      </c>
      <c r="H566" s="121" t="str" cm="1">
        <f t="array" ref="H566">IF(D566="","",(_xlfn.TEXTSPLIT(D566,"-")))</f>
        <v/>
      </c>
      <c r="K566" s="129" t="e">
        <f>VLOOKUP(VALUE($B566),test_out_xwalk!$C:$L,3,FALSE)</f>
        <v>#VALUE!</v>
      </c>
      <c r="L566" s="129" t="e">
        <f>VLOOKUP(VALUE($B566),test_out_xwalk!$C:$L,5,FALSE)</f>
        <v>#VALUE!</v>
      </c>
      <c r="M566" s="129" t="e">
        <f>VLOOKUP(VALUE($B566),test_out_xwalk!$C:$L,6,FALSE)</f>
        <v>#VALUE!</v>
      </c>
      <c r="N566" s="129" t="e">
        <f>VLOOKUP(VALUE($B566),test_out_xwalk!$C:$L,8,FALSE)</f>
        <v>#VALUE!</v>
      </c>
      <c r="O566" s="129" t="e">
        <f>VLOOKUP(VALUE($B566),test_out_xwalk!$C:$L,7,FALSE)</f>
        <v>#VALUE!</v>
      </c>
      <c r="P566" s="129" t="e">
        <f>VLOOKUP(VALUE($B566),test_out_xwalk!$C:$L,4,FALSE)</f>
        <v>#VALUE!</v>
      </c>
      <c r="Q566" s="129" t="e">
        <f>VLOOKUP(VALUE($B566),test_out_xwalk!$C:$L,9,FALSE)</f>
        <v>#VALUE!</v>
      </c>
      <c r="R566" t="e">
        <f>_xlfn.XLOOKUP(VALUE(B566),test_out_xwalk!$C:$C,test_out_xwalk!$A:$A)</f>
        <v>#VALUE!</v>
      </c>
      <c r="T566" s="121" t="str">
        <f>IF('summary_EPA Pond'!$O566="","Check Summary EPA POND worksheet Column O",'summary_EPA Pond'!$O566)</f>
        <v>Check Summary EPA POND worksheet Column O</v>
      </c>
      <c r="U566" s="121" t="str" cm="1">
        <f t="array" ref="U566">IFERROR(_xlfn.TEXTSPLIT(T566,"_"),"")</f>
        <v>Check Summary EPA POND worksheet Column O</v>
      </c>
      <c r="AA566" s="121" t="str" cm="1">
        <f t="array" ref="AA566">IF(W566="","",(_xlfn.TEXTSPLIT(W566,"-")))</f>
        <v/>
      </c>
      <c r="AD566" s="129" t="e">
        <f>VLOOKUP(VALUE($U566),test_out_xwalk!$C:$L,3,FALSE)</f>
        <v>#VALUE!</v>
      </c>
      <c r="AE566" s="129" t="e">
        <f>VLOOKUP(VALUE($U566),test_out_xwalk!$C:$L,5,FALSE)</f>
        <v>#VALUE!</v>
      </c>
      <c r="AF566" s="129" t="e">
        <f>VLOOKUP(VALUE($U566),test_out_xwalk!$C:$L,6,FALSE)</f>
        <v>#VALUE!</v>
      </c>
      <c r="AG566" s="129" t="e">
        <f>VLOOKUP(VALUE($U566),test_out_xwalk!$C:$L,8,FALSE)</f>
        <v>#VALUE!</v>
      </c>
      <c r="AH566" s="129" t="e">
        <f>VLOOKUP(VALUE($U566),test_out_xwalk!$C:$L,7,FALSE)</f>
        <v>#VALUE!</v>
      </c>
      <c r="AI566" s="129" t="e">
        <f>VLOOKUP(VALUE($U566),test_out_xwalk!$C:$L,4,FALSE)</f>
        <v>#VALUE!</v>
      </c>
      <c r="AJ566" s="129" t="e">
        <f>VLOOKUP(VALUE($U566),test_out_xwalk!$C:$L,9,FALSE)</f>
        <v>#VALUE!</v>
      </c>
      <c r="AK566" t="e">
        <f>_xlfn.XLOOKUP(VALUE(U566),test_out_xwalk!C:C,test_out_xwalk!A:A)</f>
        <v>#VALUE!</v>
      </c>
    </row>
    <row r="567" spans="1:37" x14ac:dyDescent="0.55000000000000004">
      <c r="A567" s="121" t="str">
        <f>IF('summary_EPA Pond'!$A567="","Check Summary EPA POND worksheet Column A",'summary_EPA Pond'!$A567)</f>
        <v>Check Summary EPA POND worksheet Column A</v>
      </c>
      <c r="B567" s="121" t="str" cm="1">
        <f t="array" ref="B567">IFERROR(_xlfn.TEXTSPLIT(A567,"_"),"")</f>
        <v>Check Summary EPA POND worksheet Column A</v>
      </c>
      <c r="H567" s="121" t="str" cm="1">
        <f t="array" ref="H567">IF(D567="","",(_xlfn.TEXTSPLIT(D567,"-")))</f>
        <v/>
      </c>
      <c r="K567" s="129" t="e">
        <f>VLOOKUP(VALUE($B567),test_out_xwalk!$C:$L,3,FALSE)</f>
        <v>#VALUE!</v>
      </c>
      <c r="L567" s="129" t="e">
        <f>VLOOKUP(VALUE($B567),test_out_xwalk!$C:$L,5,FALSE)</f>
        <v>#VALUE!</v>
      </c>
      <c r="M567" s="129" t="e">
        <f>VLOOKUP(VALUE($B567),test_out_xwalk!$C:$L,6,FALSE)</f>
        <v>#VALUE!</v>
      </c>
      <c r="N567" s="129" t="e">
        <f>VLOOKUP(VALUE($B567),test_out_xwalk!$C:$L,8,FALSE)</f>
        <v>#VALUE!</v>
      </c>
      <c r="O567" s="129" t="e">
        <f>VLOOKUP(VALUE($B567),test_out_xwalk!$C:$L,7,FALSE)</f>
        <v>#VALUE!</v>
      </c>
      <c r="P567" s="129" t="e">
        <f>VLOOKUP(VALUE($B567),test_out_xwalk!$C:$L,4,FALSE)</f>
        <v>#VALUE!</v>
      </c>
      <c r="Q567" s="129" t="e">
        <f>VLOOKUP(VALUE($B567),test_out_xwalk!$C:$L,9,FALSE)</f>
        <v>#VALUE!</v>
      </c>
      <c r="R567" t="e">
        <f>_xlfn.XLOOKUP(VALUE(B567),test_out_xwalk!$C:$C,test_out_xwalk!$A:$A)</f>
        <v>#VALUE!</v>
      </c>
      <c r="T567" s="121" t="str">
        <f>IF('summary_EPA Pond'!$O567="","Check Summary EPA POND worksheet Column O",'summary_EPA Pond'!$O567)</f>
        <v>Check Summary EPA POND worksheet Column O</v>
      </c>
      <c r="U567" s="121" t="str" cm="1">
        <f t="array" ref="U567">IFERROR(_xlfn.TEXTSPLIT(T567,"_"),"")</f>
        <v>Check Summary EPA POND worksheet Column O</v>
      </c>
      <c r="AA567" s="121" t="str" cm="1">
        <f t="array" ref="AA567">IF(W567="","",(_xlfn.TEXTSPLIT(W567,"-")))</f>
        <v/>
      </c>
      <c r="AD567" s="129" t="e">
        <f>VLOOKUP(VALUE($U567),test_out_xwalk!$C:$L,3,FALSE)</f>
        <v>#VALUE!</v>
      </c>
      <c r="AE567" s="129" t="e">
        <f>VLOOKUP(VALUE($U567),test_out_xwalk!$C:$L,5,FALSE)</f>
        <v>#VALUE!</v>
      </c>
      <c r="AF567" s="129" t="e">
        <f>VLOOKUP(VALUE($U567),test_out_xwalk!$C:$L,6,FALSE)</f>
        <v>#VALUE!</v>
      </c>
      <c r="AG567" s="129" t="e">
        <f>VLOOKUP(VALUE($U567),test_out_xwalk!$C:$L,8,FALSE)</f>
        <v>#VALUE!</v>
      </c>
      <c r="AH567" s="129" t="e">
        <f>VLOOKUP(VALUE($U567),test_out_xwalk!$C:$L,7,FALSE)</f>
        <v>#VALUE!</v>
      </c>
      <c r="AI567" s="129" t="e">
        <f>VLOOKUP(VALUE($U567),test_out_xwalk!$C:$L,4,FALSE)</f>
        <v>#VALUE!</v>
      </c>
      <c r="AJ567" s="129" t="e">
        <f>VLOOKUP(VALUE($U567),test_out_xwalk!$C:$L,9,FALSE)</f>
        <v>#VALUE!</v>
      </c>
      <c r="AK567" t="e">
        <f>_xlfn.XLOOKUP(VALUE(U567),test_out_xwalk!C:C,test_out_xwalk!A:A)</f>
        <v>#VALUE!</v>
      </c>
    </row>
    <row r="568" spans="1:37" x14ac:dyDescent="0.55000000000000004">
      <c r="A568" s="121" t="str">
        <f>IF('summary_EPA Pond'!$A568="","Check Summary EPA POND worksheet Column A",'summary_EPA Pond'!$A568)</f>
        <v>Check Summary EPA POND worksheet Column A</v>
      </c>
      <c r="B568" s="121" t="str" cm="1">
        <f t="array" ref="B568">IFERROR(_xlfn.TEXTSPLIT(A568,"_"),"")</f>
        <v>Check Summary EPA POND worksheet Column A</v>
      </c>
      <c r="H568" s="121" t="str" cm="1">
        <f t="array" ref="H568">IF(D568="","",(_xlfn.TEXTSPLIT(D568,"-")))</f>
        <v/>
      </c>
      <c r="K568" s="129" t="e">
        <f>VLOOKUP(VALUE($B568),test_out_xwalk!$C:$L,3,FALSE)</f>
        <v>#VALUE!</v>
      </c>
      <c r="L568" s="129" t="e">
        <f>VLOOKUP(VALUE($B568),test_out_xwalk!$C:$L,5,FALSE)</f>
        <v>#VALUE!</v>
      </c>
      <c r="M568" s="129" t="e">
        <f>VLOOKUP(VALUE($B568),test_out_xwalk!$C:$L,6,FALSE)</f>
        <v>#VALUE!</v>
      </c>
      <c r="N568" s="129" t="e">
        <f>VLOOKUP(VALUE($B568),test_out_xwalk!$C:$L,8,FALSE)</f>
        <v>#VALUE!</v>
      </c>
      <c r="O568" s="129" t="e">
        <f>VLOOKUP(VALUE($B568),test_out_xwalk!$C:$L,7,FALSE)</f>
        <v>#VALUE!</v>
      </c>
      <c r="P568" s="129" t="e">
        <f>VLOOKUP(VALUE($B568),test_out_xwalk!$C:$L,4,FALSE)</f>
        <v>#VALUE!</v>
      </c>
      <c r="Q568" s="129" t="e">
        <f>VLOOKUP(VALUE($B568),test_out_xwalk!$C:$L,9,FALSE)</f>
        <v>#VALUE!</v>
      </c>
      <c r="R568" t="e">
        <f>_xlfn.XLOOKUP(VALUE(B568),test_out_xwalk!$C:$C,test_out_xwalk!$A:$A)</f>
        <v>#VALUE!</v>
      </c>
      <c r="T568" s="121" t="str">
        <f>IF('summary_EPA Pond'!$O568="","Check Summary EPA POND worksheet Column O",'summary_EPA Pond'!$O568)</f>
        <v>Check Summary EPA POND worksheet Column O</v>
      </c>
      <c r="U568" s="121" t="str" cm="1">
        <f t="array" ref="U568">IFERROR(_xlfn.TEXTSPLIT(T568,"_"),"")</f>
        <v>Check Summary EPA POND worksheet Column O</v>
      </c>
      <c r="AA568" s="121" t="str" cm="1">
        <f t="array" ref="AA568">IF(W568="","",(_xlfn.TEXTSPLIT(W568,"-")))</f>
        <v/>
      </c>
      <c r="AD568" s="129" t="e">
        <f>VLOOKUP(VALUE($U568),test_out_xwalk!$C:$L,3,FALSE)</f>
        <v>#VALUE!</v>
      </c>
      <c r="AE568" s="129" t="e">
        <f>VLOOKUP(VALUE($U568),test_out_xwalk!$C:$L,5,FALSE)</f>
        <v>#VALUE!</v>
      </c>
      <c r="AF568" s="129" t="e">
        <f>VLOOKUP(VALUE($U568),test_out_xwalk!$C:$L,6,FALSE)</f>
        <v>#VALUE!</v>
      </c>
      <c r="AG568" s="129" t="e">
        <f>VLOOKUP(VALUE($U568),test_out_xwalk!$C:$L,8,FALSE)</f>
        <v>#VALUE!</v>
      </c>
      <c r="AH568" s="129" t="e">
        <f>VLOOKUP(VALUE($U568),test_out_xwalk!$C:$L,7,FALSE)</f>
        <v>#VALUE!</v>
      </c>
      <c r="AI568" s="129" t="e">
        <f>VLOOKUP(VALUE($U568),test_out_xwalk!$C:$L,4,FALSE)</f>
        <v>#VALUE!</v>
      </c>
      <c r="AJ568" s="129" t="e">
        <f>VLOOKUP(VALUE($U568),test_out_xwalk!$C:$L,9,FALSE)</f>
        <v>#VALUE!</v>
      </c>
      <c r="AK568" t="e">
        <f>_xlfn.XLOOKUP(VALUE(U568),test_out_xwalk!C:C,test_out_xwalk!A:A)</f>
        <v>#VALUE!</v>
      </c>
    </row>
    <row r="569" spans="1:37" x14ac:dyDescent="0.55000000000000004">
      <c r="A569" s="121" t="str">
        <f>IF('summary_EPA Pond'!$A569="","Check Summary EPA POND worksheet Column A",'summary_EPA Pond'!$A569)</f>
        <v>Check Summary EPA POND worksheet Column A</v>
      </c>
      <c r="B569" s="121" t="str" cm="1">
        <f t="array" ref="B569">IFERROR(_xlfn.TEXTSPLIT(A569,"_"),"")</f>
        <v>Check Summary EPA POND worksheet Column A</v>
      </c>
      <c r="H569" s="121" t="str" cm="1">
        <f t="array" ref="H569">IF(D569="","",(_xlfn.TEXTSPLIT(D569,"-")))</f>
        <v/>
      </c>
      <c r="K569" s="129" t="e">
        <f>VLOOKUP(VALUE($B569),test_out_xwalk!$C:$L,3,FALSE)</f>
        <v>#VALUE!</v>
      </c>
      <c r="L569" s="129" t="e">
        <f>VLOOKUP(VALUE($B569),test_out_xwalk!$C:$L,5,FALSE)</f>
        <v>#VALUE!</v>
      </c>
      <c r="M569" s="129" t="e">
        <f>VLOOKUP(VALUE($B569),test_out_xwalk!$C:$L,6,FALSE)</f>
        <v>#VALUE!</v>
      </c>
      <c r="N569" s="129" t="e">
        <f>VLOOKUP(VALUE($B569),test_out_xwalk!$C:$L,8,FALSE)</f>
        <v>#VALUE!</v>
      </c>
      <c r="O569" s="129" t="e">
        <f>VLOOKUP(VALUE($B569),test_out_xwalk!$C:$L,7,FALSE)</f>
        <v>#VALUE!</v>
      </c>
      <c r="P569" s="129" t="e">
        <f>VLOOKUP(VALUE($B569),test_out_xwalk!$C:$L,4,FALSE)</f>
        <v>#VALUE!</v>
      </c>
      <c r="Q569" s="129" t="e">
        <f>VLOOKUP(VALUE($B569),test_out_xwalk!$C:$L,9,FALSE)</f>
        <v>#VALUE!</v>
      </c>
      <c r="R569" t="e">
        <f>_xlfn.XLOOKUP(VALUE(B569),test_out_xwalk!$C:$C,test_out_xwalk!$A:$A)</f>
        <v>#VALUE!</v>
      </c>
      <c r="T569" s="121" t="str">
        <f>IF('summary_EPA Pond'!$O569="","Check Summary EPA POND worksheet Column O",'summary_EPA Pond'!$O569)</f>
        <v>Check Summary EPA POND worksheet Column O</v>
      </c>
      <c r="U569" s="121" t="str" cm="1">
        <f t="array" ref="U569">IFERROR(_xlfn.TEXTSPLIT(T569,"_"),"")</f>
        <v>Check Summary EPA POND worksheet Column O</v>
      </c>
      <c r="AA569" s="121" t="str" cm="1">
        <f t="array" ref="AA569">IF(W569="","",(_xlfn.TEXTSPLIT(W569,"-")))</f>
        <v/>
      </c>
      <c r="AD569" s="129" t="e">
        <f>VLOOKUP(VALUE($U569),test_out_xwalk!$C:$L,3,FALSE)</f>
        <v>#VALUE!</v>
      </c>
      <c r="AE569" s="129" t="e">
        <f>VLOOKUP(VALUE($U569),test_out_xwalk!$C:$L,5,FALSE)</f>
        <v>#VALUE!</v>
      </c>
      <c r="AF569" s="129" t="e">
        <f>VLOOKUP(VALUE($U569),test_out_xwalk!$C:$L,6,FALSE)</f>
        <v>#VALUE!</v>
      </c>
      <c r="AG569" s="129" t="e">
        <f>VLOOKUP(VALUE($U569),test_out_xwalk!$C:$L,8,FALSE)</f>
        <v>#VALUE!</v>
      </c>
      <c r="AH569" s="129" t="e">
        <f>VLOOKUP(VALUE($U569),test_out_xwalk!$C:$L,7,FALSE)</f>
        <v>#VALUE!</v>
      </c>
      <c r="AI569" s="129" t="e">
        <f>VLOOKUP(VALUE($U569),test_out_xwalk!$C:$L,4,FALSE)</f>
        <v>#VALUE!</v>
      </c>
      <c r="AJ569" s="129" t="e">
        <f>VLOOKUP(VALUE($U569),test_out_xwalk!$C:$L,9,FALSE)</f>
        <v>#VALUE!</v>
      </c>
      <c r="AK569" t="e">
        <f>_xlfn.XLOOKUP(VALUE(U569),test_out_xwalk!C:C,test_out_xwalk!A:A)</f>
        <v>#VALUE!</v>
      </c>
    </row>
    <row r="570" spans="1:37" x14ac:dyDescent="0.55000000000000004">
      <c r="A570" s="121" t="str">
        <f>IF('summary_EPA Pond'!$A570="","Check Summary EPA POND worksheet Column A",'summary_EPA Pond'!$A570)</f>
        <v>Check Summary EPA POND worksheet Column A</v>
      </c>
      <c r="B570" s="121" t="str" cm="1">
        <f t="array" ref="B570">IFERROR(_xlfn.TEXTSPLIT(A570,"_"),"")</f>
        <v>Check Summary EPA POND worksheet Column A</v>
      </c>
      <c r="H570" s="121" t="str" cm="1">
        <f t="array" ref="H570">IF(D570="","",(_xlfn.TEXTSPLIT(D570,"-")))</f>
        <v/>
      </c>
      <c r="K570" s="129" t="e">
        <f>VLOOKUP(VALUE($B570),test_out_xwalk!$C:$L,3,FALSE)</f>
        <v>#VALUE!</v>
      </c>
      <c r="L570" s="129" t="e">
        <f>VLOOKUP(VALUE($B570),test_out_xwalk!$C:$L,5,FALSE)</f>
        <v>#VALUE!</v>
      </c>
      <c r="M570" s="129" t="e">
        <f>VLOOKUP(VALUE($B570),test_out_xwalk!$C:$L,6,FALSE)</f>
        <v>#VALUE!</v>
      </c>
      <c r="N570" s="129" t="e">
        <f>VLOOKUP(VALUE($B570),test_out_xwalk!$C:$L,8,FALSE)</f>
        <v>#VALUE!</v>
      </c>
      <c r="O570" s="129" t="e">
        <f>VLOOKUP(VALUE($B570),test_out_xwalk!$C:$L,7,FALSE)</f>
        <v>#VALUE!</v>
      </c>
      <c r="P570" s="129" t="e">
        <f>VLOOKUP(VALUE($B570),test_out_xwalk!$C:$L,4,FALSE)</f>
        <v>#VALUE!</v>
      </c>
      <c r="Q570" s="129" t="e">
        <f>VLOOKUP(VALUE($B570),test_out_xwalk!$C:$L,9,FALSE)</f>
        <v>#VALUE!</v>
      </c>
      <c r="R570" t="e">
        <f>_xlfn.XLOOKUP(VALUE(B570),test_out_xwalk!$C:$C,test_out_xwalk!$A:$A)</f>
        <v>#VALUE!</v>
      </c>
      <c r="T570" s="121" t="str">
        <f>IF('summary_EPA Pond'!$O570="","Check Summary EPA POND worksheet Column O",'summary_EPA Pond'!$O570)</f>
        <v>Check Summary EPA POND worksheet Column O</v>
      </c>
      <c r="U570" s="121" t="str" cm="1">
        <f t="array" ref="U570">IFERROR(_xlfn.TEXTSPLIT(T570,"_"),"")</f>
        <v>Check Summary EPA POND worksheet Column O</v>
      </c>
      <c r="AA570" s="121" t="str" cm="1">
        <f t="array" ref="AA570">IF(W570="","",(_xlfn.TEXTSPLIT(W570,"-")))</f>
        <v/>
      </c>
      <c r="AD570" s="129" t="e">
        <f>VLOOKUP(VALUE($U570),test_out_xwalk!$C:$L,3,FALSE)</f>
        <v>#VALUE!</v>
      </c>
      <c r="AE570" s="129" t="e">
        <f>VLOOKUP(VALUE($U570),test_out_xwalk!$C:$L,5,FALSE)</f>
        <v>#VALUE!</v>
      </c>
      <c r="AF570" s="129" t="e">
        <f>VLOOKUP(VALUE($U570),test_out_xwalk!$C:$L,6,FALSE)</f>
        <v>#VALUE!</v>
      </c>
      <c r="AG570" s="129" t="e">
        <f>VLOOKUP(VALUE($U570),test_out_xwalk!$C:$L,8,FALSE)</f>
        <v>#VALUE!</v>
      </c>
      <c r="AH570" s="129" t="e">
        <f>VLOOKUP(VALUE($U570),test_out_xwalk!$C:$L,7,FALSE)</f>
        <v>#VALUE!</v>
      </c>
      <c r="AI570" s="129" t="e">
        <f>VLOOKUP(VALUE($U570),test_out_xwalk!$C:$L,4,FALSE)</f>
        <v>#VALUE!</v>
      </c>
      <c r="AJ570" s="129" t="e">
        <f>VLOOKUP(VALUE($U570),test_out_xwalk!$C:$L,9,FALSE)</f>
        <v>#VALUE!</v>
      </c>
      <c r="AK570" t="e">
        <f>_xlfn.XLOOKUP(VALUE(U570),test_out_xwalk!C:C,test_out_xwalk!A:A)</f>
        <v>#VALUE!</v>
      </c>
    </row>
    <row r="571" spans="1:37" x14ac:dyDescent="0.55000000000000004">
      <c r="A571" s="121" t="str">
        <f>IF('summary_EPA Pond'!$A571="","Check Summary EPA POND worksheet Column A",'summary_EPA Pond'!$A571)</f>
        <v>Check Summary EPA POND worksheet Column A</v>
      </c>
      <c r="B571" s="121" t="str" cm="1">
        <f t="array" ref="B571">IFERROR(_xlfn.TEXTSPLIT(A571,"_"),"")</f>
        <v>Check Summary EPA POND worksheet Column A</v>
      </c>
      <c r="H571" s="121" t="str" cm="1">
        <f t="array" ref="H571">IF(D571="","",(_xlfn.TEXTSPLIT(D571,"-")))</f>
        <v/>
      </c>
      <c r="K571" s="129" t="e">
        <f>VLOOKUP(VALUE($B571),test_out_xwalk!$C:$L,3,FALSE)</f>
        <v>#VALUE!</v>
      </c>
      <c r="L571" s="129" t="e">
        <f>VLOOKUP(VALUE($B571),test_out_xwalk!$C:$L,5,FALSE)</f>
        <v>#VALUE!</v>
      </c>
      <c r="M571" s="129" t="e">
        <f>VLOOKUP(VALUE($B571),test_out_xwalk!$C:$L,6,FALSE)</f>
        <v>#VALUE!</v>
      </c>
      <c r="N571" s="129" t="e">
        <f>VLOOKUP(VALUE($B571),test_out_xwalk!$C:$L,8,FALSE)</f>
        <v>#VALUE!</v>
      </c>
      <c r="O571" s="129" t="e">
        <f>VLOOKUP(VALUE($B571),test_out_xwalk!$C:$L,7,FALSE)</f>
        <v>#VALUE!</v>
      </c>
      <c r="P571" s="129" t="e">
        <f>VLOOKUP(VALUE($B571),test_out_xwalk!$C:$L,4,FALSE)</f>
        <v>#VALUE!</v>
      </c>
      <c r="Q571" s="129" t="e">
        <f>VLOOKUP(VALUE($B571),test_out_xwalk!$C:$L,9,FALSE)</f>
        <v>#VALUE!</v>
      </c>
      <c r="R571" t="e">
        <f>_xlfn.XLOOKUP(VALUE(B571),test_out_xwalk!$C:$C,test_out_xwalk!$A:$A)</f>
        <v>#VALUE!</v>
      </c>
      <c r="T571" s="121" t="str">
        <f>IF('summary_EPA Pond'!$O571="","Check Summary EPA POND worksheet Column O",'summary_EPA Pond'!$O571)</f>
        <v>Check Summary EPA POND worksheet Column O</v>
      </c>
      <c r="U571" s="121" t="str" cm="1">
        <f t="array" ref="U571">IFERROR(_xlfn.TEXTSPLIT(T571,"_"),"")</f>
        <v>Check Summary EPA POND worksheet Column O</v>
      </c>
      <c r="AA571" s="121" t="str" cm="1">
        <f t="array" ref="AA571">IF(W571="","",(_xlfn.TEXTSPLIT(W571,"-")))</f>
        <v/>
      </c>
      <c r="AD571" s="129" t="e">
        <f>VLOOKUP(VALUE($U571),test_out_xwalk!$C:$L,3,FALSE)</f>
        <v>#VALUE!</v>
      </c>
      <c r="AE571" s="129" t="e">
        <f>VLOOKUP(VALUE($U571),test_out_xwalk!$C:$L,5,FALSE)</f>
        <v>#VALUE!</v>
      </c>
      <c r="AF571" s="129" t="e">
        <f>VLOOKUP(VALUE($U571),test_out_xwalk!$C:$L,6,FALSE)</f>
        <v>#VALUE!</v>
      </c>
      <c r="AG571" s="129" t="e">
        <f>VLOOKUP(VALUE($U571),test_out_xwalk!$C:$L,8,FALSE)</f>
        <v>#VALUE!</v>
      </c>
      <c r="AH571" s="129" t="e">
        <f>VLOOKUP(VALUE($U571),test_out_xwalk!$C:$L,7,FALSE)</f>
        <v>#VALUE!</v>
      </c>
      <c r="AI571" s="129" t="e">
        <f>VLOOKUP(VALUE($U571),test_out_xwalk!$C:$L,4,FALSE)</f>
        <v>#VALUE!</v>
      </c>
      <c r="AJ571" s="129" t="e">
        <f>VLOOKUP(VALUE($U571),test_out_xwalk!$C:$L,9,FALSE)</f>
        <v>#VALUE!</v>
      </c>
      <c r="AK571" t="e">
        <f>_xlfn.XLOOKUP(VALUE(U571),test_out_xwalk!C:C,test_out_xwalk!A:A)</f>
        <v>#VALUE!</v>
      </c>
    </row>
    <row r="572" spans="1:37" x14ac:dyDescent="0.55000000000000004">
      <c r="A572" s="121" t="str">
        <f>IF('summary_EPA Pond'!$A572="","Check Summary EPA POND worksheet Column A",'summary_EPA Pond'!$A572)</f>
        <v>Check Summary EPA POND worksheet Column A</v>
      </c>
      <c r="B572" s="121" t="str" cm="1">
        <f t="array" ref="B572">IFERROR(_xlfn.TEXTSPLIT(A572,"_"),"")</f>
        <v>Check Summary EPA POND worksheet Column A</v>
      </c>
      <c r="H572" s="121" t="str" cm="1">
        <f t="array" ref="H572">IF(D572="","",(_xlfn.TEXTSPLIT(D572,"-")))</f>
        <v/>
      </c>
      <c r="K572" s="129" t="e">
        <f>VLOOKUP(VALUE($B572),test_out_xwalk!$C:$L,3,FALSE)</f>
        <v>#VALUE!</v>
      </c>
      <c r="L572" s="129" t="e">
        <f>VLOOKUP(VALUE($B572),test_out_xwalk!$C:$L,5,FALSE)</f>
        <v>#VALUE!</v>
      </c>
      <c r="M572" s="129" t="e">
        <f>VLOOKUP(VALUE($B572),test_out_xwalk!$C:$L,6,FALSE)</f>
        <v>#VALUE!</v>
      </c>
      <c r="N572" s="129" t="e">
        <f>VLOOKUP(VALUE($B572),test_out_xwalk!$C:$L,8,FALSE)</f>
        <v>#VALUE!</v>
      </c>
      <c r="O572" s="129" t="e">
        <f>VLOOKUP(VALUE($B572),test_out_xwalk!$C:$L,7,FALSE)</f>
        <v>#VALUE!</v>
      </c>
      <c r="P572" s="129" t="e">
        <f>VLOOKUP(VALUE($B572),test_out_xwalk!$C:$L,4,FALSE)</f>
        <v>#VALUE!</v>
      </c>
      <c r="Q572" s="129" t="e">
        <f>VLOOKUP(VALUE($B572),test_out_xwalk!$C:$L,9,FALSE)</f>
        <v>#VALUE!</v>
      </c>
      <c r="R572" t="e">
        <f>_xlfn.XLOOKUP(VALUE(B572),test_out_xwalk!$C:$C,test_out_xwalk!$A:$A)</f>
        <v>#VALUE!</v>
      </c>
      <c r="T572" s="121" t="str">
        <f>IF('summary_EPA Pond'!$O572="","Check Summary EPA POND worksheet Column O",'summary_EPA Pond'!$O572)</f>
        <v>Check Summary EPA POND worksheet Column O</v>
      </c>
      <c r="U572" s="121" t="str" cm="1">
        <f t="array" ref="U572">IFERROR(_xlfn.TEXTSPLIT(T572,"_"),"")</f>
        <v>Check Summary EPA POND worksheet Column O</v>
      </c>
      <c r="AA572" s="121" t="str" cm="1">
        <f t="array" ref="AA572">IF(W572="","",(_xlfn.TEXTSPLIT(W572,"-")))</f>
        <v/>
      </c>
      <c r="AD572" s="129" t="e">
        <f>VLOOKUP(VALUE($U572),test_out_xwalk!$C:$L,3,FALSE)</f>
        <v>#VALUE!</v>
      </c>
      <c r="AE572" s="129" t="e">
        <f>VLOOKUP(VALUE($U572),test_out_xwalk!$C:$L,5,FALSE)</f>
        <v>#VALUE!</v>
      </c>
      <c r="AF572" s="129" t="e">
        <f>VLOOKUP(VALUE($U572),test_out_xwalk!$C:$L,6,FALSE)</f>
        <v>#VALUE!</v>
      </c>
      <c r="AG572" s="129" t="e">
        <f>VLOOKUP(VALUE($U572),test_out_xwalk!$C:$L,8,FALSE)</f>
        <v>#VALUE!</v>
      </c>
      <c r="AH572" s="129" t="e">
        <f>VLOOKUP(VALUE($U572),test_out_xwalk!$C:$L,7,FALSE)</f>
        <v>#VALUE!</v>
      </c>
      <c r="AI572" s="129" t="e">
        <f>VLOOKUP(VALUE($U572),test_out_xwalk!$C:$L,4,FALSE)</f>
        <v>#VALUE!</v>
      </c>
      <c r="AJ572" s="129" t="e">
        <f>VLOOKUP(VALUE($U572),test_out_xwalk!$C:$L,9,FALSE)</f>
        <v>#VALUE!</v>
      </c>
      <c r="AK572" t="e">
        <f>_xlfn.XLOOKUP(VALUE(U572),test_out_xwalk!C:C,test_out_xwalk!A:A)</f>
        <v>#VALUE!</v>
      </c>
    </row>
    <row r="573" spans="1:37" x14ac:dyDescent="0.55000000000000004">
      <c r="A573" s="121" t="str">
        <f>IF('summary_EPA Pond'!$A573="","Check Summary EPA POND worksheet Column A",'summary_EPA Pond'!$A573)</f>
        <v>Check Summary EPA POND worksheet Column A</v>
      </c>
      <c r="B573" s="121" t="str" cm="1">
        <f t="array" ref="B573">IFERROR(_xlfn.TEXTSPLIT(A573,"_"),"")</f>
        <v>Check Summary EPA POND worksheet Column A</v>
      </c>
      <c r="H573" s="121" t="str" cm="1">
        <f t="array" ref="H573">IF(D573="","",(_xlfn.TEXTSPLIT(D573,"-")))</f>
        <v/>
      </c>
      <c r="K573" s="129" t="e">
        <f>VLOOKUP(VALUE($B573),test_out_xwalk!$C:$L,3,FALSE)</f>
        <v>#VALUE!</v>
      </c>
      <c r="L573" s="129" t="e">
        <f>VLOOKUP(VALUE($B573),test_out_xwalk!$C:$L,5,FALSE)</f>
        <v>#VALUE!</v>
      </c>
      <c r="M573" s="129" t="e">
        <f>VLOOKUP(VALUE($B573),test_out_xwalk!$C:$L,6,FALSE)</f>
        <v>#VALUE!</v>
      </c>
      <c r="N573" s="129" t="e">
        <f>VLOOKUP(VALUE($B573),test_out_xwalk!$C:$L,8,FALSE)</f>
        <v>#VALUE!</v>
      </c>
      <c r="O573" s="129" t="e">
        <f>VLOOKUP(VALUE($B573),test_out_xwalk!$C:$L,7,FALSE)</f>
        <v>#VALUE!</v>
      </c>
      <c r="P573" s="129" t="e">
        <f>VLOOKUP(VALUE($B573),test_out_xwalk!$C:$L,4,FALSE)</f>
        <v>#VALUE!</v>
      </c>
      <c r="Q573" s="129" t="e">
        <f>VLOOKUP(VALUE($B573),test_out_xwalk!$C:$L,9,FALSE)</f>
        <v>#VALUE!</v>
      </c>
      <c r="R573" t="e">
        <f>_xlfn.XLOOKUP(VALUE(B573),test_out_xwalk!$C:$C,test_out_xwalk!$A:$A)</f>
        <v>#VALUE!</v>
      </c>
      <c r="T573" s="121" t="str">
        <f>IF('summary_EPA Pond'!$O573="","Check Summary EPA POND worksheet Column O",'summary_EPA Pond'!$O573)</f>
        <v>Check Summary EPA POND worksheet Column O</v>
      </c>
      <c r="U573" s="121" t="str" cm="1">
        <f t="array" ref="U573">IFERROR(_xlfn.TEXTSPLIT(T573,"_"),"")</f>
        <v>Check Summary EPA POND worksheet Column O</v>
      </c>
      <c r="AA573" s="121" t="str" cm="1">
        <f t="array" ref="AA573">IF(W573="","",(_xlfn.TEXTSPLIT(W573,"-")))</f>
        <v/>
      </c>
      <c r="AD573" s="129" t="e">
        <f>VLOOKUP(VALUE($U573),test_out_xwalk!$C:$L,3,FALSE)</f>
        <v>#VALUE!</v>
      </c>
      <c r="AE573" s="129" t="e">
        <f>VLOOKUP(VALUE($U573),test_out_xwalk!$C:$L,5,FALSE)</f>
        <v>#VALUE!</v>
      </c>
      <c r="AF573" s="129" t="e">
        <f>VLOOKUP(VALUE($U573),test_out_xwalk!$C:$L,6,FALSE)</f>
        <v>#VALUE!</v>
      </c>
      <c r="AG573" s="129" t="e">
        <f>VLOOKUP(VALUE($U573),test_out_xwalk!$C:$L,8,FALSE)</f>
        <v>#VALUE!</v>
      </c>
      <c r="AH573" s="129" t="e">
        <f>VLOOKUP(VALUE($U573),test_out_xwalk!$C:$L,7,FALSE)</f>
        <v>#VALUE!</v>
      </c>
      <c r="AI573" s="129" t="e">
        <f>VLOOKUP(VALUE($U573),test_out_xwalk!$C:$L,4,FALSE)</f>
        <v>#VALUE!</v>
      </c>
      <c r="AJ573" s="129" t="e">
        <f>VLOOKUP(VALUE($U573),test_out_xwalk!$C:$L,9,FALSE)</f>
        <v>#VALUE!</v>
      </c>
      <c r="AK573" t="e">
        <f>_xlfn.XLOOKUP(VALUE(U573),test_out_xwalk!C:C,test_out_xwalk!A:A)</f>
        <v>#VALUE!</v>
      </c>
    </row>
    <row r="574" spans="1:37" x14ac:dyDescent="0.55000000000000004">
      <c r="A574" s="121" t="str">
        <f>IF('summary_EPA Pond'!$A574="","Check Summary EPA POND worksheet Column A",'summary_EPA Pond'!$A574)</f>
        <v>Check Summary EPA POND worksheet Column A</v>
      </c>
      <c r="B574" s="121" t="str" cm="1">
        <f t="array" ref="B574">IFERROR(_xlfn.TEXTSPLIT(A574,"_"),"")</f>
        <v>Check Summary EPA POND worksheet Column A</v>
      </c>
      <c r="H574" s="121" t="str" cm="1">
        <f t="array" ref="H574">IF(D574="","",(_xlfn.TEXTSPLIT(D574,"-")))</f>
        <v/>
      </c>
      <c r="K574" s="129" t="e">
        <f>VLOOKUP(VALUE($B574),test_out_xwalk!$C:$L,3,FALSE)</f>
        <v>#VALUE!</v>
      </c>
      <c r="L574" s="129" t="e">
        <f>VLOOKUP(VALUE($B574),test_out_xwalk!$C:$L,5,FALSE)</f>
        <v>#VALUE!</v>
      </c>
      <c r="M574" s="129" t="e">
        <f>VLOOKUP(VALUE($B574),test_out_xwalk!$C:$L,6,FALSE)</f>
        <v>#VALUE!</v>
      </c>
      <c r="N574" s="129" t="e">
        <f>VLOOKUP(VALUE($B574),test_out_xwalk!$C:$L,8,FALSE)</f>
        <v>#VALUE!</v>
      </c>
      <c r="O574" s="129" t="e">
        <f>VLOOKUP(VALUE($B574),test_out_xwalk!$C:$L,7,FALSE)</f>
        <v>#VALUE!</v>
      </c>
      <c r="P574" s="129" t="e">
        <f>VLOOKUP(VALUE($B574),test_out_xwalk!$C:$L,4,FALSE)</f>
        <v>#VALUE!</v>
      </c>
      <c r="Q574" s="129" t="e">
        <f>VLOOKUP(VALUE($B574),test_out_xwalk!$C:$L,9,FALSE)</f>
        <v>#VALUE!</v>
      </c>
      <c r="R574" t="e">
        <f>_xlfn.XLOOKUP(VALUE(B574),test_out_xwalk!$C:$C,test_out_xwalk!$A:$A)</f>
        <v>#VALUE!</v>
      </c>
      <c r="T574" s="121" t="str">
        <f>IF('summary_EPA Pond'!$O574="","Check Summary EPA POND worksheet Column O",'summary_EPA Pond'!$O574)</f>
        <v>Check Summary EPA POND worksheet Column O</v>
      </c>
      <c r="U574" s="121" t="str" cm="1">
        <f t="array" ref="U574">IFERROR(_xlfn.TEXTSPLIT(T574,"_"),"")</f>
        <v>Check Summary EPA POND worksheet Column O</v>
      </c>
      <c r="AA574" s="121" t="str" cm="1">
        <f t="array" ref="AA574">IF(W574="","",(_xlfn.TEXTSPLIT(W574,"-")))</f>
        <v/>
      </c>
      <c r="AD574" s="129" t="e">
        <f>VLOOKUP(VALUE($U574),test_out_xwalk!$C:$L,3,FALSE)</f>
        <v>#VALUE!</v>
      </c>
      <c r="AE574" s="129" t="e">
        <f>VLOOKUP(VALUE($U574),test_out_xwalk!$C:$L,5,FALSE)</f>
        <v>#VALUE!</v>
      </c>
      <c r="AF574" s="129" t="e">
        <f>VLOOKUP(VALUE($U574),test_out_xwalk!$C:$L,6,FALSE)</f>
        <v>#VALUE!</v>
      </c>
      <c r="AG574" s="129" t="e">
        <f>VLOOKUP(VALUE($U574),test_out_xwalk!$C:$L,8,FALSE)</f>
        <v>#VALUE!</v>
      </c>
      <c r="AH574" s="129" t="e">
        <f>VLOOKUP(VALUE($U574),test_out_xwalk!$C:$L,7,FALSE)</f>
        <v>#VALUE!</v>
      </c>
      <c r="AI574" s="129" t="e">
        <f>VLOOKUP(VALUE($U574),test_out_xwalk!$C:$L,4,FALSE)</f>
        <v>#VALUE!</v>
      </c>
      <c r="AJ574" s="129" t="e">
        <f>VLOOKUP(VALUE($U574),test_out_xwalk!$C:$L,9,FALSE)</f>
        <v>#VALUE!</v>
      </c>
      <c r="AK574" t="e">
        <f>_xlfn.XLOOKUP(VALUE(U574),test_out_xwalk!C:C,test_out_xwalk!A:A)</f>
        <v>#VALUE!</v>
      </c>
    </row>
    <row r="575" spans="1:37" x14ac:dyDescent="0.55000000000000004">
      <c r="A575" s="121" t="str">
        <f>IF('summary_EPA Pond'!$A575="","Check Summary EPA POND worksheet Column A",'summary_EPA Pond'!$A575)</f>
        <v>Check Summary EPA POND worksheet Column A</v>
      </c>
      <c r="B575" s="121" t="str" cm="1">
        <f t="array" ref="B575">IFERROR(_xlfn.TEXTSPLIT(A575,"_"),"")</f>
        <v>Check Summary EPA POND worksheet Column A</v>
      </c>
      <c r="H575" s="121" t="str" cm="1">
        <f t="array" ref="H575">IF(D575="","",(_xlfn.TEXTSPLIT(D575,"-")))</f>
        <v/>
      </c>
      <c r="K575" s="129" t="e">
        <f>VLOOKUP(VALUE($B575),test_out_xwalk!$C:$L,3,FALSE)</f>
        <v>#VALUE!</v>
      </c>
      <c r="L575" s="129" t="e">
        <f>VLOOKUP(VALUE($B575),test_out_xwalk!$C:$L,5,FALSE)</f>
        <v>#VALUE!</v>
      </c>
      <c r="M575" s="129" t="e">
        <f>VLOOKUP(VALUE($B575),test_out_xwalk!$C:$L,6,FALSE)</f>
        <v>#VALUE!</v>
      </c>
      <c r="N575" s="129" t="e">
        <f>VLOOKUP(VALUE($B575),test_out_xwalk!$C:$L,8,FALSE)</f>
        <v>#VALUE!</v>
      </c>
      <c r="O575" s="129" t="e">
        <f>VLOOKUP(VALUE($B575),test_out_xwalk!$C:$L,7,FALSE)</f>
        <v>#VALUE!</v>
      </c>
      <c r="P575" s="129" t="e">
        <f>VLOOKUP(VALUE($B575),test_out_xwalk!$C:$L,4,FALSE)</f>
        <v>#VALUE!</v>
      </c>
      <c r="Q575" s="129" t="e">
        <f>VLOOKUP(VALUE($B575),test_out_xwalk!$C:$L,9,FALSE)</f>
        <v>#VALUE!</v>
      </c>
      <c r="R575" t="e">
        <f>_xlfn.XLOOKUP(VALUE(B575),test_out_xwalk!$C:$C,test_out_xwalk!$A:$A)</f>
        <v>#VALUE!</v>
      </c>
      <c r="T575" s="121" t="str">
        <f>IF('summary_EPA Pond'!$O575="","Check Summary EPA POND worksheet Column O",'summary_EPA Pond'!$O575)</f>
        <v>Check Summary EPA POND worksheet Column O</v>
      </c>
      <c r="U575" s="121" t="str" cm="1">
        <f t="array" ref="U575">IFERROR(_xlfn.TEXTSPLIT(T575,"_"),"")</f>
        <v>Check Summary EPA POND worksheet Column O</v>
      </c>
      <c r="AA575" s="121" t="str" cm="1">
        <f t="array" ref="AA575">IF(W575="","",(_xlfn.TEXTSPLIT(W575,"-")))</f>
        <v/>
      </c>
      <c r="AD575" s="129" t="e">
        <f>VLOOKUP(VALUE($U575),test_out_xwalk!$C:$L,3,FALSE)</f>
        <v>#VALUE!</v>
      </c>
      <c r="AE575" s="129" t="e">
        <f>VLOOKUP(VALUE($U575),test_out_xwalk!$C:$L,5,FALSE)</f>
        <v>#VALUE!</v>
      </c>
      <c r="AF575" s="129" t="e">
        <f>VLOOKUP(VALUE($U575),test_out_xwalk!$C:$L,6,FALSE)</f>
        <v>#VALUE!</v>
      </c>
      <c r="AG575" s="129" t="e">
        <f>VLOOKUP(VALUE($U575),test_out_xwalk!$C:$L,8,FALSE)</f>
        <v>#VALUE!</v>
      </c>
      <c r="AH575" s="129" t="e">
        <f>VLOOKUP(VALUE($U575),test_out_xwalk!$C:$L,7,FALSE)</f>
        <v>#VALUE!</v>
      </c>
      <c r="AI575" s="129" t="e">
        <f>VLOOKUP(VALUE($U575),test_out_xwalk!$C:$L,4,FALSE)</f>
        <v>#VALUE!</v>
      </c>
      <c r="AJ575" s="129" t="e">
        <f>VLOOKUP(VALUE($U575),test_out_xwalk!$C:$L,9,FALSE)</f>
        <v>#VALUE!</v>
      </c>
      <c r="AK575" t="e">
        <f>_xlfn.XLOOKUP(VALUE(U575),test_out_xwalk!C:C,test_out_xwalk!A:A)</f>
        <v>#VALUE!</v>
      </c>
    </row>
    <row r="576" spans="1:37" x14ac:dyDescent="0.55000000000000004">
      <c r="A576" s="121" t="str">
        <f>IF('summary_EPA Pond'!$A576="","Check Summary EPA POND worksheet Column A",'summary_EPA Pond'!$A576)</f>
        <v>Check Summary EPA POND worksheet Column A</v>
      </c>
      <c r="B576" s="121" t="str" cm="1">
        <f t="array" ref="B576">IFERROR(_xlfn.TEXTSPLIT(A576,"_"),"")</f>
        <v>Check Summary EPA POND worksheet Column A</v>
      </c>
      <c r="H576" s="121" t="str" cm="1">
        <f t="array" ref="H576">IF(D576="","",(_xlfn.TEXTSPLIT(D576,"-")))</f>
        <v/>
      </c>
      <c r="K576" s="129" t="e">
        <f>VLOOKUP(VALUE($B576),test_out_xwalk!$C:$L,3,FALSE)</f>
        <v>#VALUE!</v>
      </c>
      <c r="L576" s="129" t="e">
        <f>VLOOKUP(VALUE($B576),test_out_xwalk!$C:$L,5,FALSE)</f>
        <v>#VALUE!</v>
      </c>
      <c r="M576" s="129" t="e">
        <f>VLOOKUP(VALUE($B576),test_out_xwalk!$C:$L,6,FALSE)</f>
        <v>#VALUE!</v>
      </c>
      <c r="N576" s="129" t="e">
        <f>VLOOKUP(VALUE($B576),test_out_xwalk!$C:$L,8,FALSE)</f>
        <v>#VALUE!</v>
      </c>
      <c r="O576" s="129" t="e">
        <f>VLOOKUP(VALUE($B576),test_out_xwalk!$C:$L,7,FALSE)</f>
        <v>#VALUE!</v>
      </c>
      <c r="P576" s="129" t="e">
        <f>VLOOKUP(VALUE($B576),test_out_xwalk!$C:$L,4,FALSE)</f>
        <v>#VALUE!</v>
      </c>
      <c r="Q576" s="129" t="e">
        <f>VLOOKUP(VALUE($B576),test_out_xwalk!$C:$L,9,FALSE)</f>
        <v>#VALUE!</v>
      </c>
      <c r="R576" t="e">
        <f>_xlfn.XLOOKUP(VALUE(B576),test_out_xwalk!$C:$C,test_out_xwalk!$A:$A)</f>
        <v>#VALUE!</v>
      </c>
      <c r="T576" s="121" t="str">
        <f>IF('summary_EPA Pond'!$O576="","Check Summary EPA POND worksheet Column O",'summary_EPA Pond'!$O576)</f>
        <v>Check Summary EPA POND worksheet Column O</v>
      </c>
      <c r="U576" s="121" t="str" cm="1">
        <f t="array" ref="U576">IFERROR(_xlfn.TEXTSPLIT(T576,"_"),"")</f>
        <v>Check Summary EPA POND worksheet Column O</v>
      </c>
      <c r="AA576" s="121" t="str" cm="1">
        <f t="array" ref="AA576">IF(W576="","",(_xlfn.TEXTSPLIT(W576,"-")))</f>
        <v/>
      </c>
      <c r="AD576" s="129" t="e">
        <f>VLOOKUP(VALUE($U576),test_out_xwalk!$C:$L,3,FALSE)</f>
        <v>#VALUE!</v>
      </c>
      <c r="AE576" s="129" t="e">
        <f>VLOOKUP(VALUE($U576),test_out_xwalk!$C:$L,5,FALSE)</f>
        <v>#VALUE!</v>
      </c>
      <c r="AF576" s="129" t="e">
        <f>VLOOKUP(VALUE($U576),test_out_xwalk!$C:$L,6,FALSE)</f>
        <v>#VALUE!</v>
      </c>
      <c r="AG576" s="129" t="e">
        <f>VLOOKUP(VALUE($U576),test_out_xwalk!$C:$L,8,FALSE)</f>
        <v>#VALUE!</v>
      </c>
      <c r="AH576" s="129" t="e">
        <f>VLOOKUP(VALUE($U576),test_out_xwalk!$C:$L,7,FALSE)</f>
        <v>#VALUE!</v>
      </c>
      <c r="AI576" s="129" t="e">
        <f>VLOOKUP(VALUE($U576),test_out_xwalk!$C:$L,4,FALSE)</f>
        <v>#VALUE!</v>
      </c>
      <c r="AJ576" s="129" t="e">
        <f>VLOOKUP(VALUE($U576),test_out_xwalk!$C:$L,9,FALSE)</f>
        <v>#VALUE!</v>
      </c>
      <c r="AK576" t="e">
        <f>_xlfn.XLOOKUP(VALUE(U576),test_out_xwalk!C:C,test_out_xwalk!A:A)</f>
        <v>#VALUE!</v>
      </c>
    </row>
    <row r="577" spans="1:37" x14ac:dyDescent="0.55000000000000004">
      <c r="A577" s="121" t="str">
        <f>IF('summary_EPA Pond'!$A577="","Check Summary EPA POND worksheet Column A",'summary_EPA Pond'!$A577)</f>
        <v>Check Summary EPA POND worksheet Column A</v>
      </c>
      <c r="B577" s="121" t="str" cm="1">
        <f t="array" ref="B577">IFERROR(_xlfn.TEXTSPLIT(A577,"_"),"")</f>
        <v>Check Summary EPA POND worksheet Column A</v>
      </c>
      <c r="H577" s="121" t="str" cm="1">
        <f t="array" ref="H577">IF(D577="","",(_xlfn.TEXTSPLIT(D577,"-")))</f>
        <v/>
      </c>
      <c r="K577" s="129" t="e">
        <f>VLOOKUP(VALUE($B577),test_out_xwalk!$C:$L,3,FALSE)</f>
        <v>#VALUE!</v>
      </c>
      <c r="L577" s="129" t="e">
        <f>VLOOKUP(VALUE($B577),test_out_xwalk!$C:$L,5,FALSE)</f>
        <v>#VALUE!</v>
      </c>
      <c r="M577" s="129" t="e">
        <f>VLOOKUP(VALUE($B577),test_out_xwalk!$C:$L,6,FALSE)</f>
        <v>#VALUE!</v>
      </c>
      <c r="N577" s="129" t="e">
        <f>VLOOKUP(VALUE($B577),test_out_xwalk!$C:$L,8,FALSE)</f>
        <v>#VALUE!</v>
      </c>
      <c r="O577" s="129" t="e">
        <f>VLOOKUP(VALUE($B577),test_out_xwalk!$C:$L,7,FALSE)</f>
        <v>#VALUE!</v>
      </c>
      <c r="P577" s="129" t="e">
        <f>VLOOKUP(VALUE($B577),test_out_xwalk!$C:$L,4,FALSE)</f>
        <v>#VALUE!</v>
      </c>
      <c r="Q577" s="129" t="e">
        <f>VLOOKUP(VALUE($B577),test_out_xwalk!$C:$L,9,FALSE)</f>
        <v>#VALUE!</v>
      </c>
      <c r="R577" t="e">
        <f>_xlfn.XLOOKUP(VALUE(B577),test_out_xwalk!$C:$C,test_out_xwalk!$A:$A)</f>
        <v>#VALUE!</v>
      </c>
      <c r="T577" s="121" t="str">
        <f>IF('summary_EPA Pond'!$O577="","Check Summary EPA POND worksheet Column O",'summary_EPA Pond'!$O577)</f>
        <v>Check Summary EPA POND worksheet Column O</v>
      </c>
      <c r="U577" s="121" t="str" cm="1">
        <f t="array" ref="U577">IFERROR(_xlfn.TEXTSPLIT(T577,"_"),"")</f>
        <v>Check Summary EPA POND worksheet Column O</v>
      </c>
      <c r="AA577" s="121" t="str" cm="1">
        <f t="array" ref="AA577">IF(W577="","",(_xlfn.TEXTSPLIT(W577,"-")))</f>
        <v/>
      </c>
      <c r="AD577" s="129" t="e">
        <f>VLOOKUP(VALUE($U577),test_out_xwalk!$C:$L,3,FALSE)</f>
        <v>#VALUE!</v>
      </c>
      <c r="AE577" s="129" t="e">
        <f>VLOOKUP(VALUE($U577),test_out_xwalk!$C:$L,5,FALSE)</f>
        <v>#VALUE!</v>
      </c>
      <c r="AF577" s="129" t="e">
        <f>VLOOKUP(VALUE($U577),test_out_xwalk!$C:$L,6,FALSE)</f>
        <v>#VALUE!</v>
      </c>
      <c r="AG577" s="129" t="e">
        <f>VLOOKUP(VALUE($U577),test_out_xwalk!$C:$L,8,FALSE)</f>
        <v>#VALUE!</v>
      </c>
      <c r="AH577" s="129" t="e">
        <f>VLOOKUP(VALUE($U577),test_out_xwalk!$C:$L,7,FALSE)</f>
        <v>#VALUE!</v>
      </c>
      <c r="AI577" s="129" t="e">
        <f>VLOOKUP(VALUE($U577),test_out_xwalk!$C:$L,4,FALSE)</f>
        <v>#VALUE!</v>
      </c>
      <c r="AJ577" s="129" t="e">
        <f>VLOOKUP(VALUE($U577),test_out_xwalk!$C:$L,9,FALSE)</f>
        <v>#VALUE!</v>
      </c>
      <c r="AK577" t="e">
        <f>_xlfn.XLOOKUP(VALUE(U577),test_out_xwalk!C:C,test_out_xwalk!A:A)</f>
        <v>#VALUE!</v>
      </c>
    </row>
    <row r="578" spans="1:37" x14ac:dyDescent="0.55000000000000004">
      <c r="A578" s="121" t="str">
        <f>IF('summary_EPA Pond'!$A578="","Check Summary EPA POND worksheet Column A",'summary_EPA Pond'!$A578)</f>
        <v>Check Summary EPA POND worksheet Column A</v>
      </c>
      <c r="B578" s="121" t="str" cm="1">
        <f t="array" ref="B578">IFERROR(_xlfn.TEXTSPLIT(A578,"_"),"")</f>
        <v>Check Summary EPA POND worksheet Column A</v>
      </c>
      <c r="H578" s="121" t="str" cm="1">
        <f t="array" ref="H578">IF(D578="","",(_xlfn.TEXTSPLIT(D578,"-")))</f>
        <v/>
      </c>
      <c r="K578" s="129" t="e">
        <f>VLOOKUP(VALUE($B578),test_out_xwalk!$C:$L,3,FALSE)</f>
        <v>#VALUE!</v>
      </c>
      <c r="L578" s="129" t="e">
        <f>VLOOKUP(VALUE($B578),test_out_xwalk!$C:$L,5,FALSE)</f>
        <v>#VALUE!</v>
      </c>
      <c r="M578" s="129" t="e">
        <f>VLOOKUP(VALUE($B578),test_out_xwalk!$C:$L,6,FALSE)</f>
        <v>#VALUE!</v>
      </c>
      <c r="N578" s="129" t="e">
        <f>VLOOKUP(VALUE($B578),test_out_xwalk!$C:$L,8,FALSE)</f>
        <v>#VALUE!</v>
      </c>
      <c r="O578" s="129" t="e">
        <f>VLOOKUP(VALUE($B578),test_out_xwalk!$C:$L,7,FALSE)</f>
        <v>#VALUE!</v>
      </c>
      <c r="P578" s="129" t="e">
        <f>VLOOKUP(VALUE($B578),test_out_xwalk!$C:$L,4,FALSE)</f>
        <v>#VALUE!</v>
      </c>
      <c r="Q578" s="129" t="e">
        <f>VLOOKUP(VALUE($B578),test_out_xwalk!$C:$L,9,FALSE)</f>
        <v>#VALUE!</v>
      </c>
      <c r="R578" t="e">
        <f>_xlfn.XLOOKUP(VALUE(B578),test_out_xwalk!$C:$C,test_out_xwalk!$A:$A)</f>
        <v>#VALUE!</v>
      </c>
      <c r="T578" s="121" t="str">
        <f>IF('summary_EPA Pond'!$O578="","Check Summary EPA POND worksheet Column O",'summary_EPA Pond'!$O578)</f>
        <v>Check Summary EPA POND worksheet Column O</v>
      </c>
      <c r="U578" s="121" t="str" cm="1">
        <f t="array" ref="U578">IFERROR(_xlfn.TEXTSPLIT(T578,"_"),"")</f>
        <v>Check Summary EPA POND worksheet Column O</v>
      </c>
      <c r="AA578" s="121" t="str" cm="1">
        <f t="array" ref="AA578">IF(W578="","",(_xlfn.TEXTSPLIT(W578,"-")))</f>
        <v/>
      </c>
      <c r="AD578" s="129" t="e">
        <f>VLOOKUP(VALUE($U578),test_out_xwalk!$C:$L,3,FALSE)</f>
        <v>#VALUE!</v>
      </c>
      <c r="AE578" s="129" t="e">
        <f>VLOOKUP(VALUE($U578),test_out_xwalk!$C:$L,5,FALSE)</f>
        <v>#VALUE!</v>
      </c>
      <c r="AF578" s="129" t="e">
        <f>VLOOKUP(VALUE($U578),test_out_xwalk!$C:$L,6,FALSE)</f>
        <v>#VALUE!</v>
      </c>
      <c r="AG578" s="129" t="e">
        <f>VLOOKUP(VALUE($U578),test_out_xwalk!$C:$L,8,FALSE)</f>
        <v>#VALUE!</v>
      </c>
      <c r="AH578" s="129" t="e">
        <f>VLOOKUP(VALUE($U578),test_out_xwalk!$C:$L,7,FALSE)</f>
        <v>#VALUE!</v>
      </c>
      <c r="AI578" s="129" t="e">
        <f>VLOOKUP(VALUE($U578),test_out_xwalk!$C:$L,4,FALSE)</f>
        <v>#VALUE!</v>
      </c>
      <c r="AJ578" s="129" t="e">
        <f>VLOOKUP(VALUE($U578),test_out_xwalk!$C:$L,9,FALSE)</f>
        <v>#VALUE!</v>
      </c>
      <c r="AK578" t="e">
        <f>_xlfn.XLOOKUP(VALUE(U578),test_out_xwalk!C:C,test_out_xwalk!A:A)</f>
        <v>#VALUE!</v>
      </c>
    </row>
    <row r="579" spans="1:37" x14ac:dyDescent="0.55000000000000004">
      <c r="A579" s="121" t="str">
        <f>IF('summary_EPA Pond'!$A579="","Check Summary EPA POND worksheet Column A",'summary_EPA Pond'!$A579)</f>
        <v>Check Summary EPA POND worksheet Column A</v>
      </c>
      <c r="B579" s="121" t="str" cm="1">
        <f t="array" ref="B579">IFERROR(_xlfn.TEXTSPLIT(A579,"_"),"")</f>
        <v>Check Summary EPA POND worksheet Column A</v>
      </c>
      <c r="H579" s="121" t="str" cm="1">
        <f t="array" ref="H579">IF(D579="","",(_xlfn.TEXTSPLIT(D579,"-")))</f>
        <v/>
      </c>
      <c r="K579" s="129" t="e">
        <f>VLOOKUP(VALUE($B579),test_out_xwalk!$C:$L,3,FALSE)</f>
        <v>#VALUE!</v>
      </c>
      <c r="L579" s="129" t="e">
        <f>VLOOKUP(VALUE($B579),test_out_xwalk!$C:$L,5,FALSE)</f>
        <v>#VALUE!</v>
      </c>
      <c r="M579" s="129" t="e">
        <f>VLOOKUP(VALUE($B579),test_out_xwalk!$C:$L,6,FALSE)</f>
        <v>#VALUE!</v>
      </c>
      <c r="N579" s="129" t="e">
        <f>VLOOKUP(VALUE($B579),test_out_xwalk!$C:$L,8,FALSE)</f>
        <v>#VALUE!</v>
      </c>
      <c r="O579" s="129" t="e">
        <f>VLOOKUP(VALUE($B579),test_out_xwalk!$C:$L,7,FALSE)</f>
        <v>#VALUE!</v>
      </c>
      <c r="P579" s="129" t="e">
        <f>VLOOKUP(VALUE($B579),test_out_xwalk!$C:$L,4,FALSE)</f>
        <v>#VALUE!</v>
      </c>
      <c r="Q579" s="129" t="e">
        <f>VLOOKUP(VALUE($B579),test_out_xwalk!$C:$L,9,FALSE)</f>
        <v>#VALUE!</v>
      </c>
      <c r="R579" t="e">
        <f>_xlfn.XLOOKUP(VALUE(B579),test_out_xwalk!$C:$C,test_out_xwalk!$A:$A)</f>
        <v>#VALUE!</v>
      </c>
      <c r="T579" s="121" t="str">
        <f>IF('summary_EPA Pond'!$O579="","Check Summary EPA POND worksheet Column O",'summary_EPA Pond'!$O579)</f>
        <v>Check Summary EPA POND worksheet Column O</v>
      </c>
      <c r="U579" s="121" t="str" cm="1">
        <f t="array" ref="U579">IFERROR(_xlfn.TEXTSPLIT(T579,"_"),"")</f>
        <v>Check Summary EPA POND worksheet Column O</v>
      </c>
      <c r="AA579" s="121" t="str" cm="1">
        <f t="array" ref="AA579">IF(W579="","",(_xlfn.TEXTSPLIT(W579,"-")))</f>
        <v/>
      </c>
      <c r="AD579" s="129" t="e">
        <f>VLOOKUP(VALUE($U579),test_out_xwalk!$C:$L,3,FALSE)</f>
        <v>#VALUE!</v>
      </c>
      <c r="AE579" s="129" t="e">
        <f>VLOOKUP(VALUE($U579),test_out_xwalk!$C:$L,5,FALSE)</f>
        <v>#VALUE!</v>
      </c>
      <c r="AF579" s="129" t="e">
        <f>VLOOKUP(VALUE($U579),test_out_xwalk!$C:$L,6,FALSE)</f>
        <v>#VALUE!</v>
      </c>
      <c r="AG579" s="129" t="e">
        <f>VLOOKUP(VALUE($U579),test_out_xwalk!$C:$L,8,FALSE)</f>
        <v>#VALUE!</v>
      </c>
      <c r="AH579" s="129" t="e">
        <f>VLOOKUP(VALUE($U579),test_out_xwalk!$C:$L,7,FALSE)</f>
        <v>#VALUE!</v>
      </c>
      <c r="AI579" s="129" t="e">
        <f>VLOOKUP(VALUE($U579),test_out_xwalk!$C:$L,4,FALSE)</f>
        <v>#VALUE!</v>
      </c>
      <c r="AJ579" s="129" t="e">
        <f>VLOOKUP(VALUE($U579),test_out_xwalk!$C:$L,9,FALSE)</f>
        <v>#VALUE!</v>
      </c>
      <c r="AK579" t="e">
        <f>_xlfn.XLOOKUP(VALUE(U579),test_out_xwalk!C:C,test_out_xwalk!A:A)</f>
        <v>#VALUE!</v>
      </c>
    </row>
    <row r="580" spans="1:37" x14ac:dyDescent="0.55000000000000004">
      <c r="A580" s="121" t="str">
        <f>IF('summary_EPA Pond'!$A580="","Check Summary EPA POND worksheet Column A",'summary_EPA Pond'!$A580)</f>
        <v>Check Summary EPA POND worksheet Column A</v>
      </c>
      <c r="B580" s="121" t="str" cm="1">
        <f t="array" ref="B580">IFERROR(_xlfn.TEXTSPLIT(A580,"_"),"")</f>
        <v>Check Summary EPA POND worksheet Column A</v>
      </c>
      <c r="H580" s="121" t="str" cm="1">
        <f t="array" ref="H580">IF(D580="","",(_xlfn.TEXTSPLIT(D580,"-")))</f>
        <v/>
      </c>
      <c r="K580" s="129" t="e">
        <f>VLOOKUP(VALUE($B580),test_out_xwalk!$C:$L,3,FALSE)</f>
        <v>#VALUE!</v>
      </c>
      <c r="L580" s="129" t="e">
        <f>VLOOKUP(VALUE($B580),test_out_xwalk!$C:$L,5,FALSE)</f>
        <v>#VALUE!</v>
      </c>
      <c r="M580" s="129" t="e">
        <f>VLOOKUP(VALUE($B580),test_out_xwalk!$C:$L,6,FALSE)</f>
        <v>#VALUE!</v>
      </c>
      <c r="N580" s="129" t="e">
        <f>VLOOKUP(VALUE($B580),test_out_xwalk!$C:$L,8,FALSE)</f>
        <v>#VALUE!</v>
      </c>
      <c r="O580" s="129" t="e">
        <f>VLOOKUP(VALUE($B580),test_out_xwalk!$C:$L,7,FALSE)</f>
        <v>#VALUE!</v>
      </c>
      <c r="P580" s="129" t="e">
        <f>VLOOKUP(VALUE($B580),test_out_xwalk!$C:$L,4,FALSE)</f>
        <v>#VALUE!</v>
      </c>
      <c r="Q580" s="129" t="e">
        <f>VLOOKUP(VALUE($B580),test_out_xwalk!$C:$L,9,FALSE)</f>
        <v>#VALUE!</v>
      </c>
      <c r="R580" t="e">
        <f>_xlfn.XLOOKUP(VALUE(B580),test_out_xwalk!$C:$C,test_out_xwalk!$A:$A)</f>
        <v>#VALUE!</v>
      </c>
      <c r="T580" s="121" t="str">
        <f>IF('summary_EPA Pond'!$O580="","Check Summary EPA POND worksheet Column O",'summary_EPA Pond'!$O580)</f>
        <v>Check Summary EPA POND worksheet Column O</v>
      </c>
      <c r="U580" s="121" t="str" cm="1">
        <f t="array" ref="U580">IFERROR(_xlfn.TEXTSPLIT(T580,"_"),"")</f>
        <v>Check Summary EPA POND worksheet Column O</v>
      </c>
      <c r="AA580" s="121" t="str" cm="1">
        <f t="array" ref="AA580">IF(W580="","",(_xlfn.TEXTSPLIT(W580,"-")))</f>
        <v/>
      </c>
      <c r="AD580" s="129" t="e">
        <f>VLOOKUP(VALUE($U580),test_out_xwalk!$C:$L,3,FALSE)</f>
        <v>#VALUE!</v>
      </c>
      <c r="AE580" s="129" t="e">
        <f>VLOOKUP(VALUE($U580),test_out_xwalk!$C:$L,5,FALSE)</f>
        <v>#VALUE!</v>
      </c>
      <c r="AF580" s="129" t="e">
        <f>VLOOKUP(VALUE($U580),test_out_xwalk!$C:$L,6,FALSE)</f>
        <v>#VALUE!</v>
      </c>
      <c r="AG580" s="129" t="e">
        <f>VLOOKUP(VALUE($U580),test_out_xwalk!$C:$L,8,FALSE)</f>
        <v>#VALUE!</v>
      </c>
      <c r="AH580" s="129" t="e">
        <f>VLOOKUP(VALUE($U580),test_out_xwalk!$C:$L,7,FALSE)</f>
        <v>#VALUE!</v>
      </c>
      <c r="AI580" s="129" t="e">
        <f>VLOOKUP(VALUE($U580),test_out_xwalk!$C:$L,4,FALSE)</f>
        <v>#VALUE!</v>
      </c>
      <c r="AJ580" s="129" t="e">
        <f>VLOOKUP(VALUE($U580),test_out_xwalk!$C:$L,9,FALSE)</f>
        <v>#VALUE!</v>
      </c>
      <c r="AK580" t="e">
        <f>_xlfn.XLOOKUP(VALUE(U580),test_out_xwalk!C:C,test_out_xwalk!A:A)</f>
        <v>#VALUE!</v>
      </c>
    </row>
    <row r="581" spans="1:37" x14ac:dyDescent="0.55000000000000004">
      <c r="A581" s="121" t="str">
        <f>IF('summary_EPA Pond'!$A581="","Check Summary EPA POND worksheet Column A",'summary_EPA Pond'!$A581)</f>
        <v>Check Summary EPA POND worksheet Column A</v>
      </c>
      <c r="B581" s="121" t="str" cm="1">
        <f t="array" ref="B581">IFERROR(_xlfn.TEXTSPLIT(A581,"_"),"")</f>
        <v>Check Summary EPA POND worksheet Column A</v>
      </c>
      <c r="H581" s="121" t="str" cm="1">
        <f t="array" ref="H581">IF(D581="","",(_xlfn.TEXTSPLIT(D581,"-")))</f>
        <v/>
      </c>
      <c r="K581" s="129" t="e">
        <f>VLOOKUP(VALUE($B581),test_out_xwalk!$C:$L,3,FALSE)</f>
        <v>#VALUE!</v>
      </c>
      <c r="L581" s="129" t="e">
        <f>VLOOKUP(VALUE($B581),test_out_xwalk!$C:$L,5,FALSE)</f>
        <v>#VALUE!</v>
      </c>
      <c r="M581" s="129" t="e">
        <f>VLOOKUP(VALUE($B581),test_out_xwalk!$C:$L,6,FALSE)</f>
        <v>#VALUE!</v>
      </c>
      <c r="N581" s="129" t="e">
        <f>VLOOKUP(VALUE($B581),test_out_xwalk!$C:$L,8,FALSE)</f>
        <v>#VALUE!</v>
      </c>
      <c r="O581" s="129" t="e">
        <f>VLOOKUP(VALUE($B581),test_out_xwalk!$C:$L,7,FALSE)</f>
        <v>#VALUE!</v>
      </c>
      <c r="P581" s="129" t="e">
        <f>VLOOKUP(VALUE($B581),test_out_xwalk!$C:$L,4,FALSE)</f>
        <v>#VALUE!</v>
      </c>
      <c r="Q581" s="129" t="e">
        <f>VLOOKUP(VALUE($B581),test_out_xwalk!$C:$L,9,FALSE)</f>
        <v>#VALUE!</v>
      </c>
      <c r="R581" t="e">
        <f>_xlfn.XLOOKUP(VALUE(B581),test_out_xwalk!$C:$C,test_out_xwalk!$A:$A)</f>
        <v>#VALUE!</v>
      </c>
      <c r="T581" s="121" t="str">
        <f>IF('summary_EPA Pond'!$O581="","Check Summary EPA POND worksheet Column O",'summary_EPA Pond'!$O581)</f>
        <v>Check Summary EPA POND worksheet Column O</v>
      </c>
      <c r="U581" s="121" t="str" cm="1">
        <f t="array" ref="U581">IFERROR(_xlfn.TEXTSPLIT(T581,"_"),"")</f>
        <v>Check Summary EPA POND worksheet Column O</v>
      </c>
      <c r="AA581" s="121" t="str" cm="1">
        <f t="array" ref="AA581">IF(W581="","",(_xlfn.TEXTSPLIT(W581,"-")))</f>
        <v/>
      </c>
      <c r="AD581" s="129" t="e">
        <f>VLOOKUP(VALUE($U581),test_out_xwalk!$C:$L,3,FALSE)</f>
        <v>#VALUE!</v>
      </c>
      <c r="AE581" s="129" t="e">
        <f>VLOOKUP(VALUE($U581),test_out_xwalk!$C:$L,5,FALSE)</f>
        <v>#VALUE!</v>
      </c>
      <c r="AF581" s="129" t="e">
        <f>VLOOKUP(VALUE($U581),test_out_xwalk!$C:$L,6,FALSE)</f>
        <v>#VALUE!</v>
      </c>
      <c r="AG581" s="129" t="e">
        <f>VLOOKUP(VALUE($U581),test_out_xwalk!$C:$L,8,FALSE)</f>
        <v>#VALUE!</v>
      </c>
      <c r="AH581" s="129" t="e">
        <f>VLOOKUP(VALUE($U581),test_out_xwalk!$C:$L,7,FALSE)</f>
        <v>#VALUE!</v>
      </c>
      <c r="AI581" s="129" t="e">
        <f>VLOOKUP(VALUE($U581),test_out_xwalk!$C:$L,4,FALSE)</f>
        <v>#VALUE!</v>
      </c>
      <c r="AJ581" s="129" t="e">
        <f>VLOOKUP(VALUE($U581),test_out_xwalk!$C:$L,9,FALSE)</f>
        <v>#VALUE!</v>
      </c>
      <c r="AK581" t="e">
        <f>_xlfn.XLOOKUP(VALUE(U581),test_out_xwalk!C:C,test_out_xwalk!A:A)</f>
        <v>#VALUE!</v>
      </c>
    </row>
    <row r="582" spans="1:37" x14ac:dyDescent="0.55000000000000004">
      <c r="A582" s="121" t="str">
        <f>IF('summary_EPA Pond'!$A582="","Check Summary EPA POND worksheet Column A",'summary_EPA Pond'!$A582)</f>
        <v>Check Summary EPA POND worksheet Column A</v>
      </c>
      <c r="B582" s="121" t="str" cm="1">
        <f t="array" ref="B582">IFERROR(_xlfn.TEXTSPLIT(A582,"_"),"")</f>
        <v>Check Summary EPA POND worksheet Column A</v>
      </c>
      <c r="H582" s="121" t="str" cm="1">
        <f t="array" ref="H582">IF(D582="","",(_xlfn.TEXTSPLIT(D582,"-")))</f>
        <v/>
      </c>
      <c r="K582" s="129" t="e">
        <f>VLOOKUP(VALUE($B582),test_out_xwalk!$C:$L,3,FALSE)</f>
        <v>#VALUE!</v>
      </c>
      <c r="L582" s="129" t="e">
        <f>VLOOKUP(VALUE($B582),test_out_xwalk!$C:$L,5,FALSE)</f>
        <v>#VALUE!</v>
      </c>
      <c r="M582" s="129" t="e">
        <f>VLOOKUP(VALUE($B582),test_out_xwalk!$C:$L,6,FALSE)</f>
        <v>#VALUE!</v>
      </c>
      <c r="N582" s="129" t="e">
        <f>VLOOKUP(VALUE($B582),test_out_xwalk!$C:$L,8,FALSE)</f>
        <v>#VALUE!</v>
      </c>
      <c r="O582" s="129" t="e">
        <f>VLOOKUP(VALUE($B582),test_out_xwalk!$C:$L,7,FALSE)</f>
        <v>#VALUE!</v>
      </c>
      <c r="P582" s="129" t="e">
        <f>VLOOKUP(VALUE($B582),test_out_xwalk!$C:$L,4,FALSE)</f>
        <v>#VALUE!</v>
      </c>
      <c r="Q582" s="129" t="e">
        <f>VLOOKUP(VALUE($B582),test_out_xwalk!$C:$L,9,FALSE)</f>
        <v>#VALUE!</v>
      </c>
      <c r="R582" t="e">
        <f>_xlfn.XLOOKUP(VALUE(B582),test_out_xwalk!$C:$C,test_out_xwalk!$A:$A)</f>
        <v>#VALUE!</v>
      </c>
      <c r="T582" s="121" t="str">
        <f>IF('summary_EPA Pond'!$O582="","Check Summary EPA POND worksheet Column O",'summary_EPA Pond'!$O582)</f>
        <v>Check Summary EPA POND worksheet Column O</v>
      </c>
      <c r="U582" s="121" t="str" cm="1">
        <f t="array" ref="U582">IFERROR(_xlfn.TEXTSPLIT(T582,"_"),"")</f>
        <v>Check Summary EPA POND worksheet Column O</v>
      </c>
      <c r="AA582" s="121" t="str" cm="1">
        <f t="array" ref="AA582">IF(W582="","",(_xlfn.TEXTSPLIT(W582,"-")))</f>
        <v/>
      </c>
      <c r="AD582" s="129" t="e">
        <f>VLOOKUP(VALUE($U582),test_out_xwalk!$C:$L,3,FALSE)</f>
        <v>#VALUE!</v>
      </c>
      <c r="AE582" s="129" t="e">
        <f>VLOOKUP(VALUE($U582),test_out_xwalk!$C:$L,5,FALSE)</f>
        <v>#VALUE!</v>
      </c>
      <c r="AF582" s="129" t="e">
        <f>VLOOKUP(VALUE($U582),test_out_xwalk!$C:$L,6,FALSE)</f>
        <v>#VALUE!</v>
      </c>
      <c r="AG582" s="129" t="e">
        <f>VLOOKUP(VALUE($U582),test_out_xwalk!$C:$L,8,FALSE)</f>
        <v>#VALUE!</v>
      </c>
      <c r="AH582" s="129" t="e">
        <f>VLOOKUP(VALUE($U582),test_out_xwalk!$C:$L,7,FALSE)</f>
        <v>#VALUE!</v>
      </c>
      <c r="AI582" s="129" t="e">
        <f>VLOOKUP(VALUE($U582),test_out_xwalk!$C:$L,4,FALSE)</f>
        <v>#VALUE!</v>
      </c>
      <c r="AJ582" s="129" t="e">
        <f>VLOOKUP(VALUE($U582),test_out_xwalk!$C:$L,9,FALSE)</f>
        <v>#VALUE!</v>
      </c>
      <c r="AK582" t="e">
        <f>_xlfn.XLOOKUP(VALUE(U582),test_out_xwalk!C:C,test_out_xwalk!A:A)</f>
        <v>#VALUE!</v>
      </c>
    </row>
    <row r="583" spans="1:37" x14ac:dyDescent="0.55000000000000004">
      <c r="A583" s="121" t="str">
        <f>IF('summary_EPA Pond'!$A583="","Check Summary EPA POND worksheet Column A",'summary_EPA Pond'!$A583)</f>
        <v>Check Summary EPA POND worksheet Column A</v>
      </c>
      <c r="B583" s="121" t="str" cm="1">
        <f t="array" ref="B583">IFERROR(_xlfn.TEXTSPLIT(A583,"_"),"")</f>
        <v>Check Summary EPA POND worksheet Column A</v>
      </c>
      <c r="H583" s="121" t="str" cm="1">
        <f t="array" ref="H583">IF(D583="","",(_xlfn.TEXTSPLIT(D583,"-")))</f>
        <v/>
      </c>
      <c r="K583" s="129" t="e">
        <f>VLOOKUP(VALUE($B583),test_out_xwalk!$C:$L,3,FALSE)</f>
        <v>#VALUE!</v>
      </c>
      <c r="L583" s="129" t="e">
        <f>VLOOKUP(VALUE($B583),test_out_xwalk!$C:$L,5,FALSE)</f>
        <v>#VALUE!</v>
      </c>
      <c r="M583" s="129" t="e">
        <f>VLOOKUP(VALUE($B583),test_out_xwalk!$C:$L,6,FALSE)</f>
        <v>#VALUE!</v>
      </c>
      <c r="N583" s="129" t="e">
        <f>VLOOKUP(VALUE($B583),test_out_xwalk!$C:$L,8,FALSE)</f>
        <v>#VALUE!</v>
      </c>
      <c r="O583" s="129" t="e">
        <f>VLOOKUP(VALUE($B583),test_out_xwalk!$C:$L,7,FALSE)</f>
        <v>#VALUE!</v>
      </c>
      <c r="P583" s="129" t="e">
        <f>VLOOKUP(VALUE($B583),test_out_xwalk!$C:$L,4,FALSE)</f>
        <v>#VALUE!</v>
      </c>
      <c r="Q583" s="129" t="e">
        <f>VLOOKUP(VALUE($B583),test_out_xwalk!$C:$L,9,FALSE)</f>
        <v>#VALUE!</v>
      </c>
      <c r="R583" t="e">
        <f>_xlfn.XLOOKUP(VALUE(B583),test_out_xwalk!$C:$C,test_out_xwalk!$A:$A)</f>
        <v>#VALUE!</v>
      </c>
      <c r="T583" s="121" t="str">
        <f>IF('summary_EPA Pond'!$O583="","Check Summary EPA POND worksheet Column O",'summary_EPA Pond'!$O583)</f>
        <v>Check Summary EPA POND worksheet Column O</v>
      </c>
      <c r="U583" s="121" t="str" cm="1">
        <f t="array" ref="U583">IFERROR(_xlfn.TEXTSPLIT(T583,"_"),"")</f>
        <v>Check Summary EPA POND worksheet Column O</v>
      </c>
      <c r="AA583" s="121" t="str" cm="1">
        <f t="array" ref="AA583">IF(W583="","",(_xlfn.TEXTSPLIT(W583,"-")))</f>
        <v/>
      </c>
      <c r="AD583" s="129" t="e">
        <f>VLOOKUP(VALUE($U583),test_out_xwalk!$C:$L,3,FALSE)</f>
        <v>#VALUE!</v>
      </c>
      <c r="AE583" s="129" t="e">
        <f>VLOOKUP(VALUE($U583),test_out_xwalk!$C:$L,5,FALSE)</f>
        <v>#VALUE!</v>
      </c>
      <c r="AF583" s="129" t="e">
        <f>VLOOKUP(VALUE($U583),test_out_xwalk!$C:$L,6,FALSE)</f>
        <v>#VALUE!</v>
      </c>
      <c r="AG583" s="129" t="e">
        <f>VLOOKUP(VALUE($U583),test_out_xwalk!$C:$L,8,FALSE)</f>
        <v>#VALUE!</v>
      </c>
      <c r="AH583" s="129" t="e">
        <f>VLOOKUP(VALUE($U583),test_out_xwalk!$C:$L,7,FALSE)</f>
        <v>#VALUE!</v>
      </c>
      <c r="AI583" s="129" t="e">
        <f>VLOOKUP(VALUE($U583),test_out_xwalk!$C:$L,4,FALSE)</f>
        <v>#VALUE!</v>
      </c>
      <c r="AJ583" s="129" t="e">
        <f>VLOOKUP(VALUE($U583),test_out_xwalk!$C:$L,9,FALSE)</f>
        <v>#VALUE!</v>
      </c>
      <c r="AK583" t="e">
        <f>_xlfn.XLOOKUP(VALUE(U583),test_out_xwalk!C:C,test_out_xwalk!A:A)</f>
        <v>#VALUE!</v>
      </c>
    </row>
    <row r="584" spans="1:37" x14ac:dyDescent="0.55000000000000004">
      <c r="A584" s="121" t="str">
        <f>IF('summary_EPA Pond'!$A584="","Check Summary EPA POND worksheet Column A",'summary_EPA Pond'!$A584)</f>
        <v>Check Summary EPA POND worksheet Column A</v>
      </c>
      <c r="B584" s="121" t="str" cm="1">
        <f t="array" ref="B584">IFERROR(_xlfn.TEXTSPLIT(A584,"_"),"")</f>
        <v>Check Summary EPA POND worksheet Column A</v>
      </c>
      <c r="H584" s="121" t="str" cm="1">
        <f t="array" ref="H584">IF(D584="","",(_xlfn.TEXTSPLIT(D584,"-")))</f>
        <v/>
      </c>
      <c r="K584" s="129" t="e">
        <f>VLOOKUP(VALUE($B584),test_out_xwalk!$C:$L,3,FALSE)</f>
        <v>#VALUE!</v>
      </c>
      <c r="L584" s="129" t="e">
        <f>VLOOKUP(VALUE($B584),test_out_xwalk!$C:$L,5,FALSE)</f>
        <v>#VALUE!</v>
      </c>
      <c r="M584" s="129" t="e">
        <f>VLOOKUP(VALUE($B584),test_out_xwalk!$C:$L,6,FALSE)</f>
        <v>#VALUE!</v>
      </c>
      <c r="N584" s="129" t="e">
        <f>VLOOKUP(VALUE($B584),test_out_xwalk!$C:$L,8,FALSE)</f>
        <v>#VALUE!</v>
      </c>
      <c r="O584" s="129" t="e">
        <f>VLOOKUP(VALUE($B584),test_out_xwalk!$C:$L,7,FALSE)</f>
        <v>#VALUE!</v>
      </c>
      <c r="P584" s="129" t="e">
        <f>VLOOKUP(VALUE($B584),test_out_xwalk!$C:$L,4,FALSE)</f>
        <v>#VALUE!</v>
      </c>
      <c r="Q584" s="129" t="e">
        <f>VLOOKUP(VALUE($B584),test_out_xwalk!$C:$L,9,FALSE)</f>
        <v>#VALUE!</v>
      </c>
      <c r="R584" t="e">
        <f>_xlfn.XLOOKUP(VALUE(B584),test_out_xwalk!$C:$C,test_out_xwalk!$A:$A)</f>
        <v>#VALUE!</v>
      </c>
      <c r="T584" s="121" t="str">
        <f>IF('summary_EPA Pond'!$O584="","Check Summary EPA POND worksheet Column O",'summary_EPA Pond'!$O584)</f>
        <v>Check Summary EPA POND worksheet Column O</v>
      </c>
      <c r="U584" s="121" t="str" cm="1">
        <f t="array" ref="U584">IFERROR(_xlfn.TEXTSPLIT(T584,"_"),"")</f>
        <v>Check Summary EPA POND worksheet Column O</v>
      </c>
      <c r="AA584" s="121" t="str" cm="1">
        <f t="array" ref="AA584">IF(W584="","",(_xlfn.TEXTSPLIT(W584,"-")))</f>
        <v/>
      </c>
      <c r="AD584" s="129" t="e">
        <f>VLOOKUP(VALUE($U584),test_out_xwalk!$C:$L,3,FALSE)</f>
        <v>#VALUE!</v>
      </c>
      <c r="AE584" s="129" t="e">
        <f>VLOOKUP(VALUE($U584),test_out_xwalk!$C:$L,5,FALSE)</f>
        <v>#VALUE!</v>
      </c>
      <c r="AF584" s="129" t="e">
        <f>VLOOKUP(VALUE($U584),test_out_xwalk!$C:$L,6,FALSE)</f>
        <v>#VALUE!</v>
      </c>
      <c r="AG584" s="129" t="e">
        <f>VLOOKUP(VALUE($U584),test_out_xwalk!$C:$L,8,FALSE)</f>
        <v>#VALUE!</v>
      </c>
      <c r="AH584" s="129" t="e">
        <f>VLOOKUP(VALUE($U584),test_out_xwalk!$C:$L,7,FALSE)</f>
        <v>#VALUE!</v>
      </c>
      <c r="AI584" s="129" t="e">
        <f>VLOOKUP(VALUE($U584),test_out_xwalk!$C:$L,4,FALSE)</f>
        <v>#VALUE!</v>
      </c>
      <c r="AJ584" s="129" t="e">
        <f>VLOOKUP(VALUE($U584),test_out_xwalk!$C:$L,9,FALSE)</f>
        <v>#VALUE!</v>
      </c>
      <c r="AK584" t="e">
        <f>_xlfn.XLOOKUP(VALUE(U584),test_out_xwalk!C:C,test_out_xwalk!A:A)</f>
        <v>#VALUE!</v>
      </c>
    </row>
    <row r="585" spans="1:37" x14ac:dyDescent="0.55000000000000004">
      <c r="A585" s="121" t="str">
        <f>IF('summary_EPA Pond'!$A585="","Check Summary EPA POND worksheet Column A",'summary_EPA Pond'!$A585)</f>
        <v>Check Summary EPA POND worksheet Column A</v>
      </c>
      <c r="B585" s="121" t="str" cm="1">
        <f t="array" ref="B585">IFERROR(_xlfn.TEXTSPLIT(A585,"_"),"")</f>
        <v>Check Summary EPA POND worksheet Column A</v>
      </c>
      <c r="H585" s="121" t="str" cm="1">
        <f t="array" ref="H585">IF(D585="","",(_xlfn.TEXTSPLIT(D585,"-")))</f>
        <v/>
      </c>
      <c r="K585" s="129" t="e">
        <f>VLOOKUP(VALUE($B585),test_out_xwalk!$C:$L,3,FALSE)</f>
        <v>#VALUE!</v>
      </c>
      <c r="L585" s="129" t="e">
        <f>VLOOKUP(VALUE($B585),test_out_xwalk!$C:$L,5,FALSE)</f>
        <v>#VALUE!</v>
      </c>
      <c r="M585" s="129" t="e">
        <f>VLOOKUP(VALUE($B585),test_out_xwalk!$C:$L,6,FALSE)</f>
        <v>#VALUE!</v>
      </c>
      <c r="N585" s="129" t="e">
        <f>VLOOKUP(VALUE($B585),test_out_xwalk!$C:$L,8,FALSE)</f>
        <v>#VALUE!</v>
      </c>
      <c r="O585" s="129" t="e">
        <f>VLOOKUP(VALUE($B585),test_out_xwalk!$C:$L,7,FALSE)</f>
        <v>#VALUE!</v>
      </c>
      <c r="P585" s="129" t="e">
        <f>VLOOKUP(VALUE($B585),test_out_xwalk!$C:$L,4,FALSE)</f>
        <v>#VALUE!</v>
      </c>
      <c r="Q585" s="129" t="e">
        <f>VLOOKUP(VALUE($B585),test_out_xwalk!$C:$L,9,FALSE)</f>
        <v>#VALUE!</v>
      </c>
      <c r="R585" t="e">
        <f>_xlfn.XLOOKUP(VALUE(B585),test_out_xwalk!$C:$C,test_out_xwalk!$A:$A)</f>
        <v>#VALUE!</v>
      </c>
      <c r="T585" s="121" t="str">
        <f>IF('summary_EPA Pond'!$O585="","Check Summary EPA POND worksheet Column O",'summary_EPA Pond'!$O585)</f>
        <v>Check Summary EPA POND worksheet Column O</v>
      </c>
      <c r="U585" s="121" t="str" cm="1">
        <f t="array" ref="U585">IFERROR(_xlfn.TEXTSPLIT(T585,"_"),"")</f>
        <v>Check Summary EPA POND worksheet Column O</v>
      </c>
      <c r="AA585" s="121" t="str" cm="1">
        <f t="array" ref="AA585">IF(W585="","",(_xlfn.TEXTSPLIT(W585,"-")))</f>
        <v/>
      </c>
      <c r="AD585" s="129" t="e">
        <f>VLOOKUP(VALUE($U585),test_out_xwalk!$C:$L,3,FALSE)</f>
        <v>#VALUE!</v>
      </c>
      <c r="AE585" s="129" t="e">
        <f>VLOOKUP(VALUE($U585),test_out_xwalk!$C:$L,5,FALSE)</f>
        <v>#VALUE!</v>
      </c>
      <c r="AF585" s="129" t="e">
        <f>VLOOKUP(VALUE($U585),test_out_xwalk!$C:$L,6,FALSE)</f>
        <v>#VALUE!</v>
      </c>
      <c r="AG585" s="129" t="e">
        <f>VLOOKUP(VALUE($U585),test_out_xwalk!$C:$L,8,FALSE)</f>
        <v>#VALUE!</v>
      </c>
      <c r="AH585" s="129" t="e">
        <f>VLOOKUP(VALUE($U585),test_out_xwalk!$C:$L,7,FALSE)</f>
        <v>#VALUE!</v>
      </c>
      <c r="AI585" s="129" t="e">
        <f>VLOOKUP(VALUE($U585),test_out_xwalk!$C:$L,4,FALSE)</f>
        <v>#VALUE!</v>
      </c>
      <c r="AJ585" s="129" t="e">
        <f>VLOOKUP(VALUE($U585),test_out_xwalk!$C:$L,9,FALSE)</f>
        <v>#VALUE!</v>
      </c>
      <c r="AK585" t="e">
        <f>_xlfn.XLOOKUP(VALUE(U585),test_out_xwalk!C:C,test_out_xwalk!A:A)</f>
        <v>#VALUE!</v>
      </c>
    </row>
    <row r="586" spans="1:37" x14ac:dyDescent="0.55000000000000004">
      <c r="A586" s="121" t="str">
        <f>IF('summary_EPA Pond'!$A586="","Check Summary EPA POND worksheet Column A",'summary_EPA Pond'!$A586)</f>
        <v>Check Summary EPA POND worksheet Column A</v>
      </c>
      <c r="B586" s="121" t="str" cm="1">
        <f t="array" ref="B586">IFERROR(_xlfn.TEXTSPLIT(A586,"_"),"")</f>
        <v>Check Summary EPA POND worksheet Column A</v>
      </c>
      <c r="H586" s="121" t="str" cm="1">
        <f t="array" ref="H586">IF(D586="","",(_xlfn.TEXTSPLIT(D586,"-")))</f>
        <v/>
      </c>
      <c r="K586" s="129" t="e">
        <f>VLOOKUP(VALUE($B586),test_out_xwalk!$C:$L,3,FALSE)</f>
        <v>#VALUE!</v>
      </c>
      <c r="L586" s="129" t="e">
        <f>VLOOKUP(VALUE($B586),test_out_xwalk!$C:$L,5,FALSE)</f>
        <v>#VALUE!</v>
      </c>
      <c r="M586" s="129" t="e">
        <f>VLOOKUP(VALUE($B586),test_out_xwalk!$C:$L,6,FALSE)</f>
        <v>#VALUE!</v>
      </c>
      <c r="N586" s="129" t="e">
        <f>VLOOKUP(VALUE($B586),test_out_xwalk!$C:$L,8,FALSE)</f>
        <v>#VALUE!</v>
      </c>
      <c r="O586" s="129" t="e">
        <f>VLOOKUP(VALUE($B586),test_out_xwalk!$C:$L,7,FALSE)</f>
        <v>#VALUE!</v>
      </c>
      <c r="P586" s="129" t="e">
        <f>VLOOKUP(VALUE($B586),test_out_xwalk!$C:$L,4,FALSE)</f>
        <v>#VALUE!</v>
      </c>
      <c r="Q586" s="129" t="e">
        <f>VLOOKUP(VALUE($B586),test_out_xwalk!$C:$L,9,FALSE)</f>
        <v>#VALUE!</v>
      </c>
      <c r="R586" t="e">
        <f>_xlfn.XLOOKUP(VALUE(B586),test_out_xwalk!$C:$C,test_out_xwalk!$A:$A)</f>
        <v>#VALUE!</v>
      </c>
      <c r="T586" s="121" t="str">
        <f>IF('summary_EPA Pond'!$O586="","Check Summary EPA POND worksheet Column O",'summary_EPA Pond'!$O586)</f>
        <v>Check Summary EPA POND worksheet Column O</v>
      </c>
      <c r="U586" s="121" t="str" cm="1">
        <f t="array" ref="U586">IFERROR(_xlfn.TEXTSPLIT(T586,"_"),"")</f>
        <v>Check Summary EPA POND worksheet Column O</v>
      </c>
      <c r="AA586" s="121" t="str" cm="1">
        <f t="array" ref="AA586">IF(W586="","",(_xlfn.TEXTSPLIT(W586,"-")))</f>
        <v/>
      </c>
      <c r="AD586" s="129" t="e">
        <f>VLOOKUP(VALUE($U586),test_out_xwalk!$C:$L,3,FALSE)</f>
        <v>#VALUE!</v>
      </c>
      <c r="AE586" s="129" t="e">
        <f>VLOOKUP(VALUE($U586),test_out_xwalk!$C:$L,5,FALSE)</f>
        <v>#VALUE!</v>
      </c>
      <c r="AF586" s="129" t="e">
        <f>VLOOKUP(VALUE($U586),test_out_xwalk!$C:$L,6,FALSE)</f>
        <v>#VALUE!</v>
      </c>
      <c r="AG586" s="129" t="e">
        <f>VLOOKUP(VALUE($U586),test_out_xwalk!$C:$L,8,FALSE)</f>
        <v>#VALUE!</v>
      </c>
      <c r="AH586" s="129" t="e">
        <f>VLOOKUP(VALUE($U586),test_out_xwalk!$C:$L,7,FALSE)</f>
        <v>#VALUE!</v>
      </c>
      <c r="AI586" s="129" t="e">
        <f>VLOOKUP(VALUE($U586),test_out_xwalk!$C:$L,4,FALSE)</f>
        <v>#VALUE!</v>
      </c>
      <c r="AJ586" s="129" t="e">
        <f>VLOOKUP(VALUE($U586),test_out_xwalk!$C:$L,9,FALSE)</f>
        <v>#VALUE!</v>
      </c>
      <c r="AK586" t="e">
        <f>_xlfn.XLOOKUP(VALUE(U586),test_out_xwalk!C:C,test_out_xwalk!A:A)</f>
        <v>#VALUE!</v>
      </c>
    </row>
    <row r="587" spans="1:37" x14ac:dyDescent="0.55000000000000004">
      <c r="A587" s="121" t="str">
        <f>IF('summary_EPA Pond'!$A587="","Check Summary EPA POND worksheet Column A",'summary_EPA Pond'!$A587)</f>
        <v>Check Summary EPA POND worksheet Column A</v>
      </c>
      <c r="B587" s="121" t="str" cm="1">
        <f t="array" ref="B587">IFERROR(_xlfn.TEXTSPLIT(A587,"_"),"")</f>
        <v>Check Summary EPA POND worksheet Column A</v>
      </c>
      <c r="H587" s="121" t="str" cm="1">
        <f t="array" ref="H587">IF(D587="","",(_xlfn.TEXTSPLIT(D587,"-")))</f>
        <v/>
      </c>
      <c r="K587" s="129" t="e">
        <f>VLOOKUP(VALUE($B587),test_out_xwalk!$C:$L,3,FALSE)</f>
        <v>#VALUE!</v>
      </c>
      <c r="L587" s="129" t="e">
        <f>VLOOKUP(VALUE($B587),test_out_xwalk!$C:$L,5,FALSE)</f>
        <v>#VALUE!</v>
      </c>
      <c r="M587" s="129" t="e">
        <f>VLOOKUP(VALUE($B587),test_out_xwalk!$C:$L,6,FALSE)</f>
        <v>#VALUE!</v>
      </c>
      <c r="N587" s="129" t="e">
        <f>VLOOKUP(VALUE($B587),test_out_xwalk!$C:$L,8,FALSE)</f>
        <v>#VALUE!</v>
      </c>
      <c r="O587" s="129" t="e">
        <f>VLOOKUP(VALUE($B587),test_out_xwalk!$C:$L,7,FALSE)</f>
        <v>#VALUE!</v>
      </c>
      <c r="P587" s="129" t="e">
        <f>VLOOKUP(VALUE($B587),test_out_xwalk!$C:$L,4,FALSE)</f>
        <v>#VALUE!</v>
      </c>
      <c r="Q587" s="129" t="e">
        <f>VLOOKUP(VALUE($B587),test_out_xwalk!$C:$L,9,FALSE)</f>
        <v>#VALUE!</v>
      </c>
      <c r="R587" t="e">
        <f>_xlfn.XLOOKUP(VALUE(B587),test_out_xwalk!$C:$C,test_out_xwalk!$A:$A)</f>
        <v>#VALUE!</v>
      </c>
      <c r="T587" s="121" t="str">
        <f>IF('summary_EPA Pond'!$O587="","Check Summary EPA POND worksheet Column O",'summary_EPA Pond'!$O587)</f>
        <v>Check Summary EPA POND worksheet Column O</v>
      </c>
      <c r="U587" s="121" t="str" cm="1">
        <f t="array" ref="U587">IFERROR(_xlfn.TEXTSPLIT(T587,"_"),"")</f>
        <v>Check Summary EPA POND worksheet Column O</v>
      </c>
      <c r="AA587" s="121" t="str" cm="1">
        <f t="array" ref="AA587">IF(W587="","",(_xlfn.TEXTSPLIT(W587,"-")))</f>
        <v/>
      </c>
      <c r="AD587" s="129" t="e">
        <f>VLOOKUP(VALUE($U587),test_out_xwalk!$C:$L,3,FALSE)</f>
        <v>#VALUE!</v>
      </c>
      <c r="AE587" s="129" t="e">
        <f>VLOOKUP(VALUE($U587),test_out_xwalk!$C:$L,5,FALSE)</f>
        <v>#VALUE!</v>
      </c>
      <c r="AF587" s="129" t="e">
        <f>VLOOKUP(VALUE($U587),test_out_xwalk!$C:$L,6,FALSE)</f>
        <v>#VALUE!</v>
      </c>
      <c r="AG587" s="129" t="e">
        <f>VLOOKUP(VALUE($U587),test_out_xwalk!$C:$L,8,FALSE)</f>
        <v>#VALUE!</v>
      </c>
      <c r="AH587" s="129" t="e">
        <f>VLOOKUP(VALUE($U587),test_out_xwalk!$C:$L,7,FALSE)</f>
        <v>#VALUE!</v>
      </c>
      <c r="AI587" s="129" t="e">
        <f>VLOOKUP(VALUE($U587),test_out_xwalk!$C:$L,4,FALSE)</f>
        <v>#VALUE!</v>
      </c>
      <c r="AJ587" s="129" t="e">
        <f>VLOOKUP(VALUE($U587),test_out_xwalk!$C:$L,9,FALSE)</f>
        <v>#VALUE!</v>
      </c>
      <c r="AK587" t="e">
        <f>_xlfn.XLOOKUP(VALUE(U587),test_out_xwalk!C:C,test_out_xwalk!A:A)</f>
        <v>#VALUE!</v>
      </c>
    </row>
    <row r="588" spans="1:37" x14ac:dyDescent="0.55000000000000004">
      <c r="A588" s="121" t="str">
        <f>IF('summary_EPA Pond'!$A588="","Check Summary EPA POND worksheet Column A",'summary_EPA Pond'!$A588)</f>
        <v>Check Summary EPA POND worksheet Column A</v>
      </c>
      <c r="B588" s="121" t="str" cm="1">
        <f t="array" ref="B588">IFERROR(_xlfn.TEXTSPLIT(A588,"_"),"")</f>
        <v>Check Summary EPA POND worksheet Column A</v>
      </c>
      <c r="H588" s="121" t="str" cm="1">
        <f t="array" ref="H588">IF(D588="","",(_xlfn.TEXTSPLIT(D588,"-")))</f>
        <v/>
      </c>
      <c r="K588" s="129" t="e">
        <f>VLOOKUP(VALUE($B588),test_out_xwalk!$C:$L,3,FALSE)</f>
        <v>#VALUE!</v>
      </c>
      <c r="L588" s="129" t="e">
        <f>VLOOKUP(VALUE($B588),test_out_xwalk!$C:$L,5,FALSE)</f>
        <v>#VALUE!</v>
      </c>
      <c r="M588" s="129" t="e">
        <f>VLOOKUP(VALUE($B588),test_out_xwalk!$C:$L,6,FALSE)</f>
        <v>#VALUE!</v>
      </c>
      <c r="N588" s="129" t="e">
        <f>VLOOKUP(VALUE($B588),test_out_xwalk!$C:$L,8,FALSE)</f>
        <v>#VALUE!</v>
      </c>
      <c r="O588" s="129" t="e">
        <f>VLOOKUP(VALUE($B588),test_out_xwalk!$C:$L,7,FALSE)</f>
        <v>#VALUE!</v>
      </c>
      <c r="P588" s="129" t="e">
        <f>VLOOKUP(VALUE($B588),test_out_xwalk!$C:$L,4,FALSE)</f>
        <v>#VALUE!</v>
      </c>
      <c r="Q588" s="129" t="e">
        <f>VLOOKUP(VALUE($B588),test_out_xwalk!$C:$L,9,FALSE)</f>
        <v>#VALUE!</v>
      </c>
      <c r="R588" t="e">
        <f>_xlfn.XLOOKUP(VALUE(B588),test_out_xwalk!$C:$C,test_out_xwalk!$A:$A)</f>
        <v>#VALUE!</v>
      </c>
      <c r="T588" s="121" t="str">
        <f>IF('summary_EPA Pond'!$O588="","Check Summary EPA POND worksheet Column O",'summary_EPA Pond'!$O588)</f>
        <v>Check Summary EPA POND worksheet Column O</v>
      </c>
      <c r="U588" s="121" t="str" cm="1">
        <f t="array" ref="U588">IFERROR(_xlfn.TEXTSPLIT(T588,"_"),"")</f>
        <v>Check Summary EPA POND worksheet Column O</v>
      </c>
      <c r="AA588" s="121" t="str" cm="1">
        <f t="array" ref="AA588">IF(W588="","",(_xlfn.TEXTSPLIT(W588,"-")))</f>
        <v/>
      </c>
      <c r="AD588" s="129" t="e">
        <f>VLOOKUP(VALUE($U588),test_out_xwalk!$C:$L,3,FALSE)</f>
        <v>#VALUE!</v>
      </c>
      <c r="AE588" s="129" t="e">
        <f>VLOOKUP(VALUE($U588),test_out_xwalk!$C:$L,5,FALSE)</f>
        <v>#VALUE!</v>
      </c>
      <c r="AF588" s="129" t="e">
        <f>VLOOKUP(VALUE($U588),test_out_xwalk!$C:$L,6,FALSE)</f>
        <v>#VALUE!</v>
      </c>
      <c r="AG588" s="129" t="e">
        <f>VLOOKUP(VALUE($U588),test_out_xwalk!$C:$L,8,FALSE)</f>
        <v>#VALUE!</v>
      </c>
      <c r="AH588" s="129" t="e">
        <f>VLOOKUP(VALUE($U588),test_out_xwalk!$C:$L,7,FALSE)</f>
        <v>#VALUE!</v>
      </c>
      <c r="AI588" s="129" t="e">
        <f>VLOOKUP(VALUE($U588),test_out_xwalk!$C:$L,4,FALSE)</f>
        <v>#VALUE!</v>
      </c>
      <c r="AJ588" s="129" t="e">
        <f>VLOOKUP(VALUE($U588),test_out_xwalk!$C:$L,9,FALSE)</f>
        <v>#VALUE!</v>
      </c>
      <c r="AK588" t="e">
        <f>_xlfn.XLOOKUP(VALUE(U588),test_out_xwalk!C:C,test_out_xwalk!A:A)</f>
        <v>#VALUE!</v>
      </c>
    </row>
    <row r="589" spans="1:37" x14ac:dyDescent="0.55000000000000004">
      <c r="A589" s="121" t="str">
        <f>IF('summary_EPA Pond'!$A589="","Check Summary EPA POND worksheet Column A",'summary_EPA Pond'!$A589)</f>
        <v>Check Summary EPA POND worksheet Column A</v>
      </c>
      <c r="B589" s="121" t="str" cm="1">
        <f t="array" ref="B589">IFERROR(_xlfn.TEXTSPLIT(A589,"_"),"")</f>
        <v>Check Summary EPA POND worksheet Column A</v>
      </c>
      <c r="H589" s="121" t="str" cm="1">
        <f t="array" ref="H589">IF(D589="","",(_xlfn.TEXTSPLIT(D589,"-")))</f>
        <v/>
      </c>
      <c r="K589" s="129" t="e">
        <f>VLOOKUP(VALUE($B589),test_out_xwalk!$C:$L,3,FALSE)</f>
        <v>#VALUE!</v>
      </c>
      <c r="L589" s="129" t="e">
        <f>VLOOKUP(VALUE($B589),test_out_xwalk!$C:$L,5,FALSE)</f>
        <v>#VALUE!</v>
      </c>
      <c r="M589" s="129" t="e">
        <f>VLOOKUP(VALUE($B589),test_out_xwalk!$C:$L,6,FALSE)</f>
        <v>#VALUE!</v>
      </c>
      <c r="N589" s="129" t="e">
        <f>VLOOKUP(VALUE($B589),test_out_xwalk!$C:$L,8,FALSE)</f>
        <v>#VALUE!</v>
      </c>
      <c r="O589" s="129" t="e">
        <f>VLOOKUP(VALUE($B589),test_out_xwalk!$C:$L,7,FALSE)</f>
        <v>#VALUE!</v>
      </c>
      <c r="P589" s="129" t="e">
        <f>VLOOKUP(VALUE($B589),test_out_xwalk!$C:$L,4,FALSE)</f>
        <v>#VALUE!</v>
      </c>
      <c r="Q589" s="129" t="e">
        <f>VLOOKUP(VALUE($B589),test_out_xwalk!$C:$L,9,FALSE)</f>
        <v>#VALUE!</v>
      </c>
      <c r="R589" t="e">
        <f>_xlfn.XLOOKUP(VALUE(B589),test_out_xwalk!$C:$C,test_out_xwalk!$A:$A)</f>
        <v>#VALUE!</v>
      </c>
      <c r="T589" s="121" t="str">
        <f>IF('summary_EPA Pond'!$O589="","Check Summary EPA POND worksheet Column O",'summary_EPA Pond'!$O589)</f>
        <v>Check Summary EPA POND worksheet Column O</v>
      </c>
      <c r="U589" s="121" t="str" cm="1">
        <f t="array" ref="U589">IFERROR(_xlfn.TEXTSPLIT(T589,"_"),"")</f>
        <v>Check Summary EPA POND worksheet Column O</v>
      </c>
      <c r="AA589" s="121" t="str" cm="1">
        <f t="array" ref="AA589">IF(W589="","",(_xlfn.TEXTSPLIT(W589,"-")))</f>
        <v/>
      </c>
      <c r="AD589" s="129" t="e">
        <f>VLOOKUP(VALUE($U589),test_out_xwalk!$C:$L,3,FALSE)</f>
        <v>#VALUE!</v>
      </c>
      <c r="AE589" s="129" t="e">
        <f>VLOOKUP(VALUE($U589),test_out_xwalk!$C:$L,5,FALSE)</f>
        <v>#VALUE!</v>
      </c>
      <c r="AF589" s="129" t="e">
        <f>VLOOKUP(VALUE($U589),test_out_xwalk!$C:$L,6,FALSE)</f>
        <v>#VALUE!</v>
      </c>
      <c r="AG589" s="129" t="e">
        <f>VLOOKUP(VALUE($U589),test_out_xwalk!$C:$L,8,FALSE)</f>
        <v>#VALUE!</v>
      </c>
      <c r="AH589" s="129" t="e">
        <f>VLOOKUP(VALUE($U589),test_out_xwalk!$C:$L,7,FALSE)</f>
        <v>#VALUE!</v>
      </c>
      <c r="AI589" s="129" t="e">
        <f>VLOOKUP(VALUE($U589),test_out_xwalk!$C:$L,4,FALSE)</f>
        <v>#VALUE!</v>
      </c>
      <c r="AJ589" s="129" t="e">
        <f>VLOOKUP(VALUE($U589),test_out_xwalk!$C:$L,9,FALSE)</f>
        <v>#VALUE!</v>
      </c>
      <c r="AK589" t="e">
        <f>_xlfn.XLOOKUP(VALUE(U589),test_out_xwalk!C:C,test_out_xwalk!A:A)</f>
        <v>#VALUE!</v>
      </c>
    </row>
    <row r="590" spans="1:37" x14ac:dyDescent="0.55000000000000004">
      <c r="A590" s="121" t="str">
        <f>IF('summary_EPA Pond'!$A590="","Check Summary EPA POND worksheet Column A",'summary_EPA Pond'!$A590)</f>
        <v>Check Summary EPA POND worksheet Column A</v>
      </c>
      <c r="B590" s="121" t="str" cm="1">
        <f t="array" ref="B590">IFERROR(_xlfn.TEXTSPLIT(A590,"_"),"")</f>
        <v>Check Summary EPA POND worksheet Column A</v>
      </c>
      <c r="H590" s="121" t="str" cm="1">
        <f t="array" ref="H590">IF(D590="","",(_xlfn.TEXTSPLIT(D590,"-")))</f>
        <v/>
      </c>
      <c r="K590" s="129" t="e">
        <f>VLOOKUP(VALUE($B590),test_out_xwalk!$C:$L,3,FALSE)</f>
        <v>#VALUE!</v>
      </c>
      <c r="L590" s="129" t="e">
        <f>VLOOKUP(VALUE($B590),test_out_xwalk!$C:$L,5,FALSE)</f>
        <v>#VALUE!</v>
      </c>
      <c r="M590" s="129" t="e">
        <f>VLOOKUP(VALUE($B590),test_out_xwalk!$C:$L,6,FALSE)</f>
        <v>#VALUE!</v>
      </c>
      <c r="N590" s="129" t="e">
        <f>VLOOKUP(VALUE($B590),test_out_xwalk!$C:$L,8,FALSE)</f>
        <v>#VALUE!</v>
      </c>
      <c r="O590" s="129" t="e">
        <f>VLOOKUP(VALUE($B590),test_out_xwalk!$C:$L,7,FALSE)</f>
        <v>#VALUE!</v>
      </c>
      <c r="P590" s="129" t="e">
        <f>VLOOKUP(VALUE($B590),test_out_xwalk!$C:$L,4,FALSE)</f>
        <v>#VALUE!</v>
      </c>
      <c r="Q590" s="129" t="e">
        <f>VLOOKUP(VALUE($B590),test_out_xwalk!$C:$L,9,FALSE)</f>
        <v>#VALUE!</v>
      </c>
      <c r="R590" t="e">
        <f>_xlfn.XLOOKUP(VALUE(B590),test_out_xwalk!$C:$C,test_out_xwalk!$A:$A)</f>
        <v>#VALUE!</v>
      </c>
      <c r="T590" s="121" t="str">
        <f>IF('summary_EPA Pond'!$O590="","Check Summary EPA POND worksheet Column O",'summary_EPA Pond'!$O590)</f>
        <v>Check Summary EPA POND worksheet Column O</v>
      </c>
      <c r="U590" s="121" t="str" cm="1">
        <f t="array" ref="U590">IFERROR(_xlfn.TEXTSPLIT(T590,"_"),"")</f>
        <v>Check Summary EPA POND worksheet Column O</v>
      </c>
      <c r="AA590" s="121" t="str" cm="1">
        <f t="array" ref="AA590">IF(W590="","",(_xlfn.TEXTSPLIT(W590,"-")))</f>
        <v/>
      </c>
      <c r="AD590" s="129" t="e">
        <f>VLOOKUP(VALUE($U590),test_out_xwalk!$C:$L,3,FALSE)</f>
        <v>#VALUE!</v>
      </c>
      <c r="AE590" s="129" t="e">
        <f>VLOOKUP(VALUE($U590),test_out_xwalk!$C:$L,5,FALSE)</f>
        <v>#VALUE!</v>
      </c>
      <c r="AF590" s="129" t="e">
        <f>VLOOKUP(VALUE($U590),test_out_xwalk!$C:$L,6,FALSE)</f>
        <v>#VALUE!</v>
      </c>
      <c r="AG590" s="129" t="e">
        <f>VLOOKUP(VALUE($U590),test_out_xwalk!$C:$L,8,FALSE)</f>
        <v>#VALUE!</v>
      </c>
      <c r="AH590" s="129" t="e">
        <f>VLOOKUP(VALUE($U590),test_out_xwalk!$C:$L,7,FALSE)</f>
        <v>#VALUE!</v>
      </c>
      <c r="AI590" s="129" t="e">
        <f>VLOOKUP(VALUE($U590),test_out_xwalk!$C:$L,4,FALSE)</f>
        <v>#VALUE!</v>
      </c>
      <c r="AJ590" s="129" t="e">
        <f>VLOOKUP(VALUE($U590),test_out_xwalk!$C:$L,9,FALSE)</f>
        <v>#VALUE!</v>
      </c>
      <c r="AK590" t="e">
        <f>_xlfn.XLOOKUP(VALUE(U590),test_out_xwalk!C:C,test_out_xwalk!A:A)</f>
        <v>#VALUE!</v>
      </c>
    </row>
    <row r="591" spans="1:37" x14ac:dyDescent="0.55000000000000004">
      <c r="A591" s="121" t="str">
        <f>IF('summary_EPA Pond'!$A591="","Check Summary EPA POND worksheet Column A",'summary_EPA Pond'!$A591)</f>
        <v>Check Summary EPA POND worksheet Column A</v>
      </c>
      <c r="B591" s="121" t="str" cm="1">
        <f t="array" ref="B591">IFERROR(_xlfn.TEXTSPLIT(A591,"_"),"")</f>
        <v>Check Summary EPA POND worksheet Column A</v>
      </c>
      <c r="H591" s="121" t="str" cm="1">
        <f t="array" ref="H591">IF(D591="","",(_xlfn.TEXTSPLIT(D591,"-")))</f>
        <v/>
      </c>
      <c r="K591" s="129" t="e">
        <f>VLOOKUP(VALUE($B591),test_out_xwalk!$C:$L,3,FALSE)</f>
        <v>#VALUE!</v>
      </c>
      <c r="L591" s="129" t="e">
        <f>VLOOKUP(VALUE($B591),test_out_xwalk!$C:$L,5,FALSE)</f>
        <v>#VALUE!</v>
      </c>
      <c r="M591" s="129" t="e">
        <f>VLOOKUP(VALUE($B591),test_out_xwalk!$C:$L,6,FALSE)</f>
        <v>#VALUE!</v>
      </c>
      <c r="N591" s="129" t="e">
        <f>VLOOKUP(VALUE($B591),test_out_xwalk!$C:$L,8,FALSE)</f>
        <v>#VALUE!</v>
      </c>
      <c r="O591" s="129" t="e">
        <f>VLOOKUP(VALUE($B591),test_out_xwalk!$C:$L,7,FALSE)</f>
        <v>#VALUE!</v>
      </c>
      <c r="P591" s="129" t="e">
        <f>VLOOKUP(VALUE($B591),test_out_xwalk!$C:$L,4,FALSE)</f>
        <v>#VALUE!</v>
      </c>
      <c r="Q591" s="129" t="e">
        <f>VLOOKUP(VALUE($B591),test_out_xwalk!$C:$L,9,FALSE)</f>
        <v>#VALUE!</v>
      </c>
      <c r="R591" t="e">
        <f>_xlfn.XLOOKUP(VALUE(B591),test_out_xwalk!$C:$C,test_out_xwalk!$A:$A)</f>
        <v>#VALUE!</v>
      </c>
      <c r="T591" s="121" t="str">
        <f>IF('summary_EPA Pond'!$O591="","Check Summary EPA POND worksheet Column O",'summary_EPA Pond'!$O591)</f>
        <v>Check Summary EPA POND worksheet Column O</v>
      </c>
      <c r="U591" s="121" t="str" cm="1">
        <f t="array" ref="U591">IFERROR(_xlfn.TEXTSPLIT(T591,"_"),"")</f>
        <v>Check Summary EPA POND worksheet Column O</v>
      </c>
      <c r="AA591" s="121" t="str" cm="1">
        <f t="array" ref="AA591">IF(W591="","",(_xlfn.TEXTSPLIT(W591,"-")))</f>
        <v/>
      </c>
      <c r="AD591" s="129" t="e">
        <f>VLOOKUP(VALUE($U591),test_out_xwalk!$C:$L,3,FALSE)</f>
        <v>#VALUE!</v>
      </c>
      <c r="AE591" s="129" t="e">
        <f>VLOOKUP(VALUE($U591),test_out_xwalk!$C:$L,5,FALSE)</f>
        <v>#VALUE!</v>
      </c>
      <c r="AF591" s="129" t="e">
        <f>VLOOKUP(VALUE($U591),test_out_xwalk!$C:$L,6,FALSE)</f>
        <v>#VALUE!</v>
      </c>
      <c r="AG591" s="129" t="e">
        <f>VLOOKUP(VALUE($U591),test_out_xwalk!$C:$L,8,FALSE)</f>
        <v>#VALUE!</v>
      </c>
      <c r="AH591" s="129" t="e">
        <f>VLOOKUP(VALUE($U591),test_out_xwalk!$C:$L,7,FALSE)</f>
        <v>#VALUE!</v>
      </c>
      <c r="AI591" s="129" t="e">
        <f>VLOOKUP(VALUE($U591),test_out_xwalk!$C:$L,4,FALSE)</f>
        <v>#VALUE!</v>
      </c>
      <c r="AJ591" s="129" t="e">
        <f>VLOOKUP(VALUE($U591),test_out_xwalk!$C:$L,9,FALSE)</f>
        <v>#VALUE!</v>
      </c>
      <c r="AK591" t="e">
        <f>_xlfn.XLOOKUP(VALUE(U591),test_out_xwalk!C:C,test_out_xwalk!A:A)</f>
        <v>#VALUE!</v>
      </c>
    </row>
    <row r="592" spans="1:37" x14ac:dyDescent="0.55000000000000004">
      <c r="A592" s="121" t="str">
        <f>IF('summary_EPA Pond'!$A592="","Check Summary EPA POND worksheet Column A",'summary_EPA Pond'!$A592)</f>
        <v>Check Summary EPA POND worksheet Column A</v>
      </c>
      <c r="B592" s="121" t="str" cm="1">
        <f t="array" ref="B592">IFERROR(_xlfn.TEXTSPLIT(A592,"_"),"")</f>
        <v>Check Summary EPA POND worksheet Column A</v>
      </c>
      <c r="H592" s="121" t="str" cm="1">
        <f t="array" ref="H592">IF(D592="","",(_xlfn.TEXTSPLIT(D592,"-")))</f>
        <v/>
      </c>
      <c r="K592" s="129" t="e">
        <f>VLOOKUP(VALUE($B592),test_out_xwalk!$C:$L,3,FALSE)</f>
        <v>#VALUE!</v>
      </c>
      <c r="L592" s="129" t="e">
        <f>VLOOKUP(VALUE($B592),test_out_xwalk!$C:$L,5,FALSE)</f>
        <v>#VALUE!</v>
      </c>
      <c r="M592" s="129" t="e">
        <f>VLOOKUP(VALUE($B592),test_out_xwalk!$C:$L,6,FALSE)</f>
        <v>#VALUE!</v>
      </c>
      <c r="N592" s="129" t="e">
        <f>VLOOKUP(VALUE($B592),test_out_xwalk!$C:$L,8,FALSE)</f>
        <v>#VALUE!</v>
      </c>
      <c r="O592" s="129" t="e">
        <f>VLOOKUP(VALUE($B592),test_out_xwalk!$C:$L,7,FALSE)</f>
        <v>#VALUE!</v>
      </c>
      <c r="P592" s="129" t="e">
        <f>VLOOKUP(VALUE($B592),test_out_xwalk!$C:$L,4,FALSE)</f>
        <v>#VALUE!</v>
      </c>
      <c r="Q592" s="129" t="e">
        <f>VLOOKUP(VALUE($B592),test_out_xwalk!$C:$L,9,FALSE)</f>
        <v>#VALUE!</v>
      </c>
      <c r="R592" t="e">
        <f>_xlfn.XLOOKUP(VALUE(B592),test_out_xwalk!$C:$C,test_out_xwalk!$A:$A)</f>
        <v>#VALUE!</v>
      </c>
      <c r="T592" s="121" t="str">
        <f>IF('summary_EPA Pond'!$O592="","Check Summary EPA POND worksheet Column O",'summary_EPA Pond'!$O592)</f>
        <v>Check Summary EPA POND worksheet Column O</v>
      </c>
      <c r="U592" s="121" t="str" cm="1">
        <f t="array" ref="U592">IFERROR(_xlfn.TEXTSPLIT(T592,"_"),"")</f>
        <v>Check Summary EPA POND worksheet Column O</v>
      </c>
      <c r="AA592" s="121" t="str" cm="1">
        <f t="array" ref="AA592">IF(W592="","",(_xlfn.TEXTSPLIT(W592,"-")))</f>
        <v/>
      </c>
      <c r="AD592" s="129" t="e">
        <f>VLOOKUP(VALUE($U592),test_out_xwalk!$C:$L,3,FALSE)</f>
        <v>#VALUE!</v>
      </c>
      <c r="AE592" s="129" t="e">
        <f>VLOOKUP(VALUE($U592),test_out_xwalk!$C:$L,5,FALSE)</f>
        <v>#VALUE!</v>
      </c>
      <c r="AF592" s="129" t="e">
        <f>VLOOKUP(VALUE($U592),test_out_xwalk!$C:$L,6,FALSE)</f>
        <v>#VALUE!</v>
      </c>
      <c r="AG592" s="129" t="e">
        <f>VLOOKUP(VALUE($U592),test_out_xwalk!$C:$L,8,FALSE)</f>
        <v>#VALUE!</v>
      </c>
      <c r="AH592" s="129" t="e">
        <f>VLOOKUP(VALUE($U592),test_out_xwalk!$C:$L,7,FALSE)</f>
        <v>#VALUE!</v>
      </c>
      <c r="AI592" s="129" t="e">
        <f>VLOOKUP(VALUE($U592),test_out_xwalk!$C:$L,4,FALSE)</f>
        <v>#VALUE!</v>
      </c>
      <c r="AJ592" s="129" t="e">
        <f>VLOOKUP(VALUE($U592),test_out_xwalk!$C:$L,9,FALSE)</f>
        <v>#VALUE!</v>
      </c>
      <c r="AK592" t="e">
        <f>_xlfn.XLOOKUP(VALUE(U592),test_out_xwalk!C:C,test_out_xwalk!A:A)</f>
        <v>#VALUE!</v>
      </c>
    </row>
    <row r="593" spans="1:37" x14ac:dyDescent="0.55000000000000004">
      <c r="A593" s="121" t="str">
        <f>IF('summary_EPA Pond'!$A593="","Check Summary EPA POND worksheet Column A",'summary_EPA Pond'!$A593)</f>
        <v>Check Summary EPA POND worksheet Column A</v>
      </c>
      <c r="B593" s="121" t="str" cm="1">
        <f t="array" ref="B593">IFERROR(_xlfn.TEXTSPLIT(A593,"_"),"")</f>
        <v>Check Summary EPA POND worksheet Column A</v>
      </c>
      <c r="H593" s="121" t="str" cm="1">
        <f t="array" ref="H593">IF(D593="","",(_xlfn.TEXTSPLIT(D593,"-")))</f>
        <v/>
      </c>
      <c r="K593" s="129" t="e">
        <f>VLOOKUP(VALUE($B593),test_out_xwalk!$C:$L,3,FALSE)</f>
        <v>#VALUE!</v>
      </c>
      <c r="L593" s="129" t="e">
        <f>VLOOKUP(VALUE($B593),test_out_xwalk!$C:$L,5,FALSE)</f>
        <v>#VALUE!</v>
      </c>
      <c r="M593" s="129" t="e">
        <f>VLOOKUP(VALUE($B593),test_out_xwalk!$C:$L,6,FALSE)</f>
        <v>#VALUE!</v>
      </c>
      <c r="N593" s="129" t="e">
        <f>VLOOKUP(VALUE($B593),test_out_xwalk!$C:$L,8,FALSE)</f>
        <v>#VALUE!</v>
      </c>
      <c r="O593" s="129" t="e">
        <f>VLOOKUP(VALUE($B593),test_out_xwalk!$C:$L,7,FALSE)</f>
        <v>#VALUE!</v>
      </c>
      <c r="P593" s="129" t="e">
        <f>VLOOKUP(VALUE($B593),test_out_xwalk!$C:$L,4,FALSE)</f>
        <v>#VALUE!</v>
      </c>
      <c r="Q593" s="129" t="e">
        <f>VLOOKUP(VALUE($B593),test_out_xwalk!$C:$L,9,FALSE)</f>
        <v>#VALUE!</v>
      </c>
      <c r="R593" t="e">
        <f>_xlfn.XLOOKUP(VALUE(B593),test_out_xwalk!$C:$C,test_out_xwalk!$A:$A)</f>
        <v>#VALUE!</v>
      </c>
      <c r="T593" s="121" t="str">
        <f>IF('summary_EPA Pond'!$O593="","Check Summary EPA POND worksheet Column O",'summary_EPA Pond'!$O593)</f>
        <v>Check Summary EPA POND worksheet Column O</v>
      </c>
      <c r="U593" s="121" t="str" cm="1">
        <f t="array" ref="U593">IFERROR(_xlfn.TEXTSPLIT(T593,"_"),"")</f>
        <v>Check Summary EPA POND worksheet Column O</v>
      </c>
      <c r="AA593" s="121" t="str" cm="1">
        <f t="array" ref="AA593">IF(W593="","",(_xlfn.TEXTSPLIT(W593,"-")))</f>
        <v/>
      </c>
      <c r="AD593" s="129" t="e">
        <f>VLOOKUP(VALUE($U593),test_out_xwalk!$C:$L,3,FALSE)</f>
        <v>#VALUE!</v>
      </c>
      <c r="AE593" s="129" t="e">
        <f>VLOOKUP(VALUE($U593),test_out_xwalk!$C:$L,5,FALSE)</f>
        <v>#VALUE!</v>
      </c>
      <c r="AF593" s="129" t="e">
        <f>VLOOKUP(VALUE($U593),test_out_xwalk!$C:$L,6,FALSE)</f>
        <v>#VALUE!</v>
      </c>
      <c r="AG593" s="129" t="e">
        <f>VLOOKUP(VALUE($U593),test_out_xwalk!$C:$L,8,FALSE)</f>
        <v>#VALUE!</v>
      </c>
      <c r="AH593" s="129" t="e">
        <f>VLOOKUP(VALUE($U593),test_out_xwalk!$C:$L,7,FALSE)</f>
        <v>#VALUE!</v>
      </c>
      <c r="AI593" s="129" t="e">
        <f>VLOOKUP(VALUE($U593),test_out_xwalk!$C:$L,4,FALSE)</f>
        <v>#VALUE!</v>
      </c>
      <c r="AJ593" s="129" t="e">
        <f>VLOOKUP(VALUE($U593),test_out_xwalk!$C:$L,9,FALSE)</f>
        <v>#VALUE!</v>
      </c>
      <c r="AK593" t="e">
        <f>_xlfn.XLOOKUP(VALUE(U593),test_out_xwalk!C:C,test_out_xwalk!A:A)</f>
        <v>#VALUE!</v>
      </c>
    </row>
    <row r="594" spans="1:37" x14ac:dyDescent="0.55000000000000004">
      <c r="A594" s="121" t="str">
        <f>IF('summary_EPA Pond'!$A594="","Check Summary EPA POND worksheet Column A",'summary_EPA Pond'!$A594)</f>
        <v>Check Summary EPA POND worksheet Column A</v>
      </c>
      <c r="B594" s="121" t="str" cm="1">
        <f t="array" ref="B594">IFERROR(_xlfn.TEXTSPLIT(A594,"_"),"")</f>
        <v>Check Summary EPA POND worksheet Column A</v>
      </c>
      <c r="H594" s="121" t="str" cm="1">
        <f t="array" ref="H594">IF(D594="","",(_xlfn.TEXTSPLIT(D594,"-")))</f>
        <v/>
      </c>
      <c r="K594" s="129" t="e">
        <f>VLOOKUP(VALUE($B594),test_out_xwalk!$C:$L,3,FALSE)</f>
        <v>#VALUE!</v>
      </c>
      <c r="L594" s="129" t="e">
        <f>VLOOKUP(VALUE($B594),test_out_xwalk!$C:$L,5,FALSE)</f>
        <v>#VALUE!</v>
      </c>
      <c r="M594" s="129" t="e">
        <f>VLOOKUP(VALUE($B594),test_out_xwalk!$C:$L,6,FALSE)</f>
        <v>#VALUE!</v>
      </c>
      <c r="N594" s="129" t="e">
        <f>VLOOKUP(VALUE($B594),test_out_xwalk!$C:$L,8,FALSE)</f>
        <v>#VALUE!</v>
      </c>
      <c r="O594" s="129" t="e">
        <f>VLOOKUP(VALUE($B594),test_out_xwalk!$C:$L,7,FALSE)</f>
        <v>#VALUE!</v>
      </c>
      <c r="P594" s="129" t="e">
        <f>VLOOKUP(VALUE($B594),test_out_xwalk!$C:$L,4,FALSE)</f>
        <v>#VALUE!</v>
      </c>
      <c r="Q594" s="129" t="e">
        <f>VLOOKUP(VALUE($B594),test_out_xwalk!$C:$L,9,FALSE)</f>
        <v>#VALUE!</v>
      </c>
      <c r="R594" t="e">
        <f>_xlfn.XLOOKUP(VALUE(B594),test_out_xwalk!$C:$C,test_out_xwalk!$A:$A)</f>
        <v>#VALUE!</v>
      </c>
      <c r="T594" s="121" t="str">
        <f>IF('summary_EPA Pond'!$O594="","Check Summary EPA POND worksheet Column O",'summary_EPA Pond'!$O594)</f>
        <v>Check Summary EPA POND worksheet Column O</v>
      </c>
      <c r="U594" s="121" t="str" cm="1">
        <f t="array" ref="U594">IFERROR(_xlfn.TEXTSPLIT(T594,"_"),"")</f>
        <v>Check Summary EPA POND worksheet Column O</v>
      </c>
      <c r="AA594" s="121" t="str" cm="1">
        <f t="array" ref="AA594">IF(W594="","",(_xlfn.TEXTSPLIT(W594,"-")))</f>
        <v/>
      </c>
      <c r="AD594" s="129" t="e">
        <f>VLOOKUP(VALUE($U594),test_out_xwalk!$C:$L,3,FALSE)</f>
        <v>#VALUE!</v>
      </c>
      <c r="AE594" s="129" t="e">
        <f>VLOOKUP(VALUE($U594),test_out_xwalk!$C:$L,5,FALSE)</f>
        <v>#VALUE!</v>
      </c>
      <c r="AF594" s="129" t="e">
        <f>VLOOKUP(VALUE($U594),test_out_xwalk!$C:$L,6,FALSE)</f>
        <v>#VALUE!</v>
      </c>
      <c r="AG594" s="129" t="e">
        <f>VLOOKUP(VALUE($U594),test_out_xwalk!$C:$L,8,FALSE)</f>
        <v>#VALUE!</v>
      </c>
      <c r="AH594" s="129" t="e">
        <f>VLOOKUP(VALUE($U594),test_out_xwalk!$C:$L,7,FALSE)</f>
        <v>#VALUE!</v>
      </c>
      <c r="AI594" s="129" t="e">
        <f>VLOOKUP(VALUE($U594),test_out_xwalk!$C:$L,4,FALSE)</f>
        <v>#VALUE!</v>
      </c>
      <c r="AJ594" s="129" t="e">
        <f>VLOOKUP(VALUE($U594),test_out_xwalk!$C:$L,9,FALSE)</f>
        <v>#VALUE!</v>
      </c>
      <c r="AK594" t="e">
        <f>_xlfn.XLOOKUP(VALUE(U594),test_out_xwalk!C:C,test_out_xwalk!A:A)</f>
        <v>#VALUE!</v>
      </c>
    </row>
    <row r="595" spans="1:37" x14ac:dyDescent="0.55000000000000004">
      <c r="A595" s="121" t="str">
        <f>IF('summary_EPA Pond'!$A595="","Check Summary EPA POND worksheet Column A",'summary_EPA Pond'!$A595)</f>
        <v>Check Summary EPA POND worksheet Column A</v>
      </c>
      <c r="B595" s="121" t="str" cm="1">
        <f t="array" ref="B595">IFERROR(_xlfn.TEXTSPLIT(A595,"_"),"")</f>
        <v>Check Summary EPA POND worksheet Column A</v>
      </c>
      <c r="H595" s="121" t="str" cm="1">
        <f t="array" ref="H595">IF(D595="","",(_xlfn.TEXTSPLIT(D595,"-")))</f>
        <v/>
      </c>
      <c r="K595" s="129" t="e">
        <f>VLOOKUP(VALUE($B595),test_out_xwalk!$C:$L,3,FALSE)</f>
        <v>#VALUE!</v>
      </c>
      <c r="L595" s="129" t="e">
        <f>VLOOKUP(VALUE($B595),test_out_xwalk!$C:$L,5,FALSE)</f>
        <v>#VALUE!</v>
      </c>
      <c r="M595" s="129" t="e">
        <f>VLOOKUP(VALUE($B595),test_out_xwalk!$C:$L,6,FALSE)</f>
        <v>#VALUE!</v>
      </c>
      <c r="N595" s="129" t="e">
        <f>VLOOKUP(VALUE($B595),test_out_xwalk!$C:$L,8,FALSE)</f>
        <v>#VALUE!</v>
      </c>
      <c r="O595" s="129" t="e">
        <f>VLOOKUP(VALUE($B595),test_out_xwalk!$C:$L,7,FALSE)</f>
        <v>#VALUE!</v>
      </c>
      <c r="P595" s="129" t="e">
        <f>VLOOKUP(VALUE($B595),test_out_xwalk!$C:$L,4,FALSE)</f>
        <v>#VALUE!</v>
      </c>
      <c r="Q595" s="129" t="e">
        <f>VLOOKUP(VALUE($B595),test_out_xwalk!$C:$L,9,FALSE)</f>
        <v>#VALUE!</v>
      </c>
      <c r="R595" t="e">
        <f>_xlfn.XLOOKUP(VALUE(B595),test_out_xwalk!$C:$C,test_out_xwalk!$A:$A)</f>
        <v>#VALUE!</v>
      </c>
      <c r="T595" s="121" t="str">
        <f>IF('summary_EPA Pond'!$O595="","Check Summary EPA POND worksheet Column O",'summary_EPA Pond'!$O595)</f>
        <v>Check Summary EPA POND worksheet Column O</v>
      </c>
      <c r="U595" s="121" t="str" cm="1">
        <f t="array" ref="U595">IFERROR(_xlfn.TEXTSPLIT(T595,"_"),"")</f>
        <v>Check Summary EPA POND worksheet Column O</v>
      </c>
      <c r="AA595" s="121" t="str" cm="1">
        <f t="array" ref="AA595">IF(W595="","",(_xlfn.TEXTSPLIT(W595,"-")))</f>
        <v/>
      </c>
      <c r="AD595" s="129" t="e">
        <f>VLOOKUP(VALUE($U595),test_out_xwalk!$C:$L,3,FALSE)</f>
        <v>#VALUE!</v>
      </c>
      <c r="AE595" s="129" t="e">
        <f>VLOOKUP(VALUE($U595),test_out_xwalk!$C:$L,5,FALSE)</f>
        <v>#VALUE!</v>
      </c>
      <c r="AF595" s="129" t="e">
        <f>VLOOKUP(VALUE($U595),test_out_xwalk!$C:$L,6,FALSE)</f>
        <v>#VALUE!</v>
      </c>
      <c r="AG595" s="129" t="e">
        <f>VLOOKUP(VALUE($U595),test_out_xwalk!$C:$L,8,FALSE)</f>
        <v>#VALUE!</v>
      </c>
      <c r="AH595" s="129" t="e">
        <f>VLOOKUP(VALUE($U595),test_out_xwalk!$C:$L,7,FALSE)</f>
        <v>#VALUE!</v>
      </c>
      <c r="AI595" s="129" t="e">
        <f>VLOOKUP(VALUE($U595),test_out_xwalk!$C:$L,4,FALSE)</f>
        <v>#VALUE!</v>
      </c>
      <c r="AJ595" s="129" t="e">
        <f>VLOOKUP(VALUE($U595),test_out_xwalk!$C:$L,9,FALSE)</f>
        <v>#VALUE!</v>
      </c>
      <c r="AK595" t="e">
        <f>_xlfn.XLOOKUP(VALUE(U595),test_out_xwalk!C:C,test_out_xwalk!A:A)</f>
        <v>#VALUE!</v>
      </c>
    </row>
    <row r="596" spans="1:37" x14ac:dyDescent="0.55000000000000004">
      <c r="A596" s="121" t="str">
        <f>IF('summary_EPA Pond'!$A596="","Check Summary EPA POND worksheet Column A",'summary_EPA Pond'!$A596)</f>
        <v>Check Summary EPA POND worksheet Column A</v>
      </c>
      <c r="B596" s="121" t="str" cm="1">
        <f t="array" ref="B596">IFERROR(_xlfn.TEXTSPLIT(A596,"_"),"")</f>
        <v>Check Summary EPA POND worksheet Column A</v>
      </c>
      <c r="H596" s="121" t="str" cm="1">
        <f t="array" ref="H596">IF(D596="","",(_xlfn.TEXTSPLIT(D596,"-")))</f>
        <v/>
      </c>
      <c r="K596" s="129" t="e">
        <f>VLOOKUP(VALUE($B596),test_out_xwalk!$C:$L,3,FALSE)</f>
        <v>#VALUE!</v>
      </c>
      <c r="L596" s="129" t="e">
        <f>VLOOKUP(VALUE($B596),test_out_xwalk!$C:$L,5,FALSE)</f>
        <v>#VALUE!</v>
      </c>
      <c r="M596" s="129" t="e">
        <f>VLOOKUP(VALUE($B596),test_out_xwalk!$C:$L,6,FALSE)</f>
        <v>#VALUE!</v>
      </c>
      <c r="N596" s="129" t="e">
        <f>VLOOKUP(VALUE($B596),test_out_xwalk!$C:$L,8,FALSE)</f>
        <v>#VALUE!</v>
      </c>
      <c r="O596" s="129" t="e">
        <f>VLOOKUP(VALUE($B596),test_out_xwalk!$C:$L,7,FALSE)</f>
        <v>#VALUE!</v>
      </c>
      <c r="P596" s="129" t="e">
        <f>VLOOKUP(VALUE($B596),test_out_xwalk!$C:$L,4,FALSE)</f>
        <v>#VALUE!</v>
      </c>
      <c r="Q596" s="129" t="e">
        <f>VLOOKUP(VALUE($B596),test_out_xwalk!$C:$L,9,FALSE)</f>
        <v>#VALUE!</v>
      </c>
      <c r="R596" t="e">
        <f>_xlfn.XLOOKUP(VALUE(B596),test_out_xwalk!$C:$C,test_out_xwalk!$A:$A)</f>
        <v>#VALUE!</v>
      </c>
      <c r="T596" s="121" t="str">
        <f>IF('summary_EPA Pond'!$O596="","Check Summary EPA POND worksheet Column O",'summary_EPA Pond'!$O596)</f>
        <v>Check Summary EPA POND worksheet Column O</v>
      </c>
      <c r="U596" s="121" t="str" cm="1">
        <f t="array" ref="U596">IFERROR(_xlfn.TEXTSPLIT(T596,"_"),"")</f>
        <v>Check Summary EPA POND worksheet Column O</v>
      </c>
      <c r="AA596" s="121" t="str" cm="1">
        <f t="array" ref="AA596">IF(W596="","",(_xlfn.TEXTSPLIT(W596,"-")))</f>
        <v/>
      </c>
      <c r="AD596" s="129" t="e">
        <f>VLOOKUP(VALUE($U596),test_out_xwalk!$C:$L,3,FALSE)</f>
        <v>#VALUE!</v>
      </c>
      <c r="AE596" s="129" t="e">
        <f>VLOOKUP(VALUE($U596),test_out_xwalk!$C:$L,5,FALSE)</f>
        <v>#VALUE!</v>
      </c>
      <c r="AF596" s="129" t="e">
        <f>VLOOKUP(VALUE($U596),test_out_xwalk!$C:$L,6,FALSE)</f>
        <v>#VALUE!</v>
      </c>
      <c r="AG596" s="129" t="e">
        <f>VLOOKUP(VALUE($U596),test_out_xwalk!$C:$L,8,FALSE)</f>
        <v>#VALUE!</v>
      </c>
      <c r="AH596" s="129" t="e">
        <f>VLOOKUP(VALUE($U596),test_out_xwalk!$C:$L,7,FALSE)</f>
        <v>#VALUE!</v>
      </c>
      <c r="AI596" s="129" t="e">
        <f>VLOOKUP(VALUE($U596),test_out_xwalk!$C:$L,4,FALSE)</f>
        <v>#VALUE!</v>
      </c>
      <c r="AJ596" s="129" t="e">
        <f>VLOOKUP(VALUE($U596),test_out_xwalk!$C:$L,9,FALSE)</f>
        <v>#VALUE!</v>
      </c>
      <c r="AK596" t="e">
        <f>_xlfn.XLOOKUP(VALUE(U596),test_out_xwalk!C:C,test_out_xwalk!A:A)</f>
        <v>#VALUE!</v>
      </c>
    </row>
    <row r="597" spans="1:37" x14ac:dyDescent="0.55000000000000004">
      <c r="A597" s="121" t="str">
        <f>IF('summary_EPA Pond'!$A597="","Check Summary EPA POND worksheet Column A",'summary_EPA Pond'!$A597)</f>
        <v>Check Summary EPA POND worksheet Column A</v>
      </c>
      <c r="B597" s="121" t="str" cm="1">
        <f t="array" ref="B597">IFERROR(_xlfn.TEXTSPLIT(A597,"_"),"")</f>
        <v>Check Summary EPA POND worksheet Column A</v>
      </c>
      <c r="H597" s="121" t="str" cm="1">
        <f t="array" ref="H597">IF(D597="","",(_xlfn.TEXTSPLIT(D597,"-")))</f>
        <v/>
      </c>
      <c r="K597" s="129" t="e">
        <f>VLOOKUP(VALUE($B597),test_out_xwalk!$C:$L,3,FALSE)</f>
        <v>#VALUE!</v>
      </c>
      <c r="L597" s="129" t="e">
        <f>VLOOKUP(VALUE($B597),test_out_xwalk!$C:$L,5,FALSE)</f>
        <v>#VALUE!</v>
      </c>
      <c r="M597" s="129" t="e">
        <f>VLOOKUP(VALUE($B597),test_out_xwalk!$C:$L,6,FALSE)</f>
        <v>#VALUE!</v>
      </c>
      <c r="N597" s="129" t="e">
        <f>VLOOKUP(VALUE($B597),test_out_xwalk!$C:$L,8,FALSE)</f>
        <v>#VALUE!</v>
      </c>
      <c r="O597" s="129" t="e">
        <f>VLOOKUP(VALUE($B597),test_out_xwalk!$C:$L,7,FALSE)</f>
        <v>#VALUE!</v>
      </c>
      <c r="P597" s="129" t="e">
        <f>VLOOKUP(VALUE($B597),test_out_xwalk!$C:$L,4,FALSE)</f>
        <v>#VALUE!</v>
      </c>
      <c r="Q597" s="129" t="e">
        <f>VLOOKUP(VALUE($B597),test_out_xwalk!$C:$L,9,FALSE)</f>
        <v>#VALUE!</v>
      </c>
      <c r="R597" t="e">
        <f>_xlfn.XLOOKUP(VALUE(B597),test_out_xwalk!$C:$C,test_out_xwalk!$A:$A)</f>
        <v>#VALUE!</v>
      </c>
      <c r="T597" s="121" t="str">
        <f>IF('summary_EPA Pond'!$O597="","Check Summary EPA POND worksheet Column O",'summary_EPA Pond'!$O597)</f>
        <v>Check Summary EPA POND worksheet Column O</v>
      </c>
      <c r="U597" s="121" t="str" cm="1">
        <f t="array" ref="U597">IFERROR(_xlfn.TEXTSPLIT(T597,"_"),"")</f>
        <v>Check Summary EPA POND worksheet Column O</v>
      </c>
      <c r="AA597" s="121" t="str" cm="1">
        <f t="array" ref="AA597">IF(W597="","",(_xlfn.TEXTSPLIT(W597,"-")))</f>
        <v/>
      </c>
      <c r="AD597" s="129" t="e">
        <f>VLOOKUP(VALUE($U597),test_out_xwalk!$C:$L,3,FALSE)</f>
        <v>#VALUE!</v>
      </c>
      <c r="AE597" s="129" t="e">
        <f>VLOOKUP(VALUE($U597),test_out_xwalk!$C:$L,5,FALSE)</f>
        <v>#VALUE!</v>
      </c>
      <c r="AF597" s="129" t="e">
        <f>VLOOKUP(VALUE($U597),test_out_xwalk!$C:$L,6,FALSE)</f>
        <v>#VALUE!</v>
      </c>
      <c r="AG597" s="129" t="e">
        <f>VLOOKUP(VALUE($U597),test_out_xwalk!$C:$L,8,FALSE)</f>
        <v>#VALUE!</v>
      </c>
      <c r="AH597" s="129" t="e">
        <f>VLOOKUP(VALUE($U597),test_out_xwalk!$C:$L,7,FALSE)</f>
        <v>#VALUE!</v>
      </c>
      <c r="AI597" s="129" t="e">
        <f>VLOOKUP(VALUE($U597),test_out_xwalk!$C:$L,4,FALSE)</f>
        <v>#VALUE!</v>
      </c>
      <c r="AJ597" s="129" t="e">
        <f>VLOOKUP(VALUE($U597),test_out_xwalk!$C:$L,9,FALSE)</f>
        <v>#VALUE!</v>
      </c>
      <c r="AK597" t="e">
        <f>_xlfn.XLOOKUP(VALUE(U597),test_out_xwalk!C:C,test_out_xwalk!A:A)</f>
        <v>#VALUE!</v>
      </c>
    </row>
    <row r="598" spans="1:37" x14ac:dyDescent="0.55000000000000004">
      <c r="A598" s="121" t="str">
        <f>IF('summary_EPA Pond'!$A598="","Check Summary EPA POND worksheet Column A",'summary_EPA Pond'!$A598)</f>
        <v>Check Summary EPA POND worksheet Column A</v>
      </c>
      <c r="B598" s="121" t="str" cm="1">
        <f t="array" ref="B598">IFERROR(_xlfn.TEXTSPLIT(A598,"_"),"")</f>
        <v>Check Summary EPA POND worksheet Column A</v>
      </c>
      <c r="H598" s="121" t="str" cm="1">
        <f t="array" ref="H598">IF(D598="","",(_xlfn.TEXTSPLIT(D598,"-")))</f>
        <v/>
      </c>
      <c r="K598" s="129" t="e">
        <f>VLOOKUP(VALUE($B598),test_out_xwalk!$C:$L,3,FALSE)</f>
        <v>#VALUE!</v>
      </c>
      <c r="L598" s="129" t="e">
        <f>VLOOKUP(VALUE($B598),test_out_xwalk!$C:$L,5,FALSE)</f>
        <v>#VALUE!</v>
      </c>
      <c r="M598" s="129" t="e">
        <f>VLOOKUP(VALUE($B598),test_out_xwalk!$C:$L,6,FALSE)</f>
        <v>#VALUE!</v>
      </c>
      <c r="N598" s="129" t="e">
        <f>VLOOKUP(VALUE($B598),test_out_xwalk!$C:$L,8,FALSE)</f>
        <v>#VALUE!</v>
      </c>
      <c r="O598" s="129" t="e">
        <f>VLOOKUP(VALUE($B598),test_out_xwalk!$C:$L,7,FALSE)</f>
        <v>#VALUE!</v>
      </c>
      <c r="P598" s="129" t="e">
        <f>VLOOKUP(VALUE($B598),test_out_xwalk!$C:$L,4,FALSE)</f>
        <v>#VALUE!</v>
      </c>
      <c r="Q598" s="129" t="e">
        <f>VLOOKUP(VALUE($B598),test_out_xwalk!$C:$L,9,FALSE)</f>
        <v>#VALUE!</v>
      </c>
      <c r="R598" t="e">
        <f>_xlfn.XLOOKUP(VALUE(B598),test_out_xwalk!$C:$C,test_out_xwalk!$A:$A)</f>
        <v>#VALUE!</v>
      </c>
      <c r="T598" s="121" t="str">
        <f>IF('summary_EPA Pond'!$O598="","Check Summary EPA POND worksheet Column O",'summary_EPA Pond'!$O598)</f>
        <v>Check Summary EPA POND worksheet Column O</v>
      </c>
      <c r="U598" s="121" t="str" cm="1">
        <f t="array" ref="U598">IFERROR(_xlfn.TEXTSPLIT(T598,"_"),"")</f>
        <v>Check Summary EPA POND worksheet Column O</v>
      </c>
      <c r="AA598" s="121" t="str" cm="1">
        <f t="array" ref="AA598">IF(W598="","",(_xlfn.TEXTSPLIT(W598,"-")))</f>
        <v/>
      </c>
      <c r="AD598" s="129" t="e">
        <f>VLOOKUP(VALUE($U598),test_out_xwalk!$C:$L,3,FALSE)</f>
        <v>#VALUE!</v>
      </c>
      <c r="AE598" s="129" t="e">
        <f>VLOOKUP(VALUE($U598),test_out_xwalk!$C:$L,5,FALSE)</f>
        <v>#VALUE!</v>
      </c>
      <c r="AF598" s="129" t="e">
        <f>VLOOKUP(VALUE($U598),test_out_xwalk!$C:$L,6,FALSE)</f>
        <v>#VALUE!</v>
      </c>
      <c r="AG598" s="129" t="e">
        <f>VLOOKUP(VALUE($U598),test_out_xwalk!$C:$L,8,FALSE)</f>
        <v>#VALUE!</v>
      </c>
      <c r="AH598" s="129" t="e">
        <f>VLOOKUP(VALUE($U598),test_out_xwalk!$C:$L,7,FALSE)</f>
        <v>#VALUE!</v>
      </c>
      <c r="AI598" s="129" t="e">
        <f>VLOOKUP(VALUE($U598),test_out_xwalk!$C:$L,4,FALSE)</f>
        <v>#VALUE!</v>
      </c>
      <c r="AJ598" s="129" t="e">
        <f>VLOOKUP(VALUE($U598),test_out_xwalk!$C:$L,9,FALSE)</f>
        <v>#VALUE!</v>
      </c>
      <c r="AK598" t="e">
        <f>_xlfn.XLOOKUP(VALUE(U598),test_out_xwalk!C:C,test_out_xwalk!A:A)</f>
        <v>#VALUE!</v>
      </c>
    </row>
    <row r="599" spans="1:37" x14ac:dyDescent="0.55000000000000004">
      <c r="A599" s="121" t="str">
        <f>IF('summary_EPA Pond'!$A599="","Check Summary EPA POND worksheet Column A",'summary_EPA Pond'!$A599)</f>
        <v>Check Summary EPA POND worksheet Column A</v>
      </c>
      <c r="B599" s="121" t="str" cm="1">
        <f t="array" ref="B599">IFERROR(_xlfn.TEXTSPLIT(A599,"_"),"")</f>
        <v>Check Summary EPA POND worksheet Column A</v>
      </c>
      <c r="H599" s="121" t="str" cm="1">
        <f t="array" ref="H599">IF(D599="","",(_xlfn.TEXTSPLIT(D599,"-")))</f>
        <v/>
      </c>
      <c r="K599" s="129" t="e">
        <f>VLOOKUP(VALUE($B599),test_out_xwalk!$C:$L,3,FALSE)</f>
        <v>#VALUE!</v>
      </c>
      <c r="L599" s="129" t="e">
        <f>VLOOKUP(VALUE($B599),test_out_xwalk!$C:$L,5,FALSE)</f>
        <v>#VALUE!</v>
      </c>
      <c r="M599" s="129" t="e">
        <f>VLOOKUP(VALUE($B599),test_out_xwalk!$C:$L,6,FALSE)</f>
        <v>#VALUE!</v>
      </c>
      <c r="N599" s="129" t="e">
        <f>VLOOKUP(VALUE($B599),test_out_xwalk!$C:$L,8,FALSE)</f>
        <v>#VALUE!</v>
      </c>
      <c r="O599" s="129" t="e">
        <f>VLOOKUP(VALUE($B599),test_out_xwalk!$C:$L,7,FALSE)</f>
        <v>#VALUE!</v>
      </c>
      <c r="P599" s="129" t="e">
        <f>VLOOKUP(VALUE($B599),test_out_xwalk!$C:$L,4,FALSE)</f>
        <v>#VALUE!</v>
      </c>
      <c r="Q599" s="129" t="e">
        <f>VLOOKUP(VALUE($B599),test_out_xwalk!$C:$L,9,FALSE)</f>
        <v>#VALUE!</v>
      </c>
      <c r="R599" t="e">
        <f>_xlfn.XLOOKUP(VALUE(B599),test_out_xwalk!$C:$C,test_out_xwalk!$A:$A)</f>
        <v>#VALUE!</v>
      </c>
      <c r="T599" s="121" t="str">
        <f>IF('summary_EPA Pond'!$O599="","Check Summary EPA POND worksheet Column O",'summary_EPA Pond'!$O599)</f>
        <v>Check Summary EPA POND worksheet Column O</v>
      </c>
      <c r="U599" s="121" t="str" cm="1">
        <f t="array" ref="U599">IFERROR(_xlfn.TEXTSPLIT(T599,"_"),"")</f>
        <v>Check Summary EPA POND worksheet Column O</v>
      </c>
      <c r="AA599" s="121" t="str" cm="1">
        <f t="array" ref="AA599">IF(W599="","",(_xlfn.TEXTSPLIT(W599,"-")))</f>
        <v/>
      </c>
      <c r="AD599" s="129" t="e">
        <f>VLOOKUP(VALUE($U599),test_out_xwalk!$C:$L,3,FALSE)</f>
        <v>#VALUE!</v>
      </c>
      <c r="AE599" s="129" t="e">
        <f>VLOOKUP(VALUE($U599),test_out_xwalk!$C:$L,5,FALSE)</f>
        <v>#VALUE!</v>
      </c>
      <c r="AF599" s="129" t="e">
        <f>VLOOKUP(VALUE($U599),test_out_xwalk!$C:$L,6,FALSE)</f>
        <v>#VALUE!</v>
      </c>
      <c r="AG599" s="129" t="e">
        <f>VLOOKUP(VALUE($U599),test_out_xwalk!$C:$L,8,FALSE)</f>
        <v>#VALUE!</v>
      </c>
      <c r="AH599" s="129" t="e">
        <f>VLOOKUP(VALUE($U599),test_out_xwalk!$C:$L,7,FALSE)</f>
        <v>#VALUE!</v>
      </c>
      <c r="AI599" s="129" t="e">
        <f>VLOOKUP(VALUE($U599),test_out_xwalk!$C:$L,4,FALSE)</f>
        <v>#VALUE!</v>
      </c>
      <c r="AJ599" s="129" t="e">
        <f>VLOOKUP(VALUE($U599),test_out_xwalk!$C:$L,9,FALSE)</f>
        <v>#VALUE!</v>
      </c>
      <c r="AK599" t="e">
        <f>_xlfn.XLOOKUP(VALUE(U599),test_out_xwalk!C:C,test_out_xwalk!A:A)</f>
        <v>#VALUE!</v>
      </c>
    </row>
    <row r="600" spans="1:37" x14ac:dyDescent="0.55000000000000004">
      <c r="A600" s="121" t="str">
        <f>IF('summary_EPA Pond'!$A600="","Check Summary EPA POND worksheet Column A",'summary_EPA Pond'!$A600)</f>
        <v>Check Summary EPA POND worksheet Column A</v>
      </c>
      <c r="B600" s="121" t="str" cm="1">
        <f t="array" ref="B600">IFERROR(_xlfn.TEXTSPLIT(A600,"_"),"")</f>
        <v>Check Summary EPA POND worksheet Column A</v>
      </c>
      <c r="H600" s="121" t="str" cm="1">
        <f t="array" ref="H600">IF(D600="","",(_xlfn.TEXTSPLIT(D600,"-")))</f>
        <v/>
      </c>
      <c r="K600" s="129" t="e">
        <f>VLOOKUP(VALUE($B600),test_out_xwalk!$C:$L,3,FALSE)</f>
        <v>#VALUE!</v>
      </c>
      <c r="L600" s="129" t="e">
        <f>VLOOKUP(VALUE($B600),test_out_xwalk!$C:$L,5,FALSE)</f>
        <v>#VALUE!</v>
      </c>
      <c r="M600" s="129" t="e">
        <f>VLOOKUP(VALUE($B600),test_out_xwalk!$C:$L,6,FALSE)</f>
        <v>#VALUE!</v>
      </c>
      <c r="N600" s="129" t="e">
        <f>VLOOKUP(VALUE($B600),test_out_xwalk!$C:$L,8,FALSE)</f>
        <v>#VALUE!</v>
      </c>
      <c r="O600" s="129" t="e">
        <f>VLOOKUP(VALUE($B600),test_out_xwalk!$C:$L,7,FALSE)</f>
        <v>#VALUE!</v>
      </c>
      <c r="P600" s="129" t="e">
        <f>VLOOKUP(VALUE($B600),test_out_xwalk!$C:$L,4,FALSE)</f>
        <v>#VALUE!</v>
      </c>
      <c r="Q600" s="129" t="e">
        <f>VLOOKUP(VALUE($B600),test_out_xwalk!$C:$L,9,FALSE)</f>
        <v>#VALUE!</v>
      </c>
      <c r="R600" t="e">
        <f>_xlfn.XLOOKUP(VALUE(B600),test_out_xwalk!$C:$C,test_out_xwalk!$A:$A)</f>
        <v>#VALUE!</v>
      </c>
      <c r="T600" s="121" t="str">
        <f>IF('summary_EPA Pond'!$O600="","Check Summary EPA POND worksheet Column O",'summary_EPA Pond'!$O600)</f>
        <v>Check Summary EPA POND worksheet Column O</v>
      </c>
      <c r="U600" s="121" t="str" cm="1">
        <f t="array" ref="U600">IFERROR(_xlfn.TEXTSPLIT(T600,"_"),"")</f>
        <v>Check Summary EPA POND worksheet Column O</v>
      </c>
      <c r="AA600" s="121" t="str" cm="1">
        <f t="array" ref="AA600">IF(W600="","",(_xlfn.TEXTSPLIT(W600,"-")))</f>
        <v/>
      </c>
      <c r="AD600" s="129" t="e">
        <f>VLOOKUP(VALUE($U600),test_out_xwalk!$C:$L,3,FALSE)</f>
        <v>#VALUE!</v>
      </c>
      <c r="AE600" s="129" t="e">
        <f>VLOOKUP(VALUE($U600),test_out_xwalk!$C:$L,5,FALSE)</f>
        <v>#VALUE!</v>
      </c>
      <c r="AF600" s="129" t="e">
        <f>VLOOKUP(VALUE($U600),test_out_xwalk!$C:$L,6,FALSE)</f>
        <v>#VALUE!</v>
      </c>
      <c r="AG600" s="129" t="e">
        <f>VLOOKUP(VALUE($U600),test_out_xwalk!$C:$L,8,FALSE)</f>
        <v>#VALUE!</v>
      </c>
      <c r="AH600" s="129" t="e">
        <f>VLOOKUP(VALUE($U600),test_out_xwalk!$C:$L,7,FALSE)</f>
        <v>#VALUE!</v>
      </c>
      <c r="AI600" s="129" t="e">
        <f>VLOOKUP(VALUE($U600),test_out_xwalk!$C:$L,4,FALSE)</f>
        <v>#VALUE!</v>
      </c>
      <c r="AJ600" s="129" t="e">
        <f>VLOOKUP(VALUE($U600),test_out_xwalk!$C:$L,9,FALSE)</f>
        <v>#VALUE!</v>
      </c>
      <c r="AK600" t="e">
        <f>_xlfn.XLOOKUP(VALUE(U600),test_out_xwalk!C:C,test_out_xwalk!A:A)</f>
        <v>#VALUE!</v>
      </c>
    </row>
    <row r="601" spans="1:37" x14ac:dyDescent="0.55000000000000004">
      <c r="A601" s="121" t="str">
        <f>IF('summary_EPA Pond'!$A601="","Check Summary EPA POND worksheet Column A",'summary_EPA Pond'!$A601)</f>
        <v>Check Summary EPA POND worksheet Column A</v>
      </c>
      <c r="B601" s="121" t="str" cm="1">
        <f t="array" ref="B601">IFERROR(_xlfn.TEXTSPLIT(A601,"_"),"")</f>
        <v>Check Summary EPA POND worksheet Column A</v>
      </c>
      <c r="H601" s="121" t="str" cm="1">
        <f t="array" ref="H601">IF(D601="","",(_xlfn.TEXTSPLIT(D601,"-")))</f>
        <v/>
      </c>
      <c r="K601" s="129" t="e">
        <f>VLOOKUP(VALUE($B601),test_out_xwalk!$C:$L,3,FALSE)</f>
        <v>#VALUE!</v>
      </c>
      <c r="L601" s="129" t="e">
        <f>VLOOKUP(VALUE($B601),test_out_xwalk!$C:$L,5,FALSE)</f>
        <v>#VALUE!</v>
      </c>
      <c r="M601" s="129" t="e">
        <f>VLOOKUP(VALUE($B601),test_out_xwalk!$C:$L,6,FALSE)</f>
        <v>#VALUE!</v>
      </c>
      <c r="N601" s="129" t="e">
        <f>VLOOKUP(VALUE($B601),test_out_xwalk!$C:$L,8,FALSE)</f>
        <v>#VALUE!</v>
      </c>
      <c r="O601" s="129" t="e">
        <f>VLOOKUP(VALUE($B601),test_out_xwalk!$C:$L,7,FALSE)</f>
        <v>#VALUE!</v>
      </c>
      <c r="P601" s="129" t="e">
        <f>VLOOKUP(VALUE($B601),test_out_xwalk!$C:$L,4,FALSE)</f>
        <v>#VALUE!</v>
      </c>
      <c r="Q601" s="129" t="e">
        <f>VLOOKUP(VALUE($B601),test_out_xwalk!$C:$L,9,FALSE)</f>
        <v>#VALUE!</v>
      </c>
      <c r="R601" t="e">
        <f>_xlfn.XLOOKUP(VALUE(B601),test_out_xwalk!$C:$C,test_out_xwalk!$A:$A)</f>
        <v>#VALUE!</v>
      </c>
      <c r="T601" s="121" t="str">
        <f>IF('summary_EPA Pond'!$O601="","Check Summary EPA POND worksheet Column O",'summary_EPA Pond'!$O601)</f>
        <v>Check Summary EPA POND worksheet Column O</v>
      </c>
      <c r="U601" s="121" t="str" cm="1">
        <f t="array" ref="U601">IFERROR(_xlfn.TEXTSPLIT(T601,"_"),"")</f>
        <v>Check Summary EPA POND worksheet Column O</v>
      </c>
      <c r="AA601" s="121" t="str" cm="1">
        <f t="array" ref="AA601">IF(W601="","",(_xlfn.TEXTSPLIT(W601,"-")))</f>
        <v/>
      </c>
      <c r="AD601" s="129" t="e">
        <f>VLOOKUP(VALUE($U601),test_out_xwalk!$C:$L,3,FALSE)</f>
        <v>#VALUE!</v>
      </c>
      <c r="AE601" s="129" t="e">
        <f>VLOOKUP(VALUE($U601),test_out_xwalk!$C:$L,5,FALSE)</f>
        <v>#VALUE!</v>
      </c>
      <c r="AF601" s="129" t="e">
        <f>VLOOKUP(VALUE($U601),test_out_xwalk!$C:$L,6,FALSE)</f>
        <v>#VALUE!</v>
      </c>
      <c r="AG601" s="129" t="e">
        <f>VLOOKUP(VALUE($U601),test_out_xwalk!$C:$L,8,FALSE)</f>
        <v>#VALUE!</v>
      </c>
      <c r="AH601" s="129" t="e">
        <f>VLOOKUP(VALUE($U601),test_out_xwalk!$C:$L,7,FALSE)</f>
        <v>#VALUE!</v>
      </c>
      <c r="AI601" s="129" t="e">
        <f>VLOOKUP(VALUE($U601),test_out_xwalk!$C:$L,4,FALSE)</f>
        <v>#VALUE!</v>
      </c>
      <c r="AJ601" s="129" t="e">
        <f>VLOOKUP(VALUE($U601),test_out_xwalk!$C:$L,9,FALSE)</f>
        <v>#VALUE!</v>
      </c>
      <c r="AK601" t="e">
        <f>_xlfn.XLOOKUP(VALUE(U601),test_out_xwalk!C:C,test_out_xwalk!A:A)</f>
        <v>#VALUE!</v>
      </c>
    </row>
    <row r="602" spans="1:37" x14ac:dyDescent="0.55000000000000004">
      <c r="A602" s="121" t="str">
        <f>IF('summary_EPA Pond'!$A602="","Check Summary EPA POND worksheet Column A",'summary_EPA Pond'!$A602)</f>
        <v>Check Summary EPA POND worksheet Column A</v>
      </c>
      <c r="B602" s="121" t="str" cm="1">
        <f t="array" ref="B602">IFERROR(_xlfn.TEXTSPLIT(A602,"_"),"")</f>
        <v>Check Summary EPA POND worksheet Column A</v>
      </c>
      <c r="H602" s="121" t="str" cm="1">
        <f t="array" ref="H602">IF(D602="","",(_xlfn.TEXTSPLIT(D602,"-")))</f>
        <v/>
      </c>
      <c r="K602" s="129" t="e">
        <f>VLOOKUP(VALUE($B602),test_out_xwalk!$C:$L,3,FALSE)</f>
        <v>#VALUE!</v>
      </c>
      <c r="L602" s="129" t="e">
        <f>VLOOKUP(VALUE($B602),test_out_xwalk!$C:$L,5,FALSE)</f>
        <v>#VALUE!</v>
      </c>
      <c r="M602" s="129" t="e">
        <f>VLOOKUP(VALUE($B602),test_out_xwalk!$C:$L,6,FALSE)</f>
        <v>#VALUE!</v>
      </c>
      <c r="N602" s="129" t="e">
        <f>VLOOKUP(VALUE($B602),test_out_xwalk!$C:$L,8,FALSE)</f>
        <v>#VALUE!</v>
      </c>
      <c r="O602" s="129" t="e">
        <f>VLOOKUP(VALUE($B602),test_out_xwalk!$C:$L,7,FALSE)</f>
        <v>#VALUE!</v>
      </c>
      <c r="P602" s="129" t="e">
        <f>VLOOKUP(VALUE($B602),test_out_xwalk!$C:$L,4,FALSE)</f>
        <v>#VALUE!</v>
      </c>
      <c r="Q602" s="129" t="e">
        <f>VLOOKUP(VALUE($B602),test_out_xwalk!$C:$L,9,FALSE)</f>
        <v>#VALUE!</v>
      </c>
      <c r="R602" t="e">
        <f>_xlfn.XLOOKUP(VALUE(B602),test_out_xwalk!$C:$C,test_out_xwalk!$A:$A)</f>
        <v>#VALUE!</v>
      </c>
      <c r="T602" s="121" t="str">
        <f>IF('summary_EPA Pond'!$O602="","Check Summary EPA POND worksheet Column O",'summary_EPA Pond'!$O602)</f>
        <v>Check Summary EPA POND worksheet Column O</v>
      </c>
      <c r="U602" s="121" t="str" cm="1">
        <f t="array" ref="U602">IFERROR(_xlfn.TEXTSPLIT(T602,"_"),"")</f>
        <v>Check Summary EPA POND worksheet Column O</v>
      </c>
      <c r="AA602" s="121" t="str" cm="1">
        <f t="array" ref="AA602">IF(W602="","",(_xlfn.TEXTSPLIT(W602,"-")))</f>
        <v/>
      </c>
      <c r="AD602" s="129" t="e">
        <f>VLOOKUP(VALUE($U602),test_out_xwalk!$C:$L,3,FALSE)</f>
        <v>#VALUE!</v>
      </c>
      <c r="AE602" s="129" t="e">
        <f>VLOOKUP(VALUE($U602),test_out_xwalk!$C:$L,5,FALSE)</f>
        <v>#VALUE!</v>
      </c>
      <c r="AF602" s="129" t="e">
        <f>VLOOKUP(VALUE($U602),test_out_xwalk!$C:$L,6,FALSE)</f>
        <v>#VALUE!</v>
      </c>
      <c r="AG602" s="129" t="e">
        <f>VLOOKUP(VALUE($U602),test_out_xwalk!$C:$L,8,FALSE)</f>
        <v>#VALUE!</v>
      </c>
      <c r="AH602" s="129" t="e">
        <f>VLOOKUP(VALUE($U602),test_out_xwalk!$C:$L,7,FALSE)</f>
        <v>#VALUE!</v>
      </c>
      <c r="AI602" s="129" t="e">
        <f>VLOOKUP(VALUE($U602),test_out_xwalk!$C:$L,4,FALSE)</f>
        <v>#VALUE!</v>
      </c>
      <c r="AJ602" s="129" t="e">
        <f>VLOOKUP(VALUE($U602),test_out_xwalk!$C:$L,9,FALSE)</f>
        <v>#VALUE!</v>
      </c>
      <c r="AK602" t="e">
        <f>_xlfn.XLOOKUP(VALUE(U602),test_out_xwalk!C:C,test_out_xwalk!A:A)</f>
        <v>#VALUE!</v>
      </c>
    </row>
    <row r="603" spans="1:37" x14ac:dyDescent="0.55000000000000004">
      <c r="A603" s="121" t="str">
        <f>IF('summary_EPA Pond'!$A603="","Check Summary EPA POND worksheet Column A",'summary_EPA Pond'!$A603)</f>
        <v>Check Summary EPA POND worksheet Column A</v>
      </c>
      <c r="B603" s="121" t="str" cm="1">
        <f t="array" ref="B603">IFERROR(_xlfn.TEXTSPLIT(A603,"_"),"")</f>
        <v>Check Summary EPA POND worksheet Column A</v>
      </c>
      <c r="H603" s="121" t="str" cm="1">
        <f t="array" ref="H603">IF(D603="","",(_xlfn.TEXTSPLIT(D603,"-")))</f>
        <v/>
      </c>
      <c r="K603" s="129" t="e">
        <f>VLOOKUP(VALUE($B603),test_out_xwalk!$C:$L,3,FALSE)</f>
        <v>#VALUE!</v>
      </c>
      <c r="L603" s="129" t="e">
        <f>VLOOKUP(VALUE($B603),test_out_xwalk!$C:$L,5,FALSE)</f>
        <v>#VALUE!</v>
      </c>
      <c r="M603" s="129" t="e">
        <f>VLOOKUP(VALUE($B603),test_out_xwalk!$C:$L,6,FALSE)</f>
        <v>#VALUE!</v>
      </c>
      <c r="N603" s="129" t="e">
        <f>VLOOKUP(VALUE($B603),test_out_xwalk!$C:$L,8,FALSE)</f>
        <v>#VALUE!</v>
      </c>
      <c r="O603" s="129" t="e">
        <f>VLOOKUP(VALUE($B603),test_out_xwalk!$C:$L,7,FALSE)</f>
        <v>#VALUE!</v>
      </c>
      <c r="P603" s="129" t="e">
        <f>VLOOKUP(VALUE($B603),test_out_xwalk!$C:$L,4,FALSE)</f>
        <v>#VALUE!</v>
      </c>
      <c r="Q603" s="129" t="e">
        <f>VLOOKUP(VALUE($B603),test_out_xwalk!$C:$L,9,FALSE)</f>
        <v>#VALUE!</v>
      </c>
      <c r="R603" t="e">
        <f>_xlfn.XLOOKUP(VALUE(B603),test_out_xwalk!$C:$C,test_out_xwalk!$A:$A)</f>
        <v>#VALUE!</v>
      </c>
      <c r="T603" s="121" t="str">
        <f>IF('summary_EPA Pond'!$O603="","Check Summary EPA POND worksheet Column O",'summary_EPA Pond'!$O603)</f>
        <v>Check Summary EPA POND worksheet Column O</v>
      </c>
      <c r="U603" s="121" t="str" cm="1">
        <f t="array" ref="U603">IFERROR(_xlfn.TEXTSPLIT(T603,"_"),"")</f>
        <v>Check Summary EPA POND worksheet Column O</v>
      </c>
      <c r="AA603" s="121" t="str" cm="1">
        <f t="array" ref="AA603">IF(W603="","",(_xlfn.TEXTSPLIT(W603,"-")))</f>
        <v/>
      </c>
      <c r="AD603" s="129" t="e">
        <f>VLOOKUP(VALUE($U603),test_out_xwalk!$C:$L,3,FALSE)</f>
        <v>#VALUE!</v>
      </c>
      <c r="AE603" s="129" t="e">
        <f>VLOOKUP(VALUE($U603),test_out_xwalk!$C:$L,5,FALSE)</f>
        <v>#VALUE!</v>
      </c>
      <c r="AF603" s="129" t="e">
        <f>VLOOKUP(VALUE($U603),test_out_xwalk!$C:$L,6,FALSE)</f>
        <v>#VALUE!</v>
      </c>
      <c r="AG603" s="129" t="e">
        <f>VLOOKUP(VALUE($U603),test_out_xwalk!$C:$L,8,FALSE)</f>
        <v>#VALUE!</v>
      </c>
      <c r="AH603" s="129" t="e">
        <f>VLOOKUP(VALUE($U603),test_out_xwalk!$C:$L,7,FALSE)</f>
        <v>#VALUE!</v>
      </c>
      <c r="AI603" s="129" t="e">
        <f>VLOOKUP(VALUE($U603),test_out_xwalk!$C:$L,4,FALSE)</f>
        <v>#VALUE!</v>
      </c>
      <c r="AJ603" s="129" t="e">
        <f>VLOOKUP(VALUE($U603),test_out_xwalk!$C:$L,9,FALSE)</f>
        <v>#VALUE!</v>
      </c>
      <c r="AK603" t="e">
        <f>_xlfn.XLOOKUP(VALUE(U603),test_out_xwalk!C:C,test_out_xwalk!A:A)</f>
        <v>#VALUE!</v>
      </c>
    </row>
    <row r="604" spans="1:37" x14ac:dyDescent="0.55000000000000004">
      <c r="A604" s="121" t="str">
        <f>IF('summary_EPA Pond'!$A604="","Check Summary EPA POND worksheet Column A",'summary_EPA Pond'!$A604)</f>
        <v>Check Summary EPA POND worksheet Column A</v>
      </c>
      <c r="B604" s="121" t="str" cm="1">
        <f t="array" ref="B604">IFERROR(_xlfn.TEXTSPLIT(A604,"_"),"")</f>
        <v>Check Summary EPA POND worksheet Column A</v>
      </c>
      <c r="H604" s="121" t="str" cm="1">
        <f t="array" ref="H604">IF(D604="","",(_xlfn.TEXTSPLIT(D604,"-")))</f>
        <v/>
      </c>
      <c r="K604" s="129" t="e">
        <f>VLOOKUP(VALUE($B604),test_out_xwalk!$C:$L,3,FALSE)</f>
        <v>#VALUE!</v>
      </c>
      <c r="L604" s="129" t="e">
        <f>VLOOKUP(VALUE($B604),test_out_xwalk!$C:$L,5,FALSE)</f>
        <v>#VALUE!</v>
      </c>
      <c r="M604" s="129" t="e">
        <f>VLOOKUP(VALUE($B604),test_out_xwalk!$C:$L,6,FALSE)</f>
        <v>#VALUE!</v>
      </c>
      <c r="N604" s="129" t="e">
        <f>VLOOKUP(VALUE($B604),test_out_xwalk!$C:$L,8,FALSE)</f>
        <v>#VALUE!</v>
      </c>
      <c r="O604" s="129" t="e">
        <f>VLOOKUP(VALUE($B604),test_out_xwalk!$C:$L,7,FALSE)</f>
        <v>#VALUE!</v>
      </c>
      <c r="P604" s="129" t="e">
        <f>VLOOKUP(VALUE($B604),test_out_xwalk!$C:$L,4,FALSE)</f>
        <v>#VALUE!</v>
      </c>
      <c r="Q604" s="129" t="e">
        <f>VLOOKUP(VALUE($B604),test_out_xwalk!$C:$L,9,FALSE)</f>
        <v>#VALUE!</v>
      </c>
      <c r="R604" t="e">
        <f>_xlfn.XLOOKUP(VALUE(B604),test_out_xwalk!$C:$C,test_out_xwalk!$A:$A)</f>
        <v>#VALUE!</v>
      </c>
      <c r="T604" s="121" t="str">
        <f>IF('summary_EPA Pond'!$O604="","Check Summary EPA POND worksheet Column O",'summary_EPA Pond'!$O604)</f>
        <v>Check Summary EPA POND worksheet Column O</v>
      </c>
      <c r="U604" s="121" t="str" cm="1">
        <f t="array" ref="U604">IFERROR(_xlfn.TEXTSPLIT(T604,"_"),"")</f>
        <v>Check Summary EPA POND worksheet Column O</v>
      </c>
      <c r="AA604" s="121" t="str" cm="1">
        <f t="array" ref="AA604">IF(W604="","",(_xlfn.TEXTSPLIT(W604,"-")))</f>
        <v/>
      </c>
      <c r="AD604" s="129" t="e">
        <f>VLOOKUP(VALUE($U604),test_out_xwalk!$C:$L,3,FALSE)</f>
        <v>#VALUE!</v>
      </c>
      <c r="AE604" s="129" t="e">
        <f>VLOOKUP(VALUE($U604),test_out_xwalk!$C:$L,5,FALSE)</f>
        <v>#VALUE!</v>
      </c>
      <c r="AF604" s="129" t="e">
        <f>VLOOKUP(VALUE($U604),test_out_xwalk!$C:$L,6,FALSE)</f>
        <v>#VALUE!</v>
      </c>
      <c r="AG604" s="129" t="e">
        <f>VLOOKUP(VALUE($U604),test_out_xwalk!$C:$L,8,FALSE)</f>
        <v>#VALUE!</v>
      </c>
      <c r="AH604" s="129" t="e">
        <f>VLOOKUP(VALUE($U604),test_out_xwalk!$C:$L,7,FALSE)</f>
        <v>#VALUE!</v>
      </c>
      <c r="AI604" s="129" t="e">
        <f>VLOOKUP(VALUE($U604),test_out_xwalk!$C:$L,4,FALSE)</f>
        <v>#VALUE!</v>
      </c>
      <c r="AJ604" s="129" t="e">
        <f>VLOOKUP(VALUE($U604),test_out_xwalk!$C:$L,9,FALSE)</f>
        <v>#VALUE!</v>
      </c>
      <c r="AK604" t="e">
        <f>_xlfn.XLOOKUP(VALUE(U604),test_out_xwalk!C:C,test_out_xwalk!A:A)</f>
        <v>#VALUE!</v>
      </c>
    </row>
    <row r="605" spans="1:37" x14ac:dyDescent="0.55000000000000004">
      <c r="A605" s="121" t="str">
        <f>IF('summary_EPA Pond'!$A605="","Check Summary EPA POND worksheet Column A",'summary_EPA Pond'!$A605)</f>
        <v>Check Summary EPA POND worksheet Column A</v>
      </c>
      <c r="B605" s="121" t="str" cm="1">
        <f t="array" ref="B605">IFERROR(_xlfn.TEXTSPLIT(A605,"_"),"")</f>
        <v>Check Summary EPA POND worksheet Column A</v>
      </c>
      <c r="H605" s="121" t="str" cm="1">
        <f t="array" ref="H605">IF(D605="","",(_xlfn.TEXTSPLIT(D605,"-")))</f>
        <v/>
      </c>
      <c r="K605" s="129" t="e">
        <f>VLOOKUP(VALUE($B605),test_out_xwalk!$C:$L,3,FALSE)</f>
        <v>#VALUE!</v>
      </c>
      <c r="L605" s="129" t="e">
        <f>VLOOKUP(VALUE($B605),test_out_xwalk!$C:$L,5,FALSE)</f>
        <v>#VALUE!</v>
      </c>
      <c r="M605" s="129" t="e">
        <f>VLOOKUP(VALUE($B605),test_out_xwalk!$C:$L,6,FALSE)</f>
        <v>#VALUE!</v>
      </c>
      <c r="N605" s="129" t="e">
        <f>VLOOKUP(VALUE($B605),test_out_xwalk!$C:$L,8,FALSE)</f>
        <v>#VALUE!</v>
      </c>
      <c r="O605" s="129" t="e">
        <f>VLOOKUP(VALUE($B605),test_out_xwalk!$C:$L,7,FALSE)</f>
        <v>#VALUE!</v>
      </c>
      <c r="P605" s="129" t="e">
        <f>VLOOKUP(VALUE($B605),test_out_xwalk!$C:$L,4,FALSE)</f>
        <v>#VALUE!</v>
      </c>
      <c r="Q605" s="129" t="e">
        <f>VLOOKUP(VALUE($B605),test_out_xwalk!$C:$L,9,FALSE)</f>
        <v>#VALUE!</v>
      </c>
      <c r="R605" t="e">
        <f>_xlfn.XLOOKUP(VALUE(B605),test_out_xwalk!$C:$C,test_out_xwalk!$A:$A)</f>
        <v>#VALUE!</v>
      </c>
      <c r="T605" s="121" t="str">
        <f>IF('summary_EPA Pond'!$O605="","Check Summary EPA POND worksheet Column O",'summary_EPA Pond'!$O605)</f>
        <v>Check Summary EPA POND worksheet Column O</v>
      </c>
      <c r="U605" s="121" t="str" cm="1">
        <f t="array" ref="U605">IFERROR(_xlfn.TEXTSPLIT(T605,"_"),"")</f>
        <v>Check Summary EPA POND worksheet Column O</v>
      </c>
      <c r="AA605" s="121" t="str" cm="1">
        <f t="array" ref="AA605">IF(W605="","",(_xlfn.TEXTSPLIT(W605,"-")))</f>
        <v/>
      </c>
      <c r="AD605" s="129" t="e">
        <f>VLOOKUP(VALUE($U605),test_out_xwalk!$C:$L,3,FALSE)</f>
        <v>#VALUE!</v>
      </c>
      <c r="AE605" s="129" t="e">
        <f>VLOOKUP(VALUE($U605),test_out_xwalk!$C:$L,5,FALSE)</f>
        <v>#VALUE!</v>
      </c>
      <c r="AF605" s="129" t="e">
        <f>VLOOKUP(VALUE($U605),test_out_xwalk!$C:$L,6,FALSE)</f>
        <v>#VALUE!</v>
      </c>
      <c r="AG605" s="129" t="e">
        <f>VLOOKUP(VALUE($U605),test_out_xwalk!$C:$L,8,FALSE)</f>
        <v>#VALUE!</v>
      </c>
      <c r="AH605" s="129" t="e">
        <f>VLOOKUP(VALUE($U605),test_out_xwalk!$C:$L,7,FALSE)</f>
        <v>#VALUE!</v>
      </c>
      <c r="AI605" s="129" t="e">
        <f>VLOOKUP(VALUE($U605),test_out_xwalk!$C:$L,4,FALSE)</f>
        <v>#VALUE!</v>
      </c>
      <c r="AJ605" s="129" t="e">
        <f>VLOOKUP(VALUE($U605),test_out_xwalk!$C:$L,9,FALSE)</f>
        <v>#VALUE!</v>
      </c>
      <c r="AK605" t="e">
        <f>_xlfn.XLOOKUP(VALUE(U605),test_out_xwalk!C:C,test_out_xwalk!A:A)</f>
        <v>#VALUE!</v>
      </c>
    </row>
    <row r="606" spans="1:37" x14ac:dyDescent="0.55000000000000004">
      <c r="A606" s="121" t="str">
        <f>IF('summary_EPA Pond'!$A606="","Check Summary EPA POND worksheet Column A",'summary_EPA Pond'!$A606)</f>
        <v>Check Summary EPA POND worksheet Column A</v>
      </c>
      <c r="B606" s="121" t="str" cm="1">
        <f t="array" ref="B606">IFERROR(_xlfn.TEXTSPLIT(A606,"_"),"")</f>
        <v>Check Summary EPA POND worksheet Column A</v>
      </c>
      <c r="H606" s="121" t="str" cm="1">
        <f t="array" ref="H606">IF(D606="","",(_xlfn.TEXTSPLIT(D606,"-")))</f>
        <v/>
      </c>
      <c r="K606" s="129" t="e">
        <f>VLOOKUP(VALUE($B606),test_out_xwalk!$C:$L,3,FALSE)</f>
        <v>#VALUE!</v>
      </c>
      <c r="L606" s="129" t="e">
        <f>VLOOKUP(VALUE($B606),test_out_xwalk!$C:$L,5,FALSE)</f>
        <v>#VALUE!</v>
      </c>
      <c r="M606" s="129" t="e">
        <f>VLOOKUP(VALUE($B606),test_out_xwalk!$C:$L,6,FALSE)</f>
        <v>#VALUE!</v>
      </c>
      <c r="N606" s="129" t="e">
        <f>VLOOKUP(VALUE($B606),test_out_xwalk!$C:$L,8,FALSE)</f>
        <v>#VALUE!</v>
      </c>
      <c r="O606" s="129" t="e">
        <f>VLOOKUP(VALUE($B606),test_out_xwalk!$C:$L,7,FALSE)</f>
        <v>#VALUE!</v>
      </c>
      <c r="P606" s="129" t="e">
        <f>VLOOKUP(VALUE($B606),test_out_xwalk!$C:$L,4,FALSE)</f>
        <v>#VALUE!</v>
      </c>
      <c r="Q606" s="129" t="e">
        <f>VLOOKUP(VALUE($B606),test_out_xwalk!$C:$L,9,FALSE)</f>
        <v>#VALUE!</v>
      </c>
      <c r="R606" t="e">
        <f>_xlfn.XLOOKUP(VALUE(B606),test_out_xwalk!$C:$C,test_out_xwalk!$A:$A)</f>
        <v>#VALUE!</v>
      </c>
      <c r="T606" s="121" t="str">
        <f>IF('summary_EPA Pond'!$O606="","Check Summary EPA POND worksheet Column O",'summary_EPA Pond'!$O606)</f>
        <v>Check Summary EPA POND worksheet Column O</v>
      </c>
      <c r="U606" s="121" t="str" cm="1">
        <f t="array" ref="U606">IFERROR(_xlfn.TEXTSPLIT(T606,"_"),"")</f>
        <v>Check Summary EPA POND worksheet Column O</v>
      </c>
      <c r="AA606" s="121" t="str" cm="1">
        <f t="array" ref="AA606">IF(W606="","",(_xlfn.TEXTSPLIT(W606,"-")))</f>
        <v/>
      </c>
      <c r="AD606" s="129" t="e">
        <f>VLOOKUP(VALUE($U606),test_out_xwalk!$C:$L,3,FALSE)</f>
        <v>#VALUE!</v>
      </c>
      <c r="AE606" s="129" t="e">
        <f>VLOOKUP(VALUE($U606),test_out_xwalk!$C:$L,5,FALSE)</f>
        <v>#VALUE!</v>
      </c>
      <c r="AF606" s="129" t="e">
        <f>VLOOKUP(VALUE($U606),test_out_xwalk!$C:$L,6,FALSE)</f>
        <v>#VALUE!</v>
      </c>
      <c r="AG606" s="129" t="e">
        <f>VLOOKUP(VALUE($U606),test_out_xwalk!$C:$L,8,FALSE)</f>
        <v>#VALUE!</v>
      </c>
      <c r="AH606" s="129" t="e">
        <f>VLOOKUP(VALUE($U606),test_out_xwalk!$C:$L,7,FALSE)</f>
        <v>#VALUE!</v>
      </c>
      <c r="AI606" s="129" t="e">
        <f>VLOOKUP(VALUE($U606),test_out_xwalk!$C:$L,4,FALSE)</f>
        <v>#VALUE!</v>
      </c>
      <c r="AJ606" s="129" t="e">
        <f>VLOOKUP(VALUE($U606),test_out_xwalk!$C:$L,9,FALSE)</f>
        <v>#VALUE!</v>
      </c>
      <c r="AK606" t="e">
        <f>_xlfn.XLOOKUP(VALUE(U606),test_out_xwalk!C:C,test_out_xwalk!A:A)</f>
        <v>#VALUE!</v>
      </c>
    </row>
    <row r="607" spans="1:37" x14ac:dyDescent="0.55000000000000004">
      <c r="A607" s="121" t="str">
        <f>IF('summary_EPA Pond'!$A607="","Check Summary EPA POND worksheet Column A",'summary_EPA Pond'!$A607)</f>
        <v>Check Summary EPA POND worksheet Column A</v>
      </c>
      <c r="B607" s="121" t="str" cm="1">
        <f t="array" ref="B607">IFERROR(_xlfn.TEXTSPLIT(A607,"_"),"")</f>
        <v>Check Summary EPA POND worksheet Column A</v>
      </c>
      <c r="H607" s="121" t="str" cm="1">
        <f t="array" ref="H607">IF(D607="","",(_xlfn.TEXTSPLIT(D607,"-")))</f>
        <v/>
      </c>
      <c r="K607" s="129" t="e">
        <f>VLOOKUP(VALUE($B607),test_out_xwalk!$C:$L,3,FALSE)</f>
        <v>#VALUE!</v>
      </c>
      <c r="L607" s="129" t="e">
        <f>VLOOKUP(VALUE($B607),test_out_xwalk!$C:$L,5,FALSE)</f>
        <v>#VALUE!</v>
      </c>
      <c r="M607" s="129" t="e">
        <f>VLOOKUP(VALUE($B607),test_out_xwalk!$C:$L,6,FALSE)</f>
        <v>#VALUE!</v>
      </c>
      <c r="N607" s="129" t="e">
        <f>VLOOKUP(VALUE($B607),test_out_xwalk!$C:$L,8,FALSE)</f>
        <v>#VALUE!</v>
      </c>
      <c r="O607" s="129" t="e">
        <f>VLOOKUP(VALUE($B607),test_out_xwalk!$C:$L,7,FALSE)</f>
        <v>#VALUE!</v>
      </c>
      <c r="P607" s="129" t="e">
        <f>VLOOKUP(VALUE($B607),test_out_xwalk!$C:$L,4,FALSE)</f>
        <v>#VALUE!</v>
      </c>
      <c r="Q607" s="129" t="e">
        <f>VLOOKUP(VALUE($B607),test_out_xwalk!$C:$L,9,FALSE)</f>
        <v>#VALUE!</v>
      </c>
      <c r="R607" t="e">
        <f>_xlfn.XLOOKUP(VALUE(B607),test_out_xwalk!$C:$C,test_out_xwalk!$A:$A)</f>
        <v>#VALUE!</v>
      </c>
      <c r="T607" s="121" t="str">
        <f>IF('summary_EPA Pond'!$O607="","Check Summary EPA POND worksheet Column O",'summary_EPA Pond'!$O607)</f>
        <v>Check Summary EPA POND worksheet Column O</v>
      </c>
      <c r="U607" s="121" t="str" cm="1">
        <f t="array" ref="U607">IFERROR(_xlfn.TEXTSPLIT(T607,"_"),"")</f>
        <v>Check Summary EPA POND worksheet Column O</v>
      </c>
      <c r="AA607" s="121" t="str" cm="1">
        <f t="array" ref="AA607">IF(W607="","",(_xlfn.TEXTSPLIT(W607,"-")))</f>
        <v/>
      </c>
      <c r="AD607" s="129" t="e">
        <f>VLOOKUP(VALUE($U607),test_out_xwalk!$C:$L,3,FALSE)</f>
        <v>#VALUE!</v>
      </c>
      <c r="AE607" s="129" t="e">
        <f>VLOOKUP(VALUE($U607),test_out_xwalk!$C:$L,5,FALSE)</f>
        <v>#VALUE!</v>
      </c>
      <c r="AF607" s="129" t="e">
        <f>VLOOKUP(VALUE($U607),test_out_xwalk!$C:$L,6,FALSE)</f>
        <v>#VALUE!</v>
      </c>
      <c r="AG607" s="129" t="e">
        <f>VLOOKUP(VALUE($U607),test_out_xwalk!$C:$L,8,FALSE)</f>
        <v>#VALUE!</v>
      </c>
      <c r="AH607" s="129" t="e">
        <f>VLOOKUP(VALUE($U607),test_out_xwalk!$C:$L,7,FALSE)</f>
        <v>#VALUE!</v>
      </c>
      <c r="AI607" s="129" t="e">
        <f>VLOOKUP(VALUE($U607),test_out_xwalk!$C:$L,4,FALSE)</f>
        <v>#VALUE!</v>
      </c>
      <c r="AJ607" s="129" t="e">
        <f>VLOOKUP(VALUE($U607),test_out_xwalk!$C:$L,9,FALSE)</f>
        <v>#VALUE!</v>
      </c>
      <c r="AK607" t="e">
        <f>_xlfn.XLOOKUP(VALUE(U607),test_out_xwalk!C:C,test_out_xwalk!A:A)</f>
        <v>#VALUE!</v>
      </c>
    </row>
    <row r="608" spans="1:37" x14ac:dyDescent="0.55000000000000004">
      <c r="A608" s="121" t="str">
        <f>IF('summary_EPA Pond'!$A608="","Check Summary EPA POND worksheet Column A",'summary_EPA Pond'!$A608)</f>
        <v>Check Summary EPA POND worksheet Column A</v>
      </c>
      <c r="B608" s="121" t="str" cm="1">
        <f t="array" ref="B608">IFERROR(_xlfn.TEXTSPLIT(A608,"_"),"")</f>
        <v>Check Summary EPA POND worksheet Column A</v>
      </c>
      <c r="H608" s="121" t="str" cm="1">
        <f t="array" ref="H608">IF(D608="","",(_xlfn.TEXTSPLIT(D608,"-")))</f>
        <v/>
      </c>
      <c r="K608" s="129" t="e">
        <f>VLOOKUP(VALUE($B608),test_out_xwalk!$C:$L,3,FALSE)</f>
        <v>#VALUE!</v>
      </c>
      <c r="L608" s="129" t="e">
        <f>VLOOKUP(VALUE($B608),test_out_xwalk!$C:$L,5,FALSE)</f>
        <v>#VALUE!</v>
      </c>
      <c r="M608" s="129" t="e">
        <f>VLOOKUP(VALUE($B608),test_out_xwalk!$C:$L,6,FALSE)</f>
        <v>#VALUE!</v>
      </c>
      <c r="N608" s="129" t="e">
        <f>VLOOKUP(VALUE($B608),test_out_xwalk!$C:$L,8,FALSE)</f>
        <v>#VALUE!</v>
      </c>
      <c r="O608" s="129" t="e">
        <f>VLOOKUP(VALUE($B608),test_out_xwalk!$C:$L,7,FALSE)</f>
        <v>#VALUE!</v>
      </c>
      <c r="P608" s="129" t="e">
        <f>VLOOKUP(VALUE($B608),test_out_xwalk!$C:$L,4,FALSE)</f>
        <v>#VALUE!</v>
      </c>
      <c r="Q608" s="129" t="e">
        <f>VLOOKUP(VALUE($B608),test_out_xwalk!$C:$L,9,FALSE)</f>
        <v>#VALUE!</v>
      </c>
      <c r="R608" t="e">
        <f>_xlfn.XLOOKUP(VALUE(B608),test_out_xwalk!$C:$C,test_out_xwalk!$A:$A)</f>
        <v>#VALUE!</v>
      </c>
      <c r="T608" s="121" t="str">
        <f>IF('summary_EPA Pond'!$O608="","Check Summary EPA POND worksheet Column O",'summary_EPA Pond'!$O608)</f>
        <v>Check Summary EPA POND worksheet Column O</v>
      </c>
      <c r="U608" s="121" t="str" cm="1">
        <f t="array" ref="U608">IFERROR(_xlfn.TEXTSPLIT(T608,"_"),"")</f>
        <v>Check Summary EPA POND worksheet Column O</v>
      </c>
      <c r="AA608" s="121" t="str" cm="1">
        <f t="array" ref="AA608">IF(W608="","",(_xlfn.TEXTSPLIT(W608,"-")))</f>
        <v/>
      </c>
      <c r="AD608" s="129" t="e">
        <f>VLOOKUP(VALUE($U608),test_out_xwalk!$C:$L,3,FALSE)</f>
        <v>#VALUE!</v>
      </c>
      <c r="AE608" s="129" t="e">
        <f>VLOOKUP(VALUE($U608),test_out_xwalk!$C:$L,5,FALSE)</f>
        <v>#VALUE!</v>
      </c>
      <c r="AF608" s="129" t="e">
        <f>VLOOKUP(VALUE($U608),test_out_xwalk!$C:$L,6,FALSE)</f>
        <v>#VALUE!</v>
      </c>
      <c r="AG608" s="129" t="e">
        <f>VLOOKUP(VALUE($U608),test_out_xwalk!$C:$L,8,FALSE)</f>
        <v>#VALUE!</v>
      </c>
      <c r="AH608" s="129" t="e">
        <f>VLOOKUP(VALUE($U608),test_out_xwalk!$C:$L,7,FALSE)</f>
        <v>#VALUE!</v>
      </c>
      <c r="AI608" s="129" t="e">
        <f>VLOOKUP(VALUE($U608),test_out_xwalk!$C:$L,4,FALSE)</f>
        <v>#VALUE!</v>
      </c>
      <c r="AJ608" s="129" t="e">
        <f>VLOOKUP(VALUE($U608),test_out_xwalk!$C:$L,9,FALSE)</f>
        <v>#VALUE!</v>
      </c>
      <c r="AK608" t="e">
        <f>_xlfn.XLOOKUP(VALUE(U608),test_out_xwalk!C:C,test_out_xwalk!A:A)</f>
        <v>#VALUE!</v>
      </c>
    </row>
    <row r="609" spans="1:37" x14ac:dyDescent="0.55000000000000004">
      <c r="A609" s="121" t="str">
        <f>IF('summary_EPA Pond'!$A609="","Check Summary EPA POND worksheet Column A",'summary_EPA Pond'!$A609)</f>
        <v>Check Summary EPA POND worksheet Column A</v>
      </c>
      <c r="B609" s="121" t="str" cm="1">
        <f t="array" ref="B609">IFERROR(_xlfn.TEXTSPLIT(A609,"_"),"")</f>
        <v>Check Summary EPA POND worksheet Column A</v>
      </c>
      <c r="H609" s="121" t="str" cm="1">
        <f t="array" ref="H609">IF(D609="","",(_xlfn.TEXTSPLIT(D609,"-")))</f>
        <v/>
      </c>
      <c r="K609" s="129" t="e">
        <f>VLOOKUP(VALUE($B609),test_out_xwalk!$C:$L,3,FALSE)</f>
        <v>#VALUE!</v>
      </c>
      <c r="L609" s="129" t="e">
        <f>VLOOKUP(VALUE($B609),test_out_xwalk!$C:$L,5,FALSE)</f>
        <v>#VALUE!</v>
      </c>
      <c r="M609" s="129" t="e">
        <f>VLOOKUP(VALUE($B609),test_out_xwalk!$C:$L,6,FALSE)</f>
        <v>#VALUE!</v>
      </c>
      <c r="N609" s="129" t="e">
        <f>VLOOKUP(VALUE($B609),test_out_xwalk!$C:$L,8,FALSE)</f>
        <v>#VALUE!</v>
      </c>
      <c r="O609" s="129" t="e">
        <f>VLOOKUP(VALUE($B609),test_out_xwalk!$C:$L,7,FALSE)</f>
        <v>#VALUE!</v>
      </c>
      <c r="P609" s="129" t="e">
        <f>VLOOKUP(VALUE($B609),test_out_xwalk!$C:$L,4,FALSE)</f>
        <v>#VALUE!</v>
      </c>
      <c r="Q609" s="129" t="e">
        <f>VLOOKUP(VALUE($B609),test_out_xwalk!$C:$L,9,FALSE)</f>
        <v>#VALUE!</v>
      </c>
      <c r="R609" t="e">
        <f>_xlfn.XLOOKUP(VALUE(B609),test_out_xwalk!$C:$C,test_out_xwalk!$A:$A)</f>
        <v>#VALUE!</v>
      </c>
      <c r="T609" s="121" t="str">
        <f>IF('summary_EPA Pond'!$O609="","Check Summary EPA POND worksheet Column O",'summary_EPA Pond'!$O609)</f>
        <v>Check Summary EPA POND worksheet Column O</v>
      </c>
      <c r="U609" s="121" t="str" cm="1">
        <f t="array" ref="U609">IFERROR(_xlfn.TEXTSPLIT(T609,"_"),"")</f>
        <v>Check Summary EPA POND worksheet Column O</v>
      </c>
      <c r="AA609" s="121" t="str" cm="1">
        <f t="array" ref="AA609">IF(W609="","",(_xlfn.TEXTSPLIT(W609,"-")))</f>
        <v/>
      </c>
      <c r="AD609" s="129" t="e">
        <f>VLOOKUP(VALUE($U609),test_out_xwalk!$C:$L,3,FALSE)</f>
        <v>#VALUE!</v>
      </c>
      <c r="AE609" s="129" t="e">
        <f>VLOOKUP(VALUE($U609),test_out_xwalk!$C:$L,5,FALSE)</f>
        <v>#VALUE!</v>
      </c>
      <c r="AF609" s="129" t="e">
        <f>VLOOKUP(VALUE($U609),test_out_xwalk!$C:$L,6,FALSE)</f>
        <v>#VALUE!</v>
      </c>
      <c r="AG609" s="129" t="e">
        <f>VLOOKUP(VALUE($U609),test_out_xwalk!$C:$L,8,FALSE)</f>
        <v>#VALUE!</v>
      </c>
      <c r="AH609" s="129" t="e">
        <f>VLOOKUP(VALUE($U609),test_out_xwalk!$C:$L,7,FALSE)</f>
        <v>#VALUE!</v>
      </c>
      <c r="AI609" s="129" t="e">
        <f>VLOOKUP(VALUE($U609),test_out_xwalk!$C:$L,4,FALSE)</f>
        <v>#VALUE!</v>
      </c>
      <c r="AJ609" s="129" t="e">
        <f>VLOOKUP(VALUE($U609),test_out_xwalk!$C:$L,9,FALSE)</f>
        <v>#VALUE!</v>
      </c>
      <c r="AK609" t="e">
        <f>_xlfn.XLOOKUP(VALUE(U609),test_out_xwalk!C:C,test_out_xwalk!A:A)</f>
        <v>#VALUE!</v>
      </c>
    </row>
    <row r="610" spans="1:37" x14ac:dyDescent="0.55000000000000004">
      <c r="A610" s="121" t="str">
        <f>IF('summary_EPA Pond'!$A610="","Check Summary EPA POND worksheet Column A",'summary_EPA Pond'!$A610)</f>
        <v>Check Summary EPA POND worksheet Column A</v>
      </c>
      <c r="B610" s="121" t="str" cm="1">
        <f t="array" ref="B610">IFERROR(_xlfn.TEXTSPLIT(A610,"_"),"")</f>
        <v>Check Summary EPA POND worksheet Column A</v>
      </c>
      <c r="H610" s="121" t="str" cm="1">
        <f t="array" ref="H610">IF(D610="","",(_xlfn.TEXTSPLIT(D610,"-")))</f>
        <v/>
      </c>
      <c r="K610" s="129" t="e">
        <f>VLOOKUP(VALUE($B610),test_out_xwalk!$C:$L,3,FALSE)</f>
        <v>#VALUE!</v>
      </c>
      <c r="L610" s="129" t="e">
        <f>VLOOKUP(VALUE($B610),test_out_xwalk!$C:$L,5,FALSE)</f>
        <v>#VALUE!</v>
      </c>
      <c r="M610" s="129" t="e">
        <f>VLOOKUP(VALUE($B610),test_out_xwalk!$C:$L,6,FALSE)</f>
        <v>#VALUE!</v>
      </c>
      <c r="N610" s="129" t="e">
        <f>VLOOKUP(VALUE($B610),test_out_xwalk!$C:$L,8,FALSE)</f>
        <v>#VALUE!</v>
      </c>
      <c r="O610" s="129" t="e">
        <f>VLOOKUP(VALUE($B610),test_out_xwalk!$C:$L,7,FALSE)</f>
        <v>#VALUE!</v>
      </c>
      <c r="P610" s="129" t="e">
        <f>VLOOKUP(VALUE($B610),test_out_xwalk!$C:$L,4,FALSE)</f>
        <v>#VALUE!</v>
      </c>
      <c r="Q610" s="129" t="e">
        <f>VLOOKUP(VALUE($B610),test_out_xwalk!$C:$L,9,FALSE)</f>
        <v>#VALUE!</v>
      </c>
      <c r="R610" t="e">
        <f>_xlfn.XLOOKUP(VALUE(B610),test_out_xwalk!$C:$C,test_out_xwalk!$A:$A)</f>
        <v>#VALUE!</v>
      </c>
      <c r="T610" s="121" t="str">
        <f>IF('summary_EPA Pond'!$O610="","Check Summary EPA POND worksheet Column O",'summary_EPA Pond'!$O610)</f>
        <v>Check Summary EPA POND worksheet Column O</v>
      </c>
      <c r="U610" s="121" t="str" cm="1">
        <f t="array" ref="U610">IFERROR(_xlfn.TEXTSPLIT(T610,"_"),"")</f>
        <v>Check Summary EPA POND worksheet Column O</v>
      </c>
      <c r="AA610" s="121" t="str" cm="1">
        <f t="array" ref="AA610">IF(W610="","",(_xlfn.TEXTSPLIT(W610,"-")))</f>
        <v/>
      </c>
      <c r="AD610" s="129" t="e">
        <f>VLOOKUP(VALUE($U610),test_out_xwalk!$C:$L,3,FALSE)</f>
        <v>#VALUE!</v>
      </c>
      <c r="AE610" s="129" t="e">
        <f>VLOOKUP(VALUE($U610),test_out_xwalk!$C:$L,5,FALSE)</f>
        <v>#VALUE!</v>
      </c>
      <c r="AF610" s="129" t="e">
        <f>VLOOKUP(VALUE($U610),test_out_xwalk!$C:$L,6,FALSE)</f>
        <v>#VALUE!</v>
      </c>
      <c r="AG610" s="129" t="e">
        <f>VLOOKUP(VALUE($U610),test_out_xwalk!$C:$L,8,FALSE)</f>
        <v>#VALUE!</v>
      </c>
      <c r="AH610" s="129" t="e">
        <f>VLOOKUP(VALUE($U610),test_out_xwalk!$C:$L,7,FALSE)</f>
        <v>#VALUE!</v>
      </c>
      <c r="AI610" s="129" t="e">
        <f>VLOOKUP(VALUE($U610),test_out_xwalk!$C:$L,4,FALSE)</f>
        <v>#VALUE!</v>
      </c>
      <c r="AJ610" s="129" t="e">
        <f>VLOOKUP(VALUE($U610),test_out_xwalk!$C:$L,9,FALSE)</f>
        <v>#VALUE!</v>
      </c>
      <c r="AK610" t="e">
        <f>_xlfn.XLOOKUP(VALUE(U610),test_out_xwalk!C:C,test_out_xwalk!A:A)</f>
        <v>#VALUE!</v>
      </c>
    </row>
    <row r="611" spans="1:37" x14ac:dyDescent="0.55000000000000004">
      <c r="A611" s="121" t="str">
        <f>IF('summary_EPA Pond'!$A611="","Check Summary EPA POND worksheet Column A",'summary_EPA Pond'!$A611)</f>
        <v>Check Summary EPA POND worksheet Column A</v>
      </c>
      <c r="B611" s="121" t="str" cm="1">
        <f t="array" ref="B611">IFERROR(_xlfn.TEXTSPLIT(A611,"_"),"")</f>
        <v>Check Summary EPA POND worksheet Column A</v>
      </c>
      <c r="H611" s="121" t="str" cm="1">
        <f t="array" ref="H611">IF(D611="","",(_xlfn.TEXTSPLIT(D611,"-")))</f>
        <v/>
      </c>
      <c r="K611" s="129" t="e">
        <f>VLOOKUP(VALUE($B611),test_out_xwalk!$C:$L,3,FALSE)</f>
        <v>#VALUE!</v>
      </c>
      <c r="L611" s="129" t="e">
        <f>VLOOKUP(VALUE($B611),test_out_xwalk!$C:$L,5,FALSE)</f>
        <v>#VALUE!</v>
      </c>
      <c r="M611" s="129" t="e">
        <f>VLOOKUP(VALUE($B611),test_out_xwalk!$C:$L,6,FALSE)</f>
        <v>#VALUE!</v>
      </c>
      <c r="N611" s="129" t="e">
        <f>VLOOKUP(VALUE($B611),test_out_xwalk!$C:$L,8,FALSE)</f>
        <v>#VALUE!</v>
      </c>
      <c r="O611" s="129" t="e">
        <f>VLOOKUP(VALUE($B611),test_out_xwalk!$C:$L,7,FALSE)</f>
        <v>#VALUE!</v>
      </c>
      <c r="P611" s="129" t="e">
        <f>VLOOKUP(VALUE($B611),test_out_xwalk!$C:$L,4,FALSE)</f>
        <v>#VALUE!</v>
      </c>
      <c r="Q611" s="129" t="e">
        <f>VLOOKUP(VALUE($B611),test_out_xwalk!$C:$L,9,FALSE)</f>
        <v>#VALUE!</v>
      </c>
      <c r="R611" t="e">
        <f>_xlfn.XLOOKUP(VALUE(B611),test_out_xwalk!$C:$C,test_out_xwalk!$A:$A)</f>
        <v>#VALUE!</v>
      </c>
      <c r="T611" s="121" t="str">
        <f>IF('summary_EPA Pond'!$O611="","Check Summary EPA POND worksheet Column O",'summary_EPA Pond'!$O611)</f>
        <v>Check Summary EPA POND worksheet Column O</v>
      </c>
      <c r="U611" s="121" t="str" cm="1">
        <f t="array" ref="U611">IFERROR(_xlfn.TEXTSPLIT(T611,"_"),"")</f>
        <v>Check Summary EPA POND worksheet Column O</v>
      </c>
      <c r="AA611" s="121" t="str" cm="1">
        <f t="array" ref="AA611">IF(W611="","",(_xlfn.TEXTSPLIT(W611,"-")))</f>
        <v/>
      </c>
      <c r="AD611" s="129" t="e">
        <f>VLOOKUP(VALUE($U611),test_out_xwalk!$C:$L,3,FALSE)</f>
        <v>#VALUE!</v>
      </c>
      <c r="AE611" s="129" t="e">
        <f>VLOOKUP(VALUE($U611),test_out_xwalk!$C:$L,5,FALSE)</f>
        <v>#VALUE!</v>
      </c>
      <c r="AF611" s="129" t="e">
        <f>VLOOKUP(VALUE($U611),test_out_xwalk!$C:$L,6,FALSE)</f>
        <v>#VALUE!</v>
      </c>
      <c r="AG611" s="129" t="e">
        <f>VLOOKUP(VALUE($U611),test_out_xwalk!$C:$L,8,FALSE)</f>
        <v>#VALUE!</v>
      </c>
      <c r="AH611" s="129" t="e">
        <f>VLOOKUP(VALUE($U611),test_out_xwalk!$C:$L,7,FALSE)</f>
        <v>#VALUE!</v>
      </c>
      <c r="AI611" s="129" t="e">
        <f>VLOOKUP(VALUE($U611),test_out_xwalk!$C:$L,4,FALSE)</f>
        <v>#VALUE!</v>
      </c>
      <c r="AJ611" s="129" t="e">
        <f>VLOOKUP(VALUE($U611),test_out_xwalk!$C:$L,9,FALSE)</f>
        <v>#VALUE!</v>
      </c>
      <c r="AK611" t="e">
        <f>_xlfn.XLOOKUP(VALUE(U611),test_out_xwalk!C:C,test_out_xwalk!A:A)</f>
        <v>#VALUE!</v>
      </c>
    </row>
    <row r="612" spans="1:37" x14ac:dyDescent="0.55000000000000004">
      <c r="A612" s="121" t="str">
        <f>IF('summary_EPA Pond'!$A612="","Check Summary EPA POND worksheet Column A",'summary_EPA Pond'!$A612)</f>
        <v>Check Summary EPA POND worksheet Column A</v>
      </c>
      <c r="B612" s="121" t="str" cm="1">
        <f t="array" ref="B612">IFERROR(_xlfn.TEXTSPLIT(A612,"_"),"")</f>
        <v>Check Summary EPA POND worksheet Column A</v>
      </c>
      <c r="H612" s="121" t="str" cm="1">
        <f t="array" ref="H612">IF(D612="","",(_xlfn.TEXTSPLIT(D612,"-")))</f>
        <v/>
      </c>
      <c r="K612" s="129" t="e">
        <f>VLOOKUP(VALUE($B612),test_out_xwalk!$C:$L,3,FALSE)</f>
        <v>#VALUE!</v>
      </c>
      <c r="L612" s="129" t="e">
        <f>VLOOKUP(VALUE($B612),test_out_xwalk!$C:$L,5,FALSE)</f>
        <v>#VALUE!</v>
      </c>
      <c r="M612" s="129" t="e">
        <f>VLOOKUP(VALUE($B612),test_out_xwalk!$C:$L,6,FALSE)</f>
        <v>#VALUE!</v>
      </c>
      <c r="N612" s="129" t="e">
        <f>VLOOKUP(VALUE($B612),test_out_xwalk!$C:$L,8,FALSE)</f>
        <v>#VALUE!</v>
      </c>
      <c r="O612" s="129" t="e">
        <f>VLOOKUP(VALUE($B612),test_out_xwalk!$C:$L,7,FALSE)</f>
        <v>#VALUE!</v>
      </c>
      <c r="P612" s="129" t="e">
        <f>VLOOKUP(VALUE($B612),test_out_xwalk!$C:$L,4,FALSE)</f>
        <v>#VALUE!</v>
      </c>
      <c r="Q612" s="129" t="e">
        <f>VLOOKUP(VALUE($B612),test_out_xwalk!$C:$L,9,FALSE)</f>
        <v>#VALUE!</v>
      </c>
      <c r="R612" t="e">
        <f>_xlfn.XLOOKUP(VALUE(B612),test_out_xwalk!$C:$C,test_out_xwalk!$A:$A)</f>
        <v>#VALUE!</v>
      </c>
      <c r="T612" s="121" t="str">
        <f>IF('summary_EPA Pond'!$O612="","Check Summary EPA POND worksheet Column O",'summary_EPA Pond'!$O612)</f>
        <v>Check Summary EPA POND worksheet Column O</v>
      </c>
      <c r="U612" s="121" t="str" cm="1">
        <f t="array" ref="U612">IFERROR(_xlfn.TEXTSPLIT(T612,"_"),"")</f>
        <v>Check Summary EPA POND worksheet Column O</v>
      </c>
      <c r="AA612" s="121" t="str" cm="1">
        <f t="array" ref="AA612">IF(W612="","",(_xlfn.TEXTSPLIT(W612,"-")))</f>
        <v/>
      </c>
      <c r="AD612" s="129" t="e">
        <f>VLOOKUP(VALUE($U612),test_out_xwalk!$C:$L,3,FALSE)</f>
        <v>#VALUE!</v>
      </c>
      <c r="AE612" s="129" t="e">
        <f>VLOOKUP(VALUE($U612),test_out_xwalk!$C:$L,5,FALSE)</f>
        <v>#VALUE!</v>
      </c>
      <c r="AF612" s="129" t="e">
        <f>VLOOKUP(VALUE($U612),test_out_xwalk!$C:$L,6,FALSE)</f>
        <v>#VALUE!</v>
      </c>
      <c r="AG612" s="129" t="e">
        <f>VLOOKUP(VALUE($U612),test_out_xwalk!$C:$L,8,FALSE)</f>
        <v>#VALUE!</v>
      </c>
      <c r="AH612" s="129" t="e">
        <f>VLOOKUP(VALUE($U612),test_out_xwalk!$C:$L,7,FALSE)</f>
        <v>#VALUE!</v>
      </c>
      <c r="AI612" s="129" t="e">
        <f>VLOOKUP(VALUE($U612),test_out_xwalk!$C:$L,4,FALSE)</f>
        <v>#VALUE!</v>
      </c>
      <c r="AJ612" s="129" t="e">
        <f>VLOOKUP(VALUE($U612),test_out_xwalk!$C:$L,9,FALSE)</f>
        <v>#VALUE!</v>
      </c>
      <c r="AK612" t="e">
        <f>_xlfn.XLOOKUP(VALUE(U612),test_out_xwalk!C:C,test_out_xwalk!A:A)</f>
        <v>#VALUE!</v>
      </c>
    </row>
    <row r="613" spans="1:37" x14ac:dyDescent="0.55000000000000004">
      <c r="A613" s="121" t="str">
        <f>IF('summary_EPA Pond'!$A613="","Check Summary EPA POND worksheet Column A",'summary_EPA Pond'!$A613)</f>
        <v>Check Summary EPA POND worksheet Column A</v>
      </c>
      <c r="B613" s="121" t="str" cm="1">
        <f t="array" ref="B613">IFERROR(_xlfn.TEXTSPLIT(A613,"_"),"")</f>
        <v>Check Summary EPA POND worksheet Column A</v>
      </c>
      <c r="H613" s="121" t="str" cm="1">
        <f t="array" ref="H613">IF(D613="","",(_xlfn.TEXTSPLIT(D613,"-")))</f>
        <v/>
      </c>
      <c r="K613" s="129" t="e">
        <f>VLOOKUP(VALUE($B613),test_out_xwalk!$C:$L,3,FALSE)</f>
        <v>#VALUE!</v>
      </c>
      <c r="L613" s="129" t="e">
        <f>VLOOKUP(VALUE($B613),test_out_xwalk!$C:$L,5,FALSE)</f>
        <v>#VALUE!</v>
      </c>
      <c r="M613" s="129" t="e">
        <f>VLOOKUP(VALUE($B613),test_out_xwalk!$C:$L,6,FALSE)</f>
        <v>#VALUE!</v>
      </c>
      <c r="N613" s="129" t="e">
        <f>VLOOKUP(VALUE($B613),test_out_xwalk!$C:$L,8,FALSE)</f>
        <v>#VALUE!</v>
      </c>
      <c r="O613" s="129" t="e">
        <f>VLOOKUP(VALUE($B613),test_out_xwalk!$C:$L,7,FALSE)</f>
        <v>#VALUE!</v>
      </c>
      <c r="P613" s="129" t="e">
        <f>VLOOKUP(VALUE($B613),test_out_xwalk!$C:$L,4,FALSE)</f>
        <v>#VALUE!</v>
      </c>
      <c r="Q613" s="129" t="e">
        <f>VLOOKUP(VALUE($B613),test_out_xwalk!$C:$L,9,FALSE)</f>
        <v>#VALUE!</v>
      </c>
      <c r="R613" t="e">
        <f>_xlfn.XLOOKUP(VALUE(B613),test_out_xwalk!$C:$C,test_out_xwalk!$A:$A)</f>
        <v>#VALUE!</v>
      </c>
      <c r="T613" s="121" t="str">
        <f>IF('summary_EPA Pond'!$O613="","Check Summary EPA POND worksheet Column O",'summary_EPA Pond'!$O613)</f>
        <v>Check Summary EPA POND worksheet Column O</v>
      </c>
      <c r="U613" s="121" t="str" cm="1">
        <f t="array" ref="U613">IFERROR(_xlfn.TEXTSPLIT(T613,"_"),"")</f>
        <v>Check Summary EPA POND worksheet Column O</v>
      </c>
      <c r="AA613" s="121" t="str" cm="1">
        <f t="array" ref="AA613">IF(W613="","",(_xlfn.TEXTSPLIT(W613,"-")))</f>
        <v/>
      </c>
      <c r="AD613" s="129" t="e">
        <f>VLOOKUP(VALUE($U613),test_out_xwalk!$C:$L,3,FALSE)</f>
        <v>#VALUE!</v>
      </c>
      <c r="AE613" s="129" t="e">
        <f>VLOOKUP(VALUE($U613),test_out_xwalk!$C:$L,5,FALSE)</f>
        <v>#VALUE!</v>
      </c>
      <c r="AF613" s="129" t="e">
        <f>VLOOKUP(VALUE($U613),test_out_xwalk!$C:$L,6,FALSE)</f>
        <v>#VALUE!</v>
      </c>
      <c r="AG613" s="129" t="e">
        <f>VLOOKUP(VALUE($U613),test_out_xwalk!$C:$L,8,FALSE)</f>
        <v>#VALUE!</v>
      </c>
      <c r="AH613" s="129" t="e">
        <f>VLOOKUP(VALUE($U613),test_out_xwalk!$C:$L,7,FALSE)</f>
        <v>#VALUE!</v>
      </c>
      <c r="AI613" s="129" t="e">
        <f>VLOOKUP(VALUE($U613),test_out_xwalk!$C:$L,4,FALSE)</f>
        <v>#VALUE!</v>
      </c>
      <c r="AJ613" s="129" t="e">
        <f>VLOOKUP(VALUE($U613),test_out_xwalk!$C:$L,9,FALSE)</f>
        <v>#VALUE!</v>
      </c>
      <c r="AK613" t="e">
        <f>_xlfn.XLOOKUP(VALUE(U613),test_out_xwalk!C:C,test_out_xwalk!A:A)</f>
        <v>#VALUE!</v>
      </c>
    </row>
    <row r="614" spans="1:37" x14ac:dyDescent="0.55000000000000004">
      <c r="A614" s="121" t="str">
        <f>IF('summary_EPA Pond'!$A614="","Check Summary EPA POND worksheet Column A",'summary_EPA Pond'!$A614)</f>
        <v>Check Summary EPA POND worksheet Column A</v>
      </c>
      <c r="B614" s="121" t="str" cm="1">
        <f t="array" ref="B614">IFERROR(_xlfn.TEXTSPLIT(A614,"_"),"")</f>
        <v>Check Summary EPA POND worksheet Column A</v>
      </c>
      <c r="H614" s="121" t="str" cm="1">
        <f t="array" ref="H614">IF(D614="","",(_xlfn.TEXTSPLIT(D614,"-")))</f>
        <v/>
      </c>
      <c r="K614" s="129" t="e">
        <f>VLOOKUP(VALUE($B614),test_out_xwalk!$C:$L,3,FALSE)</f>
        <v>#VALUE!</v>
      </c>
      <c r="L614" s="129" t="e">
        <f>VLOOKUP(VALUE($B614),test_out_xwalk!$C:$L,5,FALSE)</f>
        <v>#VALUE!</v>
      </c>
      <c r="M614" s="129" t="e">
        <f>VLOOKUP(VALUE($B614),test_out_xwalk!$C:$L,6,FALSE)</f>
        <v>#VALUE!</v>
      </c>
      <c r="N614" s="129" t="e">
        <f>VLOOKUP(VALUE($B614),test_out_xwalk!$C:$L,8,FALSE)</f>
        <v>#VALUE!</v>
      </c>
      <c r="O614" s="129" t="e">
        <f>VLOOKUP(VALUE($B614),test_out_xwalk!$C:$L,7,FALSE)</f>
        <v>#VALUE!</v>
      </c>
      <c r="P614" s="129" t="e">
        <f>VLOOKUP(VALUE($B614),test_out_xwalk!$C:$L,4,FALSE)</f>
        <v>#VALUE!</v>
      </c>
      <c r="Q614" s="129" t="e">
        <f>VLOOKUP(VALUE($B614),test_out_xwalk!$C:$L,9,FALSE)</f>
        <v>#VALUE!</v>
      </c>
      <c r="R614" t="e">
        <f>_xlfn.XLOOKUP(VALUE(B614),test_out_xwalk!$C:$C,test_out_xwalk!$A:$A)</f>
        <v>#VALUE!</v>
      </c>
      <c r="T614" s="121" t="str">
        <f>IF('summary_EPA Pond'!$O614="","Check Summary EPA POND worksheet Column O",'summary_EPA Pond'!$O614)</f>
        <v>Check Summary EPA POND worksheet Column O</v>
      </c>
      <c r="U614" s="121" t="str" cm="1">
        <f t="array" ref="U614">IFERROR(_xlfn.TEXTSPLIT(T614,"_"),"")</f>
        <v>Check Summary EPA POND worksheet Column O</v>
      </c>
      <c r="AA614" s="121" t="str" cm="1">
        <f t="array" ref="AA614">IF(W614="","",(_xlfn.TEXTSPLIT(W614,"-")))</f>
        <v/>
      </c>
      <c r="AD614" s="129" t="e">
        <f>VLOOKUP(VALUE($U614),test_out_xwalk!$C:$L,3,FALSE)</f>
        <v>#VALUE!</v>
      </c>
      <c r="AE614" s="129" t="e">
        <f>VLOOKUP(VALUE($U614),test_out_xwalk!$C:$L,5,FALSE)</f>
        <v>#VALUE!</v>
      </c>
      <c r="AF614" s="129" t="e">
        <f>VLOOKUP(VALUE($U614),test_out_xwalk!$C:$L,6,FALSE)</f>
        <v>#VALUE!</v>
      </c>
      <c r="AG614" s="129" t="e">
        <f>VLOOKUP(VALUE($U614),test_out_xwalk!$C:$L,8,FALSE)</f>
        <v>#VALUE!</v>
      </c>
      <c r="AH614" s="129" t="e">
        <f>VLOOKUP(VALUE($U614),test_out_xwalk!$C:$L,7,FALSE)</f>
        <v>#VALUE!</v>
      </c>
      <c r="AI614" s="129" t="e">
        <f>VLOOKUP(VALUE($U614),test_out_xwalk!$C:$L,4,FALSE)</f>
        <v>#VALUE!</v>
      </c>
      <c r="AJ614" s="129" t="e">
        <f>VLOOKUP(VALUE($U614),test_out_xwalk!$C:$L,9,FALSE)</f>
        <v>#VALUE!</v>
      </c>
      <c r="AK614" t="e">
        <f>_xlfn.XLOOKUP(VALUE(U614),test_out_xwalk!C:C,test_out_xwalk!A:A)</f>
        <v>#VALUE!</v>
      </c>
    </row>
    <row r="615" spans="1:37" x14ac:dyDescent="0.55000000000000004">
      <c r="A615" s="121" t="str">
        <f>IF('summary_EPA Pond'!$A615="","Check Summary EPA POND worksheet Column A",'summary_EPA Pond'!$A615)</f>
        <v>Check Summary EPA POND worksheet Column A</v>
      </c>
      <c r="B615" s="121" t="str" cm="1">
        <f t="array" ref="B615">IFERROR(_xlfn.TEXTSPLIT(A615,"_"),"")</f>
        <v>Check Summary EPA POND worksheet Column A</v>
      </c>
      <c r="H615" s="121" t="str" cm="1">
        <f t="array" ref="H615">IF(D615="","",(_xlfn.TEXTSPLIT(D615,"-")))</f>
        <v/>
      </c>
      <c r="K615" s="129" t="e">
        <f>VLOOKUP(VALUE($B615),test_out_xwalk!$C:$L,3,FALSE)</f>
        <v>#VALUE!</v>
      </c>
      <c r="L615" s="129" t="e">
        <f>VLOOKUP(VALUE($B615),test_out_xwalk!$C:$L,5,FALSE)</f>
        <v>#VALUE!</v>
      </c>
      <c r="M615" s="129" t="e">
        <f>VLOOKUP(VALUE($B615),test_out_xwalk!$C:$L,6,FALSE)</f>
        <v>#VALUE!</v>
      </c>
      <c r="N615" s="129" t="e">
        <f>VLOOKUP(VALUE($B615),test_out_xwalk!$C:$L,8,FALSE)</f>
        <v>#VALUE!</v>
      </c>
      <c r="O615" s="129" t="e">
        <f>VLOOKUP(VALUE($B615),test_out_xwalk!$C:$L,7,FALSE)</f>
        <v>#VALUE!</v>
      </c>
      <c r="P615" s="129" t="e">
        <f>VLOOKUP(VALUE($B615),test_out_xwalk!$C:$L,4,FALSE)</f>
        <v>#VALUE!</v>
      </c>
      <c r="Q615" s="129" t="e">
        <f>VLOOKUP(VALUE($B615),test_out_xwalk!$C:$L,9,FALSE)</f>
        <v>#VALUE!</v>
      </c>
      <c r="R615" t="e">
        <f>_xlfn.XLOOKUP(VALUE(B615),test_out_xwalk!$C:$C,test_out_xwalk!$A:$A)</f>
        <v>#VALUE!</v>
      </c>
      <c r="T615" s="121" t="str">
        <f>IF('summary_EPA Pond'!$O615="","Check Summary EPA POND worksheet Column O",'summary_EPA Pond'!$O615)</f>
        <v>Check Summary EPA POND worksheet Column O</v>
      </c>
      <c r="U615" s="121" t="str" cm="1">
        <f t="array" ref="U615">IFERROR(_xlfn.TEXTSPLIT(T615,"_"),"")</f>
        <v>Check Summary EPA POND worksheet Column O</v>
      </c>
      <c r="AA615" s="121" t="str" cm="1">
        <f t="array" ref="AA615">IF(W615="","",(_xlfn.TEXTSPLIT(W615,"-")))</f>
        <v/>
      </c>
      <c r="AD615" s="129" t="e">
        <f>VLOOKUP(VALUE($U615),test_out_xwalk!$C:$L,3,FALSE)</f>
        <v>#VALUE!</v>
      </c>
      <c r="AE615" s="129" t="e">
        <f>VLOOKUP(VALUE($U615),test_out_xwalk!$C:$L,5,FALSE)</f>
        <v>#VALUE!</v>
      </c>
      <c r="AF615" s="129" t="e">
        <f>VLOOKUP(VALUE($U615),test_out_xwalk!$C:$L,6,FALSE)</f>
        <v>#VALUE!</v>
      </c>
      <c r="AG615" s="129" t="e">
        <f>VLOOKUP(VALUE($U615),test_out_xwalk!$C:$L,8,FALSE)</f>
        <v>#VALUE!</v>
      </c>
      <c r="AH615" s="129" t="e">
        <f>VLOOKUP(VALUE($U615),test_out_xwalk!$C:$L,7,FALSE)</f>
        <v>#VALUE!</v>
      </c>
      <c r="AI615" s="129" t="e">
        <f>VLOOKUP(VALUE($U615),test_out_xwalk!$C:$L,4,FALSE)</f>
        <v>#VALUE!</v>
      </c>
      <c r="AJ615" s="129" t="e">
        <f>VLOOKUP(VALUE($U615),test_out_xwalk!$C:$L,9,FALSE)</f>
        <v>#VALUE!</v>
      </c>
      <c r="AK615" t="e">
        <f>_xlfn.XLOOKUP(VALUE(U615),test_out_xwalk!C:C,test_out_xwalk!A:A)</f>
        <v>#VALUE!</v>
      </c>
    </row>
    <row r="616" spans="1:37" x14ac:dyDescent="0.55000000000000004">
      <c r="A616" s="121" t="str">
        <f>IF('summary_EPA Pond'!$A616="","Check Summary EPA POND worksheet Column A",'summary_EPA Pond'!$A616)</f>
        <v>Check Summary EPA POND worksheet Column A</v>
      </c>
      <c r="B616" s="121" t="str" cm="1">
        <f t="array" ref="B616">IFERROR(_xlfn.TEXTSPLIT(A616,"_"),"")</f>
        <v>Check Summary EPA POND worksheet Column A</v>
      </c>
      <c r="H616" s="121" t="str" cm="1">
        <f t="array" ref="H616">IF(D616="","",(_xlfn.TEXTSPLIT(D616,"-")))</f>
        <v/>
      </c>
      <c r="K616" s="129" t="e">
        <f>VLOOKUP(VALUE($B616),test_out_xwalk!$C:$L,3,FALSE)</f>
        <v>#VALUE!</v>
      </c>
      <c r="L616" s="129" t="e">
        <f>VLOOKUP(VALUE($B616),test_out_xwalk!$C:$L,5,FALSE)</f>
        <v>#VALUE!</v>
      </c>
      <c r="M616" s="129" t="e">
        <f>VLOOKUP(VALUE($B616),test_out_xwalk!$C:$L,6,FALSE)</f>
        <v>#VALUE!</v>
      </c>
      <c r="N616" s="129" t="e">
        <f>VLOOKUP(VALUE($B616),test_out_xwalk!$C:$L,8,FALSE)</f>
        <v>#VALUE!</v>
      </c>
      <c r="O616" s="129" t="e">
        <f>VLOOKUP(VALUE($B616),test_out_xwalk!$C:$L,7,FALSE)</f>
        <v>#VALUE!</v>
      </c>
      <c r="P616" s="129" t="e">
        <f>VLOOKUP(VALUE($B616),test_out_xwalk!$C:$L,4,FALSE)</f>
        <v>#VALUE!</v>
      </c>
      <c r="Q616" s="129" t="e">
        <f>VLOOKUP(VALUE($B616),test_out_xwalk!$C:$L,9,FALSE)</f>
        <v>#VALUE!</v>
      </c>
      <c r="R616" t="e">
        <f>_xlfn.XLOOKUP(VALUE(B616),test_out_xwalk!$C:$C,test_out_xwalk!$A:$A)</f>
        <v>#VALUE!</v>
      </c>
      <c r="T616" s="121" t="str">
        <f>IF('summary_EPA Pond'!$O616="","Check Summary EPA POND worksheet Column O",'summary_EPA Pond'!$O616)</f>
        <v>Check Summary EPA POND worksheet Column O</v>
      </c>
      <c r="U616" s="121" t="str" cm="1">
        <f t="array" ref="U616">IFERROR(_xlfn.TEXTSPLIT(T616,"_"),"")</f>
        <v>Check Summary EPA POND worksheet Column O</v>
      </c>
      <c r="AA616" s="121" t="str" cm="1">
        <f t="array" ref="AA616">IF(W616="","",(_xlfn.TEXTSPLIT(W616,"-")))</f>
        <v/>
      </c>
      <c r="AD616" s="129" t="e">
        <f>VLOOKUP(VALUE($U616),test_out_xwalk!$C:$L,3,FALSE)</f>
        <v>#VALUE!</v>
      </c>
      <c r="AE616" s="129" t="e">
        <f>VLOOKUP(VALUE($U616),test_out_xwalk!$C:$L,5,FALSE)</f>
        <v>#VALUE!</v>
      </c>
      <c r="AF616" s="129" t="e">
        <f>VLOOKUP(VALUE($U616),test_out_xwalk!$C:$L,6,FALSE)</f>
        <v>#VALUE!</v>
      </c>
      <c r="AG616" s="129" t="e">
        <f>VLOOKUP(VALUE($U616),test_out_xwalk!$C:$L,8,FALSE)</f>
        <v>#VALUE!</v>
      </c>
      <c r="AH616" s="129" t="e">
        <f>VLOOKUP(VALUE($U616),test_out_xwalk!$C:$L,7,FALSE)</f>
        <v>#VALUE!</v>
      </c>
      <c r="AI616" s="129" t="e">
        <f>VLOOKUP(VALUE($U616),test_out_xwalk!$C:$L,4,FALSE)</f>
        <v>#VALUE!</v>
      </c>
      <c r="AJ616" s="129" t="e">
        <f>VLOOKUP(VALUE($U616),test_out_xwalk!$C:$L,9,FALSE)</f>
        <v>#VALUE!</v>
      </c>
      <c r="AK616" t="e">
        <f>_xlfn.XLOOKUP(VALUE(U616),test_out_xwalk!C:C,test_out_xwalk!A:A)</f>
        <v>#VALUE!</v>
      </c>
    </row>
    <row r="617" spans="1:37" x14ac:dyDescent="0.55000000000000004">
      <c r="A617" s="121" t="str">
        <f>IF('summary_EPA Pond'!$A617="","Check Summary EPA POND worksheet Column A",'summary_EPA Pond'!$A617)</f>
        <v>Check Summary EPA POND worksheet Column A</v>
      </c>
      <c r="B617" s="121" t="str" cm="1">
        <f t="array" ref="B617">IFERROR(_xlfn.TEXTSPLIT(A617,"_"),"")</f>
        <v>Check Summary EPA POND worksheet Column A</v>
      </c>
      <c r="H617" s="121" t="str" cm="1">
        <f t="array" ref="H617">IF(D617="","",(_xlfn.TEXTSPLIT(D617,"-")))</f>
        <v/>
      </c>
      <c r="K617" s="129" t="e">
        <f>VLOOKUP(VALUE($B617),test_out_xwalk!$C:$L,3,FALSE)</f>
        <v>#VALUE!</v>
      </c>
      <c r="L617" s="129" t="e">
        <f>VLOOKUP(VALUE($B617),test_out_xwalk!$C:$L,5,FALSE)</f>
        <v>#VALUE!</v>
      </c>
      <c r="M617" s="129" t="e">
        <f>VLOOKUP(VALUE($B617),test_out_xwalk!$C:$L,6,FALSE)</f>
        <v>#VALUE!</v>
      </c>
      <c r="N617" s="129" t="e">
        <f>VLOOKUP(VALUE($B617),test_out_xwalk!$C:$L,8,FALSE)</f>
        <v>#VALUE!</v>
      </c>
      <c r="O617" s="129" t="e">
        <f>VLOOKUP(VALUE($B617),test_out_xwalk!$C:$L,7,FALSE)</f>
        <v>#VALUE!</v>
      </c>
      <c r="P617" s="129" t="e">
        <f>VLOOKUP(VALUE($B617),test_out_xwalk!$C:$L,4,FALSE)</f>
        <v>#VALUE!</v>
      </c>
      <c r="Q617" s="129" t="e">
        <f>VLOOKUP(VALUE($B617),test_out_xwalk!$C:$L,9,FALSE)</f>
        <v>#VALUE!</v>
      </c>
      <c r="R617" t="e">
        <f>_xlfn.XLOOKUP(VALUE(B617),test_out_xwalk!$C:$C,test_out_xwalk!$A:$A)</f>
        <v>#VALUE!</v>
      </c>
      <c r="T617" s="121" t="str">
        <f>IF('summary_EPA Pond'!$O617="","Check Summary EPA POND worksheet Column O",'summary_EPA Pond'!$O617)</f>
        <v>Check Summary EPA POND worksheet Column O</v>
      </c>
      <c r="U617" s="121" t="str" cm="1">
        <f t="array" ref="U617">IFERROR(_xlfn.TEXTSPLIT(T617,"_"),"")</f>
        <v>Check Summary EPA POND worksheet Column O</v>
      </c>
      <c r="AA617" s="121" t="str" cm="1">
        <f t="array" ref="AA617">IF(W617="","",(_xlfn.TEXTSPLIT(W617,"-")))</f>
        <v/>
      </c>
      <c r="AD617" s="129" t="e">
        <f>VLOOKUP(VALUE($U617),test_out_xwalk!$C:$L,3,FALSE)</f>
        <v>#VALUE!</v>
      </c>
      <c r="AE617" s="129" t="e">
        <f>VLOOKUP(VALUE($U617),test_out_xwalk!$C:$L,5,FALSE)</f>
        <v>#VALUE!</v>
      </c>
      <c r="AF617" s="129" t="e">
        <f>VLOOKUP(VALUE($U617),test_out_xwalk!$C:$L,6,FALSE)</f>
        <v>#VALUE!</v>
      </c>
      <c r="AG617" s="129" t="e">
        <f>VLOOKUP(VALUE($U617),test_out_xwalk!$C:$L,8,FALSE)</f>
        <v>#VALUE!</v>
      </c>
      <c r="AH617" s="129" t="e">
        <f>VLOOKUP(VALUE($U617),test_out_xwalk!$C:$L,7,FALSE)</f>
        <v>#VALUE!</v>
      </c>
      <c r="AI617" s="129" t="e">
        <f>VLOOKUP(VALUE($U617),test_out_xwalk!$C:$L,4,FALSE)</f>
        <v>#VALUE!</v>
      </c>
      <c r="AJ617" s="129" t="e">
        <f>VLOOKUP(VALUE($U617),test_out_xwalk!$C:$L,9,FALSE)</f>
        <v>#VALUE!</v>
      </c>
      <c r="AK617" t="e">
        <f>_xlfn.XLOOKUP(VALUE(U617),test_out_xwalk!C:C,test_out_xwalk!A:A)</f>
        <v>#VALUE!</v>
      </c>
    </row>
    <row r="618" spans="1:37" x14ac:dyDescent="0.55000000000000004">
      <c r="A618" s="121" t="str">
        <f>IF('summary_EPA Pond'!$A618="","Check Summary EPA POND worksheet Column A",'summary_EPA Pond'!$A618)</f>
        <v>Check Summary EPA POND worksheet Column A</v>
      </c>
      <c r="B618" s="121" t="str" cm="1">
        <f t="array" ref="B618">IFERROR(_xlfn.TEXTSPLIT(A618,"_"),"")</f>
        <v>Check Summary EPA POND worksheet Column A</v>
      </c>
      <c r="H618" s="121" t="str" cm="1">
        <f t="array" ref="H618">IF(D618="","",(_xlfn.TEXTSPLIT(D618,"-")))</f>
        <v/>
      </c>
      <c r="K618" s="129" t="e">
        <f>VLOOKUP(VALUE($B618),test_out_xwalk!$C:$L,3,FALSE)</f>
        <v>#VALUE!</v>
      </c>
      <c r="L618" s="129" t="e">
        <f>VLOOKUP(VALUE($B618),test_out_xwalk!$C:$L,5,FALSE)</f>
        <v>#VALUE!</v>
      </c>
      <c r="M618" s="129" t="e">
        <f>VLOOKUP(VALUE($B618),test_out_xwalk!$C:$L,6,FALSE)</f>
        <v>#VALUE!</v>
      </c>
      <c r="N618" s="129" t="e">
        <f>VLOOKUP(VALUE($B618),test_out_xwalk!$C:$L,8,FALSE)</f>
        <v>#VALUE!</v>
      </c>
      <c r="O618" s="129" t="e">
        <f>VLOOKUP(VALUE($B618),test_out_xwalk!$C:$L,7,FALSE)</f>
        <v>#VALUE!</v>
      </c>
      <c r="P618" s="129" t="e">
        <f>VLOOKUP(VALUE($B618),test_out_xwalk!$C:$L,4,FALSE)</f>
        <v>#VALUE!</v>
      </c>
      <c r="Q618" s="129" t="e">
        <f>VLOOKUP(VALUE($B618),test_out_xwalk!$C:$L,9,FALSE)</f>
        <v>#VALUE!</v>
      </c>
      <c r="R618" t="e">
        <f>_xlfn.XLOOKUP(VALUE(B618),test_out_xwalk!$C:$C,test_out_xwalk!$A:$A)</f>
        <v>#VALUE!</v>
      </c>
      <c r="T618" s="121" t="str">
        <f>IF('summary_EPA Pond'!$O618="","Check Summary EPA POND worksheet Column O",'summary_EPA Pond'!$O618)</f>
        <v>Check Summary EPA POND worksheet Column O</v>
      </c>
      <c r="U618" s="121" t="str" cm="1">
        <f t="array" ref="U618">IFERROR(_xlfn.TEXTSPLIT(T618,"_"),"")</f>
        <v>Check Summary EPA POND worksheet Column O</v>
      </c>
      <c r="AA618" s="121" t="str" cm="1">
        <f t="array" ref="AA618">IF(W618="","",(_xlfn.TEXTSPLIT(W618,"-")))</f>
        <v/>
      </c>
      <c r="AD618" s="129" t="e">
        <f>VLOOKUP(VALUE($U618),test_out_xwalk!$C:$L,3,FALSE)</f>
        <v>#VALUE!</v>
      </c>
      <c r="AE618" s="129" t="e">
        <f>VLOOKUP(VALUE($U618),test_out_xwalk!$C:$L,5,FALSE)</f>
        <v>#VALUE!</v>
      </c>
      <c r="AF618" s="129" t="e">
        <f>VLOOKUP(VALUE($U618),test_out_xwalk!$C:$L,6,FALSE)</f>
        <v>#VALUE!</v>
      </c>
      <c r="AG618" s="129" t="e">
        <f>VLOOKUP(VALUE($U618),test_out_xwalk!$C:$L,8,FALSE)</f>
        <v>#VALUE!</v>
      </c>
      <c r="AH618" s="129" t="e">
        <f>VLOOKUP(VALUE($U618),test_out_xwalk!$C:$L,7,FALSE)</f>
        <v>#VALUE!</v>
      </c>
      <c r="AI618" s="129" t="e">
        <f>VLOOKUP(VALUE($U618),test_out_xwalk!$C:$L,4,FALSE)</f>
        <v>#VALUE!</v>
      </c>
      <c r="AJ618" s="129" t="e">
        <f>VLOOKUP(VALUE($U618),test_out_xwalk!$C:$L,9,FALSE)</f>
        <v>#VALUE!</v>
      </c>
      <c r="AK618" t="e">
        <f>_xlfn.XLOOKUP(VALUE(U618),test_out_xwalk!C:C,test_out_xwalk!A:A)</f>
        <v>#VALUE!</v>
      </c>
    </row>
    <row r="619" spans="1:37" x14ac:dyDescent="0.55000000000000004">
      <c r="A619" s="121" t="str">
        <f>IF('summary_EPA Pond'!$A619="","Check Summary EPA POND worksheet Column A",'summary_EPA Pond'!$A619)</f>
        <v>Check Summary EPA POND worksheet Column A</v>
      </c>
      <c r="B619" s="121" t="str" cm="1">
        <f t="array" ref="B619">IFERROR(_xlfn.TEXTSPLIT(A619,"_"),"")</f>
        <v>Check Summary EPA POND worksheet Column A</v>
      </c>
      <c r="H619" s="121" t="str" cm="1">
        <f t="array" ref="H619">IF(D619="","",(_xlfn.TEXTSPLIT(D619,"-")))</f>
        <v/>
      </c>
      <c r="K619" s="129" t="e">
        <f>VLOOKUP(VALUE($B619),test_out_xwalk!$C:$L,3,FALSE)</f>
        <v>#VALUE!</v>
      </c>
      <c r="L619" s="129" t="e">
        <f>VLOOKUP(VALUE($B619),test_out_xwalk!$C:$L,5,FALSE)</f>
        <v>#VALUE!</v>
      </c>
      <c r="M619" s="129" t="e">
        <f>VLOOKUP(VALUE($B619),test_out_xwalk!$C:$L,6,FALSE)</f>
        <v>#VALUE!</v>
      </c>
      <c r="N619" s="129" t="e">
        <f>VLOOKUP(VALUE($B619),test_out_xwalk!$C:$L,8,FALSE)</f>
        <v>#VALUE!</v>
      </c>
      <c r="O619" s="129" t="e">
        <f>VLOOKUP(VALUE($B619),test_out_xwalk!$C:$L,7,FALSE)</f>
        <v>#VALUE!</v>
      </c>
      <c r="P619" s="129" t="e">
        <f>VLOOKUP(VALUE($B619),test_out_xwalk!$C:$L,4,FALSE)</f>
        <v>#VALUE!</v>
      </c>
      <c r="Q619" s="129" t="e">
        <f>VLOOKUP(VALUE($B619),test_out_xwalk!$C:$L,9,FALSE)</f>
        <v>#VALUE!</v>
      </c>
      <c r="R619" t="e">
        <f>_xlfn.XLOOKUP(VALUE(B619),test_out_xwalk!$C:$C,test_out_xwalk!$A:$A)</f>
        <v>#VALUE!</v>
      </c>
      <c r="T619" s="121" t="str">
        <f>IF('summary_EPA Pond'!$O619="","Check Summary EPA POND worksheet Column O",'summary_EPA Pond'!$O619)</f>
        <v>Check Summary EPA POND worksheet Column O</v>
      </c>
      <c r="U619" s="121" t="str" cm="1">
        <f t="array" ref="U619">IFERROR(_xlfn.TEXTSPLIT(T619,"_"),"")</f>
        <v>Check Summary EPA POND worksheet Column O</v>
      </c>
      <c r="AA619" s="121" t="str" cm="1">
        <f t="array" ref="AA619">IF(W619="","",(_xlfn.TEXTSPLIT(W619,"-")))</f>
        <v/>
      </c>
      <c r="AD619" s="129" t="e">
        <f>VLOOKUP(VALUE($U619),test_out_xwalk!$C:$L,3,FALSE)</f>
        <v>#VALUE!</v>
      </c>
      <c r="AE619" s="129" t="e">
        <f>VLOOKUP(VALUE($U619),test_out_xwalk!$C:$L,5,FALSE)</f>
        <v>#VALUE!</v>
      </c>
      <c r="AF619" s="129" t="e">
        <f>VLOOKUP(VALUE($U619),test_out_xwalk!$C:$L,6,FALSE)</f>
        <v>#VALUE!</v>
      </c>
      <c r="AG619" s="129" t="e">
        <f>VLOOKUP(VALUE($U619),test_out_xwalk!$C:$L,8,FALSE)</f>
        <v>#VALUE!</v>
      </c>
      <c r="AH619" s="129" t="e">
        <f>VLOOKUP(VALUE($U619),test_out_xwalk!$C:$L,7,FALSE)</f>
        <v>#VALUE!</v>
      </c>
      <c r="AI619" s="129" t="e">
        <f>VLOOKUP(VALUE($U619),test_out_xwalk!$C:$L,4,FALSE)</f>
        <v>#VALUE!</v>
      </c>
      <c r="AJ619" s="129" t="e">
        <f>VLOOKUP(VALUE($U619),test_out_xwalk!$C:$L,9,FALSE)</f>
        <v>#VALUE!</v>
      </c>
      <c r="AK619" t="e">
        <f>_xlfn.XLOOKUP(VALUE(U619),test_out_xwalk!C:C,test_out_xwalk!A:A)</f>
        <v>#VALUE!</v>
      </c>
    </row>
    <row r="620" spans="1:37" x14ac:dyDescent="0.55000000000000004">
      <c r="A620" s="121" t="str">
        <f>IF('summary_EPA Pond'!$A620="","Check Summary EPA POND worksheet Column A",'summary_EPA Pond'!$A620)</f>
        <v>Check Summary EPA POND worksheet Column A</v>
      </c>
      <c r="B620" s="121" t="str" cm="1">
        <f t="array" ref="B620">IFERROR(_xlfn.TEXTSPLIT(A620,"_"),"")</f>
        <v>Check Summary EPA POND worksheet Column A</v>
      </c>
      <c r="H620" s="121" t="str" cm="1">
        <f t="array" ref="H620">IF(D620="","",(_xlfn.TEXTSPLIT(D620,"-")))</f>
        <v/>
      </c>
      <c r="K620" s="129" t="e">
        <f>VLOOKUP(VALUE($B620),test_out_xwalk!$C:$L,3,FALSE)</f>
        <v>#VALUE!</v>
      </c>
      <c r="L620" s="129" t="e">
        <f>VLOOKUP(VALUE($B620),test_out_xwalk!$C:$L,5,FALSE)</f>
        <v>#VALUE!</v>
      </c>
      <c r="M620" s="129" t="e">
        <f>VLOOKUP(VALUE($B620),test_out_xwalk!$C:$L,6,FALSE)</f>
        <v>#VALUE!</v>
      </c>
      <c r="N620" s="129" t="e">
        <f>VLOOKUP(VALUE($B620),test_out_xwalk!$C:$L,8,FALSE)</f>
        <v>#VALUE!</v>
      </c>
      <c r="O620" s="129" t="e">
        <f>VLOOKUP(VALUE($B620),test_out_xwalk!$C:$L,7,FALSE)</f>
        <v>#VALUE!</v>
      </c>
      <c r="P620" s="129" t="e">
        <f>VLOOKUP(VALUE($B620),test_out_xwalk!$C:$L,4,FALSE)</f>
        <v>#VALUE!</v>
      </c>
      <c r="Q620" s="129" t="e">
        <f>VLOOKUP(VALUE($B620),test_out_xwalk!$C:$L,9,FALSE)</f>
        <v>#VALUE!</v>
      </c>
      <c r="R620" t="e">
        <f>_xlfn.XLOOKUP(VALUE(B620),test_out_xwalk!$C:$C,test_out_xwalk!$A:$A)</f>
        <v>#VALUE!</v>
      </c>
      <c r="T620" s="121" t="str">
        <f>IF('summary_EPA Pond'!$O620="","Check Summary EPA POND worksheet Column O",'summary_EPA Pond'!$O620)</f>
        <v>Check Summary EPA POND worksheet Column O</v>
      </c>
      <c r="U620" s="121" t="str" cm="1">
        <f t="array" ref="U620">IFERROR(_xlfn.TEXTSPLIT(T620,"_"),"")</f>
        <v>Check Summary EPA POND worksheet Column O</v>
      </c>
      <c r="AA620" s="121" t="str" cm="1">
        <f t="array" ref="AA620">IF(W620="","",(_xlfn.TEXTSPLIT(W620,"-")))</f>
        <v/>
      </c>
      <c r="AD620" s="129" t="e">
        <f>VLOOKUP(VALUE($U620),test_out_xwalk!$C:$L,3,FALSE)</f>
        <v>#VALUE!</v>
      </c>
      <c r="AE620" s="129" t="e">
        <f>VLOOKUP(VALUE($U620),test_out_xwalk!$C:$L,5,FALSE)</f>
        <v>#VALUE!</v>
      </c>
      <c r="AF620" s="129" t="e">
        <f>VLOOKUP(VALUE($U620),test_out_xwalk!$C:$L,6,FALSE)</f>
        <v>#VALUE!</v>
      </c>
      <c r="AG620" s="129" t="e">
        <f>VLOOKUP(VALUE($U620),test_out_xwalk!$C:$L,8,FALSE)</f>
        <v>#VALUE!</v>
      </c>
      <c r="AH620" s="129" t="e">
        <f>VLOOKUP(VALUE($U620),test_out_xwalk!$C:$L,7,FALSE)</f>
        <v>#VALUE!</v>
      </c>
      <c r="AI620" s="129" t="e">
        <f>VLOOKUP(VALUE($U620),test_out_xwalk!$C:$L,4,FALSE)</f>
        <v>#VALUE!</v>
      </c>
      <c r="AJ620" s="129" t="e">
        <f>VLOOKUP(VALUE($U620),test_out_xwalk!$C:$L,9,FALSE)</f>
        <v>#VALUE!</v>
      </c>
      <c r="AK620" t="e">
        <f>_xlfn.XLOOKUP(VALUE(U620),test_out_xwalk!C:C,test_out_xwalk!A:A)</f>
        <v>#VALUE!</v>
      </c>
    </row>
    <row r="621" spans="1:37" x14ac:dyDescent="0.55000000000000004">
      <c r="A621" s="121" t="str">
        <f>IF('summary_EPA Pond'!$A621="","Check Summary EPA POND worksheet Column A",'summary_EPA Pond'!$A621)</f>
        <v>Check Summary EPA POND worksheet Column A</v>
      </c>
      <c r="B621" s="121" t="str" cm="1">
        <f t="array" ref="B621">IFERROR(_xlfn.TEXTSPLIT(A621,"_"),"")</f>
        <v>Check Summary EPA POND worksheet Column A</v>
      </c>
      <c r="H621" s="121" t="str" cm="1">
        <f t="array" ref="H621">IF(D621="","",(_xlfn.TEXTSPLIT(D621,"-")))</f>
        <v/>
      </c>
      <c r="K621" s="129" t="e">
        <f>VLOOKUP(VALUE($B621),test_out_xwalk!$C:$L,3,FALSE)</f>
        <v>#VALUE!</v>
      </c>
      <c r="L621" s="129" t="e">
        <f>VLOOKUP(VALUE($B621),test_out_xwalk!$C:$L,5,FALSE)</f>
        <v>#VALUE!</v>
      </c>
      <c r="M621" s="129" t="e">
        <f>VLOOKUP(VALUE($B621),test_out_xwalk!$C:$L,6,FALSE)</f>
        <v>#VALUE!</v>
      </c>
      <c r="N621" s="129" t="e">
        <f>VLOOKUP(VALUE($B621),test_out_xwalk!$C:$L,8,FALSE)</f>
        <v>#VALUE!</v>
      </c>
      <c r="O621" s="129" t="e">
        <f>VLOOKUP(VALUE($B621),test_out_xwalk!$C:$L,7,FALSE)</f>
        <v>#VALUE!</v>
      </c>
      <c r="P621" s="129" t="e">
        <f>VLOOKUP(VALUE($B621),test_out_xwalk!$C:$L,4,FALSE)</f>
        <v>#VALUE!</v>
      </c>
      <c r="Q621" s="129" t="e">
        <f>VLOOKUP(VALUE($B621),test_out_xwalk!$C:$L,9,FALSE)</f>
        <v>#VALUE!</v>
      </c>
      <c r="R621" t="e">
        <f>_xlfn.XLOOKUP(VALUE(B621),test_out_xwalk!$C:$C,test_out_xwalk!$A:$A)</f>
        <v>#VALUE!</v>
      </c>
      <c r="T621" s="121" t="str">
        <f>IF('summary_EPA Pond'!$O621="","Check Summary EPA POND worksheet Column O",'summary_EPA Pond'!$O621)</f>
        <v>Check Summary EPA POND worksheet Column O</v>
      </c>
      <c r="U621" s="121" t="str" cm="1">
        <f t="array" ref="U621">IFERROR(_xlfn.TEXTSPLIT(T621,"_"),"")</f>
        <v>Check Summary EPA POND worksheet Column O</v>
      </c>
      <c r="AA621" s="121" t="str" cm="1">
        <f t="array" ref="AA621">IF(W621="","",(_xlfn.TEXTSPLIT(W621,"-")))</f>
        <v/>
      </c>
      <c r="AD621" s="129" t="e">
        <f>VLOOKUP(VALUE($U621),test_out_xwalk!$C:$L,3,FALSE)</f>
        <v>#VALUE!</v>
      </c>
      <c r="AE621" s="129" t="e">
        <f>VLOOKUP(VALUE($U621),test_out_xwalk!$C:$L,5,FALSE)</f>
        <v>#VALUE!</v>
      </c>
      <c r="AF621" s="129" t="e">
        <f>VLOOKUP(VALUE($U621),test_out_xwalk!$C:$L,6,FALSE)</f>
        <v>#VALUE!</v>
      </c>
      <c r="AG621" s="129" t="e">
        <f>VLOOKUP(VALUE($U621),test_out_xwalk!$C:$L,8,FALSE)</f>
        <v>#VALUE!</v>
      </c>
      <c r="AH621" s="129" t="e">
        <f>VLOOKUP(VALUE($U621),test_out_xwalk!$C:$L,7,FALSE)</f>
        <v>#VALUE!</v>
      </c>
      <c r="AI621" s="129" t="e">
        <f>VLOOKUP(VALUE($U621),test_out_xwalk!$C:$L,4,FALSE)</f>
        <v>#VALUE!</v>
      </c>
      <c r="AJ621" s="129" t="e">
        <f>VLOOKUP(VALUE($U621),test_out_xwalk!$C:$L,9,FALSE)</f>
        <v>#VALUE!</v>
      </c>
      <c r="AK621" t="e">
        <f>_xlfn.XLOOKUP(VALUE(U621),test_out_xwalk!C:C,test_out_xwalk!A:A)</f>
        <v>#VALUE!</v>
      </c>
    </row>
    <row r="622" spans="1:37" x14ac:dyDescent="0.55000000000000004">
      <c r="A622" s="121" t="str">
        <f>IF('summary_EPA Pond'!$A622="","Check Summary EPA POND worksheet Column A",'summary_EPA Pond'!$A622)</f>
        <v>Check Summary EPA POND worksheet Column A</v>
      </c>
      <c r="B622" s="121" t="str" cm="1">
        <f t="array" ref="B622">IFERROR(_xlfn.TEXTSPLIT(A622,"_"),"")</f>
        <v>Check Summary EPA POND worksheet Column A</v>
      </c>
      <c r="H622" s="121" t="str" cm="1">
        <f t="array" ref="H622">IF(D622="","",(_xlfn.TEXTSPLIT(D622,"-")))</f>
        <v/>
      </c>
      <c r="K622" s="129" t="e">
        <f>VLOOKUP(VALUE($B622),test_out_xwalk!$C:$L,3,FALSE)</f>
        <v>#VALUE!</v>
      </c>
      <c r="L622" s="129" t="e">
        <f>VLOOKUP(VALUE($B622),test_out_xwalk!$C:$L,5,FALSE)</f>
        <v>#VALUE!</v>
      </c>
      <c r="M622" s="129" t="e">
        <f>VLOOKUP(VALUE($B622),test_out_xwalk!$C:$L,6,FALSE)</f>
        <v>#VALUE!</v>
      </c>
      <c r="N622" s="129" t="e">
        <f>VLOOKUP(VALUE($B622),test_out_xwalk!$C:$L,8,FALSE)</f>
        <v>#VALUE!</v>
      </c>
      <c r="O622" s="129" t="e">
        <f>VLOOKUP(VALUE($B622),test_out_xwalk!$C:$L,7,FALSE)</f>
        <v>#VALUE!</v>
      </c>
      <c r="P622" s="129" t="e">
        <f>VLOOKUP(VALUE($B622),test_out_xwalk!$C:$L,4,FALSE)</f>
        <v>#VALUE!</v>
      </c>
      <c r="Q622" s="129" t="e">
        <f>VLOOKUP(VALUE($B622),test_out_xwalk!$C:$L,9,FALSE)</f>
        <v>#VALUE!</v>
      </c>
      <c r="R622" t="e">
        <f>_xlfn.XLOOKUP(VALUE(B622),test_out_xwalk!$C:$C,test_out_xwalk!$A:$A)</f>
        <v>#VALUE!</v>
      </c>
      <c r="T622" s="121" t="str">
        <f>IF('summary_EPA Pond'!$O622="","Check Summary EPA POND worksheet Column O",'summary_EPA Pond'!$O622)</f>
        <v>Check Summary EPA POND worksheet Column O</v>
      </c>
      <c r="U622" s="121" t="str" cm="1">
        <f t="array" ref="U622">IFERROR(_xlfn.TEXTSPLIT(T622,"_"),"")</f>
        <v>Check Summary EPA POND worksheet Column O</v>
      </c>
      <c r="AA622" s="121" t="str" cm="1">
        <f t="array" ref="AA622">IF(W622="","",(_xlfn.TEXTSPLIT(W622,"-")))</f>
        <v/>
      </c>
      <c r="AD622" s="129" t="e">
        <f>VLOOKUP(VALUE($U622),test_out_xwalk!$C:$L,3,FALSE)</f>
        <v>#VALUE!</v>
      </c>
      <c r="AE622" s="129" t="e">
        <f>VLOOKUP(VALUE($U622),test_out_xwalk!$C:$L,5,FALSE)</f>
        <v>#VALUE!</v>
      </c>
      <c r="AF622" s="129" t="e">
        <f>VLOOKUP(VALUE($U622),test_out_xwalk!$C:$L,6,FALSE)</f>
        <v>#VALUE!</v>
      </c>
      <c r="AG622" s="129" t="e">
        <f>VLOOKUP(VALUE($U622),test_out_xwalk!$C:$L,8,FALSE)</f>
        <v>#VALUE!</v>
      </c>
      <c r="AH622" s="129" t="e">
        <f>VLOOKUP(VALUE($U622),test_out_xwalk!$C:$L,7,FALSE)</f>
        <v>#VALUE!</v>
      </c>
      <c r="AI622" s="129" t="e">
        <f>VLOOKUP(VALUE($U622),test_out_xwalk!$C:$L,4,FALSE)</f>
        <v>#VALUE!</v>
      </c>
      <c r="AJ622" s="129" t="e">
        <f>VLOOKUP(VALUE($U622),test_out_xwalk!$C:$L,9,FALSE)</f>
        <v>#VALUE!</v>
      </c>
      <c r="AK622" t="e">
        <f>_xlfn.XLOOKUP(VALUE(U622),test_out_xwalk!C:C,test_out_xwalk!A:A)</f>
        <v>#VALUE!</v>
      </c>
    </row>
    <row r="623" spans="1:37" x14ac:dyDescent="0.55000000000000004">
      <c r="A623" s="121" t="str">
        <f>IF('summary_EPA Pond'!$A623="","Check Summary EPA POND worksheet Column A",'summary_EPA Pond'!$A623)</f>
        <v>Check Summary EPA POND worksheet Column A</v>
      </c>
      <c r="B623" s="121" t="str" cm="1">
        <f t="array" ref="B623">IFERROR(_xlfn.TEXTSPLIT(A623,"_"),"")</f>
        <v>Check Summary EPA POND worksheet Column A</v>
      </c>
      <c r="H623" s="121" t="str" cm="1">
        <f t="array" ref="H623">IF(D623="","",(_xlfn.TEXTSPLIT(D623,"-")))</f>
        <v/>
      </c>
      <c r="K623" s="129" t="e">
        <f>VLOOKUP(VALUE($B623),test_out_xwalk!$C:$L,3,FALSE)</f>
        <v>#VALUE!</v>
      </c>
      <c r="L623" s="129" t="e">
        <f>VLOOKUP(VALUE($B623),test_out_xwalk!$C:$L,5,FALSE)</f>
        <v>#VALUE!</v>
      </c>
      <c r="M623" s="129" t="e">
        <f>VLOOKUP(VALUE($B623),test_out_xwalk!$C:$L,6,FALSE)</f>
        <v>#VALUE!</v>
      </c>
      <c r="N623" s="129" t="e">
        <f>VLOOKUP(VALUE($B623),test_out_xwalk!$C:$L,8,FALSE)</f>
        <v>#VALUE!</v>
      </c>
      <c r="O623" s="129" t="e">
        <f>VLOOKUP(VALUE($B623),test_out_xwalk!$C:$L,7,FALSE)</f>
        <v>#VALUE!</v>
      </c>
      <c r="P623" s="129" t="e">
        <f>VLOOKUP(VALUE($B623),test_out_xwalk!$C:$L,4,FALSE)</f>
        <v>#VALUE!</v>
      </c>
      <c r="Q623" s="129" t="e">
        <f>VLOOKUP(VALUE($B623),test_out_xwalk!$C:$L,9,FALSE)</f>
        <v>#VALUE!</v>
      </c>
      <c r="R623" t="e">
        <f>_xlfn.XLOOKUP(VALUE(B623),test_out_xwalk!$C:$C,test_out_xwalk!$A:$A)</f>
        <v>#VALUE!</v>
      </c>
      <c r="T623" s="121" t="str">
        <f>IF('summary_EPA Pond'!$O623="","Check Summary EPA POND worksheet Column O",'summary_EPA Pond'!$O623)</f>
        <v>Check Summary EPA POND worksheet Column O</v>
      </c>
      <c r="U623" s="121" t="str" cm="1">
        <f t="array" ref="U623">IFERROR(_xlfn.TEXTSPLIT(T623,"_"),"")</f>
        <v>Check Summary EPA POND worksheet Column O</v>
      </c>
      <c r="AA623" s="121" t="str" cm="1">
        <f t="array" ref="AA623">IF(W623="","",(_xlfn.TEXTSPLIT(W623,"-")))</f>
        <v/>
      </c>
      <c r="AD623" s="129" t="e">
        <f>VLOOKUP(VALUE($U623),test_out_xwalk!$C:$L,3,FALSE)</f>
        <v>#VALUE!</v>
      </c>
      <c r="AE623" s="129" t="e">
        <f>VLOOKUP(VALUE($U623),test_out_xwalk!$C:$L,5,FALSE)</f>
        <v>#VALUE!</v>
      </c>
      <c r="AF623" s="129" t="e">
        <f>VLOOKUP(VALUE($U623),test_out_xwalk!$C:$L,6,FALSE)</f>
        <v>#VALUE!</v>
      </c>
      <c r="AG623" s="129" t="e">
        <f>VLOOKUP(VALUE($U623),test_out_xwalk!$C:$L,8,FALSE)</f>
        <v>#VALUE!</v>
      </c>
      <c r="AH623" s="129" t="e">
        <f>VLOOKUP(VALUE($U623),test_out_xwalk!$C:$L,7,FALSE)</f>
        <v>#VALUE!</v>
      </c>
      <c r="AI623" s="129" t="e">
        <f>VLOOKUP(VALUE($U623),test_out_xwalk!$C:$L,4,FALSE)</f>
        <v>#VALUE!</v>
      </c>
      <c r="AJ623" s="129" t="e">
        <f>VLOOKUP(VALUE($U623),test_out_xwalk!$C:$L,9,FALSE)</f>
        <v>#VALUE!</v>
      </c>
      <c r="AK623" t="e">
        <f>_xlfn.XLOOKUP(VALUE(U623),test_out_xwalk!C:C,test_out_xwalk!A:A)</f>
        <v>#VALUE!</v>
      </c>
    </row>
    <row r="624" spans="1:37" x14ac:dyDescent="0.55000000000000004">
      <c r="A624" s="121" t="str">
        <f>IF('summary_EPA Pond'!$A624="","Check Summary EPA POND worksheet Column A",'summary_EPA Pond'!$A624)</f>
        <v>Check Summary EPA POND worksheet Column A</v>
      </c>
      <c r="B624" s="121" t="str" cm="1">
        <f t="array" ref="B624">IFERROR(_xlfn.TEXTSPLIT(A624,"_"),"")</f>
        <v>Check Summary EPA POND worksheet Column A</v>
      </c>
      <c r="H624" s="121" t="str" cm="1">
        <f t="array" ref="H624">IF(D624="","",(_xlfn.TEXTSPLIT(D624,"-")))</f>
        <v/>
      </c>
      <c r="K624" s="129" t="e">
        <f>VLOOKUP(VALUE($B624),test_out_xwalk!$C:$L,3,FALSE)</f>
        <v>#VALUE!</v>
      </c>
      <c r="L624" s="129" t="e">
        <f>VLOOKUP(VALUE($B624),test_out_xwalk!$C:$L,5,FALSE)</f>
        <v>#VALUE!</v>
      </c>
      <c r="M624" s="129" t="e">
        <f>VLOOKUP(VALUE($B624),test_out_xwalk!$C:$L,6,FALSE)</f>
        <v>#VALUE!</v>
      </c>
      <c r="N624" s="129" t="e">
        <f>VLOOKUP(VALUE($B624),test_out_xwalk!$C:$L,8,FALSE)</f>
        <v>#VALUE!</v>
      </c>
      <c r="O624" s="129" t="e">
        <f>VLOOKUP(VALUE($B624),test_out_xwalk!$C:$L,7,FALSE)</f>
        <v>#VALUE!</v>
      </c>
      <c r="P624" s="129" t="e">
        <f>VLOOKUP(VALUE($B624),test_out_xwalk!$C:$L,4,FALSE)</f>
        <v>#VALUE!</v>
      </c>
      <c r="Q624" s="129" t="e">
        <f>VLOOKUP(VALUE($B624),test_out_xwalk!$C:$L,9,FALSE)</f>
        <v>#VALUE!</v>
      </c>
      <c r="R624" t="e">
        <f>_xlfn.XLOOKUP(VALUE(B624),test_out_xwalk!$C:$C,test_out_xwalk!$A:$A)</f>
        <v>#VALUE!</v>
      </c>
      <c r="T624" s="121" t="str">
        <f>IF('summary_EPA Pond'!$O624="","Check Summary EPA POND worksheet Column O",'summary_EPA Pond'!$O624)</f>
        <v>Check Summary EPA POND worksheet Column O</v>
      </c>
      <c r="U624" s="121" t="str" cm="1">
        <f t="array" ref="U624">IFERROR(_xlfn.TEXTSPLIT(T624,"_"),"")</f>
        <v>Check Summary EPA POND worksheet Column O</v>
      </c>
      <c r="AA624" s="121" t="str" cm="1">
        <f t="array" ref="AA624">IF(W624="","",(_xlfn.TEXTSPLIT(W624,"-")))</f>
        <v/>
      </c>
      <c r="AD624" s="129" t="e">
        <f>VLOOKUP(VALUE($U624),test_out_xwalk!$C:$L,3,FALSE)</f>
        <v>#VALUE!</v>
      </c>
      <c r="AE624" s="129" t="e">
        <f>VLOOKUP(VALUE($U624),test_out_xwalk!$C:$L,5,FALSE)</f>
        <v>#VALUE!</v>
      </c>
      <c r="AF624" s="129" t="e">
        <f>VLOOKUP(VALUE($U624),test_out_xwalk!$C:$L,6,FALSE)</f>
        <v>#VALUE!</v>
      </c>
      <c r="AG624" s="129" t="e">
        <f>VLOOKUP(VALUE($U624),test_out_xwalk!$C:$L,8,FALSE)</f>
        <v>#VALUE!</v>
      </c>
      <c r="AH624" s="129" t="e">
        <f>VLOOKUP(VALUE($U624),test_out_xwalk!$C:$L,7,FALSE)</f>
        <v>#VALUE!</v>
      </c>
      <c r="AI624" s="129" t="e">
        <f>VLOOKUP(VALUE($U624),test_out_xwalk!$C:$L,4,FALSE)</f>
        <v>#VALUE!</v>
      </c>
      <c r="AJ624" s="129" t="e">
        <f>VLOOKUP(VALUE($U624),test_out_xwalk!$C:$L,9,FALSE)</f>
        <v>#VALUE!</v>
      </c>
      <c r="AK624" t="e">
        <f>_xlfn.XLOOKUP(VALUE(U624),test_out_xwalk!C:C,test_out_xwalk!A:A)</f>
        <v>#VALUE!</v>
      </c>
    </row>
    <row r="625" spans="1:37" x14ac:dyDescent="0.55000000000000004">
      <c r="A625" s="121" t="str">
        <f>IF('summary_EPA Pond'!$A625="","Check Summary EPA POND worksheet Column A",'summary_EPA Pond'!$A625)</f>
        <v>Check Summary EPA POND worksheet Column A</v>
      </c>
      <c r="B625" s="121" t="str" cm="1">
        <f t="array" ref="B625">IFERROR(_xlfn.TEXTSPLIT(A625,"_"),"")</f>
        <v>Check Summary EPA POND worksheet Column A</v>
      </c>
      <c r="H625" s="121" t="str" cm="1">
        <f t="array" ref="H625">IF(D625="","",(_xlfn.TEXTSPLIT(D625,"-")))</f>
        <v/>
      </c>
      <c r="K625" s="129" t="e">
        <f>VLOOKUP(VALUE($B625),test_out_xwalk!$C:$L,3,FALSE)</f>
        <v>#VALUE!</v>
      </c>
      <c r="L625" s="129" t="e">
        <f>VLOOKUP(VALUE($B625),test_out_xwalk!$C:$L,5,FALSE)</f>
        <v>#VALUE!</v>
      </c>
      <c r="M625" s="129" t="e">
        <f>VLOOKUP(VALUE($B625),test_out_xwalk!$C:$L,6,FALSE)</f>
        <v>#VALUE!</v>
      </c>
      <c r="N625" s="129" t="e">
        <f>VLOOKUP(VALUE($B625),test_out_xwalk!$C:$L,8,FALSE)</f>
        <v>#VALUE!</v>
      </c>
      <c r="O625" s="129" t="e">
        <f>VLOOKUP(VALUE($B625),test_out_xwalk!$C:$L,7,FALSE)</f>
        <v>#VALUE!</v>
      </c>
      <c r="P625" s="129" t="e">
        <f>VLOOKUP(VALUE($B625),test_out_xwalk!$C:$L,4,FALSE)</f>
        <v>#VALUE!</v>
      </c>
      <c r="Q625" s="129" t="e">
        <f>VLOOKUP(VALUE($B625),test_out_xwalk!$C:$L,9,FALSE)</f>
        <v>#VALUE!</v>
      </c>
      <c r="R625" t="e">
        <f>_xlfn.XLOOKUP(VALUE(B625),test_out_xwalk!$C:$C,test_out_xwalk!$A:$A)</f>
        <v>#VALUE!</v>
      </c>
      <c r="T625" s="121" t="str">
        <f>IF('summary_EPA Pond'!$O625="","Check Summary EPA POND worksheet Column O",'summary_EPA Pond'!$O625)</f>
        <v>Check Summary EPA POND worksheet Column O</v>
      </c>
      <c r="U625" s="121" t="str" cm="1">
        <f t="array" ref="U625">IFERROR(_xlfn.TEXTSPLIT(T625,"_"),"")</f>
        <v>Check Summary EPA POND worksheet Column O</v>
      </c>
      <c r="AA625" s="121" t="str" cm="1">
        <f t="array" ref="AA625">IF(W625="","",(_xlfn.TEXTSPLIT(W625,"-")))</f>
        <v/>
      </c>
      <c r="AD625" s="129" t="e">
        <f>VLOOKUP(VALUE($U625),test_out_xwalk!$C:$L,3,FALSE)</f>
        <v>#VALUE!</v>
      </c>
      <c r="AE625" s="129" t="e">
        <f>VLOOKUP(VALUE($U625),test_out_xwalk!$C:$L,5,FALSE)</f>
        <v>#VALUE!</v>
      </c>
      <c r="AF625" s="129" t="e">
        <f>VLOOKUP(VALUE($U625),test_out_xwalk!$C:$L,6,FALSE)</f>
        <v>#VALUE!</v>
      </c>
      <c r="AG625" s="129" t="e">
        <f>VLOOKUP(VALUE($U625),test_out_xwalk!$C:$L,8,FALSE)</f>
        <v>#VALUE!</v>
      </c>
      <c r="AH625" s="129" t="e">
        <f>VLOOKUP(VALUE($U625),test_out_xwalk!$C:$L,7,FALSE)</f>
        <v>#VALUE!</v>
      </c>
      <c r="AI625" s="129" t="e">
        <f>VLOOKUP(VALUE($U625),test_out_xwalk!$C:$L,4,FALSE)</f>
        <v>#VALUE!</v>
      </c>
      <c r="AJ625" s="129" t="e">
        <f>VLOOKUP(VALUE($U625),test_out_xwalk!$C:$L,9,FALSE)</f>
        <v>#VALUE!</v>
      </c>
      <c r="AK625" t="e">
        <f>_xlfn.XLOOKUP(VALUE(U625),test_out_xwalk!C:C,test_out_xwalk!A:A)</f>
        <v>#VALUE!</v>
      </c>
    </row>
    <row r="626" spans="1:37" x14ac:dyDescent="0.55000000000000004">
      <c r="A626" s="121" t="str">
        <f>IF('summary_EPA Pond'!$A626="","Check Summary EPA POND worksheet Column A",'summary_EPA Pond'!$A626)</f>
        <v>Check Summary EPA POND worksheet Column A</v>
      </c>
      <c r="B626" s="121" t="str" cm="1">
        <f t="array" ref="B626">IFERROR(_xlfn.TEXTSPLIT(A626,"_"),"")</f>
        <v>Check Summary EPA POND worksheet Column A</v>
      </c>
      <c r="H626" s="121" t="str" cm="1">
        <f t="array" ref="H626">IF(D626="","",(_xlfn.TEXTSPLIT(D626,"-")))</f>
        <v/>
      </c>
      <c r="K626" s="129" t="e">
        <f>VLOOKUP(VALUE($B626),test_out_xwalk!$C:$L,3,FALSE)</f>
        <v>#VALUE!</v>
      </c>
      <c r="L626" s="129" t="e">
        <f>VLOOKUP(VALUE($B626),test_out_xwalk!$C:$L,5,FALSE)</f>
        <v>#VALUE!</v>
      </c>
      <c r="M626" s="129" t="e">
        <f>VLOOKUP(VALUE($B626),test_out_xwalk!$C:$L,6,FALSE)</f>
        <v>#VALUE!</v>
      </c>
      <c r="N626" s="129" t="e">
        <f>VLOOKUP(VALUE($B626),test_out_xwalk!$C:$L,8,FALSE)</f>
        <v>#VALUE!</v>
      </c>
      <c r="O626" s="129" t="e">
        <f>VLOOKUP(VALUE($B626),test_out_xwalk!$C:$L,7,FALSE)</f>
        <v>#VALUE!</v>
      </c>
      <c r="P626" s="129" t="e">
        <f>VLOOKUP(VALUE($B626),test_out_xwalk!$C:$L,4,FALSE)</f>
        <v>#VALUE!</v>
      </c>
      <c r="Q626" s="129" t="e">
        <f>VLOOKUP(VALUE($B626),test_out_xwalk!$C:$L,9,FALSE)</f>
        <v>#VALUE!</v>
      </c>
      <c r="R626" t="e">
        <f>_xlfn.XLOOKUP(VALUE(B626),test_out_xwalk!$C:$C,test_out_xwalk!$A:$A)</f>
        <v>#VALUE!</v>
      </c>
      <c r="T626" s="121" t="str">
        <f>IF('summary_EPA Pond'!$O626="","Check Summary EPA POND worksheet Column O",'summary_EPA Pond'!$O626)</f>
        <v>Check Summary EPA POND worksheet Column O</v>
      </c>
      <c r="U626" s="121" t="str" cm="1">
        <f t="array" ref="U626">IFERROR(_xlfn.TEXTSPLIT(T626,"_"),"")</f>
        <v>Check Summary EPA POND worksheet Column O</v>
      </c>
      <c r="AA626" s="121" t="str" cm="1">
        <f t="array" ref="AA626">IF(W626="","",(_xlfn.TEXTSPLIT(W626,"-")))</f>
        <v/>
      </c>
      <c r="AD626" s="129" t="e">
        <f>VLOOKUP(VALUE($U626),test_out_xwalk!$C:$L,3,FALSE)</f>
        <v>#VALUE!</v>
      </c>
      <c r="AE626" s="129" t="e">
        <f>VLOOKUP(VALUE($U626),test_out_xwalk!$C:$L,5,FALSE)</f>
        <v>#VALUE!</v>
      </c>
      <c r="AF626" s="129" t="e">
        <f>VLOOKUP(VALUE($U626),test_out_xwalk!$C:$L,6,FALSE)</f>
        <v>#VALUE!</v>
      </c>
      <c r="AG626" s="129" t="e">
        <f>VLOOKUP(VALUE($U626),test_out_xwalk!$C:$L,8,FALSE)</f>
        <v>#VALUE!</v>
      </c>
      <c r="AH626" s="129" t="e">
        <f>VLOOKUP(VALUE($U626),test_out_xwalk!$C:$L,7,FALSE)</f>
        <v>#VALUE!</v>
      </c>
      <c r="AI626" s="129" t="e">
        <f>VLOOKUP(VALUE($U626),test_out_xwalk!$C:$L,4,FALSE)</f>
        <v>#VALUE!</v>
      </c>
      <c r="AJ626" s="129" t="e">
        <f>VLOOKUP(VALUE($U626),test_out_xwalk!$C:$L,9,FALSE)</f>
        <v>#VALUE!</v>
      </c>
      <c r="AK626" t="e">
        <f>_xlfn.XLOOKUP(VALUE(U626),test_out_xwalk!C:C,test_out_xwalk!A:A)</f>
        <v>#VALUE!</v>
      </c>
    </row>
    <row r="627" spans="1:37" x14ac:dyDescent="0.55000000000000004">
      <c r="A627" s="121" t="str">
        <f>IF('summary_EPA Pond'!$A627="","Check Summary EPA POND worksheet Column A",'summary_EPA Pond'!$A627)</f>
        <v>Check Summary EPA POND worksheet Column A</v>
      </c>
      <c r="B627" s="121" t="str" cm="1">
        <f t="array" ref="B627">IFERROR(_xlfn.TEXTSPLIT(A627,"_"),"")</f>
        <v>Check Summary EPA POND worksheet Column A</v>
      </c>
      <c r="H627" s="121" t="str" cm="1">
        <f t="array" ref="H627">IF(D627="","",(_xlfn.TEXTSPLIT(D627,"-")))</f>
        <v/>
      </c>
      <c r="K627" s="129" t="e">
        <f>VLOOKUP(VALUE($B627),test_out_xwalk!$C:$L,3,FALSE)</f>
        <v>#VALUE!</v>
      </c>
      <c r="L627" s="129" t="e">
        <f>VLOOKUP(VALUE($B627),test_out_xwalk!$C:$L,5,FALSE)</f>
        <v>#VALUE!</v>
      </c>
      <c r="M627" s="129" t="e">
        <f>VLOOKUP(VALUE($B627),test_out_xwalk!$C:$L,6,FALSE)</f>
        <v>#VALUE!</v>
      </c>
      <c r="N627" s="129" t="e">
        <f>VLOOKUP(VALUE($B627),test_out_xwalk!$C:$L,8,FALSE)</f>
        <v>#VALUE!</v>
      </c>
      <c r="O627" s="129" t="e">
        <f>VLOOKUP(VALUE($B627),test_out_xwalk!$C:$L,7,FALSE)</f>
        <v>#VALUE!</v>
      </c>
      <c r="P627" s="129" t="e">
        <f>VLOOKUP(VALUE($B627),test_out_xwalk!$C:$L,4,FALSE)</f>
        <v>#VALUE!</v>
      </c>
      <c r="Q627" s="129" t="e">
        <f>VLOOKUP(VALUE($B627),test_out_xwalk!$C:$L,9,FALSE)</f>
        <v>#VALUE!</v>
      </c>
      <c r="R627" t="e">
        <f>_xlfn.XLOOKUP(VALUE(B627),test_out_xwalk!$C:$C,test_out_xwalk!$A:$A)</f>
        <v>#VALUE!</v>
      </c>
      <c r="T627" s="121" t="str">
        <f>IF('summary_EPA Pond'!$O627="","Check Summary EPA POND worksheet Column O",'summary_EPA Pond'!$O627)</f>
        <v>Check Summary EPA POND worksheet Column O</v>
      </c>
      <c r="U627" s="121" t="str" cm="1">
        <f t="array" ref="U627">IFERROR(_xlfn.TEXTSPLIT(T627,"_"),"")</f>
        <v>Check Summary EPA POND worksheet Column O</v>
      </c>
      <c r="AA627" s="121" t="str" cm="1">
        <f t="array" ref="AA627">IF(W627="","",(_xlfn.TEXTSPLIT(W627,"-")))</f>
        <v/>
      </c>
      <c r="AD627" s="129" t="e">
        <f>VLOOKUP(VALUE($U627),test_out_xwalk!$C:$L,3,FALSE)</f>
        <v>#VALUE!</v>
      </c>
      <c r="AE627" s="129" t="e">
        <f>VLOOKUP(VALUE($U627),test_out_xwalk!$C:$L,5,FALSE)</f>
        <v>#VALUE!</v>
      </c>
      <c r="AF627" s="129" t="e">
        <f>VLOOKUP(VALUE($U627),test_out_xwalk!$C:$L,6,FALSE)</f>
        <v>#VALUE!</v>
      </c>
      <c r="AG627" s="129" t="e">
        <f>VLOOKUP(VALUE($U627),test_out_xwalk!$C:$L,8,FALSE)</f>
        <v>#VALUE!</v>
      </c>
      <c r="AH627" s="129" t="e">
        <f>VLOOKUP(VALUE($U627),test_out_xwalk!$C:$L,7,FALSE)</f>
        <v>#VALUE!</v>
      </c>
      <c r="AI627" s="129" t="e">
        <f>VLOOKUP(VALUE($U627),test_out_xwalk!$C:$L,4,FALSE)</f>
        <v>#VALUE!</v>
      </c>
      <c r="AJ627" s="129" t="e">
        <f>VLOOKUP(VALUE($U627),test_out_xwalk!$C:$L,9,FALSE)</f>
        <v>#VALUE!</v>
      </c>
      <c r="AK627" t="e">
        <f>_xlfn.XLOOKUP(VALUE(U627),test_out_xwalk!C:C,test_out_xwalk!A:A)</f>
        <v>#VALUE!</v>
      </c>
    </row>
    <row r="628" spans="1:37" x14ac:dyDescent="0.55000000000000004">
      <c r="A628" s="121" t="str">
        <f>IF('summary_EPA Pond'!$A628="","Check Summary EPA POND worksheet Column A",'summary_EPA Pond'!$A628)</f>
        <v>Check Summary EPA POND worksheet Column A</v>
      </c>
      <c r="B628" s="121" t="str" cm="1">
        <f t="array" ref="B628">IFERROR(_xlfn.TEXTSPLIT(A628,"_"),"")</f>
        <v>Check Summary EPA POND worksheet Column A</v>
      </c>
      <c r="H628" s="121" t="str" cm="1">
        <f t="array" ref="H628">IF(D628="","",(_xlfn.TEXTSPLIT(D628,"-")))</f>
        <v/>
      </c>
      <c r="K628" s="129" t="e">
        <f>VLOOKUP(VALUE($B628),test_out_xwalk!$C:$L,3,FALSE)</f>
        <v>#VALUE!</v>
      </c>
      <c r="L628" s="129" t="e">
        <f>VLOOKUP(VALUE($B628),test_out_xwalk!$C:$L,5,FALSE)</f>
        <v>#VALUE!</v>
      </c>
      <c r="M628" s="129" t="e">
        <f>VLOOKUP(VALUE($B628),test_out_xwalk!$C:$L,6,FALSE)</f>
        <v>#VALUE!</v>
      </c>
      <c r="N628" s="129" t="e">
        <f>VLOOKUP(VALUE($B628),test_out_xwalk!$C:$L,8,FALSE)</f>
        <v>#VALUE!</v>
      </c>
      <c r="O628" s="129" t="e">
        <f>VLOOKUP(VALUE($B628),test_out_xwalk!$C:$L,7,FALSE)</f>
        <v>#VALUE!</v>
      </c>
      <c r="P628" s="129" t="e">
        <f>VLOOKUP(VALUE($B628),test_out_xwalk!$C:$L,4,FALSE)</f>
        <v>#VALUE!</v>
      </c>
      <c r="Q628" s="129" t="e">
        <f>VLOOKUP(VALUE($B628),test_out_xwalk!$C:$L,9,FALSE)</f>
        <v>#VALUE!</v>
      </c>
      <c r="R628" t="e">
        <f>_xlfn.XLOOKUP(VALUE(B628),test_out_xwalk!$C:$C,test_out_xwalk!$A:$A)</f>
        <v>#VALUE!</v>
      </c>
      <c r="T628" s="121" t="str">
        <f>IF('summary_EPA Pond'!$O628="","Check Summary EPA POND worksheet Column O",'summary_EPA Pond'!$O628)</f>
        <v>Check Summary EPA POND worksheet Column O</v>
      </c>
      <c r="U628" s="121" t="str" cm="1">
        <f t="array" ref="U628">IFERROR(_xlfn.TEXTSPLIT(T628,"_"),"")</f>
        <v>Check Summary EPA POND worksheet Column O</v>
      </c>
      <c r="AA628" s="121" t="str" cm="1">
        <f t="array" ref="AA628">IF(W628="","",(_xlfn.TEXTSPLIT(W628,"-")))</f>
        <v/>
      </c>
      <c r="AD628" s="129" t="e">
        <f>VLOOKUP(VALUE($U628),test_out_xwalk!$C:$L,3,FALSE)</f>
        <v>#VALUE!</v>
      </c>
      <c r="AE628" s="129" t="e">
        <f>VLOOKUP(VALUE($U628),test_out_xwalk!$C:$L,5,FALSE)</f>
        <v>#VALUE!</v>
      </c>
      <c r="AF628" s="129" t="e">
        <f>VLOOKUP(VALUE($U628),test_out_xwalk!$C:$L,6,FALSE)</f>
        <v>#VALUE!</v>
      </c>
      <c r="AG628" s="129" t="e">
        <f>VLOOKUP(VALUE($U628),test_out_xwalk!$C:$L,8,FALSE)</f>
        <v>#VALUE!</v>
      </c>
      <c r="AH628" s="129" t="e">
        <f>VLOOKUP(VALUE($U628),test_out_xwalk!$C:$L,7,FALSE)</f>
        <v>#VALUE!</v>
      </c>
      <c r="AI628" s="129" t="e">
        <f>VLOOKUP(VALUE($U628),test_out_xwalk!$C:$L,4,FALSE)</f>
        <v>#VALUE!</v>
      </c>
      <c r="AJ628" s="129" t="e">
        <f>VLOOKUP(VALUE($U628),test_out_xwalk!$C:$L,9,FALSE)</f>
        <v>#VALUE!</v>
      </c>
      <c r="AK628" t="e">
        <f>_xlfn.XLOOKUP(VALUE(U628),test_out_xwalk!C:C,test_out_xwalk!A:A)</f>
        <v>#VALUE!</v>
      </c>
    </row>
    <row r="629" spans="1:37" x14ac:dyDescent="0.55000000000000004">
      <c r="A629" s="121" t="str">
        <f>IF('summary_EPA Pond'!$A629="","Check Summary EPA POND worksheet Column A",'summary_EPA Pond'!$A629)</f>
        <v>Check Summary EPA POND worksheet Column A</v>
      </c>
      <c r="B629" s="121" t="str" cm="1">
        <f t="array" ref="B629">IFERROR(_xlfn.TEXTSPLIT(A629,"_"),"")</f>
        <v>Check Summary EPA POND worksheet Column A</v>
      </c>
      <c r="H629" s="121" t="str" cm="1">
        <f t="array" ref="H629">IF(D629="","",(_xlfn.TEXTSPLIT(D629,"-")))</f>
        <v/>
      </c>
      <c r="K629" s="129" t="e">
        <f>VLOOKUP(VALUE($B629),test_out_xwalk!$C:$L,3,FALSE)</f>
        <v>#VALUE!</v>
      </c>
      <c r="L629" s="129" t="e">
        <f>VLOOKUP(VALUE($B629),test_out_xwalk!$C:$L,5,FALSE)</f>
        <v>#VALUE!</v>
      </c>
      <c r="M629" s="129" t="e">
        <f>VLOOKUP(VALUE($B629),test_out_xwalk!$C:$L,6,FALSE)</f>
        <v>#VALUE!</v>
      </c>
      <c r="N629" s="129" t="e">
        <f>VLOOKUP(VALUE($B629),test_out_xwalk!$C:$L,8,FALSE)</f>
        <v>#VALUE!</v>
      </c>
      <c r="O629" s="129" t="e">
        <f>VLOOKUP(VALUE($B629),test_out_xwalk!$C:$L,7,FALSE)</f>
        <v>#VALUE!</v>
      </c>
      <c r="P629" s="129" t="e">
        <f>VLOOKUP(VALUE($B629),test_out_xwalk!$C:$L,4,FALSE)</f>
        <v>#VALUE!</v>
      </c>
      <c r="Q629" s="129" t="e">
        <f>VLOOKUP(VALUE($B629),test_out_xwalk!$C:$L,9,FALSE)</f>
        <v>#VALUE!</v>
      </c>
      <c r="R629" t="e">
        <f>_xlfn.XLOOKUP(VALUE(B629),test_out_xwalk!$C:$C,test_out_xwalk!$A:$A)</f>
        <v>#VALUE!</v>
      </c>
      <c r="T629" s="121" t="str">
        <f>IF('summary_EPA Pond'!$O629="","Check Summary EPA POND worksheet Column O",'summary_EPA Pond'!$O629)</f>
        <v>Check Summary EPA POND worksheet Column O</v>
      </c>
      <c r="U629" s="121" t="str" cm="1">
        <f t="array" ref="U629">IFERROR(_xlfn.TEXTSPLIT(T629,"_"),"")</f>
        <v>Check Summary EPA POND worksheet Column O</v>
      </c>
      <c r="AA629" s="121" t="str" cm="1">
        <f t="array" ref="AA629">IF(W629="","",(_xlfn.TEXTSPLIT(W629,"-")))</f>
        <v/>
      </c>
      <c r="AD629" s="129" t="e">
        <f>VLOOKUP(VALUE($U629),test_out_xwalk!$C:$L,3,FALSE)</f>
        <v>#VALUE!</v>
      </c>
      <c r="AE629" s="129" t="e">
        <f>VLOOKUP(VALUE($U629),test_out_xwalk!$C:$L,5,FALSE)</f>
        <v>#VALUE!</v>
      </c>
      <c r="AF629" s="129" t="e">
        <f>VLOOKUP(VALUE($U629),test_out_xwalk!$C:$L,6,FALSE)</f>
        <v>#VALUE!</v>
      </c>
      <c r="AG629" s="129" t="e">
        <f>VLOOKUP(VALUE($U629),test_out_xwalk!$C:$L,8,FALSE)</f>
        <v>#VALUE!</v>
      </c>
      <c r="AH629" s="129" t="e">
        <f>VLOOKUP(VALUE($U629),test_out_xwalk!$C:$L,7,FALSE)</f>
        <v>#VALUE!</v>
      </c>
      <c r="AI629" s="129" t="e">
        <f>VLOOKUP(VALUE($U629),test_out_xwalk!$C:$L,4,FALSE)</f>
        <v>#VALUE!</v>
      </c>
      <c r="AJ629" s="129" t="e">
        <f>VLOOKUP(VALUE($U629),test_out_xwalk!$C:$L,9,FALSE)</f>
        <v>#VALUE!</v>
      </c>
      <c r="AK629" t="e">
        <f>_xlfn.XLOOKUP(VALUE(U629),test_out_xwalk!C:C,test_out_xwalk!A:A)</f>
        <v>#VALUE!</v>
      </c>
    </row>
    <row r="630" spans="1:37" x14ac:dyDescent="0.55000000000000004">
      <c r="A630" s="121" t="str">
        <f>IF('summary_EPA Pond'!$A630="","Check Summary EPA POND worksheet Column A",'summary_EPA Pond'!$A630)</f>
        <v>Check Summary EPA POND worksheet Column A</v>
      </c>
      <c r="B630" s="121" t="str" cm="1">
        <f t="array" ref="B630">IFERROR(_xlfn.TEXTSPLIT(A630,"_"),"")</f>
        <v>Check Summary EPA POND worksheet Column A</v>
      </c>
      <c r="H630" s="121" t="str" cm="1">
        <f t="array" ref="H630">IF(D630="","",(_xlfn.TEXTSPLIT(D630,"-")))</f>
        <v/>
      </c>
      <c r="K630" s="129" t="e">
        <f>VLOOKUP(VALUE($B630),test_out_xwalk!$C:$L,3,FALSE)</f>
        <v>#VALUE!</v>
      </c>
      <c r="L630" s="129" t="e">
        <f>VLOOKUP(VALUE($B630),test_out_xwalk!$C:$L,5,FALSE)</f>
        <v>#VALUE!</v>
      </c>
      <c r="M630" s="129" t="e">
        <f>VLOOKUP(VALUE($B630),test_out_xwalk!$C:$L,6,FALSE)</f>
        <v>#VALUE!</v>
      </c>
      <c r="N630" s="129" t="e">
        <f>VLOOKUP(VALUE($B630),test_out_xwalk!$C:$L,8,FALSE)</f>
        <v>#VALUE!</v>
      </c>
      <c r="O630" s="129" t="e">
        <f>VLOOKUP(VALUE($B630),test_out_xwalk!$C:$L,7,FALSE)</f>
        <v>#VALUE!</v>
      </c>
      <c r="P630" s="129" t="e">
        <f>VLOOKUP(VALUE($B630),test_out_xwalk!$C:$L,4,FALSE)</f>
        <v>#VALUE!</v>
      </c>
      <c r="Q630" s="129" t="e">
        <f>VLOOKUP(VALUE($B630),test_out_xwalk!$C:$L,9,FALSE)</f>
        <v>#VALUE!</v>
      </c>
      <c r="R630" t="e">
        <f>_xlfn.XLOOKUP(VALUE(B630),test_out_xwalk!$C:$C,test_out_xwalk!$A:$A)</f>
        <v>#VALUE!</v>
      </c>
      <c r="T630" s="121" t="str">
        <f>IF('summary_EPA Pond'!$O630="","Check Summary EPA POND worksheet Column O",'summary_EPA Pond'!$O630)</f>
        <v>Check Summary EPA POND worksheet Column O</v>
      </c>
      <c r="U630" s="121" t="str" cm="1">
        <f t="array" ref="U630">IFERROR(_xlfn.TEXTSPLIT(T630,"_"),"")</f>
        <v>Check Summary EPA POND worksheet Column O</v>
      </c>
      <c r="AA630" s="121" t="str" cm="1">
        <f t="array" ref="AA630">IF(W630="","",(_xlfn.TEXTSPLIT(W630,"-")))</f>
        <v/>
      </c>
      <c r="AD630" s="129" t="e">
        <f>VLOOKUP(VALUE($U630),test_out_xwalk!$C:$L,3,FALSE)</f>
        <v>#VALUE!</v>
      </c>
      <c r="AE630" s="129" t="e">
        <f>VLOOKUP(VALUE($U630),test_out_xwalk!$C:$L,5,FALSE)</f>
        <v>#VALUE!</v>
      </c>
      <c r="AF630" s="129" t="e">
        <f>VLOOKUP(VALUE($U630),test_out_xwalk!$C:$L,6,FALSE)</f>
        <v>#VALUE!</v>
      </c>
      <c r="AG630" s="129" t="e">
        <f>VLOOKUP(VALUE($U630),test_out_xwalk!$C:$L,8,FALSE)</f>
        <v>#VALUE!</v>
      </c>
      <c r="AH630" s="129" t="e">
        <f>VLOOKUP(VALUE($U630),test_out_xwalk!$C:$L,7,FALSE)</f>
        <v>#VALUE!</v>
      </c>
      <c r="AI630" s="129" t="e">
        <f>VLOOKUP(VALUE($U630),test_out_xwalk!$C:$L,4,FALSE)</f>
        <v>#VALUE!</v>
      </c>
      <c r="AJ630" s="129" t="e">
        <f>VLOOKUP(VALUE($U630),test_out_xwalk!$C:$L,9,FALSE)</f>
        <v>#VALUE!</v>
      </c>
      <c r="AK630" t="e">
        <f>_xlfn.XLOOKUP(VALUE(U630),test_out_xwalk!C:C,test_out_xwalk!A:A)</f>
        <v>#VALUE!</v>
      </c>
    </row>
    <row r="631" spans="1:37" x14ac:dyDescent="0.55000000000000004">
      <c r="A631" s="121" t="str">
        <f>IF('summary_EPA Pond'!$A631="","Check Summary EPA POND worksheet Column A",'summary_EPA Pond'!$A631)</f>
        <v>Check Summary EPA POND worksheet Column A</v>
      </c>
      <c r="B631" s="121" t="str" cm="1">
        <f t="array" ref="B631">IFERROR(_xlfn.TEXTSPLIT(A631,"_"),"")</f>
        <v>Check Summary EPA POND worksheet Column A</v>
      </c>
      <c r="H631" s="121" t="str" cm="1">
        <f t="array" ref="H631">IF(D631="","",(_xlfn.TEXTSPLIT(D631,"-")))</f>
        <v/>
      </c>
      <c r="K631" s="129" t="e">
        <f>VLOOKUP(VALUE($B631),test_out_xwalk!$C:$L,3,FALSE)</f>
        <v>#VALUE!</v>
      </c>
      <c r="L631" s="129" t="e">
        <f>VLOOKUP(VALUE($B631),test_out_xwalk!$C:$L,5,FALSE)</f>
        <v>#VALUE!</v>
      </c>
      <c r="M631" s="129" t="e">
        <f>VLOOKUP(VALUE($B631),test_out_xwalk!$C:$L,6,FALSE)</f>
        <v>#VALUE!</v>
      </c>
      <c r="N631" s="129" t="e">
        <f>VLOOKUP(VALUE($B631),test_out_xwalk!$C:$L,8,FALSE)</f>
        <v>#VALUE!</v>
      </c>
      <c r="O631" s="129" t="e">
        <f>VLOOKUP(VALUE($B631),test_out_xwalk!$C:$L,7,FALSE)</f>
        <v>#VALUE!</v>
      </c>
      <c r="P631" s="129" t="e">
        <f>VLOOKUP(VALUE($B631),test_out_xwalk!$C:$L,4,FALSE)</f>
        <v>#VALUE!</v>
      </c>
      <c r="Q631" s="129" t="e">
        <f>VLOOKUP(VALUE($B631),test_out_xwalk!$C:$L,9,FALSE)</f>
        <v>#VALUE!</v>
      </c>
      <c r="R631" t="e">
        <f>_xlfn.XLOOKUP(VALUE(B631),test_out_xwalk!$C:$C,test_out_xwalk!$A:$A)</f>
        <v>#VALUE!</v>
      </c>
      <c r="T631" s="121" t="str">
        <f>IF('summary_EPA Pond'!$O631="","Check Summary EPA POND worksheet Column O",'summary_EPA Pond'!$O631)</f>
        <v>Check Summary EPA POND worksheet Column O</v>
      </c>
      <c r="U631" s="121" t="str" cm="1">
        <f t="array" ref="U631">IFERROR(_xlfn.TEXTSPLIT(T631,"_"),"")</f>
        <v>Check Summary EPA POND worksheet Column O</v>
      </c>
      <c r="AA631" s="121" t="str" cm="1">
        <f t="array" ref="AA631">IF(W631="","",(_xlfn.TEXTSPLIT(W631,"-")))</f>
        <v/>
      </c>
      <c r="AD631" s="129" t="e">
        <f>VLOOKUP(VALUE($U631),test_out_xwalk!$C:$L,3,FALSE)</f>
        <v>#VALUE!</v>
      </c>
      <c r="AE631" s="129" t="e">
        <f>VLOOKUP(VALUE($U631),test_out_xwalk!$C:$L,5,FALSE)</f>
        <v>#VALUE!</v>
      </c>
      <c r="AF631" s="129" t="e">
        <f>VLOOKUP(VALUE($U631),test_out_xwalk!$C:$L,6,FALSE)</f>
        <v>#VALUE!</v>
      </c>
      <c r="AG631" s="129" t="e">
        <f>VLOOKUP(VALUE($U631),test_out_xwalk!$C:$L,8,FALSE)</f>
        <v>#VALUE!</v>
      </c>
      <c r="AH631" s="129" t="e">
        <f>VLOOKUP(VALUE($U631),test_out_xwalk!$C:$L,7,FALSE)</f>
        <v>#VALUE!</v>
      </c>
      <c r="AI631" s="129" t="e">
        <f>VLOOKUP(VALUE($U631),test_out_xwalk!$C:$L,4,FALSE)</f>
        <v>#VALUE!</v>
      </c>
      <c r="AJ631" s="129" t="e">
        <f>VLOOKUP(VALUE($U631),test_out_xwalk!$C:$L,9,FALSE)</f>
        <v>#VALUE!</v>
      </c>
      <c r="AK631" t="e">
        <f>_xlfn.XLOOKUP(VALUE(U631),test_out_xwalk!C:C,test_out_xwalk!A:A)</f>
        <v>#VALUE!</v>
      </c>
    </row>
    <row r="632" spans="1:37" x14ac:dyDescent="0.55000000000000004">
      <c r="A632" s="121" t="str">
        <f>IF('summary_EPA Pond'!$A632="","Check Summary EPA POND worksheet Column A",'summary_EPA Pond'!$A632)</f>
        <v>Check Summary EPA POND worksheet Column A</v>
      </c>
      <c r="B632" s="121" t="str" cm="1">
        <f t="array" ref="B632">IFERROR(_xlfn.TEXTSPLIT(A632,"_"),"")</f>
        <v>Check Summary EPA POND worksheet Column A</v>
      </c>
      <c r="H632" s="121" t="str" cm="1">
        <f t="array" ref="H632">IF(D632="","",(_xlfn.TEXTSPLIT(D632,"-")))</f>
        <v/>
      </c>
      <c r="K632" s="129" t="e">
        <f>VLOOKUP(VALUE($B632),test_out_xwalk!$C:$L,3,FALSE)</f>
        <v>#VALUE!</v>
      </c>
      <c r="L632" s="129" t="e">
        <f>VLOOKUP(VALUE($B632),test_out_xwalk!$C:$L,5,FALSE)</f>
        <v>#VALUE!</v>
      </c>
      <c r="M632" s="129" t="e">
        <f>VLOOKUP(VALUE($B632),test_out_xwalk!$C:$L,6,FALSE)</f>
        <v>#VALUE!</v>
      </c>
      <c r="N632" s="129" t="e">
        <f>VLOOKUP(VALUE($B632),test_out_xwalk!$C:$L,8,FALSE)</f>
        <v>#VALUE!</v>
      </c>
      <c r="O632" s="129" t="e">
        <f>VLOOKUP(VALUE($B632),test_out_xwalk!$C:$L,7,FALSE)</f>
        <v>#VALUE!</v>
      </c>
      <c r="P632" s="129" t="e">
        <f>VLOOKUP(VALUE($B632),test_out_xwalk!$C:$L,4,FALSE)</f>
        <v>#VALUE!</v>
      </c>
      <c r="Q632" s="129" t="e">
        <f>VLOOKUP(VALUE($B632),test_out_xwalk!$C:$L,9,FALSE)</f>
        <v>#VALUE!</v>
      </c>
      <c r="R632" t="e">
        <f>_xlfn.XLOOKUP(VALUE(B632),test_out_xwalk!$C:$C,test_out_xwalk!$A:$A)</f>
        <v>#VALUE!</v>
      </c>
      <c r="T632" s="121" t="str">
        <f>IF('summary_EPA Pond'!$O632="","Check Summary EPA POND worksheet Column O",'summary_EPA Pond'!$O632)</f>
        <v>Check Summary EPA POND worksheet Column O</v>
      </c>
      <c r="U632" s="121" t="str" cm="1">
        <f t="array" ref="U632">IFERROR(_xlfn.TEXTSPLIT(T632,"_"),"")</f>
        <v>Check Summary EPA POND worksheet Column O</v>
      </c>
      <c r="AA632" s="121" t="str" cm="1">
        <f t="array" ref="AA632">IF(W632="","",(_xlfn.TEXTSPLIT(W632,"-")))</f>
        <v/>
      </c>
      <c r="AD632" s="129" t="e">
        <f>VLOOKUP(VALUE($U632),test_out_xwalk!$C:$L,3,FALSE)</f>
        <v>#VALUE!</v>
      </c>
      <c r="AE632" s="129" t="e">
        <f>VLOOKUP(VALUE($U632),test_out_xwalk!$C:$L,5,FALSE)</f>
        <v>#VALUE!</v>
      </c>
      <c r="AF632" s="129" t="e">
        <f>VLOOKUP(VALUE($U632),test_out_xwalk!$C:$L,6,FALSE)</f>
        <v>#VALUE!</v>
      </c>
      <c r="AG632" s="129" t="e">
        <f>VLOOKUP(VALUE($U632),test_out_xwalk!$C:$L,8,FALSE)</f>
        <v>#VALUE!</v>
      </c>
      <c r="AH632" s="129" t="e">
        <f>VLOOKUP(VALUE($U632),test_out_xwalk!$C:$L,7,FALSE)</f>
        <v>#VALUE!</v>
      </c>
      <c r="AI632" s="129" t="e">
        <f>VLOOKUP(VALUE($U632),test_out_xwalk!$C:$L,4,FALSE)</f>
        <v>#VALUE!</v>
      </c>
      <c r="AJ632" s="129" t="e">
        <f>VLOOKUP(VALUE($U632),test_out_xwalk!$C:$L,9,FALSE)</f>
        <v>#VALUE!</v>
      </c>
      <c r="AK632" t="e">
        <f>_xlfn.XLOOKUP(VALUE(U632),test_out_xwalk!C:C,test_out_xwalk!A:A)</f>
        <v>#VALUE!</v>
      </c>
    </row>
    <row r="633" spans="1:37" x14ac:dyDescent="0.55000000000000004">
      <c r="A633" s="121" t="str">
        <f>IF('summary_EPA Pond'!$A633="","Check Summary EPA POND worksheet Column A",'summary_EPA Pond'!$A633)</f>
        <v>Check Summary EPA POND worksheet Column A</v>
      </c>
      <c r="B633" s="121" t="str" cm="1">
        <f t="array" ref="B633">IFERROR(_xlfn.TEXTSPLIT(A633,"_"),"")</f>
        <v>Check Summary EPA POND worksheet Column A</v>
      </c>
      <c r="H633" s="121" t="str" cm="1">
        <f t="array" ref="H633">IF(D633="","",(_xlfn.TEXTSPLIT(D633,"-")))</f>
        <v/>
      </c>
      <c r="K633" s="129" t="e">
        <f>VLOOKUP(VALUE($B633),test_out_xwalk!$C:$L,3,FALSE)</f>
        <v>#VALUE!</v>
      </c>
      <c r="L633" s="129" t="e">
        <f>VLOOKUP(VALUE($B633),test_out_xwalk!$C:$L,5,FALSE)</f>
        <v>#VALUE!</v>
      </c>
      <c r="M633" s="129" t="e">
        <f>VLOOKUP(VALUE($B633),test_out_xwalk!$C:$L,6,FALSE)</f>
        <v>#VALUE!</v>
      </c>
      <c r="N633" s="129" t="e">
        <f>VLOOKUP(VALUE($B633),test_out_xwalk!$C:$L,8,FALSE)</f>
        <v>#VALUE!</v>
      </c>
      <c r="O633" s="129" t="e">
        <f>VLOOKUP(VALUE($B633),test_out_xwalk!$C:$L,7,FALSE)</f>
        <v>#VALUE!</v>
      </c>
      <c r="P633" s="129" t="e">
        <f>VLOOKUP(VALUE($B633),test_out_xwalk!$C:$L,4,FALSE)</f>
        <v>#VALUE!</v>
      </c>
      <c r="Q633" s="129" t="e">
        <f>VLOOKUP(VALUE($B633),test_out_xwalk!$C:$L,9,FALSE)</f>
        <v>#VALUE!</v>
      </c>
      <c r="R633" t="e">
        <f>_xlfn.XLOOKUP(VALUE(B633),test_out_xwalk!$C:$C,test_out_xwalk!$A:$A)</f>
        <v>#VALUE!</v>
      </c>
      <c r="T633" s="121" t="str">
        <f>IF('summary_EPA Pond'!$O633="","Check Summary EPA POND worksheet Column O",'summary_EPA Pond'!$O633)</f>
        <v>Check Summary EPA POND worksheet Column O</v>
      </c>
      <c r="U633" s="121" t="str" cm="1">
        <f t="array" ref="U633">IFERROR(_xlfn.TEXTSPLIT(T633,"_"),"")</f>
        <v>Check Summary EPA POND worksheet Column O</v>
      </c>
      <c r="AA633" s="121" t="str" cm="1">
        <f t="array" ref="AA633">IF(W633="","",(_xlfn.TEXTSPLIT(W633,"-")))</f>
        <v/>
      </c>
      <c r="AD633" s="129" t="e">
        <f>VLOOKUP(VALUE($U633),test_out_xwalk!$C:$L,3,FALSE)</f>
        <v>#VALUE!</v>
      </c>
      <c r="AE633" s="129" t="e">
        <f>VLOOKUP(VALUE($U633),test_out_xwalk!$C:$L,5,FALSE)</f>
        <v>#VALUE!</v>
      </c>
      <c r="AF633" s="129" t="e">
        <f>VLOOKUP(VALUE($U633),test_out_xwalk!$C:$L,6,FALSE)</f>
        <v>#VALUE!</v>
      </c>
      <c r="AG633" s="129" t="e">
        <f>VLOOKUP(VALUE($U633),test_out_xwalk!$C:$L,8,FALSE)</f>
        <v>#VALUE!</v>
      </c>
      <c r="AH633" s="129" t="e">
        <f>VLOOKUP(VALUE($U633),test_out_xwalk!$C:$L,7,FALSE)</f>
        <v>#VALUE!</v>
      </c>
      <c r="AI633" s="129" t="e">
        <f>VLOOKUP(VALUE($U633),test_out_xwalk!$C:$L,4,FALSE)</f>
        <v>#VALUE!</v>
      </c>
      <c r="AJ633" s="129" t="e">
        <f>VLOOKUP(VALUE($U633),test_out_xwalk!$C:$L,9,FALSE)</f>
        <v>#VALUE!</v>
      </c>
      <c r="AK633" t="e">
        <f>_xlfn.XLOOKUP(VALUE(U633),test_out_xwalk!C:C,test_out_xwalk!A:A)</f>
        <v>#VALUE!</v>
      </c>
    </row>
    <row r="634" spans="1:37" x14ac:dyDescent="0.55000000000000004">
      <c r="A634" s="121" t="str">
        <f>IF('summary_EPA Pond'!$A634="","Check Summary EPA POND worksheet Column A",'summary_EPA Pond'!$A634)</f>
        <v>Check Summary EPA POND worksheet Column A</v>
      </c>
      <c r="B634" s="121" t="str" cm="1">
        <f t="array" ref="B634">IFERROR(_xlfn.TEXTSPLIT(A634,"_"),"")</f>
        <v>Check Summary EPA POND worksheet Column A</v>
      </c>
      <c r="H634" s="121" t="str" cm="1">
        <f t="array" ref="H634">IF(D634="","",(_xlfn.TEXTSPLIT(D634,"-")))</f>
        <v/>
      </c>
      <c r="K634" s="129" t="e">
        <f>VLOOKUP(VALUE($B634),test_out_xwalk!$C:$L,3,FALSE)</f>
        <v>#VALUE!</v>
      </c>
      <c r="L634" s="129" t="e">
        <f>VLOOKUP(VALUE($B634),test_out_xwalk!$C:$L,5,FALSE)</f>
        <v>#VALUE!</v>
      </c>
      <c r="M634" s="129" t="e">
        <f>VLOOKUP(VALUE($B634),test_out_xwalk!$C:$L,6,FALSE)</f>
        <v>#VALUE!</v>
      </c>
      <c r="N634" s="129" t="e">
        <f>VLOOKUP(VALUE($B634),test_out_xwalk!$C:$L,8,FALSE)</f>
        <v>#VALUE!</v>
      </c>
      <c r="O634" s="129" t="e">
        <f>VLOOKUP(VALUE($B634),test_out_xwalk!$C:$L,7,FALSE)</f>
        <v>#VALUE!</v>
      </c>
      <c r="P634" s="129" t="e">
        <f>VLOOKUP(VALUE($B634),test_out_xwalk!$C:$L,4,FALSE)</f>
        <v>#VALUE!</v>
      </c>
      <c r="Q634" s="129" t="e">
        <f>VLOOKUP(VALUE($B634),test_out_xwalk!$C:$L,9,FALSE)</f>
        <v>#VALUE!</v>
      </c>
      <c r="R634" t="e">
        <f>_xlfn.XLOOKUP(VALUE(B634),test_out_xwalk!$C:$C,test_out_xwalk!$A:$A)</f>
        <v>#VALUE!</v>
      </c>
      <c r="T634" s="121" t="str">
        <f>IF('summary_EPA Pond'!$O634="","Check Summary EPA POND worksheet Column O",'summary_EPA Pond'!$O634)</f>
        <v>Check Summary EPA POND worksheet Column O</v>
      </c>
      <c r="U634" s="121" t="str" cm="1">
        <f t="array" ref="U634">IFERROR(_xlfn.TEXTSPLIT(T634,"_"),"")</f>
        <v>Check Summary EPA POND worksheet Column O</v>
      </c>
      <c r="AA634" s="121" t="str" cm="1">
        <f t="array" ref="AA634">IF(W634="","",(_xlfn.TEXTSPLIT(W634,"-")))</f>
        <v/>
      </c>
      <c r="AD634" s="129" t="e">
        <f>VLOOKUP(VALUE($U634),test_out_xwalk!$C:$L,3,FALSE)</f>
        <v>#VALUE!</v>
      </c>
      <c r="AE634" s="129" t="e">
        <f>VLOOKUP(VALUE($U634),test_out_xwalk!$C:$L,5,FALSE)</f>
        <v>#VALUE!</v>
      </c>
      <c r="AF634" s="129" t="e">
        <f>VLOOKUP(VALUE($U634),test_out_xwalk!$C:$L,6,FALSE)</f>
        <v>#VALUE!</v>
      </c>
      <c r="AG634" s="129" t="e">
        <f>VLOOKUP(VALUE($U634),test_out_xwalk!$C:$L,8,FALSE)</f>
        <v>#VALUE!</v>
      </c>
      <c r="AH634" s="129" t="e">
        <f>VLOOKUP(VALUE($U634),test_out_xwalk!$C:$L,7,FALSE)</f>
        <v>#VALUE!</v>
      </c>
      <c r="AI634" s="129" t="e">
        <f>VLOOKUP(VALUE($U634),test_out_xwalk!$C:$L,4,FALSE)</f>
        <v>#VALUE!</v>
      </c>
      <c r="AJ634" s="129" t="e">
        <f>VLOOKUP(VALUE($U634),test_out_xwalk!$C:$L,9,FALSE)</f>
        <v>#VALUE!</v>
      </c>
      <c r="AK634" t="e">
        <f>_xlfn.XLOOKUP(VALUE(U634),test_out_xwalk!C:C,test_out_xwalk!A:A)</f>
        <v>#VALUE!</v>
      </c>
    </row>
    <row r="635" spans="1:37" x14ac:dyDescent="0.55000000000000004">
      <c r="A635" s="121" t="str">
        <f>IF('summary_EPA Pond'!$A635="","Check Summary EPA POND worksheet Column A",'summary_EPA Pond'!$A635)</f>
        <v>Check Summary EPA POND worksheet Column A</v>
      </c>
      <c r="B635" s="121" t="str" cm="1">
        <f t="array" ref="B635">IFERROR(_xlfn.TEXTSPLIT(A635,"_"),"")</f>
        <v>Check Summary EPA POND worksheet Column A</v>
      </c>
      <c r="H635" s="121" t="str" cm="1">
        <f t="array" ref="H635">IF(D635="","",(_xlfn.TEXTSPLIT(D635,"-")))</f>
        <v/>
      </c>
      <c r="K635" s="129" t="e">
        <f>VLOOKUP(VALUE($B635),test_out_xwalk!$C:$L,3,FALSE)</f>
        <v>#VALUE!</v>
      </c>
      <c r="L635" s="129" t="e">
        <f>VLOOKUP(VALUE($B635),test_out_xwalk!$C:$L,5,FALSE)</f>
        <v>#VALUE!</v>
      </c>
      <c r="M635" s="129" t="e">
        <f>VLOOKUP(VALUE($B635),test_out_xwalk!$C:$L,6,FALSE)</f>
        <v>#VALUE!</v>
      </c>
      <c r="N635" s="129" t="e">
        <f>VLOOKUP(VALUE($B635),test_out_xwalk!$C:$L,8,FALSE)</f>
        <v>#VALUE!</v>
      </c>
      <c r="O635" s="129" t="e">
        <f>VLOOKUP(VALUE($B635),test_out_xwalk!$C:$L,7,FALSE)</f>
        <v>#VALUE!</v>
      </c>
      <c r="P635" s="129" t="e">
        <f>VLOOKUP(VALUE($B635),test_out_xwalk!$C:$L,4,FALSE)</f>
        <v>#VALUE!</v>
      </c>
      <c r="Q635" s="129" t="e">
        <f>VLOOKUP(VALUE($B635),test_out_xwalk!$C:$L,9,FALSE)</f>
        <v>#VALUE!</v>
      </c>
      <c r="R635" t="e">
        <f>_xlfn.XLOOKUP(VALUE(B635),test_out_xwalk!$C:$C,test_out_xwalk!$A:$A)</f>
        <v>#VALUE!</v>
      </c>
      <c r="T635" s="121" t="str">
        <f>IF('summary_EPA Pond'!$O635="","Check Summary EPA POND worksheet Column O",'summary_EPA Pond'!$O635)</f>
        <v>Check Summary EPA POND worksheet Column O</v>
      </c>
      <c r="U635" s="121" t="str" cm="1">
        <f t="array" ref="U635">IFERROR(_xlfn.TEXTSPLIT(T635,"_"),"")</f>
        <v>Check Summary EPA POND worksheet Column O</v>
      </c>
      <c r="AA635" s="121" t="str" cm="1">
        <f t="array" ref="AA635">IF(W635="","",(_xlfn.TEXTSPLIT(W635,"-")))</f>
        <v/>
      </c>
      <c r="AD635" s="129" t="e">
        <f>VLOOKUP(VALUE($U635),test_out_xwalk!$C:$L,3,FALSE)</f>
        <v>#VALUE!</v>
      </c>
      <c r="AE635" s="129" t="e">
        <f>VLOOKUP(VALUE($U635),test_out_xwalk!$C:$L,5,FALSE)</f>
        <v>#VALUE!</v>
      </c>
      <c r="AF635" s="129" t="e">
        <f>VLOOKUP(VALUE($U635),test_out_xwalk!$C:$L,6,FALSE)</f>
        <v>#VALUE!</v>
      </c>
      <c r="AG635" s="129" t="e">
        <f>VLOOKUP(VALUE($U635),test_out_xwalk!$C:$L,8,FALSE)</f>
        <v>#VALUE!</v>
      </c>
      <c r="AH635" s="129" t="e">
        <f>VLOOKUP(VALUE($U635),test_out_xwalk!$C:$L,7,FALSE)</f>
        <v>#VALUE!</v>
      </c>
      <c r="AI635" s="129" t="e">
        <f>VLOOKUP(VALUE($U635),test_out_xwalk!$C:$L,4,FALSE)</f>
        <v>#VALUE!</v>
      </c>
      <c r="AJ635" s="129" t="e">
        <f>VLOOKUP(VALUE($U635),test_out_xwalk!$C:$L,9,FALSE)</f>
        <v>#VALUE!</v>
      </c>
      <c r="AK635" t="e">
        <f>_xlfn.XLOOKUP(VALUE(U635),test_out_xwalk!C:C,test_out_xwalk!A:A)</f>
        <v>#VALUE!</v>
      </c>
    </row>
    <row r="636" spans="1:37" x14ac:dyDescent="0.55000000000000004">
      <c r="A636" s="121" t="str">
        <f>IF('summary_EPA Pond'!$A636="","Check Summary EPA POND worksheet Column A",'summary_EPA Pond'!$A636)</f>
        <v>Check Summary EPA POND worksheet Column A</v>
      </c>
      <c r="B636" s="121" t="str" cm="1">
        <f t="array" ref="B636">IFERROR(_xlfn.TEXTSPLIT(A636,"_"),"")</f>
        <v>Check Summary EPA POND worksheet Column A</v>
      </c>
      <c r="H636" s="121" t="str" cm="1">
        <f t="array" ref="H636">IF(D636="","",(_xlfn.TEXTSPLIT(D636,"-")))</f>
        <v/>
      </c>
      <c r="K636" s="129" t="e">
        <f>VLOOKUP(VALUE($B636),test_out_xwalk!$C:$L,3,FALSE)</f>
        <v>#VALUE!</v>
      </c>
      <c r="L636" s="129" t="e">
        <f>VLOOKUP(VALUE($B636),test_out_xwalk!$C:$L,5,FALSE)</f>
        <v>#VALUE!</v>
      </c>
      <c r="M636" s="129" t="e">
        <f>VLOOKUP(VALUE($B636),test_out_xwalk!$C:$L,6,FALSE)</f>
        <v>#VALUE!</v>
      </c>
      <c r="N636" s="129" t="e">
        <f>VLOOKUP(VALUE($B636),test_out_xwalk!$C:$L,8,FALSE)</f>
        <v>#VALUE!</v>
      </c>
      <c r="O636" s="129" t="e">
        <f>VLOOKUP(VALUE($B636),test_out_xwalk!$C:$L,7,FALSE)</f>
        <v>#VALUE!</v>
      </c>
      <c r="P636" s="129" t="e">
        <f>VLOOKUP(VALUE($B636),test_out_xwalk!$C:$L,4,FALSE)</f>
        <v>#VALUE!</v>
      </c>
      <c r="Q636" s="129" t="e">
        <f>VLOOKUP(VALUE($B636),test_out_xwalk!$C:$L,9,FALSE)</f>
        <v>#VALUE!</v>
      </c>
      <c r="R636" t="e">
        <f>_xlfn.XLOOKUP(VALUE(B636),test_out_xwalk!$C:$C,test_out_xwalk!$A:$A)</f>
        <v>#VALUE!</v>
      </c>
      <c r="T636" s="121" t="str">
        <f>IF('summary_EPA Pond'!$O636="","Check Summary EPA POND worksheet Column O",'summary_EPA Pond'!$O636)</f>
        <v>Check Summary EPA POND worksheet Column O</v>
      </c>
      <c r="U636" s="121" t="str" cm="1">
        <f t="array" ref="U636">IFERROR(_xlfn.TEXTSPLIT(T636,"_"),"")</f>
        <v>Check Summary EPA POND worksheet Column O</v>
      </c>
      <c r="AA636" s="121" t="str" cm="1">
        <f t="array" ref="AA636">IF(W636="","",(_xlfn.TEXTSPLIT(W636,"-")))</f>
        <v/>
      </c>
      <c r="AD636" s="129" t="e">
        <f>VLOOKUP(VALUE($U636),test_out_xwalk!$C:$L,3,FALSE)</f>
        <v>#VALUE!</v>
      </c>
      <c r="AE636" s="129" t="e">
        <f>VLOOKUP(VALUE($U636),test_out_xwalk!$C:$L,5,FALSE)</f>
        <v>#VALUE!</v>
      </c>
      <c r="AF636" s="129" t="e">
        <f>VLOOKUP(VALUE($U636),test_out_xwalk!$C:$L,6,FALSE)</f>
        <v>#VALUE!</v>
      </c>
      <c r="AG636" s="129" t="e">
        <f>VLOOKUP(VALUE($U636),test_out_xwalk!$C:$L,8,FALSE)</f>
        <v>#VALUE!</v>
      </c>
      <c r="AH636" s="129" t="e">
        <f>VLOOKUP(VALUE($U636),test_out_xwalk!$C:$L,7,FALSE)</f>
        <v>#VALUE!</v>
      </c>
      <c r="AI636" s="129" t="e">
        <f>VLOOKUP(VALUE($U636),test_out_xwalk!$C:$L,4,FALSE)</f>
        <v>#VALUE!</v>
      </c>
      <c r="AJ636" s="129" t="e">
        <f>VLOOKUP(VALUE($U636),test_out_xwalk!$C:$L,9,FALSE)</f>
        <v>#VALUE!</v>
      </c>
      <c r="AK636" t="e">
        <f>_xlfn.XLOOKUP(VALUE(U636),test_out_xwalk!C:C,test_out_xwalk!A:A)</f>
        <v>#VALUE!</v>
      </c>
    </row>
    <row r="637" spans="1:37" x14ac:dyDescent="0.55000000000000004">
      <c r="A637" s="121" t="str">
        <f>IF('summary_EPA Pond'!$A637="","Check Summary EPA POND worksheet Column A",'summary_EPA Pond'!$A637)</f>
        <v>Check Summary EPA POND worksheet Column A</v>
      </c>
      <c r="B637" s="121" t="str" cm="1">
        <f t="array" ref="B637">IFERROR(_xlfn.TEXTSPLIT(A637,"_"),"")</f>
        <v>Check Summary EPA POND worksheet Column A</v>
      </c>
      <c r="H637" s="121" t="str" cm="1">
        <f t="array" ref="H637">IF(D637="","",(_xlfn.TEXTSPLIT(D637,"-")))</f>
        <v/>
      </c>
      <c r="K637" s="129" t="e">
        <f>VLOOKUP(VALUE($B637),test_out_xwalk!$C:$L,3,FALSE)</f>
        <v>#VALUE!</v>
      </c>
      <c r="L637" s="129" t="e">
        <f>VLOOKUP(VALUE($B637),test_out_xwalk!$C:$L,5,FALSE)</f>
        <v>#VALUE!</v>
      </c>
      <c r="M637" s="129" t="e">
        <f>VLOOKUP(VALUE($B637),test_out_xwalk!$C:$L,6,FALSE)</f>
        <v>#VALUE!</v>
      </c>
      <c r="N637" s="129" t="e">
        <f>VLOOKUP(VALUE($B637),test_out_xwalk!$C:$L,8,FALSE)</f>
        <v>#VALUE!</v>
      </c>
      <c r="O637" s="129" t="e">
        <f>VLOOKUP(VALUE($B637),test_out_xwalk!$C:$L,7,FALSE)</f>
        <v>#VALUE!</v>
      </c>
      <c r="P637" s="129" t="e">
        <f>VLOOKUP(VALUE($B637),test_out_xwalk!$C:$L,4,FALSE)</f>
        <v>#VALUE!</v>
      </c>
      <c r="Q637" s="129" t="e">
        <f>VLOOKUP(VALUE($B637),test_out_xwalk!$C:$L,9,FALSE)</f>
        <v>#VALUE!</v>
      </c>
      <c r="R637" t="e">
        <f>_xlfn.XLOOKUP(VALUE(B637),test_out_xwalk!$C:$C,test_out_xwalk!$A:$A)</f>
        <v>#VALUE!</v>
      </c>
      <c r="T637" s="121" t="str">
        <f>IF('summary_EPA Pond'!$O637="","Check Summary EPA POND worksheet Column O",'summary_EPA Pond'!$O637)</f>
        <v>Check Summary EPA POND worksheet Column O</v>
      </c>
      <c r="U637" s="121" t="str" cm="1">
        <f t="array" ref="U637">IFERROR(_xlfn.TEXTSPLIT(T637,"_"),"")</f>
        <v>Check Summary EPA POND worksheet Column O</v>
      </c>
      <c r="AA637" s="121" t="str" cm="1">
        <f t="array" ref="AA637">IF(W637="","",(_xlfn.TEXTSPLIT(W637,"-")))</f>
        <v/>
      </c>
      <c r="AD637" s="129" t="e">
        <f>VLOOKUP(VALUE($U637),test_out_xwalk!$C:$L,3,FALSE)</f>
        <v>#VALUE!</v>
      </c>
      <c r="AE637" s="129" t="e">
        <f>VLOOKUP(VALUE($U637),test_out_xwalk!$C:$L,5,FALSE)</f>
        <v>#VALUE!</v>
      </c>
      <c r="AF637" s="129" t="e">
        <f>VLOOKUP(VALUE($U637),test_out_xwalk!$C:$L,6,FALSE)</f>
        <v>#VALUE!</v>
      </c>
      <c r="AG637" s="129" t="e">
        <f>VLOOKUP(VALUE($U637),test_out_xwalk!$C:$L,8,FALSE)</f>
        <v>#VALUE!</v>
      </c>
      <c r="AH637" s="129" t="e">
        <f>VLOOKUP(VALUE($U637),test_out_xwalk!$C:$L,7,FALSE)</f>
        <v>#VALUE!</v>
      </c>
      <c r="AI637" s="129" t="e">
        <f>VLOOKUP(VALUE($U637),test_out_xwalk!$C:$L,4,FALSE)</f>
        <v>#VALUE!</v>
      </c>
      <c r="AJ637" s="129" t="e">
        <f>VLOOKUP(VALUE($U637),test_out_xwalk!$C:$L,9,FALSE)</f>
        <v>#VALUE!</v>
      </c>
      <c r="AK637" t="e">
        <f>_xlfn.XLOOKUP(VALUE(U637),test_out_xwalk!C:C,test_out_xwalk!A:A)</f>
        <v>#VALUE!</v>
      </c>
    </row>
    <row r="638" spans="1:37" x14ac:dyDescent="0.55000000000000004">
      <c r="A638" s="121" t="str">
        <f>IF('summary_EPA Pond'!$A638="","Check Summary EPA POND worksheet Column A",'summary_EPA Pond'!$A638)</f>
        <v>Check Summary EPA POND worksheet Column A</v>
      </c>
      <c r="B638" s="121" t="str" cm="1">
        <f t="array" ref="B638">IFERROR(_xlfn.TEXTSPLIT(A638,"_"),"")</f>
        <v>Check Summary EPA POND worksheet Column A</v>
      </c>
      <c r="H638" s="121" t="str" cm="1">
        <f t="array" ref="H638">IF(D638="","",(_xlfn.TEXTSPLIT(D638,"-")))</f>
        <v/>
      </c>
      <c r="K638" s="129" t="e">
        <f>VLOOKUP(VALUE($B638),test_out_xwalk!$C:$L,3,FALSE)</f>
        <v>#VALUE!</v>
      </c>
      <c r="L638" s="129" t="e">
        <f>VLOOKUP(VALUE($B638),test_out_xwalk!$C:$L,5,FALSE)</f>
        <v>#VALUE!</v>
      </c>
      <c r="M638" s="129" t="e">
        <f>VLOOKUP(VALUE($B638),test_out_xwalk!$C:$L,6,FALSE)</f>
        <v>#VALUE!</v>
      </c>
      <c r="N638" s="129" t="e">
        <f>VLOOKUP(VALUE($B638),test_out_xwalk!$C:$L,8,FALSE)</f>
        <v>#VALUE!</v>
      </c>
      <c r="O638" s="129" t="e">
        <f>VLOOKUP(VALUE($B638),test_out_xwalk!$C:$L,7,FALSE)</f>
        <v>#VALUE!</v>
      </c>
      <c r="P638" s="129" t="e">
        <f>VLOOKUP(VALUE($B638),test_out_xwalk!$C:$L,4,FALSE)</f>
        <v>#VALUE!</v>
      </c>
      <c r="Q638" s="129" t="e">
        <f>VLOOKUP(VALUE($B638),test_out_xwalk!$C:$L,9,FALSE)</f>
        <v>#VALUE!</v>
      </c>
      <c r="R638" t="e">
        <f>_xlfn.XLOOKUP(VALUE(B638),test_out_xwalk!$C:$C,test_out_xwalk!$A:$A)</f>
        <v>#VALUE!</v>
      </c>
      <c r="T638" s="121" t="str">
        <f>IF('summary_EPA Pond'!$O638="","Check Summary EPA POND worksheet Column O",'summary_EPA Pond'!$O638)</f>
        <v>Check Summary EPA POND worksheet Column O</v>
      </c>
      <c r="U638" s="121" t="str" cm="1">
        <f t="array" ref="U638">IFERROR(_xlfn.TEXTSPLIT(T638,"_"),"")</f>
        <v>Check Summary EPA POND worksheet Column O</v>
      </c>
      <c r="AA638" s="121" t="str" cm="1">
        <f t="array" ref="AA638">IF(W638="","",(_xlfn.TEXTSPLIT(W638,"-")))</f>
        <v/>
      </c>
      <c r="AD638" s="129" t="e">
        <f>VLOOKUP(VALUE($U638),test_out_xwalk!$C:$L,3,FALSE)</f>
        <v>#VALUE!</v>
      </c>
      <c r="AE638" s="129" t="e">
        <f>VLOOKUP(VALUE($U638),test_out_xwalk!$C:$L,5,FALSE)</f>
        <v>#VALUE!</v>
      </c>
      <c r="AF638" s="129" t="e">
        <f>VLOOKUP(VALUE($U638),test_out_xwalk!$C:$L,6,FALSE)</f>
        <v>#VALUE!</v>
      </c>
      <c r="AG638" s="129" t="e">
        <f>VLOOKUP(VALUE($U638),test_out_xwalk!$C:$L,8,FALSE)</f>
        <v>#VALUE!</v>
      </c>
      <c r="AH638" s="129" t="e">
        <f>VLOOKUP(VALUE($U638),test_out_xwalk!$C:$L,7,FALSE)</f>
        <v>#VALUE!</v>
      </c>
      <c r="AI638" s="129" t="e">
        <f>VLOOKUP(VALUE($U638),test_out_xwalk!$C:$L,4,FALSE)</f>
        <v>#VALUE!</v>
      </c>
      <c r="AJ638" s="129" t="e">
        <f>VLOOKUP(VALUE($U638),test_out_xwalk!$C:$L,9,FALSE)</f>
        <v>#VALUE!</v>
      </c>
      <c r="AK638" t="e">
        <f>_xlfn.XLOOKUP(VALUE(U638),test_out_xwalk!C:C,test_out_xwalk!A:A)</f>
        <v>#VALUE!</v>
      </c>
    </row>
    <row r="639" spans="1:37" x14ac:dyDescent="0.55000000000000004">
      <c r="A639" s="121" t="str">
        <f>IF('summary_EPA Pond'!$A639="","Check Summary EPA POND worksheet Column A",'summary_EPA Pond'!$A639)</f>
        <v>Check Summary EPA POND worksheet Column A</v>
      </c>
      <c r="B639" s="121" t="str" cm="1">
        <f t="array" ref="B639">IFERROR(_xlfn.TEXTSPLIT(A639,"_"),"")</f>
        <v>Check Summary EPA POND worksheet Column A</v>
      </c>
      <c r="H639" s="121" t="str" cm="1">
        <f t="array" ref="H639">IF(D639="","",(_xlfn.TEXTSPLIT(D639,"-")))</f>
        <v/>
      </c>
      <c r="K639" s="129" t="e">
        <f>VLOOKUP(VALUE($B639),test_out_xwalk!$C:$L,3,FALSE)</f>
        <v>#VALUE!</v>
      </c>
      <c r="L639" s="129" t="e">
        <f>VLOOKUP(VALUE($B639),test_out_xwalk!$C:$L,5,FALSE)</f>
        <v>#VALUE!</v>
      </c>
      <c r="M639" s="129" t="e">
        <f>VLOOKUP(VALUE($B639),test_out_xwalk!$C:$L,6,FALSE)</f>
        <v>#VALUE!</v>
      </c>
      <c r="N639" s="129" t="e">
        <f>VLOOKUP(VALUE($B639),test_out_xwalk!$C:$L,8,FALSE)</f>
        <v>#VALUE!</v>
      </c>
      <c r="O639" s="129" t="e">
        <f>VLOOKUP(VALUE($B639),test_out_xwalk!$C:$L,7,FALSE)</f>
        <v>#VALUE!</v>
      </c>
      <c r="P639" s="129" t="e">
        <f>VLOOKUP(VALUE($B639),test_out_xwalk!$C:$L,4,FALSE)</f>
        <v>#VALUE!</v>
      </c>
      <c r="Q639" s="129" t="e">
        <f>VLOOKUP(VALUE($B639),test_out_xwalk!$C:$L,9,FALSE)</f>
        <v>#VALUE!</v>
      </c>
      <c r="R639" t="e">
        <f>_xlfn.XLOOKUP(VALUE(B639),test_out_xwalk!$C:$C,test_out_xwalk!$A:$A)</f>
        <v>#VALUE!</v>
      </c>
      <c r="T639" s="121" t="str">
        <f>IF('summary_EPA Pond'!$O639="","Check Summary EPA POND worksheet Column O",'summary_EPA Pond'!$O639)</f>
        <v>Check Summary EPA POND worksheet Column O</v>
      </c>
      <c r="U639" s="121" t="str" cm="1">
        <f t="array" ref="U639">IFERROR(_xlfn.TEXTSPLIT(T639,"_"),"")</f>
        <v>Check Summary EPA POND worksheet Column O</v>
      </c>
      <c r="AA639" s="121" t="str" cm="1">
        <f t="array" ref="AA639">IF(W639="","",(_xlfn.TEXTSPLIT(W639,"-")))</f>
        <v/>
      </c>
      <c r="AD639" s="129" t="e">
        <f>VLOOKUP(VALUE($U639),test_out_xwalk!$C:$L,3,FALSE)</f>
        <v>#VALUE!</v>
      </c>
      <c r="AE639" s="129" t="e">
        <f>VLOOKUP(VALUE($U639),test_out_xwalk!$C:$L,5,FALSE)</f>
        <v>#VALUE!</v>
      </c>
      <c r="AF639" s="129" t="e">
        <f>VLOOKUP(VALUE($U639),test_out_xwalk!$C:$L,6,FALSE)</f>
        <v>#VALUE!</v>
      </c>
      <c r="AG639" s="129" t="e">
        <f>VLOOKUP(VALUE($U639),test_out_xwalk!$C:$L,8,FALSE)</f>
        <v>#VALUE!</v>
      </c>
      <c r="AH639" s="129" t="e">
        <f>VLOOKUP(VALUE($U639),test_out_xwalk!$C:$L,7,FALSE)</f>
        <v>#VALUE!</v>
      </c>
      <c r="AI639" s="129" t="e">
        <f>VLOOKUP(VALUE($U639),test_out_xwalk!$C:$L,4,FALSE)</f>
        <v>#VALUE!</v>
      </c>
      <c r="AJ639" s="129" t="e">
        <f>VLOOKUP(VALUE($U639),test_out_xwalk!$C:$L,9,FALSE)</f>
        <v>#VALUE!</v>
      </c>
      <c r="AK639" t="e">
        <f>_xlfn.XLOOKUP(VALUE(U639),test_out_xwalk!C:C,test_out_xwalk!A:A)</f>
        <v>#VALUE!</v>
      </c>
    </row>
    <row r="640" spans="1:37" x14ac:dyDescent="0.55000000000000004">
      <c r="A640" s="121" t="str">
        <f>IF('summary_EPA Pond'!$A640="","Check Summary EPA POND worksheet Column A",'summary_EPA Pond'!$A640)</f>
        <v>Check Summary EPA POND worksheet Column A</v>
      </c>
      <c r="B640" s="121" t="str" cm="1">
        <f t="array" ref="B640">IFERROR(_xlfn.TEXTSPLIT(A640,"_"),"")</f>
        <v>Check Summary EPA POND worksheet Column A</v>
      </c>
      <c r="H640" s="121" t="str" cm="1">
        <f t="array" ref="H640">IF(D640="","",(_xlfn.TEXTSPLIT(D640,"-")))</f>
        <v/>
      </c>
      <c r="K640" s="129" t="e">
        <f>VLOOKUP(VALUE($B640),test_out_xwalk!$C:$L,3,FALSE)</f>
        <v>#VALUE!</v>
      </c>
      <c r="L640" s="129" t="e">
        <f>VLOOKUP(VALUE($B640),test_out_xwalk!$C:$L,5,FALSE)</f>
        <v>#VALUE!</v>
      </c>
      <c r="M640" s="129" t="e">
        <f>VLOOKUP(VALUE($B640),test_out_xwalk!$C:$L,6,FALSE)</f>
        <v>#VALUE!</v>
      </c>
      <c r="N640" s="129" t="e">
        <f>VLOOKUP(VALUE($B640),test_out_xwalk!$C:$L,8,FALSE)</f>
        <v>#VALUE!</v>
      </c>
      <c r="O640" s="129" t="e">
        <f>VLOOKUP(VALUE($B640),test_out_xwalk!$C:$L,7,FALSE)</f>
        <v>#VALUE!</v>
      </c>
      <c r="P640" s="129" t="e">
        <f>VLOOKUP(VALUE($B640),test_out_xwalk!$C:$L,4,FALSE)</f>
        <v>#VALUE!</v>
      </c>
      <c r="Q640" s="129" t="e">
        <f>VLOOKUP(VALUE($B640),test_out_xwalk!$C:$L,9,FALSE)</f>
        <v>#VALUE!</v>
      </c>
      <c r="R640" t="e">
        <f>_xlfn.XLOOKUP(VALUE(B640),test_out_xwalk!$C:$C,test_out_xwalk!$A:$A)</f>
        <v>#VALUE!</v>
      </c>
      <c r="T640" s="121" t="str">
        <f>IF('summary_EPA Pond'!$O640="","Check Summary EPA POND worksheet Column O",'summary_EPA Pond'!$O640)</f>
        <v>Check Summary EPA POND worksheet Column O</v>
      </c>
      <c r="U640" s="121" t="str" cm="1">
        <f t="array" ref="U640">IFERROR(_xlfn.TEXTSPLIT(T640,"_"),"")</f>
        <v>Check Summary EPA POND worksheet Column O</v>
      </c>
      <c r="AA640" s="121" t="str" cm="1">
        <f t="array" ref="AA640">IF(W640="","",(_xlfn.TEXTSPLIT(W640,"-")))</f>
        <v/>
      </c>
      <c r="AD640" s="129" t="e">
        <f>VLOOKUP(VALUE($U640),test_out_xwalk!$C:$L,3,FALSE)</f>
        <v>#VALUE!</v>
      </c>
      <c r="AE640" s="129" t="e">
        <f>VLOOKUP(VALUE($U640),test_out_xwalk!$C:$L,5,FALSE)</f>
        <v>#VALUE!</v>
      </c>
      <c r="AF640" s="129" t="e">
        <f>VLOOKUP(VALUE($U640),test_out_xwalk!$C:$L,6,FALSE)</f>
        <v>#VALUE!</v>
      </c>
      <c r="AG640" s="129" t="e">
        <f>VLOOKUP(VALUE($U640),test_out_xwalk!$C:$L,8,FALSE)</f>
        <v>#VALUE!</v>
      </c>
      <c r="AH640" s="129" t="e">
        <f>VLOOKUP(VALUE($U640),test_out_xwalk!$C:$L,7,FALSE)</f>
        <v>#VALUE!</v>
      </c>
      <c r="AI640" s="129" t="e">
        <f>VLOOKUP(VALUE($U640),test_out_xwalk!$C:$L,4,FALSE)</f>
        <v>#VALUE!</v>
      </c>
      <c r="AJ640" s="129" t="e">
        <f>VLOOKUP(VALUE($U640),test_out_xwalk!$C:$L,9,FALSE)</f>
        <v>#VALUE!</v>
      </c>
      <c r="AK640" t="e">
        <f>_xlfn.XLOOKUP(VALUE(U640),test_out_xwalk!C:C,test_out_xwalk!A:A)</f>
        <v>#VALUE!</v>
      </c>
    </row>
    <row r="641" spans="1:37" x14ac:dyDescent="0.55000000000000004">
      <c r="A641" s="121" t="str">
        <f>IF('summary_EPA Pond'!$A641="","Check Summary EPA POND worksheet Column A",'summary_EPA Pond'!$A641)</f>
        <v>Check Summary EPA POND worksheet Column A</v>
      </c>
      <c r="B641" s="121" t="str" cm="1">
        <f t="array" ref="B641">IFERROR(_xlfn.TEXTSPLIT(A641,"_"),"")</f>
        <v>Check Summary EPA POND worksheet Column A</v>
      </c>
      <c r="H641" s="121" t="str" cm="1">
        <f t="array" ref="H641">IF(D641="","",(_xlfn.TEXTSPLIT(D641,"-")))</f>
        <v/>
      </c>
      <c r="K641" s="129" t="e">
        <f>VLOOKUP(VALUE($B641),test_out_xwalk!$C:$L,3,FALSE)</f>
        <v>#VALUE!</v>
      </c>
      <c r="L641" s="129" t="e">
        <f>VLOOKUP(VALUE($B641),test_out_xwalk!$C:$L,5,FALSE)</f>
        <v>#VALUE!</v>
      </c>
      <c r="M641" s="129" t="e">
        <f>VLOOKUP(VALUE($B641),test_out_xwalk!$C:$L,6,FALSE)</f>
        <v>#VALUE!</v>
      </c>
      <c r="N641" s="129" t="e">
        <f>VLOOKUP(VALUE($B641),test_out_xwalk!$C:$L,8,FALSE)</f>
        <v>#VALUE!</v>
      </c>
      <c r="O641" s="129" t="e">
        <f>VLOOKUP(VALUE($B641),test_out_xwalk!$C:$L,7,FALSE)</f>
        <v>#VALUE!</v>
      </c>
      <c r="P641" s="129" t="e">
        <f>VLOOKUP(VALUE($B641),test_out_xwalk!$C:$L,4,FALSE)</f>
        <v>#VALUE!</v>
      </c>
      <c r="Q641" s="129" t="e">
        <f>VLOOKUP(VALUE($B641),test_out_xwalk!$C:$L,9,FALSE)</f>
        <v>#VALUE!</v>
      </c>
      <c r="R641" t="e">
        <f>_xlfn.XLOOKUP(VALUE(B641),test_out_xwalk!$C:$C,test_out_xwalk!$A:$A)</f>
        <v>#VALUE!</v>
      </c>
      <c r="T641" s="121" t="str">
        <f>IF('summary_EPA Pond'!$O641="","Check Summary EPA POND worksheet Column O",'summary_EPA Pond'!$O641)</f>
        <v>Check Summary EPA POND worksheet Column O</v>
      </c>
      <c r="U641" s="121" t="str" cm="1">
        <f t="array" ref="U641">IFERROR(_xlfn.TEXTSPLIT(T641,"_"),"")</f>
        <v>Check Summary EPA POND worksheet Column O</v>
      </c>
      <c r="AA641" s="121" t="str" cm="1">
        <f t="array" ref="AA641">IF(W641="","",(_xlfn.TEXTSPLIT(W641,"-")))</f>
        <v/>
      </c>
      <c r="AD641" s="129" t="e">
        <f>VLOOKUP(VALUE($U641),test_out_xwalk!$C:$L,3,FALSE)</f>
        <v>#VALUE!</v>
      </c>
      <c r="AE641" s="129" t="e">
        <f>VLOOKUP(VALUE($U641),test_out_xwalk!$C:$L,5,FALSE)</f>
        <v>#VALUE!</v>
      </c>
      <c r="AF641" s="129" t="e">
        <f>VLOOKUP(VALUE($U641),test_out_xwalk!$C:$L,6,FALSE)</f>
        <v>#VALUE!</v>
      </c>
      <c r="AG641" s="129" t="e">
        <f>VLOOKUP(VALUE($U641),test_out_xwalk!$C:$L,8,FALSE)</f>
        <v>#VALUE!</v>
      </c>
      <c r="AH641" s="129" t="e">
        <f>VLOOKUP(VALUE($U641),test_out_xwalk!$C:$L,7,FALSE)</f>
        <v>#VALUE!</v>
      </c>
      <c r="AI641" s="129" t="e">
        <f>VLOOKUP(VALUE($U641),test_out_xwalk!$C:$L,4,FALSE)</f>
        <v>#VALUE!</v>
      </c>
      <c r="AJ641" s="129" t="e">
        <f>VLOOKUP(VALUE($U641),test_out_xwalk!$C:$L,9,FALSE)</f>
        <v>#VALUE!</v>
      </c>
      <c r="AK641" t="e">
        <f>_xlfn.XLOOKUP(VALUE(U641),test_out_xwalk!C:C,test_out_xwalk!A:A)</f>
        <v>#VALUE!</v>
      </c>
    </row>
    <row r="642" spans="1:37" x14ac:dyDescent="0.55000000000000004">
      <c r="A642" s="121" t="str">
        <f>IF('summary_EPA Pond'!$A642="","Check Summary EPA POND worksheet Column A",'summary_EPA Pond'!$A642)</f>
        <v>Check Summary EPA POND worksheet Column A</v>
      </c>
      <c r="B642" s="121" t="str" cm="1">
        <f t="array" ref="B642">IFERROR(_xlfn.TEXTSPLIT(A642,"_"),"")</f>
        <v>Check Summary EPA POND worksheet Column A</v>
      </c>
      <c r="H642" s="121" t="str" cm="1">
        <f t="array" ref="H642">IF(D642="","",(_xlfn.TEXTSPLIT(D642,"-")))</f>
        <v/>
      </c>
      <c r="K642" s="129" t="e">
        <f>VLOOKUP(VALUE($B642),test_out_xwalk!$C:$L,3,FALSE)</f>
        <v>#VALUE!</v>
      </c>
      <c r="L642" s="129" t="e">
        <f>VLOOKUP(VALUE($B642),test_out_xwalk!$C:$L,5,FALSE)</f>
        <v>#VALUE!</v>
      </c>
      <c r="M642" s="129" t="e">
        <f>VLOOKUP(VALUE($B642),test_out_xwalk!$C:$L,6,FALSE)</f>
        <v>#VALUE!</v>
      </c>
      <c r="N642" s="129" t="e">
        <f>VLOOKUP(VALUE($B642),test_out_xwalk!$C:$L,8,FALSE)</f>
        <v>#VALUE!</v>
      </c>
      <c r="O642" s="129" t="e">
        <f>VLOOKUP(VALUE($B642),test_out_xwalk!$C:$L,7,FALSE)</f>
        <v>#VALUE!</v>
      </c>
      <c r="P642" s="129" t="e">
        <f>VLOOKUP(VALUE($B642),test_out_xwalk!$C:$L,4,FALSE)</f>
        <v>#VALUE!</v>
      </c>
      <c r="Q642" s="129" t="e">
        <f>VLOOKUP(VALUE($B642),test_out_xwalk!$C:$L,9,FALSE)</f>
        <v>#VALUE!</v>
      </c>
      <c r="R642" t="e">
        <f>_xlfn.XLOOKUP(VALUE(B642),test_out_xwalk!$C:$C,test_out_xwalk!$A:$A)</f>
        <v>#VALUE!</v>
      </c>
      <c r="T642" s="121" t="str">
        <f>IF('summary_EPA Pond'!$O642="","Check Summary EPA POND worksheet Column O",'summary_EPA Pond'!$O642)</f>
        <v>Check Summary EPA POND worksheet Column O</v>
      </c>
      <c r="U642" s="121" t="str" cm="1">
        <f t="array" ref="U642">IFERROR(_xlfn.TEXTSPLIT(T642,"_"),"")</f>
        <v>Check Summary EPA POND worksheet Column O</v>
      </c>
      <c r="AA642" s="121" t="str" cm="1">
        <f t="array" ref="AA642">IF(W642="","",(_xlfn.TEXTSPLIT(W642,"-")))</f>
        <v/>
      </c>
      <c r="AD642" s="129" t="e">
        <f>VLOOKUP(VALUE($U642),test_out_xwalk!$C:$L,3,FALSE)</f>
        <v>#VALUE!</v>
      </c>
      <c r="AE642" s="129" t="e">
        <f>VLOOKUP(VALUE($U642),test_out_xwalk!$C:$L,5,FALSE)</f>
        <v>#VALUE!</v>
      </c>
      <c r="AF642" s="129" t="e">
        <f>VLOOKUP(VALUE($U642),test_out_xwalk!$C:$L,6,FALSE)</f>
        <v>#VALUE!</v>
      </c>
      <c r="AG642" s="129" t="e">
        <f>VLOOKUP(VALUE($U642),test_out_xwalk!$C:$L,8,FALSE)</f>
        <v>#VALUE!</v>
      </c>
      <c r="AH642" s="129" t="e">
        <f>VLOOKUP(VALUE($U642),test_out_xwalk!$C:$L,7,FALSE)</f>
        <v>#VALUE!</v>
      </c>
      <c r="AI642" s="129" t="e">
        <f>VLOOKUP(VALUE($U642),test_out_xwalk!$C:$L,4,FALSE)</f>
        <v>#VALUE!</v>
      </c>
      <c r="AJ642" s="129" t="e">
        <f>VLOOKUP(VALUE($U642),test_out_xwalk!$C:$L,9,FALSE)</f>
        <v>#VALUE!</v>
      </c>
      <c r="AK642" t="e">
        <f>_xlfn.XLOOKUP(VALUE(U642),test_out_xwalk!C:C,test_out_xwalk!A:A)</f>
        <v>#VALUE!</v>
      </c>
    </row>
    <row r="643" spans="1:37" x14ac:dyDescent="0.55000000000000004">
      <c r="A643" s="121" t="str">
        <f>IF('summary_EPA Pond'!$A643="","Check Summary EPA POND worksheet Column A",'summary_EPA Pond'!$A643)</f>
        <v>Check Summary EPA POND worksheet Column A</v>
      </c>
      <c r="B643" s="121" t="str" cm="1">
        <f t="array" ref="B643">IFERROR(_xlfn.TEXTSPLIT(A643,"_"),"")</f>
        <v>Check Summary EPA POND worksheet Column A</v>
      </c>
      <c r="H643" s="121" t="str" cm="1">
        <f t="array" ref="H643">IF(D643="","",(_xlfn.TEXTSPLIT(D643,"-")))</f>
        <v/>
      </c>
      <c r="K643" s="129" t="e">
        <f>VLOOKUP(VALUE($B643),test_out_xwalk!$C:$L,3,FALSE)</f>
        <v>#VALUE!</v>
      </c>
      <c r="L643" s="129" t="e">
        <f>VLOOKUP(VALUE($B643),test_out_xwalk!$C:$L,5,FALSE)</f>
        <v>#VALUE!</v>
      </c>
      <c r="M643" s="129" t="e">
        <f>VLOOKUP(VALUE($B643),test_out_xwalk!$C:$L,6,FALSE)</f>
        <v>#VALUE!</v>
      </c>
      <c r="N643" s="129" t="e">
        <f>VLOOKUP(VALUE($B643),test_out_xwalk!$C:$L,8,FALSE)</f>
        <v>#VALUE!</v>
      </c>
      <c r="O643" s="129" t="e">
        <f>VLOOKUP(VALUE($B643),test_out_xwalk!$C:$L,7,FALSE)</f>
        <v>#VALUE!</v>
      </c>
      <c r="P643" s="129" t="e">
        <f>VLOOKUP(VALUE($B643),test_out_xwalk!$C:$L,4,FALSE)</f>
        <v>#VALUE!</v>
      </c>
      <c r="Q643" s="129" t="e">
        <f>VLOOKUP(VALUE($B643),test_out_xwalk!$C:$L,9,FALSE)</f>
        <v>#VALUE!</v>
      </c>
      <c r="R643" t="e">
        <f>_xlfn.XLOOKUP(VALUE(B643),test_out_xwalk!$C:$C,test_out_xwalk!$A:$A)</f>
        <v>#VALUE!</v>
      </c>
      <c r="T643" s="121" t="str">
        <f>IF('summary_EPA Pond'!$O643="","Check Summary EPA POND worksheet Column O",'summary_EPA Pond'!$O643)</f>
        <v>Check Summary EPA POND worksheet Column O</v>
      </c>
      <c r="U643" s="121" t="str" cm="1">
        <f t="array" ref="U643">IFERROR(_xlfn.TEXTSPLIT(T643,"_"),"")</f>
        <v>Check Summary EPA POND worksheet Column O</v>
      </c>
      <c r="AA643" s="121" t="str" cm="1">
        <f t="array" ref="AA643">IF(W643="","",(_xlfn.TEXTSPLIT(W643,"-")))</f>
        <v/>
      </c>
      <c r="AD643" s="129" t="e">
        <f>VLOOKUP(VALUE($U643),test_out_xwalk!$C:$L,3,FALSE)</f>
        <v>#VALUE!</v>
      </c>
      <c r="AE643" s="129" t="e">
        <f>VLOOKUP(VALUE($U643),test_out_xwalk!$C:$L,5,FALSE)</f>
        <v>#VALUE!</v>
      </c>
      <c r="AF643" s="129" t="e">
        <f>VLOOKUP(VALUE($U643),test_out_xwalk!$C:$L,6,FALSE)</f>
        <v>#VALUE!</v>
      </c>
      <c r="AG643" s="129" t="e">
        <f>VLOOKUP(VALUE($U643),test_out_xwalk!$C:$L,8,FALSE)</f>
        <v>#VALUE!</v>
      </c>
      <c r="AH643" s="129" t="e">
        <f>VLOOKUP(VALUE($U643),test_out_xwalk!$C:$L,7,FALSE)</f>
        <v>#VALUE!</v>
      </c>
      <c r="AI643" s="129" t="e">
        <f>VLOOKUP(VALUE($U643),test_out_xwalk!$C:$L,4,FALSE)</f>
        <v>#VALUE!</v>
      </c>
      <c r="AJ643" s="129" t="e">
        <f>VLOOKUP(VALUE($U643),test_out_xwalk!$C:$L,9,FALSE)</f>
        <v>#VALUE!</v>
      </c>
      <c r="AK643" t="e">
        <f>_xlfn.XLOOKUP(VALUE(U643),test_out_xwalk!C:C,test_out_xwalk!A:A)</f>
        <v>#VALUE!</v>
      </c>
    </row>
    <row r="644" spans="1:37" x14ac:dyDescent="0.55000000000000004">
      <c r="A644" s="121" t="str">
        <f>IF('summary_EPA Pond'!$A644="","Check Summary EPA POND worksheet Column A",'summary_EPA Pond'!$A644)</f>
        <v>Check Summary EPA POND worksheet Column A</v>
      </c>
      <c r="B644" s="121" t="str" cm="1">
        <f t="array" ref="B644">IFERROR(_xlfn.TEXTSPLIT(A644,"_"),"")</f>
        <v>Check Summary EPA POND worksheet Column A</v>
      </c>
      <c r="H644" s="121" t="str" cm="1">
        <f t="array" ref="H644">IF(D644="","",(_xlfn.TEXTSPLIT(D644,"-")))</f>
        <v/>
      </c>
      <c r="K644" s="129" t="e">
        <f>VLOOKUP(VALUE($B644),test_out_xwalk!$C:$L,3,FALSE)</f>
        <v>#VALUE!</v>
      </c>
      <c r="L644" s="129" t="e">
        <f>VLOOKUP(VALUE($B644),test_out_xwalk!$C:$L,5,FALSE)</f>
        <v>#VALUE!</v>
      </c>
      <c r="M644" s="129" t="e">
        <f>VLOOKUP(VALUE($B644),test_out_xwalk!$C:$L,6,FALSE)</f>
        <v>#VALUE!</v>
      </c>
      <c r="N644" s="129" t="e">
        <f>VLOOKUP(VALUE($B644),test_out_xwalk!$C:$L,8,FALSE)</f>
        <v>#VALUE!</v>
      </c>
      <c r="O644" s="129" t="e">
        <f>VLOOKUP(VALUE($B644),test_out_xwalk!$C:$L,7,FALSE)</f>
        <v>#VALUE!</v>
      </c>
      <c r="P644" s="129" t="e">
        <f>VLOOKUP(VALUE($B644),test_out_xwalk!$C:$L,4,FALSE)</f>
        <v>#VALUE!</v>
      </c>
      <c r="Q644" s="129" t="e">
        <f>VLOOKUP(VALUE($B644),test_out_xwalk!$C:$L,9,FALSE)</f>
        <v>#VALUE!</v>
      </c>
      <c r="R644" t="e">
        <f>_xlfn.XLOOKUP(VALUE(B644),test_out_xwalk!$C:$C,test_out_xwalk!$A:$A)</f>
        <v>#VALUE!</v>
      </c>
      <c r="T644" s="121" t="str">
        <f>IF('summary_EPA Pond'!$O644="","Check Summary EPA POND worksheet Column O",'summary_EPA Pond'!$O644)</f>
        <v>Check Summary EPA POND worksheet Column O</v>
      </c>
      <c r="U644" s="121" t="str" cm="1">
        <f t="array" ref="U644">IFERROR(_xlfn.TEXTSPLIT(T644,"_"),"")</f>
        <v>Check Summary EPA POND worksheet Column O</v>
      </c>
      <c r="AA644" s="121" t="str" cm="1">
        <f t="array" ref="AA644">IF(W644="","",(_xlfn.TEXTSPLIT(W644,"-")))</f>
        <v/>
      </c>
      <c r="AD644" s="129" t="e">
        <f>VLOOKUP(VALUE($U644),test_out_xwalk!$C:$L,3,FALSE)</f>
        <v>#VALUE!</v>
      </c>
      <c r="AE644" s="129" t="e">
        <f>VLOOKUP(VALUE($U644),test_out_xwalk!$C:$L,5,FALSE)</f>
        <v>#VALUE!</v>
      </c>
      <c r="AF644" s="129" t="e">
        <f>VLOOKUP(VALUE($U644),test_out_xwalk!$C:$L,6,FALSE)</f>
        <v>#VALUE!</v>
      </c>
      <c r="AG644" s="129" t="e">
        <f>VLOOKUP(VALUE($U644),test_out_xwalk!$C:$L,8,FALSE)</f>
        <v>#VALUE!</v>
      </c>
      <c r="AH644" s="129" t="e">
        <f>VLOOKUP(VALUE($U644),test_out_xwalk!$C:$L,7,FALSE)</f>
        <v>#VALUE!</v>
      </c>
      <c r="AI644" s="129" t="e">
        <f>VLOOKUP(VALUE($U644),test_out_xwalk!$C:$L,4,FALSE)</f>
        <v>#VALUE!</v>
      </c>
      <c r="AJ644" s="129" t="e">
        <f>VLOOKUP(VALUE($U644),test_out_xwalk!$C:$L,9,FALSE)</f>
        <v>#VALUE!</v>
      </c>
      <c r="AK644" t="e">
        <f>_xlfn.XLOOKUP(VALUE(U644),test_out_xwalk!C:C,test_out_xwalk!A:A)</f>
        <v>#VALUE!</v>
      </c>
    </row>
    <row r="645" spans="1:37" x14ac:dyDescent="0.55000000000000004">
      <c r="A645" s="121" t="str">
        <f>IF('summary_EPA Pond'!$A645="","Check Summary EPA POND worksheet Column A",'summary_EPA Pond'!$A645)</f>
        <v>Check Summary EPA POND worksheet Column A</v>
      </c>
      <c r="B645" s="121" t="str" cm="1">
        <f t="array" ref="B645">IFERROR(_xlfn.TEXTSPLIT(A645,"_"),"")</f>
        <v>Check Summary EPA POND worksheet Column A</v>
      </c>
      <c r="H645" s="121" t="str" cm="1">
        <f t="array" ref="H645">IF(D645="","",(_xlfn.TEXTSPLIT(D645,"-")))</f>
        <v/>
      </c>
      <c r="K645" s="129" t="e">
        <f>VLOOKUP(VALUE($B645),test_out_xwalk!$C:$L,3,FALSE)</f>
        <v>#VALUE!</v>
      </c>
      <c r="L645" s="129" t="e">
        <f>VLOOKUP(VALUE($B645),test_out_xwalk!$C:$L,5,FALSE)</f>
        <v>#VALUE!</v>
      </c>
      <c r="M645" s="129" t="e">
        <f>VLOOKUP(VALUE($B645),test_out_xwalk!$C:$L,6,FALSE)</f>
        <v>#VALUE!</v>
      </c>
      <c r="N645" s="129" t="e">
        <f>VLOOKUP(VALUE($B645),test_out_xwalk!$C:$L,8,FALSE)</f>
        <v>#VALUE!</v>
      </c>
      <c r="O645" s="129" t="e">
        <f>VLOOKUP(VALUE($B645),test_out_xwalk!$C:$L,7,FALSE)</f>
        <v>#VALUE!</v>
      </c>
      <c r="P645" s="129" t="e">
        <f>VLOOKUP(VALUE($B645),test_out_xwalk!$C:$L,4,FALSE)</f>
        <v>#VALUE!</v>
      </c>
      <c r="Q645" s="129" t="e">
        <f>VLOOKUP(VALUE($B645),test_out_xwalk!$C:$L,9,FALSE)</f>
        <v>#VALUE!</v>
      </c>
      <c r="R645" t="e">
        <f>_xlfn.XLOOKUP(VALUE(B645),test_out_xwalk!$C:$C,test_out_xwalk!$A:$A)</f>
        <v>#VALUE!</v>
      </c>
      <c r="T645" s="121" t="str">
        <f>IF('summary_EPA Pond'!$O645="","Check Summary EPA POND worksheet Column O",'summary_EPA Pond'!$O645)</f>
        <v>Check Summary EPA POND worksheet Column O</v>
      </c>
      <c r="U645" s="121" t="str" cm="1">
        <f t="array" ref="U645">IFERROR(_xlfn.TEXTSPLIT(T645,"_"),"")</f>
        <v>Check Summary EPA POND worksheet Column O</v>
      </c>
      <c r="AA645" s="121" t="str" cm="1">
        <f t="array" ref="AA645">IF(W645="","",(_xlfn.TEXTSPLIT(W645,"-")))</f>
        <v/>
      </c>
      <c r="AD645" s="129" t="e">
        <f>VLOOKUP(VALUE($U645),test_out_xwalk!$C:$L,3,FALSE)</f>
        <v>#VALUE!</v>
      </c>
      <c r="AE645" s="129" t="e">
        <f>VLOOKUP(VALUE($U645),test_out_xwalk!$C:$L,5,FALSE)</f>
        <v>#VALUE!</v>
      </c>
      <c r="AF645" s="129" t="e">
        <f>VLOOKUP(VALUE($U645),test_out_xwalk!$C:$L,6,FALSE)</f>
        <v>#VALUE!</v>
      </c>
      <c r="AG645" s="129" t="e">
        <f>VLOOKUP(VALUE($U645),test_out_xwalk!$C:$L,8,FALSE)</f>
        <v>#VALUE!</v>
      </c>
      <c r="AH645" s="129" t="e">
        <f>VLOOKUP(VALUE($U645),test_out_xwalk!$C:$L,7,FALSE)</f>
        <v>#VALUE!</v>
      </c>
      <c r="AI645" s="129" t="e">
        <f>VLOOKUP(VALUE($U645),test_out_xwalk!$C:$L,4,FALSE)</f>
        <v>#VALUE!</v>
      </c>
      <c r="AJ645" s="129" t="e">
        <f>VLOOKUP(VALUE($U645),test_out_xwalk!$C:$L,9,FALSE)</f>
        <v>#VALUE!</v>
      </c>
      <c r="AK645" t="e">
        <f>_xlfn.XLOOKUP(VALUE(U645),test_out_xwalk!C:C,test_out_xwalk!A:A)</f>
        <v>#VALUE!</v>
      </c>
    </row>
    <row r="646" spans="1:37" x14ac:dyDescent="0.55000000000000004">
      <c r="A646" s="121" t="str">
        <f>IF('summary_EPA Pond'!$A646="","Check Summary EPA POND worksheet Column A",'summary_EPA Pond'!$A646)</f>
        <v>Check Summary EPA POND worksheet Column A</v>
      </c>
      <c r="B646" s="121" t="str" cm="1">
        <f t="array" ref="B646">IFERROR(_xlfn.TEXTSPLIT(A646,"_"),"")</f>
        <v>Check Summary EPA POND worksheet Column A</v>
      </c>
      <c r="H646" s="121" t="str" cm="1">
        <f t="array" ref="H646">IF(D646="","",(_xlfn.TEXTSPLIT(D646,"-")))</f>
        <v/>
      </c>
      <c r="K646" s="129" t="e">
        <f>VLOOKUP(VALUE($B646),test_out_xwalk!$C:$L,3,FALSE)</f>
        <v>#VALUE!</v>
      </c>
      <c r="L646" s="129" t="e">
        <f>VLOOKUP(VALUE($B646),test_out_xwalk!$C:$L,5,FALSE)</f>
        <v>#VALUE!</v>
      </c>
      <c r="M646" s="129" t="e">
        <f>VLOOKUP(VALUE($B646),test_out_xwalk!$C:$L,6,FALSE)</f>
        <v>#VALUE!</v>
      </c>
      <c r="N646" s="129" t="e">
        <f>VLOOKUP(VALUE($B646),test_out_xwalk!$C:$L,8,FALSE)</f>
        <v>#VALUE!</v>
      </c>
      <c r="O646" s="129" t="e">
        <f>VLOOKUP(VALUE($B646),test_out_xwalk!$C:$L,7,FALSE)</f>
        <v>#VALUE!</v>
      </c>
      <c r="P646" s="129" t="e">
        <f>VLOOKUP(VALUE($B646),test_out_xwalk!$C:$L,4,FALSE)</f>
        <v>#VALUE!</v>
      </c>
      <c r="Q646" s="129" t="e">
        <f>VLOOKUP(VALUE($B646),test_out_xwalk!$C:$L,9,FALSE)</f>
        <v>#VALUE!</v>
      </c>
      <c r="R646" t="e">
        <f>_xlfn.XLOOKUP(VALUE(B646),test_out_xwalk!$C:$C,test_out_xwalk!$A:$A)</f>
        <v>#VALUE!</v>
      </c>
      <c r="T646" s="121" t="str">
        <f>IF('summary_EPA Pond'!$O646="","Check Summary EPA POND worksheet Column O",'summary_EPA Pond'!$O646)</f>
        <v>Check Summary EPA POND worksheet Column O</v>
      </c>
      <c r="U646" s="121" t="str" cm="1">
        <f t="array" ref="U646">IFERROR(_xlfn.TEXTSPLIT(T646,"_"),"")</f>
        <v>Check Summary EPA POND worksheet Column O</v>
      </c>
      <c r="AA646" s="121" t="str" cm="1">
        <f t="array" ref="AA646">IF(W646="","",(_xlfn.TEXTSPLIT(W646,"-")))</f>
        <v/>
      </c>
      <c r="AD646" s="129" t="e">
        <f>VLOOKUP(VALUE($U646),test_out_xwalk!$C:$L,3,FALSE)</f>
        <v>#VALUE!</v>
      </c>
      <c r="AE646" s="129" t="e">
        <f>VLOOKUP(VALUE($U646),test_out_xwalk!$C:$L,5,FALSE)</f>
        <v>#VALUE!</v>
      </c>
      <c r="AF646" s="129" t="e">
        <f>VLOOKUP(VALUE($U646),test_out_xwalk!$C:$L,6,FALSE)</f>
        <v>#VALUE!</v>
      </c>
      <c r="AG646" s="129" t="e">
        <f>VLOOKUP(VALUE($U646),test_out_xwalk!$C:$L,8,FALSE)</f>
        <v>#VALUE!</v>
      </c>
      <c r="AH646" s="129" t="e">
        <f>VLOOKUP(VALUE($U646),test_out_xwalk!$C:$L,7,FALSE)</f>
        <v>#VALUE!</v>
      </c>
      <c r="AI646" s="129" t="e">
        <f>VLOOKUP(VALUE($U646),test_out_xwalk!$C:$L,4,FALSE)</f>
        <v>#VALUE!</v>
      </c>
      <c r="AJ646" s="129" t="e">
        <f>VLOOKUP(VALUE($U646),test_out_xwalk!$C:$L,9,FALSE)</f>
        <v>#VALUE!</v>
      </c>
      <c r="AK646" t="e">
        <f>_xlfn.XLOOKUP(VALUE(U646),test_out_xwalk!C:C,test_out_xwalk!A:A)</f>
        <v>#VALUE!</v>
      </c>
    </row>
    <row r="647" spans="1:37" x14ac:dyDescent="0.55000000000000004">
      <c r="A647" s="121" t="str">
        <f>IF('summary_EPA Pond'!$A647="","Check Summary EPA POND worksheet Column A",'summary_EPA Pond'!$A647)</f>
        <v>Check Summary EPA POND worksheet Column A</v>
      </c>
      <c r="B647" s="121" t="str" cm="1">
        <f t="array" ref="B647">IFERROR(_xlfn.TEXTSPLIT(A647,"_"),"")</f>
        <v>Check Summary EPA POND worksheet Column A</v>
      </c>
      <c r="H647" s="121" t="str" cm="1">
        <f t="array" ref="H647">IF(D647="","",(_xlfn.TEXTSPLIT(D647,"-")))</f>
        <v/>
      </c>
      <c r="K647" s="129" t="e">
        <f>VLOOKUP(VALUE($B647),test_out_xwalk!$C:$L,3,FALSE)</f>
        <v>#VALUE!</v>
      </c>
      <c r="L647" s="129" t="e">
        <f>VLOOKUP(VALUE($B647),test_out_xwalk!$C:$L,5,FALSE)</f>
        <v>#VALUE!</v>
      </c>
      <c r="M647" s="129" t="e">
        <f>VLOOKUP(VALUE($B647),test_out_xwalk!$C:$L,6,FALSE)</f>
        <v>#VALUE!</v>
      </c>
      <c r="N647" s="129" t="e">
        <f>VLOOKUP(VALUE($B647),test_out_xwalk!$C:$L,8,FALSE)</f>
        <v>#VALUE!</v>
      </c>
      <c r="O647" s="129" t="e">
        <f>VLOOKUP(VALUE($B647),test_out_xwalk!$C:$L,7,FALSE)</f>
        <v>#VALUE!</v>
      </c>
      <c r="P647" s="129" t="e">
        <f>VLOOKUP(VALUE($B647),test_out_xwalk!$C:$L,4,FALSE)</f>
        <v>#VALUE!</v>
      </c>
      <c r="Q647" s="129" t="e">
        <f>VLOOKUP(VALUE($B647),test_out_xwalk!$C:$L,9,FALSE)</f>
        <v>#VALUE!</v>
      </c>
      <c r="R647" t="e">
        <f>_xlfn.XLOOKUP(VALUE(B647),test_out_xwalk!$C:$C,test_out_xwalk!$A:$A)</f>
        <v>#VALUE!</v>
      </c>
      <c r="T647" s="121" t="str">
        <f>IF('summary_EPA Pond'!$O647="","Check Summary EPA POND worksheet Column O",'summary_EPA Pond'!$O647)</f>
        <v>Check Summary EPA POND worksheet Column O</v>
      </c>
      <c r="U647" s="121" t="str" cm="1">
        <f t="array" ref="U647">IFERROR(_xlfn.TEXTSPLIT(T647,"_"),"")</f>
        <v>Check Summary EPA POND worksheet Column O</v>
      </c>
      <c r="AA647" s="121" t="str" cm="1">
        <f t="array" ref="AA647">IF(W647="","",(_xlfn.TEXTSPLIT(W647,"-")))</f>
        <v/>
      </c>
      <c r="AD647" s="129" t="e">
        <f>VLOOKUP(VALUE($U647),test_out_xwalk!$C:$L,3,FALSE)</f>
        <v>#VALUE!</v>
      </c>
      <c r="AE647" s="129" t="e">
        <f>VLOOKUP(VALUE($U647),test_out_xwalk!$C:$L,5,FALSE)</f>
        <v>#VALUE!</v>
      </c>
      <c r="AF647" s="129" t="e">
        <f>VLOOKUP(VALUE($U647),test_out_xwalk!$C:$L,6,FALSE)</f>
        <v>#VALUE!</v>
      </c>
      <c r="AG647" s="129" t="e">
        <f>VLOOKUP(VALUE($U647),test_out_xwalk!$C:$L,8,FALSE)</f>
        <v>#VALUE!</v>
      </c>
      <c r="AH647" s="129" t="e">
        <f>VLOOKUP(VALUE($U647),test_out_xwalk!$C:$L,7,FALSE)</f>
        <v>#VALUE!</v>
      </c>
      <c r="AI647" s="129" t="e">
        <f>VLOOKUP(VALUE($U647),test_out_xwalk!$C:$L,4,FALSE)</f>
        <v>#VALUE!</v>
      </c>
      <c r="AJ647" s="129" t="e">
        <f>VLOOKUP(VALUE($U647),test_out_xwalk!$C:$L,9,FALSE)</f>
        <v>#VALUE!</v>
      </c>
      <c r="AK647" t="e">
        <f>_xlfn.XLOOKUP(VALUE(U647),test_out_xwalk!C:C,test_out_xwalk!A:A)</f>
        <v>#VALUE!</v>
      </c>
    </row>
    <row r="648" spans="1:37" x14ac:dyDescent="0.55000000000000004">
      <c r="A648" s="121" t="str">
        <f>IF('summary_EPA Pond'!$A648="","Check Summary EPA POND worksheet Column A",'summary_EPA Pond'!$A648)</f>
        <v>Check Summary EPA POND worksheet Column A</v>
      </c>
      <c r="B648" s="121" t="str" cm="1">
        <f t="array" ref="B648">IFERROR(_xlfn.TEXTSPLIT(A648,"_"),"")</f>
        <v>Check Summary EPA POND worksheet Column A</v>
      </c>
      <c r="H648" s="121" t="str" cm="1">
        <f t="array" ref="H648">IF(D648="","",(_xlfn.TEXTSPLIT(D648,"-")))</f>
        <v/>
      </c>
      <c r="K648" s="129" t="e">
        <f>VLOOKUP(VALUE($B648),test_out_xwalk!$C:$L,3,FALSE)</f>
        <v>#VALUE!</v>
      </c>
      <c r="L648" s="129" t="e">
        <f>VLOOKUP(VALUE($B648),test_out_xwalk!$C:$L,5,FALSE)</f>
        <v>#VALUE!</v>
      </c>
      <c r="M648" s="129" t="e">
        <f>VLOOKUP(VALUE($B648),test_out_xwalk!$C:$L,6,FALSE)</f>
        <v>#VALUE!</v>
      </c>
      <c r="N648" s="129" t="e">
        <f>VLOOKUP(VALUE($B648),test_out_xwalk!$C:$L,8,FALSE)</f>
        <v>#VALUE!</v>
      </c>
      <c r="O648" s="129" t="e">
        <f>VLOOKUP(VALUE($B648),test_out_xwalk!$C:$L,7,FALSE)</f>
        <v>#VALUE!</v>
      </c>
      <c r="P648" s="129" t="e">
        <f>VLOOKUP(VALUE($B648),test_out_xwalk!$C:$L,4,FALSE)</f>
        <v>#VALUE!</v>
      </c>
      <c r="Q648" s="129" t="e">
        <f>VLOOKUP(VALUE($B648),test_out_xwalk!$C:$L,9,FALSE)</f>
        <v>#VALUE!</v>
      </c>
      <c r="R648" t="e">
        <f>_xlfn.XLOOKUP(VALUE(B648),test_out_xwalk!$C:$C,test_out_xwalk!$A:$A)</f>
        <v>#VALUE!</v>
      </c>
      <c r="T648" s="121" t="str">
        <f>IF('summary_EPA Pond'!$O648="","Check Summary EPA POND worksheet Column O",'summary_EPA Pond'!$O648)</f>
        <v>Check Summary EPA POND worksheet Column O</v>
      </c>
      <c r="U648" s="121" t="str" cm="1">
        <f t="array" ref="U648">IFERROR(_xlfn.TEXTSPLIT(T648,"_"),"")</f>
        <v>Check Summary EPA POND worksheet Column O</v>
      </c>
      <c r="AA648" s="121" t="str" cm="1">
        <f t="array" ref="AA648">IF(W648="","",(_xlfn.TEXTSPLIT(W648,"-")))</f>
        <v/>
      </c>
      <c r="AD648" s="129" t="e">
        <f>VLOOKUP(VALUE($U648),test_out_xwalk!$C:$L,3,FALSE)</f>
        <v>#VALUE!</v>
      </c>
      <c r="AE648" s="129" t="e">
        <f>VLOOKUP(VALUE($U648),test_out_xwalk!$C:$L,5,FALSE)</f>
        <v>#VALUE!</v>
      </c>
      <c r="AF648" s="129" t="e">
        <f>VLOOKUP(VALUE($U648),test_out_xwalk!$C:$L,6,FALSE)</f>
        <v>#VALUE!</v>
      </c>
      <c r="AG648" s="129" t="e">
        <f>VLOOKUP(VALUE($U648),test_out_xwalk!$C:$L,8,FALSE)</f>
        <v>#VALUE!</v>
      </c>
      <c r="AH648" s="129" t="e">
        <f>VLOOKUP(VALUE($U648),test_out_xwalk!$C:$L,7,FALSE)</f>
        <v>#VALUE!</v>
      </c>
      <c r="AI648" s="129" t="e">
        <f>VLOOKUP(VALUE($U648),test_out_xwalk!$C:$L,4,FALSE)</f>
        <v>#VALUE!</v>
      </c>
      <c r="AJ648" s="129" t="e">
        <f>VLOOKUP(VALUE($U648),test_out_xwalk!$C:$L,9,FALSE)</f>
        <v>#VALUE!</v>
      </c>
      <c r="AK648" t="e">
        <f>_xlfn.XLOOKUP(VALUE(U648),test_out_xwalk!C:C,test_out_xwalk!A:A)</f>
        <v>#VALUE!</v>
      </c>
    </row>
    <row r="649" spans="1:37" x14ac:dyDescent="0.55000000000000004">
      <c r="A649" s="121" t="str">
        <f>IF('summary_EPA Pond'!$A649="","Check Summary EPA POND worksheet Column A",'summary_EPA Pond'!$A649)</f>
        <v>Check Summary EPA POND worksheet Column A</v>
      </c>
      <c r="B649" s="121" t="str" cm="1">
        <f t="array" ref="B649">IFERROR(_xlfn.TEXTSPLIT(A649,"_"),"")</f>
        <v>Check Summary EPA POND worksheet Column A</v>
      </c>
      <c r="H649" s="121" t="str" cm="1">
        <f t="array" ref="H649">IF(D649="","",(_xlfn.TEXTSPLIT(D649,"-")))</f>
        <v/>
      </c>
      <c r="K649" s="129" t="e">
        <f>VLOOKUP(VALUE($B649),test_out_xwalk!$C:$L,3,FALSE)</f>
        <v>#VALUE!</v>
      </c>
      <c r="L649" s="129" t="e">
        <f>VLOOKUP(VALUE($B649),test_out_xwalk!$C:$L,5,FALSE)</f>
        <v>#VALUE!</v>
      </c>
      <c r="M649" s="129" t="e">
        <f>VLOOKUP(VALUE($B649),test_out_xwalk!$C:$L,6,FALSE)</f>
        <v>#VALUE!</v>
      </c>
      <c r="N649" s="129" t="e">
        <f>VLOOKUP(VALUE($B649),test_out_xwalk!$C:$L,8,FALSE)</f>
        <v>#VALUE!</v>
      </c>
      <c r="O649" s="129" t="e">
        <f>VLOOKUP(VALUE($B649),test_out_xwalk!$C:$L,7,FALSE)</f>
        <v>#VALUE!</v>
      </c>
      <c r="P649" s="129" t="e">
        <f>VLOOKUP(VALUE($B649),test_out_xwalk!$C:$L,4,FALSE)</f>
        <v>#VALUE!</v>
      </c>
      <c r="Q649" s="129" t="e">
        <f>VLOOKUP(VALUE($B649),test_out_xwalk!$C:$L,9,FALSE)</f>
        <v>#VALUE!</v>
      </c>
      <c r="R649" t="e">
        <f>_xlfn.XLOOKUP(VALUE(B649),test_out_xwalk!$C:$C,test_out_xwalk!$A:$A)</f>
        <v>#VALUE!</v>
      </c>
      <c r="T649" s="121" t="str">
        <f>IF('summary_EPA Pond'!$O649="","Check Summary EPA POND worksheet Column O",'summary_EPA Pond'!$O649)</f>
        <v>Check Summary EPA POND worksheet Column O</v>
      </c>
      <c r="U649" s="121" t="str" cm="1">
        <f t="array" ref="U649">IFERROR(_xlfn.TEXTSPLIT(T649,"_"),"")</f>
        <v>Check Summary EPA POND worksheet Column O</v>
      </c>
      <c r="AA649" s="121" t="str" cm="1">
        <f t="array" ref="AA649">IF(W649="","",(_xlfn.TEXTSPLIT(W649,"-")))</f>
        <v/>
      </c>
      <c r="AD649" s="129" t="e">
        <f>VLOOKUP(VALUE($U649),test_out_xwalk!$C:$L,3,FALSE)</f>
        <v>#VALUE!</v>
      </c>
      <c r="AE649" s="129" t="e">
        <f>VLOOKUP(VALUE($U649),test_out_xwalk!$C:$L,5,FALSE)</f>
        <v>#VALUE!</v>
      </c>
      <c r="AF649" s="129" t="e">
        <f>VLOOKUP(VALUE($U649),test_out_xwalk!$C:$L,6,FALSE)</f>
        <v>#VALUE!</v>
      </c>
      <c r="AG649" s="129" t="e">
        <f>VLOOKUP(VALUE($U649),test_out_xwalk!$C:$L,8,FALSE)</f>
        <v>#VALUE!</v>
      </c>
      <c r="AH649" s="129" t="e">
        <f>VLOOKUP(VALUE($U649),test_out_xwalk!$C:$L,7,FALSE)</f>
        <v>#VALUE!</v>
      </c>
      <c r="AI649" s="129" t="e">
        <f>VLOOKUP(VALUE($U649),test_out_xwalk!$C:$L,4,FALSE)</f>
        <v>#VALUE!</v>
      </c>
      <c r="AJ649" s="129" t="e">
        <f>VLOOKUP(VALUE($U649),test_out_xwalk!$C:$L,9,FALSE)</f>
        <v>#VALUE!</v>
      </c>
      <c r="AK649" t="e">
        <f>_xlfn.XLOOKUP(VALUE(U649),test_out_xwalk!C:C,test_out_xwalk!A:A)</f>
        <v>#VALUE!</v>
      </c>
    </row>
    <row r="650" spans="1:37" x14ac:dyDescent="0.55000000000000004">
      <c r="A650" s="121" t="str">
        <f>IF('summary_EPA Pond'!$A650="","Check Summary EPA POND worksheet Column A",'summary_EPA Pond'!$A650)</f>
        <v>Check Summary EPA POND worksheet Column A</v>
      </c>
      <c r="B650" s="121" t="str" cm="1">
        <f t="array" ref="B650">IFERROR(_xlfn.TEXTSPLIT(A650,"_"),"")</f>
        <v>Check Summary EPA POND worksheet Column A</v>
      </c>
      <c r="H650" s="121" t="str" cm="1">
        <f t="array" ref="H650">IF(D650="","",(_xlfn.TEXTSPLIT(D650,"-")))</f>
        <v/>
      </c>
      <c r="K650" s="129" t="e">
        <f>VLOOKUP(VALUE($B650),test_out_xwalk!$C:$L,3,FALSE)</f>
        <v>#VALUE!</v>
      </c>
      <c r="L650" s="129" t="e">
        <f>VLOOKUP(VALUE($B650),test_out_xwalk!$C:$L,5,FALSE)</f>
        <v>#VALUE!</v>
      </c>
      <c r="M650" s="129" t="e">
        <f>VLOOKUP(VALUE($B650),test_out_xwalk!$C:$L,6,FALSE)</f>
        <v>#VALUE!</v>
      </c>
      <c r="N650" s="129" t="e">
        <f>VLOOKUP(VALUE($B650),test_out_xwalk!$C:$L,8,FALSE)</f>
        <v>#VALUE!</v>
      </c>
      <c r="O650" s="129" t="e">
        <f>VLOOKUP(VALUE($B650),test_out_xwalk!$C:$L,7,FALSE)</f>
        <v>#VALUE!</v>
      </c>
      <c r="P650" s="129" t="e">
        <f>VLOOKUP(VALUE($B650),test_out_xwalk!$C:$L,4,FALSE)</f>
        <v>#VALUE!</v>
      </c>
      <c r="Q650" s="129" t="e">
        <f>VLOOKUP(VALUE($B650),test_out_xwalk!$C:$L,9,FALSE)</f>
        <v>#VALUE!</v>
      </c>
      <c r="R650" t="e">
        <f>_xlfn.XLOOKUP(VALUE(B650),test_out_xwalk!$C:$C,test_out_xwalk!$A:$A)</f>
        <v>#VALUE!</v>
      </c>
      <c r="T650" s="121" t="str">
        <f>IF('summary_EPA Pond'!$O650="","Check Summary EPA POND worksheet Column O",'summary_EPA Pond'!$O650)</f>
        <v>Check Summary EPA POND worksheet Column O</v>
      </c>
      <c r="U650" s="121" t="str" cm="1">
        <f t="array" ref="U650">IFERROR(_xlfn.TEXTSPLIT(T650,"_"),"")</f>
        <v>Check Summary EPA POND worksheet Column O</v>
      </c>
      <c r="AA650" s="121" t="str" cm="1">
        <f t="array" ref="AA650">IF(W650="","",(_xlfn.TEXTSPLIT(W650,"-")))</f>
        <v/>
      </c>
      <c r="AD650" s="129" t="e">
        <f>VLOOKUP(VALUE($U650),test_out_xwalk!$C:$L,3,FALSE)</f>
        <v>#VALUE!</v>
      </c>
      <c r="AE650" s="129" t="e">
        <f>VLOOKUP(VALUE($U650),test_out_xwalk!$C:$L,5,FALSE)</f>
        <v>#VALUE!</v>
      </c>
      <c r="AF650" s="129" t="e">
        <f>VLOOKUP(VALUE($U650),test_out_xwalk!$C:$L,6,FALSE)</f>
        <v>#VALUE!</v>
      </c>
      <c r="AG650" s="129" t="e">
        <f>VLOOKUP(VALUE($U650),test_out_xwalk!$C:$L,8,FALSE)</f>
        <v>#VALUE!</v>
      </c>
      <c r="AH650" s="129" t="e">
        <f>VLOOKUP(VALUE($U650),test_out_xwalk!$C:$L,7,FALSE)</f>
        <v>#VALUE!</v>
      </c>
      <c r="AI650" s="129" t="e">
        <f>VLOOKUP(VALUE($U650),test_out_xwalk!$C:$L,4,FALSE)</f>
        <v>#VALUE!</v>
      </c>
      <c r="AJ650" s="129" t="e">
        <f>VLOOKUP(VALUE($U650),test_out_xwalk!$C:$L,9,FALSE)</f>
        <v>#VALUE!</v>
      </c>
      <c r="AK650" t="e">
        <f>_xlfn.XLOOKUP(VALUE(U650),test_out_xwalk!C:C,test_out_xwalk!A:A)</f>
        <v>#VALUE!</v>
      </c>
    </row>
    <row r="651" spans="1:37" x14ac:dyDescent="0.55000000000000004">
      <c r="A651" s="121" t="str">
        <f>IF('summary_EPA Pond'!$A651="","Check Summary EPA POND worksheet Column A",'summary_EPA Pond'!$A651)</f>
        <v>Check Summary EPA POND worksheet Column A</v>
      </c>
      <c r="B651" s="121" t="str" cm="1">
        <f t="array" ref="B651">IFERROR(_xlfn.TEXTSPLIT(A651,"_"),"")</f>
        <v>Check Summary EPA POND worksheet Column A</v>
      </c>
      <c r="H651" s="121" t="str" cm="1">
        <f t="array" ref="H651">IF(D651="","",(_xlfn.TEXTSPLIT(D651,"-")))</f>
        <v/>
      </c>
      <c r="K651" s="129" t="e">
        <f>VLOOKUP(VALUE($B651),test_out_xwalk!$C:$L,3,FALSE)</f>
        <v>#VALUE!</v>
      </c>
      <c r="L651" s="129" t="e">
        <f>VLOOKUP(VALUE($B651),test_out_xwalk!$C:$L,5,FALSE)</f>
        <v>#VALUE!</v>
      </c>
      <c r="M651" s="129" t="e">
        <f>VLOOKUP(VALUE($B651),test_out_xwalk!$C:$L,6,FALSE)</f>
        <v>#VALUE!</v>
      </c>
      <c r="N651" s="129" t="e">
        <f>VLOOKUP(VALUE($B651),test_out_xwalk!$C:$L,8,FALSE)</f>
        <v>#VALUE!</v>
      </c>
      <c r="O651" s="129" t="e">
        <f>VLOOKUP(VALUE($B651),test_out_xwalk!$C:$L,7,FALSE)</f>
        <v>#VALUE!</v>
      </c>
      <c r="P651" s="129" t="e">
        <f>VLOOKUP(VALUE($B651),test_out_xwalk!$C:$L,4,FALSE)</f>
        <v>#VALUE!</v>
      </c>
      <c r="Q651" s="129" t="e">
        <f>VLOOKUP(VALUE($B651),test_out_xwalk!$C:$L,9,FALSE)</f>
        <v>#VALUE!</v>
      </c>
      <c r="R651" t="e">
        <f>_xlfn.XLOOKUP(VALUE(B651),test_out_xwalk!$C:$C,test_out_xwalk!$A:$A)</f>
        <v>#VALUE!</v>
      </c>
      <c r="T651" s="121" t="str">
        <f>IF('summary_EPA Pond'!$O651="","Check Summary EPA POND worksheet Column O",'summary_EPA Pond'!$O651)</f>
        <v>Check Summary EPA POND worksheet Column O</v>
      </c>
      <c r="U651" s="121" t="str" cm="1">
        <f t="array" ref="U651">IFERROR(_xlfn.TEXTSPLIT(T651,"_"),"")</f>
        <v>Check Summary EPA POND worksheet Column O</v>
      </c>
      <c r="AA651" s="121" t="str" cm="1">
        <f t="array" ref="AA651">IF(W651="","",(_xlfn.TEXTSPLIT(W651,"-")))</f>
        <v/>
      </c>
      <c r="AD651" s="129" t="e">
        <f>VLOOKUP(VALUE($U651),test_out_xwalk!$C:$L,3,FALSE)</f>
        <v>#VALUE!</v>
      </c>
      <c r="AE651" s="129" t="e">
        <f>VLOOKUP(VALUE($U651),test_out_xwalk!$C:$L,5,FALSE)</f>
        <v>#VALUE!</v>
      </c>
      <c r="AF651" s="129" t="e">
        <f>VLOOKUP(VALUE($U651),test_out_xwalk!$C:$L,6,FALSE)</f>
        <v>#VALUE!</v>
      </c>
      <c r="AG651" s="129" t="e">
        <f>VLOOKUP(VALUE($U651),test_out_xwalk!$C:$L,8,FALSE)</f>
        <v>#VALUE!</v>
      </c>
      <c r="AH651" s="129" t="e">
        <f>VLOOKUP(VALUE($U651),test_out_xwalk!$C:$L,7,FALSE)</f>
        <v>#VALUE!</v>
      </c>
      <c r="AI651" s="129" t="e">
        <f>VLOOKUP(VALUE($U651),test_out_xwalk!$C:$L,4,FALSE)</f>
        <v>#VALUE!</v>
      </c>
      <c r="AJ651" s="129" t="e">
        <f>VLOOKUP(VALUE($U651),test_out_xwalk!$C:$L,9,FALSE)</f>
        <v>#VALUE!</v>
      </c>
      <c r="AK651" t="e">
        <f>_xlfn.XLOOKUP(VALUE(U651),test_out_xwalk!C:C,test_out_xwalk!A:A)</f>
        <v>#VALUE!</v>
      </c>
    </row>
    <row r="652" spans="1:37" x14ac:dyDescent="0.55000000000000004">
      <c r="A652" s="121" t="str">
        <f>IF('summary_EPA Pond'!$A652="","Check Summary EPA POND worksheet Column A",'summary_EPA Pond'!$A652)</f>
        <v>Check Summary EPA POND worksheet Column A</v>
      </c>
      <c r="B652" s="121" t="str" cm="1">
        <f t="array" ref="B652">IFERROR(_xlfn.TEXTSPLIT(A652,"_"),"")</f>
        <v>Check Summary EPA POND worksheet Column A</v>
      </c>
      <c r="H652" s="121" t="str" cm="1">
        <f t="array" ref="H652">IF(D652="","",(_xlfn.TEXTSPLIT(D652,"-")))</f>
        <v/>
      </c>
      <c r="K652" s="129" t="e">
        <f>VLOOKUP(VALUE($B652),test_out_xwalk!$C:$L,3,FALSE)</f>
        <v>#VALUE!</v>
      </c>
      <c r="L652" s="129" t="e">
        <f>VLOOKUP(VALUE($B652),test_out_xwalk!$C:$L,5,FALSE)</f>
        <v>#VALUE!</v>
      </c>
      <c r="M652" s="129" t="e">
        <f>VLOOKUP(VALUE($B652),test_out_xwalk!$C:$L,6,FALSE)</f>
        <v>#VALUE!</v>
      </c>
      <c r="N652" s="129" t="e">
        <f>VLOOKUP(VALUE($B652),test_out_xwalk!$C:$L,8,FALSE)</f>
        <v>#VALUE!</v>
      </c>
      <c r="O652" s="129" t="e">
        <f>VLOOKUP(VALUE($B652),test_out_xwalk!$C:$L,7,FALSE)</f>
        <v>#VALUE!</v>
      </c>
      <c r="P652" s="129" t="e">
        <f>VLOOKUP(VALUE($B652),test_out_xwalk!$C:$L,4,FALSE)</f>
        <v>#VALUE!</v>
      </c>
      <c r="Q652" s="129" t="e">
        <f>VLOOKUP(VALUE($B652),test_out_xwalk!$C:$L,9,FALSE)</f>
        <v>#VALUE!</v>
      </c>
      <c r="R652" t="e">
        <f>_xlfn.XLOOKUP(VALUE(B652),test_out_xwalk!$C:$C,test_out_xwalk!$A:$A)</f>
        <v>#VALUE!</v>
      </c>
      <c r="T652" s="121" t="str">
        <f>IF('summary_EPA Pond'!$O652="","Check Summary EPA POND worksheet Column O",'summary_EPA Pond'!$O652)</f>
        <v>Check Summary EPA POND worksheet Column O</v>
      </c>
      <c r="U652" s="121" t="str" cm="1">
        <f t="array" ref="U652">IFERROR(_xlfn.TEXTSPLIT(T652,"_"),"")</f>
        <v>Check Summary EPA POND worksheet Column O</v>
      </c>
      <c r="AA652" s="121" t="str" cm="1">
        <f t="array" ref="AA652">IF(W652="","",(_xlfn.TEXTSPLIT(W652,"-")))</f>
        <v/>
      </c>
      <c r="AD652" s="129" t="e">
        <f>VLOOKUP(VALUE($U652),test_out_xwalk!$C:$L,3,FALSE)</f>
        <v>#VALUE!</v>
      </c>
      <c r="AE652" s="129" t="e">
        <f>VLOOKUP(VALUE($U652),test_out_xwalk!$C:$L,5,FALSE)</f>
        <v>#VALUE!</v>
      </c>
      <c r="AF652" s="129" t="e">
        <f>VLOOKUP(VALUE($U652),test_out_xwalk!$C:$L,6,FALSE)</f>
        <v>#VALUE!</v>
      </c>
      <c r="AG652" s="129" t="e">
        <f>VLOOKUP(VALUE($U652),test_out_xwalk!$C:$L,8,FALSE)</f>
        <v>#VALUE!</v>
      </c>
      <c r="AH652" s="129" t="e">
        <f>VLOOKUP(VALUE($U652),test_out_xwalk!$C:$L,7,FALSE)</f>
        <v>#VALUE!</v>
      </c>
      <c r="AI652" s="129" t="e">
        <f>VLOOKUP(VALUE($U652),test_out_xwalk!$C:$L,4,FALSE)</f>
        <v>#VALUE!</v>
      </c>
      <c r="AJ652" s="129" t="e">
        <f>VLOOKUP(VALUE($U652),test_out_xwalk!$C:$L,9,FALSE)</f>
        <v>#VALUE!</v>
      </c>
      <c r="AK652" t="e">
        <f>_xlfn.XLOOKUP(VALUE(U652),test_out_xwalk!C:C,test_out_xwalk!A:A)</f>
        <v>#VALUE!</v>
      </c>
    </row>
    <row r="653" spans="1:37" x14ac:dyDescent="0.55000000000000004">
      <c r="A653" s="121" t="str">
        <f>IF('summary_EPA Pond'!$A653="","Check Summary EPA POND worksheet Column A",'summary_EPA Pond'!$A653)</f>
        <v>Check Summary EPA POND worksheet Column A</v>
      </c>
      <c r="B653" s="121" t="str" cm="1">
        <f t="array" ref="B653">IFERROR(_xlfn.TEXTSPLIT(A653,"_"),"")</f>
        <v>Check Summary EPA POND worksheet Column A</v>
      </c>
      <c r="H653" s="121" t="str" cm="1">
        <f t="array" ref="H653">IF(D653="","",(_xlfn.TEXTSPLIT(D653,"-")))</f>
        <v/>
      </c>
      <c r="K653" s="129" t="e">
        <f>VLOOKUP(VALUE($B653),test_out_xwalk!$C:$L,3,FALSE)</f>
        <v>#VALUE!</v>
      </c>
      <c r="L653" s="129" t="e">
        <f>VLOOKUP(VALUE($B653),test_out_xwalk!$C:$L,5,FALSE)</f>
        <v>#VALUE!</v>
      </c>
      <c r="M653" s="129" t="e">
        <f>VLOOKUP(VALUE($B653),test_out_xwalk!$C:$L,6,FALSE)</f>
        <v>#VALUE!</v>
      </c>
      <c r="N653" s="129" t="e">
        <f>VLOOKUP(VALUE($B653),test_out_xwalk!$C:$L,8,FALSE)</f>
        <v>#VALUE!</v>
      </c>
      <c r="O653" s="129" t="e">
        <f>VLOOKUP(VALUE($B653),test_out_xwalk!$C:$L,7,FALSE)</f>
        <v>#VALUE!</v>
      </c>
      <c r="P653" s="129" t="e">
        <f>VLOOKUP(VALUE($B653),test_out_xwalk!$C:$L,4,FALSE)</f>
        <v>#VALUE!</v>
      </c>
      <c r="Q653" s="129" t="e">
        <f>VLOOKUP(VALUE($B653),test_out_xwalk!$C:$L,9,FALSE)</f>
        <v>#VALUE!</v>
      </c>
      <c r="R653" t="e">
        <f>_xlfn.XLOOKUP(VALUE(B653),test_out_xwalk!$C:$C,test_out_xwalk!$A:$A)</f>
        <v>#VALUE!</v>
      </c>
      <c r="T653" s="121" t="str">
        <f>IF('summary_EPA Pond'!$O653="","Check Summary EPA POND worksheet Column O",'summary_EPA Pond'!$O653)</f>
        <v>Check Summary EPA POND worksheet Column O</v>
      </c>
      <c r="U653" s="121" t="str" cm="1">
        <f t="array" ref="U653">IFERROR(_xlfn.TEXTSPLIT(T653,"_"),"")</f>
        <v>Check Summary EPA POND worksheet Column O</v>
      </c>
      <c r="AA653" s="121" t="str" cm="1">
        <f t="array" ref="AA653">IF(W653="","",(_xlfn.TEXTSPLIT(W653,"-")))</f>
        <v/>
      </c>
      <c r="AD653" s="129" t="e">
        <f>VLOOKUP(VALUE($U653),test_out_xwalk!$C:$L,3,FALSE)</f>
        <v>#VALUE!</v>
      </c>
      <c r="AE653" s="129" t="e">
        <f>VLOOKUP(VALUE($U653),test_out_xwalk!$C:$L,5,FALSE)</f>
        <v>#VALUE!</v>
      </c>
      <c r="AF653" s="129" t="e">
        <f>VLOOKUP(VALUE($U653),test_out_xwalk!$C:$L,6,FALSE)</f>
        <v>#VALUE!</v>
      </c>
      <c r="AG653" s="129" t="e">
        <f>VLOOKUP(VALUE($U653),test_out_xwalk!$C:$L,8,FALSE)</f>
        <v>#VALUE!</v>
      </c>
      <c r="AH653" s="129" t="e">
        <f>VLOOKUP(VALUE($U653),test_out_xwalk!$C:$L,7,FALSE)</f>
        <v>#VALUE!</v>
      </c>
      <c r="AI653" s="129" t="e">
        <f>VLOOKUP(VALUE($U653),test_out_xwalk!$C:$L,4,FALSE)</f>
        <v>#VALUE!</v>
      </c>
      <c r="AJ653" s="129" t="e">
        <f>VLOOKUP(VALUE($U653),test_out_xwalk!$C:$L,9,FALSE)</f>
        <v>#VALUE!</v>
      </c>
      <c r="AK653" t="e">
        <f>_xlfn.XLOOKUP(VALUE(U653),test_out_xwalk!C:C,test_out_xwalk!A:A)</f>
        <v>#VALUE!</v>
      </c>
    </row>
    <row r="654" spans="1:37" x14ac:dyDescent="0.55000000000000004">
      <c r="A654" s="121" t="str">
        <f>IF('summary_EPA Pond'!$A654="","Check Summary EPA POND worksheet Column A",'summary_EPA Pond'!$A654)</f>
        <v>Check Summary EPA POND worksheet Column A</v>
      </c>
      <c r="B654" s="121" t="str" cm="1">
        <f t="array" ref="B654">IFERROR(_xlfn.TEXTSPLIT(A654,"_"),"")</f>
        <v>Check Summary EPA POND worksheet Column A</v>
      </c>
      <c r="H654" s="121" t="str" cm="1">
        <f t="array" ref="H654">IF(D654="","",(_xlfn.TEXTSPLIT(D654,"-")))</f>
        <v/>
      </c>
      <c r="K654" s="129" t="e">
        <f>VLOOKUP(VALUE($B654),test_out_xwalk!$C:$L,3,FALSE)</f>
        <v>#VALUE!</v>
      </c>
      <c r="L654" s="129" t="e">
        <f>VLOOKUP(VALUE($B654),test_out_xwalk!$C:$L,5,FALSE)</f>
        <v>#VALUE!</v>
      </c>
      <c r="M654" s="129" t="e">
        <f>VLOOKUP(VALUE($B654),test_out_xwalk!$C:$L,6,FALSE)</f>
        <v>#VALUE!</v>
      </c>
      <c r="N654" s="129" t="e">
        <f>VLOOKUP(VALUE($B654),test_out_xwalk!$C:$L,8,FALSE)</f>
        <v>#VALUE!</v>
      </c>
      <c r="O654" s="129" t="e">
        <f>VLOOKUP(VALUE($B654),test_out_xwalk!$C:$L,7,FALSE)</f>
        <v>#VALUE!</v>
      </c>
      <c r="P654" s="129" t="e">
        <f>VLOOKUP(VALUE($B654),test_out_xwalk!$C:$L,4,FALSE)</f>
        <v>#VALUE!</v>
      </c>
      <c r="Q654" s="129" t="e">
        <f>VLOOKUP(VALUE($B654),test_out_xwalk!$C:$L,9,FALSE)</f>
        <v>#VALUE!</v>
      </c>
      <c r="R654" t="e">
        <f>_xlfn.XLOOKUP(VALUE(B654),test_out_xwalk!$C:$C,test_out_xwalk!$A:$A)</f>
        <v>#VALUE!</v>
      </c>
      <c r="T654" s="121" t="str">
        <f>IF('summary_EPA Pond'!$O654="","Check Summary EPA POND worksheet Column O",'summary_EPA Pond'!$O654)</f>
        <v>Check Summary EPA POND worksheet Column O</v>
      </c>
      <c r="U654" s="121" t="str" cm="1">
        <f t="array" ref="U654">IFERROR(_xlfn.TEXTSPLIT(T654,"_"),"")</f>
        <v>Check Summary EPA POND worksheet Column O</v>
      </c>
      <c r="AA654" s="121" t="str" cm="1">
        <f t="array" ref="AA654">IF(W654="","",(_xlfn.TEXTSPLIT(W654,"-")))</f>
        <v/>
      </c>
      <c r="AD654" s="129" t="e">
        <f>VLOOKUP(VALUE($U654),test_out_xwalk!$C:$L,3,FALSE)</f>
        <v>#VALUE!</v>
      </c>
      <c r="AE654" s="129" t="e">
        <f>VLOOKUP(VALUE($U654),test_out_xwalk!$C:$L,5,FALSE)</f>
        <v>#VALUE!</v>
      </c>
      <c r="AF654" s="129" t="e">
        <f>VLOOKUP(VALUE($U654),test_out_xwalk!$C:$L,6,FALSE)</f>
        <v>#VALUE!</v>
      </c>
      <c r="AG654" s="129" t="e">
        <f>VLOOKUP(VALUE($U654),test_out_xwalk!$C:$L,8,FALSE)</f>
        <v>#VALUE!</v>
      </c>
      <c r="AH654" s="129" t="e">
        <f>VLOOKUP(VALUE($U654),test_out_xwalk!$C:$L,7,FALSE)</f>
        <v>#VALUE!</v>
      </c>
      <c r="AI654" s="129" t="e">
        <f>VLOOKUP(VALUE($U654),test_out_xwalk!$C:$L,4,FALSE)</f>
        <v>#VALUE!</v>
      </c>
      <c r="AJ654" s="129" t="e">
        <f>VLOOKUP(VALUE($U654),test_out_xwalk!$C:$L,9,FALSE)</f>
        <v>#VALUE!</v>
      </c>
      <c r="AK654" t="e">
        <f>_xlfn.XLOOKUP(VALUE(U654),test_out_xwalk!C:C,test_out_xwalk!A:A)</f>
        <v>#VALUE!</v>
      </c>
    </row>
    <row r="655" spans="1:37" x14ac:dyDescent="0.55000000000000004">
      <c r="A655" s="121" t="str">
        <f>IF('summary_EPA Pond'!$A655="","Check Summary EPA POND worksheet Column A",'summary_EPA Pond'!$A655)</f>
        <v>Check Summary EPA POND worksheet Column A</v>
      </c>
      <c r="B655" s="121" t="str" cm="1">
        <f t="array" ref="B655">IFERROR(_xlfn.TEXTSPLIT(A655,"_"),"")</f>
        <v>Check Summary EPA POND worksheet Column A</v>
      </c>
      <c r="H655" s="121" t="str" cm="1">
        <f t="array" ref="H655">IF(D655="","",(_xlfn.TEXTSPLIT(D655,"-")))</f>
        <v/>
      </c>
      <c r="K655" s="129" t="e">
        <f>VLOOKUP(VALUE($B655),test_out_xwalk!$C:$L,3,FALSE)</f>
        <v>#VALUE!</v>
      </c>
      <c r="L655" s="129" t="e">
        <f>VLOOKUP(VALUE($B655),test_out_xwalk!$C:$L,5,FALSE)</f>
        <v>#VALUE!</v>
      </c>
      <c r="M655" s="129" t="e">
        <f>VLOOKUP(VALUE($B655),test_out_xwalk!$C:$L,6,FALSE)</f>
        <v>#VALUE!</v>
      </c>
      <c r="N655" s="129" t="e">
        <f>VLOOKUP(VALUE($B655),test_out_xwalk!$C:$L,8,FALSE)</f>
        <v>#VALUE!</v>
      </c>
      <c r="O655" s="129" t="e">
        <f>VLOOKUP(VALUE($B655),test_out_xwalk!$C:$L,7,FALSE)</f>
        <v>#VALUE!</v>
      </c>
      <c r="P655" s="129" t="e">
        <f>VLOOKUP(VALUE($B655),test_out_xwalk!$C:$L,4,FALSE)</f>
        <v>#VALUE!</v>
      </c>
      <c r="Q655" s="129" t="e">
        <f>VLOOKUP(VALUE($B655),test_out_xwalk!$C:$L,9,FALSE)</f>
        <v>#VALUE!</v>
      </c>
      <c r="R655" t="e">
        <f>_xlfn.XLOOKUP(VALUE(B655),test_out_xwalk!$C:$C,test_out_xwalk!$A:$A)</f>
        <v>#VALUE!</v>
      </c>
      <c r="T655" s="121" t="str">
        <f>IF('summary_EPA Pond'!$O655="","Check Summary EPA POND worksheet Column O",'summary_EPA Pond'!$O655)</f>
        <v>Check Summary EPA POND worksheet Column O</v>
      </c>
      <c r="U655" s="121" t="str" cm="1">
        <f t="array" ref="U655">IFERROR(_xlfn.TEXTSPLIT(T655,"_"),"")</f>
        <v>Check Summary EPA POND worksheet Column O</v>
      </c>
      <c r="AA655" s="121" t="str" cm="1">
        <f t="array" ref="AA655">IF(W655="","",(_xlfn.TEXTSPLIT(W655,"-")))</f>
        <v/>
      </c>
      <c r="AD655" s="129" t="e">
        <f>VLOOKUP(VALUE($U655),test_out_xwalk!$C:$L,3,FALSE)</f>
        <v>#VALUE!</v>
      </c>
      <c r="AE655" s="129" t="e">
        <f>VLOOKUP(VALUE($U655),test_out_xwalk!$C:$L,5,FALSE)</f>
        <v>#VALUE!</v>
      </c>
      <c r="AF655" s="129" t="e">
        <f>VLOOKUP(VALUE($U655),test_out_xwalk!$C:$L,6,FALSE)</f>
        <v>#VALUE!</v>
      </c>
      <c r="AG655" s="129" t="e">
        <f>VLOOKUP(VALUE($U655),test_out_xwalk!$C:$L,8,FALSE)</f>
        <v>#VALUE!</v>
      </c>
      <c r="AH655" s="129" t="e">
        <f>VLOOKUP(VALUE($U655),test_out_xwalk!$C:$L,7,FALSE)</f>
        <v>#VALUE!</v>
      </c>
      <c r="AI655" s="129" t="e">
        <f>VLOOKUP(VALUE($U655),test_out_xwalk!$C:$L,4,FALSE)</f>
        <v>#VALUE!</v>
      </c>
      <c r="AJ655" s="129" t="e">
        <f>VLOOKUP(VALUE($U655),test_out_xwalk!$C:$L,9,FALSE)</f>
        <v>#VALUE!</v>
      </c>
      <c r="AK655" t="e">
        <f>_xlfn.XLOOKUP(VALUE(U655),test_out_xwalk!C:C,test_out_xwalk!A:A)</f>
        <v>#VALUE!</v>
      </c>
    </row>
    <row r="656" spans="1:37" x14ac:dyDescent="0.55000000000000004">
      <c r="A656" s="121" t="str">
        <f>IF('summary_EPA Pond'!$A656="","Check Summary EPA POND worksheet Column A",'summary_EPA Pond'!$A656)</f>
        <v>Check Summary EPA POND worksheet Column A</v>
      </c>
      <c r="B656" s="121" t="str" cm="1">
        <f t="array" ref="B656">IFERROR(_xlfn.TEXTSPLIT(A656,"_"),"")</f>
        <v>Check Summary EPA POND worksheet Column A</v>
      </c>
      <c r="H656" s="121" t="str" cm="1">
        <f t="array" ref="H656">IF(D656="","",(_xlfn.TEXTSPLIT(D656,"-")))</f>
        <v/>
      </c>
      <c r="K656" s="129" t="e">
        <f>VLOOKUP(VALUE($B656),test_out_xwalk!$C:$L,3,FALSE)</f>
        <v>#VALUE!</v>
      </c>
      <c r="L656" s="129" t="e">
        <f>VLOOKUP(VALUE($B656),test_out_xwalk!$C:$L,5,FALSE)</f>
        <v>#VALUE!</v>
      </c>
      <c r="M656" s="129" t="e">
        <f>VLOOKUP(VALUE($B656),test_out_xwalk!$C:$L,6,FALSE)</f>
        <v>#VALUE!</v>
      </c>
      <c r="N656" s="129" t="e">
        <f>VLOOKUP(VALUE($B656),test_out_xwalk!$C:$L,8,FALSE)</f>
        <v>#VALUE!</v>
      </c>
      <c r="O656" s="129" t="e">
        <f>VLOOKUP(VALUE($B656),test_out_xwalk!$C:$L,7,FALSE)</f>
        <v>#VALUE!</v>
      </c>
      <c r="P656" s="129" t="e">
        <f>VLOOKUP(VALUE($B656),test_out_xwalk!$C:$L,4,FALSE)</f>
        <v>#VALUE!</v>
      </c>
      <c r="Q656" s="129" t="e">
        <f>VLOOKUP(VALUE($B656),test_out_xwalk!$C:$L,9,FALSE)</f>
        <v>#VALUE!</v>
      </c>
      <c r="R656" t="e">
        <f>_xlfn.XLOOKUP(VALUE(B656),test_out_xwalk!$C:$C,test_out_xwalk!$A:$A)</f>
        <v>#VALUE!</v>
      </c>
      <c r="T656" s="121" t="str">
        <f>IF('summary_EPA Pond'!$O656="","Check Summary EPA POND worksheet Column O",'summary_EPA Pond'!$O656)</f>
        <v>Check Summary EPA POND worksheet Column O</v>
      </c>
      <c r="U656" s="121" t="str" cm="1">
        <f t="array" ref="U656">IFERROR(_xlfn.TEXTSPLIT(T656,"_"),"")</f>
        <v>Check Summary EPA POND worksheet Column O</v>
      </c>
      <c r="AA656" s="121" t="str" cm="1">
        <f t="array" ref="AA656">IF(W656="","",(_xlfn.TEXTSPLIT(W656,"-")))</f>
        <v/>
      </c>
      <c r="AD656" s="129" t="e">
        <f>VLOOKUP(VALUE($U656),test_out_xwalk!$C:$L,3,FALSE)</f>
        <v>#VALUE!</v>
      </c>
      <c r="AE656" s="129" t="e">
        <f>VLOOKUP(VALUE($U656),test_out_xwalk!$C:$L,5,FALSE)</f>
        <v>#VALUE!</v>
      </c>
      <c r="AF656" s="129" t="e">
        <f>VLOOKUP(VALUE($U656),test_out_xwalk!$C:$L,6,FALSE)</f>
        <v>#VALUE!</v>
      </c>
      <c r="AG656" s="129" t="e">
        <f>VLOOKUP(VALUE($U656),test_out_xwalk!$C:$L,8,FALSE)</f>
        <v>#VALUE!</v>
      </c>
      <c r="AH656" s="129" t="e">
        <f>VLOOKUP(VALUE($U656),test_out_xwalk!$C:$L,7,FALSE)</f>
        <v>#VALUE!</v>
      </c>
      <c r="AI656" s="129" t="e">
        <f>VLOOKUP(VALUE($U656),test_out_xwalk!$C:$L,4,FALSE)</f>
        <v>#VALUE!</v>
      </c>
      <c r="AJ656" s="129" t="e">
        <f>VLOOKUP(VALUE($U656),test_out_xwalk!$C:$L,9,FALSE)</f>
        <v>#VALUE!</v>
      </c>
      <c r="AK656" t="e">
        <f>_xlfn.XLOOKUP(VALUE(U656),test_out_xwalk!C:C,test_out_xwalk!A:A)</f>
        <v>#VALUE!</v>
      </c>
    </row>
    <row r="657" spans="1:37" x14ac:dyDescent="0.55000000000000004">
      <c r="A657" s="121" t="str">
        <f>IF('summary_EPA Pond'!$A657="","Check Summary EPA POND worksheet Column A",'summary_EPA Pond'!$A657)</f>
        <v>Check Summary EPA POND worksheet Column A</v>
      </c>
      <c r="B657" s="121" t="str" cm="1">
        <f t="array" ref="B657">IFERROR(_xlfn.TEXTSPLIT(A657,"_"),"")</f>
        <v>Check Summary EPA POND worksheet Column A</v>
      </c>
      <c r="H657" s="121" t="str" cm="1">
        <f t="array" ref="H657">IF(D657="","",(_xlfn.TEXTSPLIT(D657,"-")))</f>
        <v/>
      </c>
      <c r="K657" s="129" t="e">
        <f>VLOOKUP(VALUE($B657),test_out_xwalk!$C:$L,3,FALSE)</f>
        <v>#VALUE!</v>
      </c>
      <c r="L657" s="129" t="e">
        <f>VLOOKUP(VALUE($B657),test_out_xwalk!$C:$L,5,FALSE)</f>
        <v>#VALUE!</v>
      </c>
      <c r="M657" s="129" t="e">
        <f>VLOOKUP(VALUE($B657),test_out_xwalk!$C:$L,6,FALSE)</f>
        <v>#VALUE!</v>
      </c>
      <c r="N657" s="129" t="e">
        <f>VLOOKUP(VALUE($B657),test_out_xwalk!$C:$L,8,FALSE)</f>
        <v>#VALUE!</v>
      </c>
      <c r="O657" s="129" t="e">
        <f>VLOOKUP(VALUE($B657),test_out_xwalk!$C:$L,7,FALSE)</f>
        <v>#VALUE!</v>
      </c>
      <c r="P657" s="129" t="e">
        <f>VLOOKUP(VALUE($B657),test_out_xwalk!$C:$L,4,FALSE)</f>
        <v>#VALUE!</v>
      </c>
      <c r="Q657" s="129" t="e">
        <f>VLOOKUP(VALUE($B657),test_out_xwalk!$C:$L,9,FALSE)</f>
        <v>#VALUE!</v>
      </c>
      <c r="R657" t="e">
        <f>_xlfn.XLOOKUP(VALUE(B657),test_out_xwalk!$C:$C,test_out_xwalk!$A:$A)</f>
        <v>#VALUE!</v>
      </c>
      <c r="T657" s="121" t="str">
        <f>IF('summary_EPA Pond'!$O657="","Check Summary EPA POND worksheet Column O",'summary_EPA Pond'!$O657)</f>
        <v>Check Summary EPA POND worksheet Column O</v>
      </c>
      <c r="U657" s="121" t="str" cm="1">
        <f t="array" ref="U657">IFERROR(_xlfn.TEXTSPLIT(T657,"_"),"")</f>
        <v>Check Summary EPA POND worksheet Column O</v>
      </c>
      <c r="AA657" s="121" t="str" cm="1">
        <f t="array" ref="AA657">IF(W657="","",(_xlfn.TEXTSPLIT(W657,"-")))</f>
        <v/>
      </c>
      <c r="AD657" s="129" t="e">
        <f>VLOOKUP(VALUE($U657),test_out_xwalk!$C:$L,3,FALSE)</f>
        <v>#VALUE!</v>
      </c>
      <c r="AE657" s="129" t="e">
        <f>VLOOKUP(VALUE($U657),test_out_xwalk!$C:$L,5,FALSE)</f>
        <v>#VALUE!</v>
      </c>
      <c r="AF657" s="129" t="e">
        <f>VLOOKUP(VALUE($U657),test_out_xwalk!$C:$L,6,FALSE)</f>
        <v>#VALUE!</v>
      </c>
      <c r="AG657" s="129" t="e">
        <f>VLOOKUP(VALUE($U657),test_out_xwalk!$C:$L,8,FALSE)</f>
        <v>#VALUE!</v>
      </c>
      <c r="AH657" s="129" t="e">
        <f>VLOOKUP(VALUE($U657),test_out_xwalk!$C:$L,7,FALSE)</f>
        <v>#VALUE!</v>
      </c>
      <c r="AI657" s="129" t="e">
        <f>VLOOKUP(VALUE($U657),test_out_xwalk!$C:$L,4,FALSE)</f>
        <v>#VALUE!</v>
      </c>
      <c r="AJ657" s="129" t="e">
        <f>VLOOKUP(VALUE($U657),test_out_xwalk!$C:$L,9,FALSE)</f>
        <v>#VALUE!</v>
      </c>
      <c r="AK657" t="e">
        <f>_xlfn.XLOOKUP(VALUE(U657),test_out_xwalk!C:C,test_out_xwalk!A:A)</f>
        <v>#VALUE!</v>
      </c>
    </row>
    <row r="658" spans="1:37" x14ac:dyDescent="0.55000000000000004">
      <c r="A658" s="121" t="str">
        <f>IF('summary_EPA Pond'!$A658="","Check Summary EPA POND worksheet Column A",'summary_EPA Pond'!$A658)</f>
        <v>Check Summary EPA POND worksheet Column A</v>
      </c>
      <c r="B658" s="121" t="str" cm="1">
        <f t="array" ref="B658">IFERROR(_xlfn.TEXTSPLIT(A658,"_"),"")</f>
        <v>Check Summary EPA POND worksheet Column A</v>
      </c>
      <c r="H658" s="121" t="str" cm="1">
        <f t="array" ref="H658">IF(D658="","",(_xlfn.TEXTSPLIT(D658,"-")))</f>
        <v/>
      </c>
      <c r="K658" s="129" t="e">
        <f>VLOOKUP(VALUE($B658),test_out_xwalk!$C:$L,3,FALSE)</f>
        <v>#VALUE!</v>
      </c>
      <c r="L658" s="129" t="e">
        <f>VLOOKUP(VALUE($B658),test_out_xwalk!$C:$L,5,FALSE)</f>
        <v>#VALUE!</v>
      </c>
      <c r="M658" s="129" t="e">
        <f>VLOOKUP(VALUE($B658),test_out_xwalk!$C:$L,6,FALSE)</f>
        <v>#VALUE!</v>
      </c>
      <c r="N658" s="129" t="e">
        <f>VLOOKUP(VALUE($B658),test_out_xwalk!$C:$L,8,FALSE)</f>
        <v>#VALUE!</v>
      </c>
      <c r="O658" s="129" t="e">
        <f>VLOOKUP(VALUE($B658),test_out_xwalk!$C:$L,7,FALSE)</f>
        <v>#VALUE!</v>
      </c>
      <c r="P658" s="129" t="e">
        <f>VLOOKUP(VALUE($B658),test_out_xwalk!$C:$L,4,FALSE)</f>
        <v>#VALUE!</v>
      </c>
      <c r="Q658" s="129" t="e">
        <f>VLOOKUP(VALUE($B658),test_out_xwalk!$C:$L,9,FALSE)</f>
        <v>#VALUE!</v>
      </c>
      <c r="R658" t="e">
        <f>_xlfn.XLOOKUP(VALUE(B658),test_out_xwalk!$C:$C,test_out_xwalk!$A:$A)</f>
        <v>#VALUE!</v>
      </c>
      <c r="T658" s="121" t="str">
        <f>IF('summary_EPA Pond'!$O658="","Check Summary EPA POND worksheet Column O",'summary_EPA Pond'!$O658)</f>
        <v>Check Summary EPA POND worksheet Column O</v>
      </c>
      <c r="U658" s="121" t="str" cm="1">
        <f t="array" ref="U658">IFERROR(_xlfn.TEXTSPLIT(T658,"_"),"")</f>
        <v>Check Summary EPA POND worksheet Column O</v>
      </c>
      <c r="AA658" s="121" t="str" cm="1">
        <f t="array" ref="AA658">IF(W658="","",(_xlfn.TEXTSPLIT(W658,"-")))</f>
        <v/>
      </c>
      <c r="AD658" s="129" t="e">
        <f>VLOOKUP(VALUE($U658),test_out_xwalk!$C:$L,3,FALSE)</f>
        <v>#VALUE!</v>
      </c>
      <c r="AE658" s="129" t="e">
        <f>VLOOKUP(VALUE($U658),test_out_xwalk!$C:$L,5,FALSE)</f>
        <v>#VALUE!</v>
      </c>
      <c r="AF658" s="129" t="e">
        <f>VLOOKUP(VALUE($U658),test_out_xwalk!$C:$L,6,FALSE)</f>
        <v>#VALUE!</v>
      </c>
      <c r="AG658" s="129" t="e">
        <f>VLOOKUP(VALUE($U658),test_out_xwalk!$C:$L,8,FALSE)</f>
        <v>#VALUE!</v>
      </c>
      <c r="AH658" s="129" t="e">
        <f>VLOOKUP(VALUE($U658),test_out_xwalk!$C:$L,7,FALSE)</f>
        <v>#VALUE!</v>
      </c>
      <c r="AI658" s="129" t="e">
        <f>VLOOKUP(VALUE($U658),test_out_xwalk!$C:$L,4,FALSE)</f>
        <v>#VALUE!</v>
      </c>
      <c r="AJ658" s="129" t="e">
        <f>VLOOKUP(VALUE($U658),test_out_xwalk!$C:$L,9,FALSE)</f>
        <v>#VALUE!</v>
      </c>
      <c r="AK658" t="e">
        <f>_xlfn.XLOOKUP(VALUE(U658),test_out_xwalk!C:C,test_out_xwalk!A:A)</f>
        <v>#VALUE!</v>
      </c>
    </row>
    <row r="659" spans="1:37" x14ac:dyDescent="0.55000000000000004">
      <c r="A659" s="121" t="str">
        <f>IF('summary_EPA Pond'!$A659="","Check Summary EPA POND worksheet Column A",'summary_EPA Pond'!$A659)</f>
        <v>Check Summary EPA POND worksheet Column A</v>
      </c>
      <c r="B659" s="121" t="str" cm="1">
        <f t="array" ref="B659">IFERROR(_xlfn.TEXTSPLIT(A659,"_"),"")</f>
        <v>Check Summary EPA POND worksheet Column A</v>
      </c>
      <c r="H659" s="121" t="str" cm="1">
        <f t="array" ref="H659">IF(D659="","",(_xlfn.TEXTSPLIT(D659,"-")))</f>
        <v/>
      </c>
      <c r="K659" s="129" t="e">
        <f>VLOOKUP(VALUE($B659),test_out_xwalk!$C:$L,3,FALSE)</f>
        <v>#VALUE!</v>
      </c>
      <c r="L659" s="129" t="e">
        <f>VLOOKUP(VALUE($B659),test_out_xwalk!$C:$L,5,FALSE)</f>
        <v>#VALUE!</v>
      </c>
      <c r="M659" s="129" t="e">
        <f>VLOOKUP(VALUE($B659),test_out_xwalk!$C:$L,6,FALSE)</f>
        <v>#VALUE!</v>
      </c>
      <c r="N659" s="129" t="e">
        <f>VLOOKUP(VALUE($B659),test_out_xwalk!$C:$L,8,FALSE)</f>
        <v>#VALUE!</v>
      </c>
      <c r="O659" s="129" t="e">
        <f>VLOOKUP(VALUE($B659),test_out_xwalk!$C:$L,7,FALSE)</f>
        <v>#VALUE!</v>
      </c>
      <c r="P659" s="129" t="e">
        <f>VLOOKUP(VALUE($B659),test_out_xwalk!$C:$L,4,FALSE)</f>
        <v>#VALUE!</v>
      </c>
      <c r="Q659" s="129" t="e">
        <f>VLOOKUP(VALUE($B659),test_out_xwalk!$C:$L,9,FALSE)</f>
        <v>#VALUE!</v>
      </c>
      <c r="R659" t="e">
        <f>_xlfn.XLOOKUP(VALUE(B659),test_out_xwalk!$C:$C,test_out_xwalk!$A:$A)</f>
        <v>#VALUE!</v>
      </c>
      <c r="T659" s="121" t="str">
        <f>IF('summary_EPA Pond'!$O659="","Check Summary EPA POND worksheet Column O",'summary_EPA Pond'!$O659)</f>
        <v>Check Summary EPA POND worksheet Column O</v>
      </c>
      <c r="U659" s="121" t="str" cm="1">
        <f t="array" ref="U659">IFERROR(_xlfn.TEXTSPLIT(T659,"_"),"")</f>
        <v>Check Summary EPA POND worksheet Column O</v>
      </c>
      <c r="AA659" s="121" t="str" cm="1">
        <f t="array" ref="AA659">IF(W659="","",(_xlfn.TEXTSPLIT(W659,"-")))</f>
        <v/>
      </c>
      <c r="AD659" s="129" t="e">
        <f>VLOOKUP(VALUE($U659),test_out_xwalk!$C:$L,3,FALSE)</f>
        <v>#VALUE!</v>
      </c>
      <c r="AE659" s="129" t="e">
        <f>VLOOKUP(VALUE($U659),test_out_xwalk!$C:$L,5,FALSE)</f>
        <v>#VALUE!</v>
      </c>
      <c r="AF659" s="129" t="e">
        <f>VLOOKUP(VALUE($U659),test_out_xwalk!$C:$L,6,FALSE)</f>
        <v>#VALUE!</v>
      </c>
      <c r="AG659" s="129" t="e">
        <f>VLOOKUP(VALUE($U659),test_out_xwalk!$C:$L,8,FALSE)</f>
        <v>#VALUE!</v>
      </c>
      <c r="AH659" s="129" t="e">
        <f>VLOOKUP(VALUE($U659),test_out_xwalk!$C:$L,7,FALSE)</f>
        <v>#VALUE!</v>
      </c>
      <c r="AI659" s="129" t="e">
        <f>VLOOKUP(VALUE($U659),test_out_xwalk!$C:$L,4,FALSE)</f>
        <v>#VALUE!</v>
      </c>
      <c r="AJ659" s="129" t="e">
        <f>VLOOKUP(VALUE($U659),test_out_xwalk!$C:$L,9,FALSE)</f>
        <v>#VALUE!</v>
      </c>
      <c r="AK659" t="e">
        <f>_xlfn.XLOOKUP(VALUE(U659),test_out_xwalk!C:C,test_out_xwalk!A:A)</f>
        <v>#VALUE!</v>
      </c>
    </row>
    <row r="660" spans="1:37" x14ac:dyDescent="0.55000000000000004">
      <c r="A660" s="121" t="str">
        <f>IF('summary_EPA Pond'!$A660="","Check Summary EPA POND worksheet Column A",'summary_EPA Pond'!$A660)</f>
        <v>Check Summary EPA POND worksheet Column A</v>
      </c>
      <c r="B660" s="121" t="str" cm="1">
        <f t="array" ref="B660">IFERROR(_xlfn.TEXTSPLIT(A660,"_"),"")</f>
        <v>Check Summary EPA POND worksheet Column A</v>
      </c>
      <c r="H660" s="121" t="str" cm="1">
        <f t="array" ref="H660">IF(D660="","",(_xlfn.TEXTSPLIT(D660,"-")))</f>
        <v/>
      </c>
      <c r="K660" s="129" t="e">
        <f>VLOOKUP(VALUE($B660),test_out_xwalk!$C:$L,3,FALSE)</f>
        <v>#VALUE!</v>
      </c>
      <c r="L660" s="129" t="e">
        <f>VLOOKUP(VALUE($B660),test_out_xwalk!$C:$L,5,FALSE)</f>
        <v>#VALUE!</v>
      </c>
      <c r="M660" s="129" t="e">
        <f>VLOOKUP(VALUE($B660),test_out_xwalk!$C:$L,6,FALSE)</f>
        <v>#VALUE!</v>
      </c>
      <c r="N660" s="129" t="e">
        <f>VLOOKUP(VALUE($B660),test_out_xwalk!$C:$L,8,FALSE)</f>
        <v>#VALUE!</v>
      </c>
      <c r="O660" s="129" t="e">
        <f>VLOOKUP(VALUE($B660),test_out_xwalk!$C:$L,7,FALSE)</f>
        <v>#VALUE!</v>
      </c>
      <c r="P660" s="129" t="e">
        <f>VLOOKUP(VALUE($B660),test_out_xwalk!$C:$L,4,FALSE)</f>
        <v>#VALUE!</v>
      </c>
      <c r="Q660" s="129" t="e">
        <f>VLOOKUP(VALUE($B660),test_out_xwalk!$C:$L,9,FALSE)</f>
        <v>#VALUE!</v>
      </c>
      <c r="R660" t="e">
        <f>_xlfn.XLOOKUP(VALUE(B660),test_out_xwalk!$C:$C,test_out_xwalk!$A:$A)</f>
        <v>#VALUE!</v>
      </c>
      <c r="T660" s="121" t="str">
        <f>IF('summary_EPA Pond'!$O660="","Check Summary EPA POND worksheet Column O",'summary_EPA Pond'!$O660)</f>
        <v>Check Summary EPA POND worksheet Column O</v>
      </c>
      <c r="U660" s="121" t="str" cm="1">
        <f t="array" ref="U660">IFERROR(_xlfn.TEXTSPLIT(T660,"_"),"")</f>
        <v>Check Summary EPA POND worksheet Column O</v>
      </c>
      <c r="AA660" s="121" t="str" cm="1">
        <f t="array" ref="AA660">IF(W660="","",(_xlfn.TEXTSPLIT(W660,"-")))</f>
        <v/>
      </c>
      <c r="AD660" s="129" t="e">
        <f>VLOOKUP(VALUE($U660),test_out_xwalk!$C:$L,3,FALSE)</f>
        <v>#VALUE!</v>
      </c>
      <c r="AE660" s="129" t="e">
        <f>VLOOKUP(VALUE($U660),test_out_xwalk!$C:$L,5,FALSE)</f>
        <v>#VALUE!</v>
      </c>
      <c r="AF660" s="129" t="e">
        <f>VLOOKUP(VALUE($U660),test_out_xwalk!$C:$L,6,FALSE)</f>
        <v>#VALUE!</v>
      </c>
      <c r="AG660" s="129" t="e">
        <f>VLOOKUP(VALUE($U660),test_out_xwalk!$C:$L,8,FALSE)</f>
        <v>#VALUE!</v>
      </c>
      <c r="AH660" s="129" t="e">
        <f>VLOOKUP(VALUE($U660),test_out_xwalk!$C:$L,7,FALSE)</f>
        <v>#VALUE!</v>
      </c>
      <c r="AI660" s="129" t="e">
        <f>VLOOKUP(VALUE($U660),test_out_xwalk!$C:$L,4,FALSE)</f>
        <v>#VALUE!</v>
      </c>
      <c r="AJ660" s="129" t="e">
        <f>VLOOKUP(VALUE($U660),test_out_xwalk!$C:$L,9,FALSE)</f>
        <v>#VALUE!</v>
      </c>
      <c r="AK660" t="e">
        <f>_xlfn.XLOOKUP(VALUE(U660),test_out_xwalk!C:C,test_out_xwalk!A:A)</f>
        <v>#VALUE!</v>
      </c>
    </row>
    <row r="661" spans="1:37" x14ac:dyDescent="0.55000000000000004">
      <c r="A661" s="121" t="str">
        <f>IF('summary_EPA Pond'!$A661="","Check Summary EPA POND worksheet Column A",'summary_EPA Pond'!$A661)</f>
        <v>Check Summary EPA POND worksheet Column A</v>
      </c>
      <c r="B661" s="121" t="str" cm="1">
        <f t="array" ref="B661">IFERROR(_xlfn.TEXTSPLIT(A661,"_"),"")</f>
        <v>Check Summary EPA POND worksheet Column A</v>
      </c>
      <c r="H661" s="121" t="str" cm="1">
        <f t="array" ref="H661">IF(D661="","",(_xlfn.TEXTSPLIT(D661,"-")))</f>
        <v/>
      </c>
      <c r="K661" s="129" t="e">
        <f>VLOOKUP(VALUE($B661),test_out_xwalk!$C:$L,3,FALSE)</f>
        <v>#VALUE!</v>
      </c>
      <c r="L661" s="129" t="e">
        <f>VLOOKUP(VALUE($B661),test_out_xwalk!$C:$L,5,FALSE)</f>
        <v>#VALUE!</v>
      </c>
      <c r="M661" s="129" t="e">
        <f>VLOOKUP(VALUE($B661),test_out_xwalk!$C:$L,6,FALSE)</f>
        <v>#VALUE!</v>
      </c>
      <c r="N661" s="129" t="e">
        <f>VLOOKUP(VALUE($B661),test_out_xwalk!$C:$L,8,FALSE)</f>
        <v>#VALUE!</v>
      </c>
      <c r="O661" s="129" t="e">
        <f>VLOOKUP(VALUE($B661),test_out_xwalk!$C:$L,7,FALSE)</f>
        <v>#VALUE!</v>
      </c>
      <c r="P661" s="129" t="e">
        <f>VLOOKUP(VALUE($B661),test_out_xwalk!$C:$L,4,FALSE)</f>
        <v>#VALUE!</v>
      </c>
      <c r="Q661" s="129" t="e">
        <f>VLOOKUP(VALUE($B661),test_out_xwalk!$C:$L,9,FALSE)</f>
        <v>#VALUE!</v>
      </c>
      <c r="R661" t="e">
        <f>_xlfn.XLOOKUP(VALUE(B661),test_out_xwalk!$C:$C,test_out_xwalk!$A:$A)</f>
        <v>#VALUE!</v>
      </c>
      <c r="T661" s="121" t="str">
        <f>IF('summary_EPA Pond'!$O661="","Check Summary EPA POND worksheet Column O",'summary_EPA Pond'!$O661)</f>
        <v>Check Summary EPA POND worksheet Column O</v>
      </c>
      <c r="U661" s="121" t="str" cm="1">
        <f t="array" ref="U661">IFERROR(_xlfn.TEXTSPLIT(T661,"_"),"")</f>
        <v>Check Summary EPA POND worksheet Column O</v>
      </c>
      <c r="AA661" s="121" t="str" cm="1">
        <f t="array" ref="AA661">IF(W661="","",(_xlfn.TEXTSPLIT(W661,"-")))</f>
        <v/>
      </c>
      <c r="AD661" s="129" t="e">
        <f>VLOOKUP(VALUE($U661),test_out_xwalk!$C:$L,3,FALSE)</f>
        <v>#VALUE!</v>
      </c>
      <c r="AE661" s="129" t="e">
        <f>VLOOKUP(VALUE($U661),test_out_xwalk!$C:$L,5,FALSE)</f>
        <v>#VALUE!</v>
      </c>
      <c r="AF661" s="129" t="e">
        <f>VLOOKUP(VALUE($U661),test_out_xwalk!$C:$L,6,FALSE)</f>
        <v>#VALUE!</v>
      </c>
      <c r="AG661" s="129" t="e">
        <f>VLOOKUP(VALUE($U661),test_out_xwalk!$C:$L,8,FALSE)</f>
        <v>#VALUE!</v>
      </c>
      <c r="AH661" s="129" t="e">
        <f>VLOOKUP(VALUE($U661),test_out_xwalk!$C:$L,7,FALSE)</f>
        <v>#VALUE!</v>
      </c>
      <c r="AI661" s="129" t="e">
        <f>VLOOKUP(VALUE($U661),test_out_xwalk!$C:$L,4,FALSE)</f>
        <v>#VALUE!</v>
      </c>
      <c r="AJ661" s="129" t="e">
        <f>VLOOKUP(VALUE($U661),test_out_xwalk!$C:$L,9,FALSE)</f>
        <v>#VALUE!</v>
      </c>
      <c r="AK661" t="e">
        <f>_xlfn.XLOOKUP(VALUE(U661),test_out_xwalk!C:C,test_out_xwalk!A:A)</f>
        <v>#VALUE!</v>
      </c>
    </row>
    <row r="662" spans="1:37" x14ac:dyDescent="0.55000000000000004">
      <c r="A662" s="121" t="str">
        <f>IF('summary_EPA Pond'!$A662="","Check Summary EPA POND worksheet Column A",'summary_EPA Pond'!$A662)</f>
        <v>Check Summary EPA POND worksheet Column A</v>
      </c>
      <c r="B662" s="121" t="str" cm="1">
        <f t="array" ref="B662">IFERROR(_xlfn.TEXTSPLIT(A662,"_"),"")</f>
        <v>Check Summary EPA POND worksheet Column A</v>
      </c>
      <c r="H662" s="121" t="str" cm="1">
        <f t="array" ref="H662">IF(D662="","",(_xlfn.TEXTSPLIT(D662,"-")))</f>
        <v/>
      </c>
      <c r="K662" s="129" t="e">
        <f>VLOOKUP(VALUE($B662),test_out_xwalk!$C:$L,3,FALSE)</f>
        <v>#VALUE!</v>
      </c>
      <c r="L662" s="129" t="e">
        <f>VLOOKUP(VALUE($B662),test_out_xwalk!$C:$L,5,FALSE)</f>
        <v>#VALUE!</v>
      </c>
      <c r="M662" s="129" t="e">
        <f>VLOOKUP(VALUE($B662),test_out_xwalk!$C:$L,6,FALSE)</f>
        <v>#VALUE!</v>
      </c>
      <c r="N662" s="129" t="e">
        <f>VLOOKUP(VALUE($B662),test_out_xwalk!$C:$L,8,FALSE)</f>
        <v>#VALUE!</v>
      </c>
      <c r="O662" s="129" t="e">
        <f>VLOOKUP(VALUE($B662),test_out_xwalk!$C:$L,7,FALSE)</f>
        <v>#VALUE!</v>
      </c>
      <c r="P662" s="129" t="e">
        <f>VLOOKUP(VALUE($B662),test_out_xwalk!$C:$L,4,FALSE)</f>
        <v>#VALUE!</v>
      </c>
      <c r="Q662" s="129" t="e">
        <f>VLOOKUP(VALUE($B662),test_out_xwalk!$C:$L,9,FALSE)</f>
        <v>#VALUE!</v>
      </c>
      <c r="R662" t="e">
        <f>_xlfn.XLOOKUP(VALUE(B662),test_out_xwalk!$C:$C,test_out_xwalk!$A:$A)</f>
        <v>#VALUE!</v>
      </c>
      <c r="T662" s="121" t="str">
        <f>IF('summary_EPA Pond'!$O662="","Check Summary EPA POND worksheet Column O",'summary_EPA Pond'!$O662)</f>
        <v>Check Summary EPA POND worksheet Column O</v>
      </c>
      <c r="U662" s="121" t="str" cm="1">
        <f t="array" ref="U662">IFERROR(_xlfn.TEXTSPLIT(T662,"_"),"")</f>
        <v>Check Summary EPA POND worksheet Column O</v>
      </c>
      <c r="AA662" s="121" t="str" cm="1">
        <f t="array" ref="AA662">IF(W662="","",(_xlfn.TEXTSPLIT(W662,"-")))</f>
        <v/>
      </c>
      <c r="AD662" s="129" t="e">
        <f>VLOOKUP(VALUE($U662),test_out_xwalk!$C:$L,3,FALSE)</f>
        <v>#VALUE!</v>
      </c>
      <c r="AE662" s="129" t="e">
        <f>VLOOKUP(VALUE($U662),test_out_xwalk!$C:$L,5,FALSE)</f>
        <v>#VALUE!</v>
      </c>
      <c r="AF662" s="129" t="e">
        <f>VLOOKUP(VALUE($U662),test_out_xwalk!$C:$L,6,FALSE)</f>
        <v>#VALUE!</v>
      </c>
      <c r="AG662" s="129" t="e">
        <f>VLOOKUP(VALUE($U662),test_out_xwalk!$C:$L,8,FALSE)</f>
        <v>#VALUE!</v>
      </c>
      <c r="AH662" s="129" t="e">
        <f>VLOOKUP(VALUE($U662),test_out_xwalk!$C:$L,7,FALSE)</f>
        <v>#VALUE!</v>
      </c>
      <c r="AI662" s="129" t="e">
        <f>VLOOKUP(VALUE($U662),test_out_xwalk!$C:$L,4,FALSE)</f>
        <v>#VALUE!</v>
      </c>
      <c r="AJ662" s="129" t="e">
        <f>VLOOKUP(VALUE($U662),test_out_xwalk!$C:$L,9,FALSE)</f>
        <v>#VALUE!</v>
      </c>
      <c r="AK662" t="e">
        <f>_xlfn.XLOOKUP(VALUE(U662),test_out_xwalk!C:C,test_out_xwalk!A:A)</f>
        <v>#VALUE!</v>
      </c>
    </row>
    <row r="663" spans="1:37" x14ac:dyDescent="0.55000000000000004">
      <c r="A663" s="121" t="str">
        <f>IF('summary_EPA Pond'!$A663="","Check Summary EPA POND worksheet Column A",'summary_EPA Pond'!$A663)</f>
        <v>Check Summary EPA POND worksheet Column A</v>
      </c>
      <c r="B663" s="121" t="str" cm="1">
        <f t="array" ref="B663">IFERROR(_xlfn.TEXTSPLIT(A663,"_"),"")</f>
        <v>Check Summary EPA POND worksheet Column A</v>
      </c>
      <c r="H663" s="121" t="str" cm="1">
        <f t="array" ref="H663">IF(D663="","",(_xlfn.TEXTSPLIT(D663,"-")))</f>
        <v/>
      </c>
      <c r="K663" s="129" t="e">
        <f>VLOOKUP(VALUE($B663),test_out_xwalk!$C:$L,3,FALSE)</f>
        <v>#VALUE!</v>
      </c>
      <c r="L663" s="129" t="e">
        <f>VLOOKUP(VALUE($B663),test_out_xwalk!$C:$L,5,FALSE)</f>
        <v>#VALUE!</v>
      </c>
      <c r="M663" s="129" t="e">
        <f>VLOOKUP(VALUE($B663),test_out_xwalk!$C:$L,6,FALSE)</f>
        <v>#VALUE!</v>
      </c>
      <c r="N663" s="129" t="e">
        <f>VLOOKUP(VALUE($B663),test_out_xwalk!$C:$L,8,FALSE)</f>
        <v>#VALUE!</v>
      </c>
      <c r="O663" s="129" t="e">
        <f>VLOOKUP(VALUE($B663),test_out_xwalk!$C:$L,7,FALSE)</f>
        <v>#VALUE!</v>
      </c>
      <c r="P663" s="129" t="e">
        <f>VLOOKUP(VALUE($B663),test_out_xwalk!$C:$L,4,FALSE)</f>
        <v>#VALUE!</v>
      </c>
      <c r="Q663" s="129" t="e">
        <f>VLOOKUP(VALUE($B663),test_out_xwalk!$C:$L,9,FALSE)</f>
        <v>#VALUE!</v>
      </c>
      <c r="R663" t="e">
        <f>_xlfn.XLOOKUP(VALUE(B663),test_out_xwalk!$C:$C,test_out_xwalk!$A:$A)</f>
        <v>#VALUE!</v>
      </c>
      <c r="T663" s="121" t="str">
        <f>IF('summary_EPA Pond'!$O663="","Check Summary EPA POND worksheet Column O",'summary_EPA Pond'!$O663)</f>
        <v>Check Summary EPA POND worksheet Column O</v>
      </c>
      <c r="U663" s="121" t="str" cm="1">
        <f t="array" ref="U663">IFERROR(_xlfn.TEXTSPLIT(T663,"_"),"")</f>
        <v>Check Summary EPA POND worksheet Column O</v>
      </c>
      <c r="AA663" s="121" t="str" cm="1">
        <f t="array" ref="AA663">IF(W663="","",(_xlfn.TEXTSPLIT(W663,"-")))</f>
        <v/>
      </c>
      <c r="AD663" s="129" t="e">
        <f>VLOOKUP(VALUE($U663),test_out_xwalk!$C:$L,3,FALSE)</f>
        <v>#VALUE!</v>
      </c>
      <c r="AE663" s="129" t="e">
        <f>VLOOKUP(VALUE($U663),test_out_xwalk!$C:$L,5,FALSE)</f>
        <v>#VALUE!</v>
      </c>
      <c r="AF663" s="129" t="e">
        <f>VLOOKUP(VALUE($U663),test_out_xwalk!$C:$L,6,FALSE)</f>
        <v>#VALUE!</v>
      </c>
      <c r="AG663" s="129" t="e">
        <f>VLOOKUP(VALUE($U663),test_out_xwalk!$C:$L,8,FALSE)</f>
        <v>#VALUE!</v>
      </c>
      <c r="AH663" s="129" t="e">
        <f>VLOOKUP(VALUE($U663),test_out_xwalk!$C:$L,7,FALSE)</f>
        <v>#VALUE!</v>
      </c>
      <c r="AI663" s="129" t="e">
        <f>VLOOKUP(VALUE($U663),test_out_xwalk!$C:$L,4,FALSE)</f>
        <v>#VALUE!</v>
      </c>
      <c r="AJ663" s="129" t="e">
        <f>VLOOKUP(VALUE($U663),test_out_xwalk!$C:$L,9,FALSE)</f>
        <v>#VALUE!</v>
      </c>
      <c r="AK663" t="e">
        <f>_xlfn.XLOOKUP(VALUE(U663),test_out_xwalk!C:C,test_out_xwalk!A:A)</f>
        <v>#VALUE!</v>
      </c>
    </row>
    <row r="664" spans="1:37" x14ac:dyDescent="0.55000000000000004">
      <c r="A664" s="121" t="str">
        <f>IF('summary_EPA Pond'!$A664="","Check Summary EPA POND worksheet Column A",'summary_EPA Pond'!$A664)</f>
        <v>Check Summary EPA POND worksheet Column A</v>
      </c>
      <c r="B664" s="121" t="str" cm="1">
        <f t="array" ref="B664">IFERROR(_xlfn.TEXTSPLIT(A664,"_"),"")</f>
        <v>Check Summary EPA POND worksheet Column A</v>
      </c>
      <c r="H664" s="121" t="str" cm="1">
        <f t="array" ref="H664">IF(D664="","",(_xlfn.TEXTSPLIT(D664,"-")))</f>
        <v/>
      </c>
      <c r="K664" s="129" t="e">
        <f>VLOOKUP(VALUE($B664),test_out_xwalk!$C:$L,3,FALSE)</f>
        <v>#VALUE!</v>
      </c>
      <c r="L664" s="129" t="e">
        <f>VLOOKUP(VALUE($B664),test_out_xwalk!$C:$L,5,FALSE)</f>
        <v>#VALUE!</v>
      </c>
      <c r="M664" s="129" t="e">
        <f>VLOOKUP(VALUE($B664),test_out_xwalk!$C:$L,6,FALSE)</f>
        <v>#VALUE!</v>
      </c>
      <c r="N664" s="129" t="e">
        <f>VLOOKUP(VALUE($B664),test_out_xwalk!$C:$L,8,FALSE)</f>
        <v>#VALUE!</v>
      </c>
      <c r="O664" s="129" t="e">
        <f>VLOOKUP(VALUE($B664),test_out_xwalk!$C:$L,7,FALSE)</f>
        <v>#VALUE!</v>
      </c>
      <c r="P664" s="129" t="e">
        <f>VLOOKUP(VALUE($B664),test_out_xwalk!$C:$L,4,FALSE)</f>
        <v>#VALUE!</v>
      </c>
      <c r="Q664" s="129" t="e">
        <f>VLOOKUP(VALUE($B664),test_out_xwalk!$C:$L,9,FALSE)</f>
        <v>#VALUE!</v>
      </c>
      <c r="R664" t="e">
        <f>_xlfn.XLOOKUP(VALUE(B664),test_out_xwalk!$C:$C,test_out_xwalk!$A:$A)</f>
        <v>#VALUE!</v>
      </c>
      <c r="T664" s="121" t="str">
        <f>IF('summary_EPA Pond'!$O664="","Check Summary EPA POND worksheet Column O",'summary_EPA Pond'!$O664)</f>
        <v>Check Summary EPA POND worksheet Column O</v>
      </c>
      <c r="U664" s="121" t="str" cm="1">
        <f t="array" ref="U664">IFERROR(_xlfn.TEXTSPLIT(T664,"_"),"")</f>
        <v>Check Summary EPA POND worksheet Column O</v>
      </c>
      <c r="AA664" s="121" t="str" cm="1">
        <f t="array" ref="AA664">IF(W664="","",(_xlfn.TEXTSPLIT(W664,"-")))</f>
        <v/>
      </c>
      <c r="AD664" s="129" t="e">
        <f>VLOOKUP(VALUE($U664),test_out_xwalk!$C:$L,3,FALSE)</f>
        <v>#VALUE!</v>
      </c>
      <c r="AE664" s="129" t="e">
        <f>VLOOKUP(VALUE($U664),test_out_xwalk!$C:$L,5,FALSE)</f>
        <v>#VALUE!</v>
      </c>
      <c r="AF664" s="129" t="e">
        <f>VLOOKUP(VALUE($U664),test_out_xwalk!$C:$L,6,FALSE)</f>
        <v>#VALUE!</v>
      </c>
      <c r="AG664" s="129" t="e">
        <f>VLOOKUP(VALUE($U664),test_out_xwalk!$C:$L,8,FALSE)</f>
        <v>#VALUE!</v>
      </c>
      <c r="AH664" s="129" t="e">
        <f>VLOOKUP(VALUE($U664),test_out_xwalk!$C:$L,7,FALSE)</f>
        <v>#VALUE!</v>
      </c>
      <c r="AI664" s="129" t="e">
        <f>VLOOKUP(VALUE($U664),test_out_xwalk!$C:$L,4,FALSE)</f>
        <v>#VALUE!</v>
      </c>
      <c r="AJ664" s="129" t="e">
        <f>VLOOKUP(VALUE($U664),test_out_xwalk!$C:$L,9,FALSE)</f>
        <v>#VALUE!</v>
      </c>
      <c r="AK664" t="e">
        <f>_xlfn.XLOOKUP(VALUE(U664),test_out_xwalk!C:C,test_out_xwalk!A:A)</f>
        <v>#VALUE!</v>
      </c>
    </row>
    <row r="665" spans="1:37" x14ac:dyDescent="0.55000000000000004">
      <c r="A665" s="121" t="str">
        <f>IF('summary_EPA Pond'!$A665="","Check Summary EPA POND worksheet Column A",'summary_EPA Pond'!$A665)</f>
        <v>Check Summary EPA POND worksheet Column A</v>
      </c>
      <c r="B665" s="121" t="str" cm="1">
        <f t="array" ref="B665">IFERROR(_xlfn.TEXTSPLIT(A665,"_"),"")</f>
        <v>Check Summary EPA POND worksheet Column A</v>
      </c>
      <c r="H665" s="121" t="str" cm="1">
        <f t="array" ref="H665">IF(D665="","",(_xlfn.TEXTSPLIT(D665,"-")))</f>
        <v/>
      </c>
      <c r="K665" s="129" t="e">
        <f>VLOOKUP(VALUE($B665),test_out_xwalk!$C:$L,3,FALSE)</f>
        <v>#VALUE!</v>
      </c>
      <c r="L665" s="129" t="e">
        <f>VLOOKUP(VALUE($B665),test_out_xwalk!$C:$L,5,FALSE)</f>
        <v>#VALUE!</v>
      </c>
      <c r="M665" s="129" t="e">
        <f>VLOOKUP(VALUE($B665),test_out_xwalk!$C:$L,6,FALSE)</f>
        <v>#VALUE!</v>
      </c>
      <c r="N665" s="129" t="e">
        <f>VLOOKUP(VALUE($B665),test_out_xwalk!$C:$L,8,FALSE)</f>
        <v>#VALUE!</v>
      </c>
      <c r="O665" s="129" t="e">
        <f>VLOOKUP(VALUE($B665),test_out_xwalk!$C:$L,7,FALSE)</f>
        <v>#VALUE!</v>
      </c>
      <c r="P665" s="129" t="e">
        <f>VLOOKUP(VALUE($B665),test_out_xwalk!$C:$L,4,FALSE)</f>
        <v>#VALUE!</v>
      </c>
      <c r="Q665" s="129" t="e">
        <f>VLOOKUP(VALUE($B665),test_out_xwalk!$C:$L,9,FALSE)</f>
        <v>#VALUE!</v>
      </c>
      <c r="R665" t="e">
        <f>_xlfn.XLOOKUP(VALUE(B665),test_out_xwalk!$C:$C,test_out_xwalk!$A:$A)</f>
        <v>#VALUE!</v>
      </c>
      <c r="T665" s="121" t="str">
        <f>IF('summary_EPA Pond'!$O665="","Check Summary EPA POND worksheet Column O",'summary_EPA Pond'!$O665)</f>
        <v>Check Summary EPA POND worksheet Column O</v>
      </c>
      <c r="U665" s="121" t="str" cm="1">
        <f t="array" ref="U665">IFERROR(_xlfn.TEXTSPLIT(T665,"_"),"")</f>
        <v>Check Summary EPA POND worksheet Column O</v>
      </c>
      <c r="AA665" s="121" t="str" cm="1">
        <f t="array" ref="AA665">IF(W665="","",(_xlfn.TEXTSPLIT(W665,"-")))</f>
        <v/>
      </c>
      <c r="AD665" s="129" t="e">
        <f>VLOOKUP(VALUE($U665),test_out_xwalk!$C:$L,3,FALSE)</f>
        <v>#VALUE!</v>
      </c>
      <c r="AE665" s="129" t="e">
        <f>VLOOKUP(VALUE($U665),test_out_xwalk!$C:$L,5,FALSE)</f>
        <v>#VALUE!</v>
      </c>
      <c r="AF665" s="129" t="e">
        <f>VLOOKUP(VALUE($U665),test_out_xwalk!$C:$L,6,FALSE)</f>
        <v>#VALUE!</v>
      </c>
      <c r="AG665" s="129" t="e">
        <f>VLOOKUP(VALUE($U665),test_out_xwalk!$C:$L,8,FALSE)</f>
        <v>#VALUE!</v>
      </c>
      <c r="AH665" s="129" t="e">
        <f>VLOOKUP(VALUE($U665),test_out_xwalk!$C:$L,7,FALSE)</f>
        <v>#VALUE!</v>
      </c>
      <c r="AI665" s="129" t="e">
        <f>VLOOKUP(VALUE($U665),test_out_xwalk!$C:$L,4,FALSE)</f>
        <v>#VALUE!</v>
      </c>
      <c r="AJ665" s="129" t="e">
        <f>VLOOKUP(VALUE($U665),test_out_xwalk!$C:$L,9,FALSE)</f>
        <v>#VALUE!</v>
      </c>
      <c r="AK665" t="e">
        <f>_xlfn.XLOOKUP(VALUE(U665),test_out_xwalk!C:C,test_out_xwalk!A:A)</f>
        <v>#VALUE!</v>
      </c>
    </row>
    <row r="666" spans="1:37" x14ac:dyDescent="0.55000000000000004">
      <c r="A666" s="121" t="str">
        <f>IF('summary_EPA Pond'!$A666="","Check Summary EPA POND worksheet Column A",'summary_EPA Pond'!$A666)</f>
        <v>Check Summary EPA POND worksheet Column A</v>
      </c>
      <c r="B666" s="121" t="str" cm="1">
        <f t="array" ref="B666">IFERROR(_xlfn.TEXTSPLIT(A666,"_"),"")</f>
        <v>Check Summary EPA POND worksheet Column A</v>
      </c>
      <c r="H666" s="121" t="str" cm="1">
        <f t="array" ref="H666">IF(D666="","",(_xlfn.TEXTSPLIT(D666,"-")))</f>
        <v/>
      </c>
      <c r="K666" s="129" t="e">
        <f>VLOOKUP(VALUE($B666),test_out_xwalk!$C:$L,3,FALSE)</f>
        <v>#VALUE!</v>
      </c>
      <c r="L666" s="129" t="e">
        <f>VLOOKUP(VALUE($B666),test_out_xwalk!$C:$L,5,FALSE)</f>
        <v>#VALUE!</v>
      </c>
      <c r="M666" s="129" t="e">
        <f>VLOOKUP(VALUE($B666),test_out_xwalk!$C:$L,6,FALSE)</f>
        <v>#VALUE!</v>
      </c>
      <c r="N666" s="129" t="e">
        <f>VLOOKUP(VALUE($B666),test_out_xwalk!$C:$L,8,FALSE)</f>
        <v>#VALUE!</v>
      </c>
      <c r="O666" s="129" t="e">
        <f>VLOOKUP(VALUE($B666),test_out_xwalk!$C:$L,7,FALSE)</f>
        <v>#VALUE!</v>
      </c>
      <c r="P666" s="129" t="e">
        <f>VLOOKUP(VALUE($B666),test_out_xwalk!$C:$L,4,FALSE)</f>
        <v>#VALUE!</v>
      </c>
      <c r="Q666" s="129" t="e">
        <f>VLOOKUP(VALUE($B666),test_out_xwalk!$C:$L,9,FALSE)</f>
        <v>#VALUE!</v>
      </c>
      <c r="R666" t="e">
        <f>_xlfn.XLOOKUP(VALUE(B666),test_out_xwalk!$C:$C,test_out_xwalk!$A:$A)</f>
        <v>#VALUE!</v>
      </c>
      <c r="T666" s="121" t="str">
        <f>IF('summary_EPA Pond'!$O666="","Check Summary EPA POND worksheet Column O",'summary_EPA Pond'!$O666)</f>
        <v>Check Summary EPA POND worksheet Column O</v>
      </c>
      <c r="U666" s="121" t="str" cm="1">
        <f t="array" ref="U666">IFERROR(_xlfn.TEXTSPLIT(T666,"_"),"")</f>
        <v>Check Summary EPA POND worksheet Column O</v>
      </c>
      <c r="AA666" s="121" t="str" cm="1">
        <f t="array" ref="AA666">IF(W666="","",(_xlfn.TEXTSPLIT(W666,"-")))</f>
        <v/>
      </c>
      <c r="AD666" s="129" t="e">
        <f>VLOOKUP(VALUE($U666),test_out_xwalk!$C:$L,3,FALSE)</f>
        <v>#VALUE!</v>
      </c>
      <c r="AE666" s="129" t="e">
        <f>VLOOKUP(VALUE($U666),test_out_xwalk!$C:$L,5,FALSE)</f>
        <v>#VALUE!</v>
      </c>
      <c r="AF666" s="129" t="e">
        <f>VLOOKUP(VALUE($U666),test_out_xwalk!$C:$L,6,FALSE)</f>
        <v>#VALUE!</v>
      </c>
      <c r="AG666" s="129" t="e">
        <f>VLOOKUP(VALUE($U666),test_out_xwalk!$C:$L,8,FALSE)</f>
        <v>#VALUE!</v>
      </c>
      <c r="AH666" s="129" t="e">
        <f>VLOOKUP(VALUE($U666),test_out_xwalk!$C:$L,7,FALSE)</f>
        <v>#VALUE!</v>
      </c>
      <c r="AI666" s="129" t="e">
        <f>VLOOKUP(VALUE($U666),test_out_xwalk!$C:$L,4,FALSE)</f>
        <v>#VALUE!</v>
      </c>
      <c r="AJ666" s="129" t="e">
        <f>VLOOKUP(VALUE($U666),test_out_xwalk!$C:$L,9,FALSE)</f>
        <v>#VALUE!</v>
      </c>
      <c r="AK666" t="e">
        <f>_xlfn.XLOOKUP(VALUE(U666),test_out_xwalk!C:C,test_out_xwalk!A:A)</f>
        <v>#VALUE!</v>
      </c>
    </row>
    <row r="667" spans="1:37" x14ac:dyDescent="0.55000000000000004">
      <c r="A667" s="121" t="str">
        <f>IF('summary_EPA Pond'!$A667="","Check Summary EPA POND worksheet Column A",'summary_EPA Pond'!$A667)</f>
        <v>Check Summary EPA POND worksheet Column A</v>
      </c>
      <c r="B667" s="121" t="str" cm="1">
        <f t="array" ref="B667">IFERROR(_xlfn.TEXTSPLIT(A667,"_"),"")</f>
        <v>Check Summary EPA POND worksheet Column A</v>
      </c>
      <c r="H667" s="121" t="str" cm="1">
        <f t="array" ref="H667">IF(D667="","",(_xlfn.TEXTSPLIT(D667,"-")))</f>
        <v/>
      </c>
      <c r="K667" s="129" t="e">
        <f>VLOOKUP(VALUE($B667),test_out_xwalk!$C:$L,3,FALSE)</f>
        <v>#VALUE!</v>
      </c>
      <c r="L667" s="129" t="e">
        <f>VLOOKUP(VALUE($B667),test_out_xwalk!$C:$L,5,FALSE)</f>
        <v>#VALUE!</v>
      </c>
      <c r="M667" s="129" t="e">
        <f>VLOOKUP(VALUE($B667),test_out_xwalk!$C:$L,6,FALSE)</f>
        <v>#VALUE!</v>
      </c>
      <c r="N667" s="129" t="e">
        <f>VLOOKUP(VALUE($B667),test_out_xwalk!$C:$L,8,FALSE)</f>
        <v>#VALUE!</v>
      </c>
      <c r="O667" s="129" t="e">
        <f>VLOOKUP(VALUE($B667),test_out_xwalk!$C:$L,7,FALSE)</f>
        <v>#VALUE!</v>
      </c>
      <c r="P667" s="129" t="e">
        <f>VLOOKUP(VALUE($B667),test_out_xwalk!$C:$L,4,FALSE)</f>
        <v>#VALUE!</v>
      </c>
      <c r="Q667" s="129" t="e">
        <f>VLOOKUP(VALUE($B667),test_out_xwalk!$C:$L,9,FALSE)</f>
        <v>#VALUE!</v>
      </c>
      <c r="R667" t="e">
        <f>_xlfn.XLOOKUP(VALUE(B667),test_out_xwalk!$C:$C,test_out_xwalk!$A:$A)</f>
        <v>#VALUE!</v>
      </c>
      <c r="T667" s="121" t="str">
        <f>IF('summary_EPA Pond'!$O667="","Check Summary EPA POND worksheet Column O",'summary_EPA Pond'!$O667)</f>
        <v>Check Summary EPA POND worksheet Column O</v>
      </c>
      <c r="U667" s="121" t="str" cm="1">
        <f t="array" ref="U667">IFERROR(_xlfn.TEXTSPLIT(T667,"_"),"")</f>
        <v>Check Summary EPA POND worksheet Column O</v>
      </c>
      <c r="AA667" s="121" t="str" cm="1">
        <f t="array" ref="AA667">IF(W667="","",(_xlfn.TEXTSPLIT(W667,"-")))</f>
        <v/>
      </c>
      <c r="AD667" s="129" t="e">
        <f>VLOOKUP(VALUE($U667),test_out_xwalk!$C:$L,3,FALSE)</f>
        <v>#VALUE!</v>
      </c>
      <c r="AE667" s="129" t="e">
        <f>VLOOKUP(VALUE($U667),test_out_xwalk!$C:$L,5,FALSE)</f>
        <v>#VALUE!</v>
      </c>
      <c r="AF667" s="129" t="e">
        <f>VLOOKUP(VALUE($U667),test_out_xwalk!$C:$L,6,FALSE)</f>
        <v>#VALUE!</v>
      </c>
      <c r="AG667" s="129" t="e">
        <f>VLOOKUP(VALUE($U667),test_out_xwalk!$C:$L,8,FALSE)</f>
        <v>#VALUE!</v>
      </c>
      <c r="AH667" s="129" t="e">
        <f>VLOOKUP(VALUE($U667),test_out_xwalk!$C:$L,7,FALSE)</f>
        <v>#VALUE!</v>
      </c>
      <c r="AI667" s="129" t="e">
        <f>VLOOKUP(VALUE($U667),test_out_xwalk!$C:$L,4,FALSE)</f>
        <v>#VALUE!</v>
      </c>
      <c r="AJ667" s="129" t="e">
        <f>VLOOKUP(VALUE($U667),test_out_xwalk!$C:$L,9,FALSE)</f>
        <v>#VALUE!</v>
      </c>
      <c r="AK667" t="e">
        <f>_xlfn.XLOOKUP(VALUE(U667),test_out_xwalk!C:C,test_out_xwalk!A:A)</f>
        <v>#VALUE!</v>
      </c>
    </row>
    <row r="668" spans="1:37" x14ac:dyDescent="0.55000000000000004">
      <c r="A668" s="121" t="str">
        <f>IF('summary_EPA Pond'!$A668="","Check Summary EPA POND worksheet Column A",'summary_EPA Pond'!$A668)</f>
        <v>Check Summary EPA POND worksheet Column A</v>
      </c>
      <c r="B668" s="121" t="str" cm="1">
        <f t="array" ref="B668">IFERROR(_xlfn.TEXTSPLIT(A668,"_"),"")</f>
        <v>Check Summary EPA POND worksheet Column A</v>
      </c>
      <c r="H668" s="121" t="str" cm="1">
        <f t="array" ref="H668">IF(D668="","",(_xlfn.TEXTSPLIT(D668,"-")))</f>
        <v/>
      </c>
      <c r="K668" s="129" t="e">
        <f>VLOOKUP(VALUE($B668),test_out_xwalk!$C:$L,3,FALSE)</f>
        <v>#VALUE!</v>
      </c>
      <c r="L668" s="129" t="e">
        <f>VLOOKUP(VALUE($B668),test_out_xwalk!$C:$L,5,FALSE)</f>
        <v>#VALUE!</v>
      </c>
      <c r="M668" s="129" t="e">
        <f>VLOOKUP(VALUE($B668),test_out_xwalk!$C:$L,6,FALSE)</f>
        <v>#VALUE!</v>
      </c>
      <c r="N668" s="129" t="e">
        <f>VLOOKUP(VALUE($B668),test_out_xwalk!$C:$L,8,FALSE)</f>
        <v>#VALUE!</v>
      </c>
      <c r="O668" s="129" t="e">
        <f>VLOOKUP(VALUE($B668),test_out_xwalk!$C:$L,7,FALSE)</f>
        <v>#VALUE!</v>
      </c>
      <c r="P668" s="129" t="e">
        <f>VLOOKUP(VALUE($B668),test_out_xwalk!$C:$L,4,FALSE)</f>
        <v>#VALUE!</v>
      </c>
      <c r="Q668" s="129" t="e">
        <f>VLOOKUP(VALUE($B668),test_out_xwalk!$C:$L,9,FALSE)</f>
        <v>#VALUE!</v>
      </c>
      <c r="R668" t="e">
        <f>_xlfn.XLOOKUP(VALUE(B668),test_out_xwalk!$C:$C,test_out_xwalk!$A:$A)</f>
        <v>#VALUE!</v>
      </c>
      <c r="T668" s="121" t="str">
        <f>IF('summary_EPA Pond'!$O668="","Check Summary EPA POND worksheet Column O",'summary_EPA Pond'!$O668)</f>
        <v>Check Summary EPA POND worksheet Column O</v>
      </c>
      <c r="U668" s="121" t="str" cm="1">
        <f t="array" ref="U668">IFERROR(_xlfn.TEXTSPLIT(T668,"_"),"")</f>
        <v>Check Summary EPA POND worksheet Column O</v>
      </c>
      <c r="AA668" s="121" t="str" cm="1">
        <f t="array" ref="AA668">IF(W668="","",(_xlfn.TEXTSPLIT(W668,"-")))</f>
        <v/>
      </c>
      <c r="AD668" s="129" t="e">
        <f>VLOOKUP(VALUE($U668),test_out_xwalk!$C:$L,3,FALSE)</f>
        <v>#VALUE!</v>
      </c>
      <c r="AE668" s="129" t="e">
        <f>VLOOKUP(VALUE($U668),test_out_xwalk!$C:$L,5,FALSE)</f>
        <v>#VALUE!</v>
      </c>
      <c r="AF668" s="129" t="e">
        <f>VLOOKUP(VALUE($U668),test_out_xwalk!$C:$L,6,FALSE)</f>
        <v>#VALUE!</v>
      </c>
      <c r="AG668" s="129" t="e">
        <f>VLOOKUP(VALUE($U668),test_out_xwalk!$C:$L,8,FALSE)</f>
        <v>#VALUE!</v>
      </c>
      <c r="AH668" s="129" t="e">
        <f>VLOOKUP(VALUE($U668),test_out_xwalk!$C:$L,7,FALSE)</f>
        <v>#VALUE!</v>
      </c>
      <c r="AI668" s="129" t="e">
        <f>VLOOKUP(VALUE($U668),test_out_xwalk!$C:$L,4,FALSE)</f>
        <v>#VALUE!</v>
      </c>
      <c r="AJ668" s="129" t="e">
        <f>VLOOKUP(VALUE($U668),test_out_xwalk!$C:$L,9,FALSE)</f>
        <v>#VALUE!</v>
      </c>
      <c r="AK668" t="e">
        <f>_xlfn.XLOOKUP(VALUE(U668),test_out_xwalk!C:C,test_out_xwalk!A:A)</f>
        <v>#VALUE!</v>
      </c>
    </row>
    <row r="669" spans="1:37" x14ac:dyDescent="0.55000000000000004">
      <c r="A669" s="121" t="str">
        <f>IF('summary_EPA Pond'!$A669="","Check Summary EPA POND worksheet Column A",'summary_EPA Pond'!$A669)</f>
        <v>Check Summary EPA POND worksheet Column A</v>
      </c>
      <c r="B669" s="121" t="str" cm="1">
        <f t="array" ref="B669">IFERROR(_xlfn.TEXTSPLIT(A669,"_"),"")</f>
        <v>Check Summary EPA POND worksheet Column A</v>
      </c>
      <c r="H669" s="121" t="str" cm="1">
        <f t="array" ref="H669">IF(D669="","",(_xlfn.TEXTSPLIT(D669,"-")))</f>
        <v/>
      </c>
      <c r="K669" s="129" t="e">
        <f>VLOOKUP(VALUE($B669),test_out_xwalk!$C:$L,3,FALSE)</f>
        <v>#VALUE!</v>
      </c>
      <c r="L669" s="129" t="e">
        <f>VLOOKUP(VALUE($B669),test_out_xwalk!$C:$L,5,FALSE)</f>
        <v>#VALUE!</v>
      </c>
      <c r="M669" s="129" t="e">
        <f>VLOOKUP(VALUE($B669),test_out_xwalk!$C:$L,6,FALSE)</f>
        <v>#VALUE!</v>
      </c>
      <c r="N669" s="129" t="e">
        <f>VLOOKUP(VALUE($B669),test_out_xwalk!$C:$L,8,FALSE)</f>
        <v>#VALUE!</v>
      </c>
      <c r="O669" s="129" t="e">
        <f>VLOOKUP(VALUE($B669),test_out_xwalk!$C:$L,7,FALSE)</f>
        <v>#VALUE!</v>
      </c>
      <c r="P669" s="129" t="e">
        <f>VLOOKUP(VALUE($B669),test_out_xwalk!$C:$L,4,FALSE)</f>
        <v>#VALUE!</v>
      </c>
      <c r="Q669" s="129" t="e">
        <f>VLOOKUP(VALUE($B669),test_out_xwalk!$C:$L,9,FALSE)</f>
        <v>#VALUE!</v>
      </c>
      <c r="R669" t="e">
        <f>_xlfn.XLOOKUP(VALUE(B669),test_out_xwalk!$C:$C,test_out_xwalk!$A:$A)</f>
        <v>#VALUE!</v>
      </c>
      <c r="T669" s="121" t="str">
        <f>IF('summary_EPA Pond'!$O669="","Check Summary EPA POND worksheet Column O",'summary_EPA Pond'!$O669)</f>
        <v>Check Summary EPA POND worksheet Column O</v>
      </c>
      <c r="U669" s="121" t="str" cm="1">
        <f t="array" ref="U669">IFERROR(_xlfn.TEXTSPLIT(T669,"_"),"")</f>
        <v>Check Summary EPA POND worksheet Column O</v>
      </c>
      <c r="AA669" s="121" t="str" cm="1">
        <f t="array" ref="AA669">IF(W669="","",(_xlfn.TEXTSPLIT(W669,"-")))</f>
        <v/>
      </c>
      <c r="AD669" s="129" t="e">
        <f>VLOOKUP(VALUE($U669),test_out_xwalk!$C:$L,3,FALSE)</f>
        <v>#VALUE!</v>
      </c>
      <c r="AE669" s="129" t="e">
        <f>VLOOKUP(VALUE($U669),test_out_xwalk!$C:$L,5,FALSE)</f>
        <v>#VALUE!</v>
      </c>
      <c r="AF669" s="129" t="e">
        <f>VLOOKUP(VALUE($U669),test_out_xwalk!$C:$L,6,FALSE)</f>
        <v>#VALUE!</v>
      </c>
      <c r="AG669" s="129" t="e">
        <f>VLOOKUP(VALUE($U669),test_out_xwalk!$C:$L,8,FALSE)</f>
        <v>#VALUE!</v>
      </c>
      <c r="AH669" s="129" t="e">
        <f>VLOOKUP(VALUE($U669),test_out_xwalk!$C:$L,7,FALSE)</f>
        <v>#VALUE!</v>
      </c>
      <c r="AI669" s="129" t="e">
        <f>VLOOKUP(VALUE($U669),test_out_xwalk!$C:$L,4,FALSE)</f>
        <v>#VALUE!</v>
      </c>
      <c r="AJ669" s="129" t="e">
        <f>VLOOKUP(VALUE($U669),test_out_xwalk!$C:$L,9,FALSE)</f>
        <v>#VALUE!</v>
      </c>
      <c r="AK669" t="e">
        <f>_xlfn.XLOOKUP(VALUE(U669),test_out_xwalk!C:C,test_out_xwalk!A:A)</f>
        <v>#VALUE!</v>
      </c>
    </row>
    <row r="670" spans="1:37" x14ac:dyDescent="0.55000000000000004">
      <c r="A670" s="121" t="str">
        <f>IF('summary_EPA Pond'!$A670="","Check Summary EPA POND worksheet Column A",'summary_EPA Pond'!$A670)</f>
        <v>Check Summary EPA POND worksheet Column A</v>
      </c>
      <c r="B670" s="121" t="str" cm="1">
        <f t="array" ref="B670">IFERROR(_xlfn.TEXTSPLIT(A670,"_"),"")</f>
        <v>Check Summary EPA POND worksheet Column A</v>
      </c>
      <c r="H670" s="121" t="str" cm="1">
        <f t="array" ref="H670">IF(D670="","",(_xlfn.TEXTSPLIT(D670,"-")))</f>
        <v/>
      </c>
      <c r="K670" s="129" t="e">
        <f>VLOOKUP(VALUE($B670),test_out_xwalk!$C:$L,3,FALSE)</f>
        <v>#VALUE!</v>
      </c>
      <c r="L670" s="129" t="e">
        <f>VLOOKUP(VALUE($B670),test_out_xwalk!$C:$L,5,FALSE)</f>
        <v>#VALUE!</v>
      </c>
      <c r="M670" s="129" t="e">
        <f>VLOOKUP(VALUE($B670),test_out_xwalk!$C:$L,6,FALSE)</f>
        <v>#VALUE!</v>
      </c>
      <c r="N670" s="129" t="e">
        <f>VLOOKUP(VALUE($B670),test_out_xwalk!$C:$L,8,FALSE)</f>
        <v>#VALUE!</v>
      </c>
      <c r="O670" s="129" t="e">
        <f>VLOOKUP(VALUE($B670),test_out_xwalk!$C:$L,7,FALSE)</f>
        <v>#VALUE!</v>
      </c>
      <c r="P670" s="129" t="e">
        <f>VLOOKUP(VALUE($B670),test_out_xwalk!$C:$L,4,FALSE)</f>
        <v>#VALUE!</v>
      </c>
      <c r="Q670" s="129" t="e">
        <f>VLOOKUP(VALUE($B670),test_out_xwalk!$C:$L,9,FALSE)</f>
        <v>#VALUE!</v>
      </c>
      <c r="R670" t="e">
        <f>_xlfn.XLOOKUP(VALUE(B670),test_out_xwalk!$C:$C,test_out_xwalk!$A:$A)</f>
        <v>#VALUE!</v>
      </c>
      <c r="T670" s="121" t="str">
        <f>IF('summary_EPA Pond'!$O670="","Check Summary EPA POND worksheet Column O",'summary_EPA Pond'!$O670)</f>
        <v>Check Summary EPA POND worksheet Column O</v>
      </c>
      <c r="U670" s="121" t="str" cm="1">
        <f t="array" ref="U670">IFERROR(_xlfn.TEXTSPLIT(T670,"_"),"")</f>
        <v>Check Summary EPA POND worksheet Column O</v>
      </c>
      <c r="AA670" s="121" t="str" cm="1">
        <f t="array" ref="AA670">IF(W670="","",(_xlfn.TEXTSPLIT(W670,"-")))</f>
        <v/>
      </c>
      <c r="AD670" s="129" t="e">
        <f>VLOOKUP(VALUE($U670),test_out_xwalk!$C:$L,3,FALSE)</f>
        <v>#VALUE!</v>
      </c>
      <c r="AE670" s="129" t="e">
        <f>VLOOKUP(VALUE($U670),test_out_xwalk!$C:$L,5,FALSE)</f>
        <v>#VALUE!</v>
      </c>
      <c r="AF670" s="129" t="e">
        <f>VLOOKUP(VALUE($U670),test_out_xwalk!$C:$L,6,FALSE)</f>
        <v>#VALUE!</v>
      </c>
      <c r="AG670" s="129" t="e">
        <f>VLOOKUP(VALUE($U670),test_out_xwalk!$C:$L,8,FALSE)</f>
        <v>#VALUE!</v>
      </c>
      <c r="AH670" s="129" t="e">
        <f>VLOOKUP(VALUE($U670),test_out_xwalk!$C:$L,7,FALSE)</f>
        <v>#VALUE!</v>
      </c>
      <c r="AI670" s="129" t="e">
        <f>VLOOKUP(VALUE($U670),test_out_xwalk!$C:$L,4,FALSE)</f>
        <v>#VALUE!</v>
      </c>
      <c r="AJ670" s="129" t="e">
        <f>VLOOKUP(VALUE($U670),test_out_xwalk!$C:$L,9,FALSE)</f>
        <v>#VALUE!</v>
      </c>
      <c r="AK670" t="e">
        <f>_xlfn.XLOOKUP(VALUE(U670),test_out_xwalk!C:C,test_out_xwalk!A:A)</f>
        <v>#VALUE!</v>
      </c>
    </row>
    <row r="671" spans="1:37" x14ac:dyDescent="0.55000000000000004">
      <c r="A671" s="121" t="str">
        <f>IF('summary_EPA Pond'!$A671="","Check Summary EPA POND worksheet Column A",'summary_EPA Pond'!$A671)</f>
        <v>Check Summary EPA POND worksheet Column A</v>
      </c>
      <c r="B671" s="121" t="str" cm="1">
        <f t="array" ref="B671">IFERROR(_xlfn.TEXTSPLIT(A671,"_"),"")</f>
        <v>Check Summary EPA POND worksheet Column A</v>
      </c>
      <c r="H671" s="121" t="str" cm="1">
        <f t="array" ref="H671">IF(D671="","",(_xlfn.TEXTSPLIT(D671,"-")))</f>
        <v/>
      </c>
      <c r="K671" s="129" t="e">
        <f>VLOOKUP(VALUE($B671),test_out_xwalk!$C:$L,3,FALSE)</f>
        <v>#VALUE!</v>
      </c>
      <c r="L671" s="129" t="e">
        <f>VLOOKUP(VALUE($B671),test_out_xwalk!$C:$L,5,FALSE)</f>
        <v>#VALUE!</v>
      </c>
      <c r="M671" s="129" t="e">
        <f>VLOOKUP(VALUE($B671),test_out_xwalk!$C:$L,6,FALSE)</f>
        <v>#VALUE!</v>
      </c>
      <c r="N671" s="129" t="e">
        <f>VLOOKUP(VALUE($B671),test_out_xwalk!$C:$L,8,FALSE)</f>
        <v>#VALUE!</v>
      </c>
      <c r="O671" s="129" t="e">
        <f>VLOOKUP(VALUE($B671),test_out_xwalk!$C:$L,7,FALSE)</f>
        <v>#VALUE!</v>
      </c>
      <c r="P671" s="129" t="e">
        <f>VLOOKUP(VALUE($B671),test_out_xwalk!$C:$L,4,FALSE)</f>
        <v>#VALUE!</v>
      </c>
      <c r="Q671" s="129" t="e">
        <f>VLOOKUP(VALUE($B671),test_out_xwalk!$C:$L,9,FALSE)</f>
        <v>#VALUE!</v>
      </c>
      <c r="R671" t="e">
        <f>_xlfn.XLOOKUP(VALUE(B671),test_out_xwalk!$C:$C,test_out_xwalk!$A:$A)</f>
        <v>#VALUE!</v>
      </c>
      <c r="T671" s="121" t="str">
        <f>IF('summary_EPA Pond'!$O671="","Check Summary EPA POND worksheet Column O",'summary_EPA Pond'!$O671)</f>
        <v>Check Summary EPA POND worksheet Column O</v>
      </c>
      <c r="U671" s="121" t="str" cm="1">
        <f t="array" ref="U671">IFERROR(_xlfn.TEXTSPLIT(T671,"_"),"")</f>
        <v>Check Summary EPA POND worksheet Column O</v>
      </c>
      <c r="AA671" s="121" t="str" cm="1">
        <f t="array" ref="AA671">IF(W671="","",(_xlfn.TEXTSPLIT(W671,"-")))</f>
        <v/>
      </c>
      <c r="AD671" s="129" t="e">
        <f>VLOOKUP(VALUE($U671),test_out_xwalk!$C:$L,3,FALSE)</f>
        <v>#VALUE!</v>
      </c>
      <c r="AE671" s="129" t="e">
        <f>VLOOKUP(VALUE($U671),test_out_xwalk!$C:$L,5,FALSE)</f>
        <v>#VALUE!</v>
      </c>
      <c r="AF671" s="129" t="e">
        <f>VLOOKUP(VALUE($U671),test_out_xwalk!$C:$L,6,FALSE)</f>
        <v>#VALUE!</v>
      </c>
      <c r="AG671" s="129" t="e">
        <f>VLOOKUP(VALUE($U671),test_out_xwalk!$C:$L,8,FALSE)</f>
        <v>#VALUE!</v>
      </c>
      <c r="AH671" s="129" t="e">
        <f>VLOOKUP(VALUE($U671),test_out_xwalk!$C:$L,7,FALSE)</f>
        <v>#VALUE!</v>
      </c>
      <c r="AI671" s="129" t="e">
        <f>VLOOKUP(VALUE($U671),test_out_xwalk!$C:$L,4,FALSE)</f>
        <v>#VALUE!</v>
      </c>
      <c r="AJ671" s="129" t="e">
        <f>VLOOKUP(VALUE($U671),test_out_xwalk!$C:$L,9,FALSE)</f>
        <v>#VALUE!</v>
      </c>
      <c r="AK671" t="e">
        <f>_xlfn.XLOOKUP(VALUE(U671),test_out_xwalk!C:C,test_out_xwalk!A:A)</f>
        <v>#VALUE!</v>
      </c>
    </row>
    <row r="672" spans="1:37" x14ac:dyDescent="0.55000000000000004">
      <c r="A672" s="121" t="str">
        <f>IF('summary_EPA Pond'!$A672="","Check Summary EPA POND worksheet Column A",'summary_EPA Pond'!$A672)</f>
        <v>Check Summary EPA POND worksheet Column A</v>
      </c>
      <c r="B672" s="121" t="str" cm="1">
        <f t="array" ref="B672">IFERROR(_xlfn.TEXTSPLIT(A672,"_"),"")</f>
        <v>Check Summary EPA POND worksheet Column A</v>
      </c>
      <c r="H672" s="121" t="str" cm="1">
        <f t="array" ref="H672">IF(D672="","",(_xlfn.TEXTSPLIT(D672,"-")))</f>
        <v/>
      </c>
      <c r="K672" s="129" t="e">
        <f>VLOOKUP(VALUE($B672),test_out_xwalk!$C:$L,3,FALSE)</f>
        <v>#VALUE!</v>
      </c>
      <c r="L672" s="129" t="e">
        <f>VLOOKUP(VALUE($B672),test_out_xwalk!$C:$L,5,FALSE)</f>
        <v>#VALUE!</v>
      </c>
      <c r="M672" s="129" t="e">
        <f>VLOOKUP(VALUE($B672),test_out_xwalk!$C:$L,6,FALSE)</f>
        <v>#VALUE!</v>
      </c>
      <c r="N672" s="129" t="e">
        <f>VLOOKUP(VALUE($B672),test_out_xwalk!$C:$L,8,FALSE)</f>
        <v>#VALUE!</v>
      </c>
      <c r="O672" s="129" t="e">
        <f>VLOOKUP(VALUE($B672),test_out_xwalk!$C:$L,7,FALSE)</f>
        <v>#VALUE!</v>
      </c>
      <c r="P672" s="129" t="e">
        <f>VLOOKUP(VALUE($B672),test_out_xwalk!$C:$L,4,FALSE)</f>
        <v>#VALUE!</v>
      </c>
      <c r="Q672" s="129" t="e">
        <f>VLOOKUP(VALUE($B672),test_out_xwalk!$C:$L,9,FALSE)</f>
        <v>#VALUE!</v>
      </c>
      <c r="R672" t="e">
        <f>_xlfn.XLOOKUP(VALUE(B672),test_out_xwalk!$C:$C,test_out_xwalk!$A:$A)</f>
        <v>#VALUE!</v>
      </c>
      <c r="T672" s="121" t="str">
        <f>IF('summary_EPA Pond'!$O672="","Check Summary EPA POND worksheet Column O",'summary_EPA Pond'!$O672)</f>
        <v>Check Summary EPA POND worksheet Column O</v>
      </c>
      <c r="U672" s="121" t="str" cm="1">
        <f t="array" ref="U672">IFERROR(_xlfn.TEXTSPLIT(T672,"_"),"")</f>
        <v>Check Summary EPA POND worksheet Column O</v>
      </c>
      <c r="AA672" s="121" t="str" cm="1">
        <f t="array" ref="AA672">IF(W672="","",(_xlfn.TEXTSPLIT(W672,"-")))</f>
        <v/>
      </c>
      <c r="AD672" s="129" t="e">
        <f>VLOOKUP(VALUE($U672),test_out_xwalk!$C:$L,3,FALSE)</f>
        <v>#VALUE!</v>
      </c>
      <c r="AE672" s="129" t="e">
        <f>VLOOKUP(VALUE($U672),test_out_xwalk!$C:$L,5,FALSE)</f>
        <v>#VALUE!</v>
      </c>
      <c r="AF672" s="129" t="e">
        <f>VLOOKUP(VALUE($U672),test_out_xwalk!$C:$L,6,FALSE)</f>
        <v>#VALUE!</v>
      </c>
      <c r="AG672" s="129" t="e">
        <f>VLOOKUP(VALUE($U672),test_out_xwalk!$C:$L,8,FALSE)</f>
        <v>#VALUE!</v>
      </c>
      <c r="AH672" s="129" t="e">
        <f>VLOOKUP(VALUE($U672),test_out_xwalk!$C:$L,7,FALSE)</f>
        <v>#VALUE!</v>
      </c>
      <c r="AI672" s="129" t="e">
        <f>VLOOKUP(VALUE($U672),test_out_xwalk!$C:$L,4,FALSE)</f>
        <v>#VALUE!</v>
      </c>
      <c r="AJ672" s="129" t="e">
        <f>VLOOKUP(VALUE($U672),test_out_xwalk!$C:$L,9,FALSE)</f>
        <v>#VALUE!</v>
      </c>
      <c r="AK672" t="e">
        <f>_xlfn.XLOOKUP(VALUE(U672),test_out_xwalk!C:C,test_out_xwalk!A:A)</f>
        <v>#VALUE!</v>
      </c>
    </row>
    <row r="673" spans="1:37" x14ac:dyDescent="0.55000000000000004">
      <c r="A673" s="121" t="str">
        <f>IF('summary_EPA Pond'!$A673="","Check Summary EPA POND worksheet Column A",'summary_EPA Pond'!$A673)</f>
        <v>Check Summary EPA POND worksheet Column A</v>
      </c>
      <c r="B673" s="121" t="str" cm="1">
        <f t="array" ref="B673">IFERROR(_xlfn.TEXTSPLIT(A673,"_"),"")</f>
        <v>Check Summary EPA POND worksheet Column A</v>
      </c>
      <c r="H673" s="121" t="str" cm="1">
        <f t="array" ref="H673">IF(D673="","",(_xlfn.TEXTSPLIT(D673,"-")))</f>
        <v/>
      </c>
      <c r="K673" s="129" t="e">
        <f>VLOOKUP(VALUE($B673),test_out_xwalk!$C:$L,3,FALSE)</f>
        <v>#VALUE!</v>
      </c>
      <c r="L673" s="129" t="e">
        <f>VLOOKUP(VALUE($B673),test_out_xwalk!$C:$L,5,FALSE)</f>
        <v>#VALUE!</v>
      </c>
      <c r="M673" s="129" t="e">
        <f>VLOOKUP(VALUE($B673),test_out_xwalk!$C:$L,6,FALSE)</f>
        <v>#VALUE!</v>
      </c>
      <c r="N673" s="129" t="e">
        <f>VLOOKUP(VALUE($B673),test_out_xwalk!$C:$L,8,FALSE)</f>
        <v>#VALUE!</v>
      </c>
      <c r="O673" s="129" t="e">
        <f>VLOOKUP(VALUE($B673),test_out_xwalk!$C:$L,7,FALSE)</f>
        <v>#VALUE!</v>
      </c>
      <c r="P673" s="129" t="e">
        <f>VLOOKUP(VALUE($B673),test_out_xwalk!$C:$L,4,FALSE)</f>
        <v>#VALUE!</v>
      </c>
      <c r="Q673" s="129" t="e">
        <f>VLOOKUP(VALUE($B673),test_out_xwalk!$C:$L,9,FALSE)</f>
        <v>#VALUE!</v>
      </c>
      <c r="R673" t="e">
        <f>_xlfn.XLOOKUP(VALUE(B673),test_out_xwalk!$C:$C,test_out_xwalk!$A:$A)</f>
        <v>#VALUE!</v>
      </c>
      <c r="T673" s="121" t="str">
        <f>IF('summary_EPA Pond'!$O673="","Check Summary EPA POND worksheet Column O",'summary_EPA Pond'!$O673)</f>
        <v>Check Summary EPA POND worksheet Column O</v>
      </c>
      <c r="U673" s="121" t="str" cm="1">
        <f t="array" ref="U673">IFERROR(_xlfn.TEXTSPLIT(T673,"_"),"")</f>
        <v>Check Summary EPA POND worksheet Column O</v>
      </c>
      <c r="AA673" s="121" t="str" cm="1">
        <f t="array" ref="AA673">IF(W673="","",(_xlfn.TEXTSPLIT(W673,"-")))</f>
        <v/>
      </c>
      <c r="AD673" s="129" t="e">
        <f>VLOOKUP(VALUE($U673),test_out_xwalk!$C:$L,3,FALSE)</f>
        <v>#VALUE!</v>
      </c>
      <c r="AE673" s="129" t="e">
        <f>VLOOKUP(VALUE($U673),test_out_xwalk!$C:$L,5,FALSE)</f>
        <v>#VALUE!</v>
      </c>
      <c r="AF673" s="129" t="e">
        <f>VLOOKUP(VALUE($U673),test_out_xwalk!$C:$L,6,FALSE)</f>
        <v>#VALUE!</v>
      </c>
      <c r="AG673" s="129" t="e">
        <f>VLOOKUP(VALUE($U673),test_out_xwalk!$C:$L,8,FALSE)</f>
        <v>#VALUE!</v>
      </c>
      <c r="AH673" s="129" t="e">
        <f>VLOOKUP(VALUE($U673),test_out_xwalk!$C:$L,7,FALSE)</f>
        <v>#VALUE!</v>
      </c>
      <c r="AI673" s="129" t="e">
        <f>VLOOKUP(VALUE($U673),test_out_xwalk!$C:$L,4,FALSE)</f>
        <v>#VALUE!</v>
      </c>
      <c r="AJ673" s="129" t="e">
        <f>VLOOKUP(VALUE($U673),test_out_xwalk!$C:$L,9,FALSE)</f>
        <v>#VALUE!</v>
      </c>
      <c r="AK673" t="e">
        <f>_xlfn.XLOOKUP(VALUE(U673),test_out_xwalk!C:C,test_out_xwalk!A:A)</f>
        <v>#VALUE!</v>
      </c>
    </row>
    <row r="674" spans="1:37" x14ac:dyDescent="0.55000000000000004">
      <c r="A674" s="121" t="str">
        <f>IF('summary_EPA Pond'!$A674="","Check Summary EPA POND worksheet Column A",'summary_EPA Pond'!$A674)</f>
        <v>Check Summary EPA POND worksheet Column A</v>
      </c>
      <c r="B674" s="121" t="str" cm="1">
        <f t="array" ref="B674">IFERROR(_xlfn.TEXTSPLIT(A674,"_"),"")</f>
        <v>Check Summary EPA POND worksheet Column A</v>
      </c>
      <c r="H674" s="121" t="str" cm="1">
        <f t="array" ref="H674">IF(D674="","",(_xlfn.TEXTSPLIT(D674,"-")))</f>
        <v/>
      </c>
      <c r="K674" s="129" t="e">
        <f>VLOOKUP(VALUE($B674),test_out_xwalk!$C:$L,3,FALSE)</f>
        <v>#VALUE!</v>
      </c>
      <c r="L674" s="129" t="e">
        <f>VLOOKUP(VALUE($B674),test_out_xwalk!$C:$L,5,FALSE)</f>
        <v>#VALUE!</v>
      </c>
      <c r="M674" s="129" t="e">
        <f>VLOOKUP(VALUE($B674),test_out_xwalk!$C:$L,6,FALSE)</f>
        <v>#VALUE!</v>
      </c>
      <c r="N674" s="129" t="e">
        <f>VLOOKUP(VALUE($B674),test_out_xwalk!$C:$L,8,FALSE)</f>
        <v>#VALUE!</v>
      </c>
      <c r="O674" s="129" t="e">
        <f>VLOOKUP(VALUE($B674),test_out_xwalk!$C:$L,7,FALSE)</f>
        <v>#VALUE!</v>
      </c>
      <c r="P674" s="129" t="e">
        <f>VLOOKUP(VALUE($B674),test_out_xwalk!$C:$L,4,FALSE)</f>
        <v>#VALUE!</v>
      </c>
      <c r="Q674" s="129" t="e">
        <f>VLOOKUP(VALUE($B674),test_out_xwalk!$C:$L,9,FALSE)</f>
        <v>#VALUE!</v>
      </c>
      <c r="R674" t="e">
        <f>_xlfn.XLOOKUP(VALUE(B674),test_out_xwalk!$C:$C,test_out_xwalk!$A:$A)</f>
        <v>#VALUE!</v>
      </c>
      <c r="T674" s="121" t="str">
        <f>IF('summary_EPA Pond'!$O674="","Check Summary EPA POND worksheet Column O",'summary_EPA Pond'!$O674)</f>
        <v>Check Summary EPA POND worksheet Column O</v>
      </c>
      <c r="U674" s="121" t="str" cm="1">
        <f t="array" ref="U674">IFERROR(_xlfn.TEXTSPLIT(T674,"_"),"")</f>
        <v>Check Summary EPA POND worksheet Column O</v>
      </c>
      <c r="AA674" s="121" t="str" cm="1">
        <f t="array" ref="AA674">IF(W674="","",(_xlfn.TEXTSPLIT(W674,"-")))</f>
        <v/>
      </c>
      <c r="AD674" s="129" t="e">
        <f>VLOOKUP(VALUE($U674),test_out_xwalk!$C:$L,3,FALSE)</f>
        <v>#VALUE!</v>
      </c>
      <c r="AE674" s="129" t="e">
        <f>VLOOKUP(VALUE($U674),test_out_xwalk!$C:$L,5,FALSE)</f>
        <v>#VALUE!</v>
      </c>
      <c r="AF674" s="129" t="e">
        <f>VLOOKUP(VALUE($U674),test_out_xwalk!$C:$L,6,FALSE)</f>
        <v>#VALUE!</v>
      </c>
      <c r="AG674" s="129" t="e">
        <f>VLOOKUP(VALUE($U674),test_out_xwalk!$C:$L,8,FALSE)</f>
        <v>#VALUE!</v>
      </c>
      <c r="AH674" s="129" t="e">
        <f>VLOOKUP(VALUE($U674),test_out_xwalk!$C:$L,7,FALSE)</f>
        <v>#VALUE!</v>
      </c>
      <c r="AI674" s="129" t="e">
        <f>VLOOKUP(VALUE($U674),test_out_xwalk!$C:$L,4,FALSE)</f>
        <v>#VALUE!</v>
      </c>
      <c r="AJ674" s="129" t="e">
        <f>VLOOKUP(VALUE($U674),test_out_xwalk!$C:$L,9,FALSE)</f>
        <v>#VALUE!</v>
      </c>
      <c r="AK674" t="e">
        <f>_xlfn.XLOOKUP(VALUE(U674),test_out_xwalk!C:C,test_out_xwalk!A:A)</f>
        <v>#VALUE!</v>
      </c>
    </row>
    <row r="675" spans="1:37" x14ac:dyDescent="0.55000000000000004">
      <c r="A675" s="121" t="str">
        <f>IF('summary_EPA Pond'!$A675="","Check Summary EPA POND worksheet Column A",'summary_EPA Pond'!$A675)</f>
        <v>Check Summary EPA POND worksheet Column A</v>
      </c>
      <c r="B675" s="121" t="str" cm="1">
        <f t="array" ref="B675">IFERROR(_xlfn.TEXTSPLIT(A675,"_"),"")</f>
        <v>Check Summary EPA POND worksheet Column A</v>
      </c>
      <c r="H675" s="121" t="str" cm="1">
        <f t="array" ref="H675">IF(D675="","",(_xlfn.TEXTSPLIT(D675,"-")))</f>
        <v/>
      </c>
      <c r="K675" s="129" t="e">
        <f>VLOOKUP(VALUE($B675),test_out_xwalk!$C:$L,3,FALSE)</f>
        <v>#VALUE!</v>
      </c>
      <c r="L675" s="129" t="e">
        <f>VLOOKUP(VALUE($B675),test_out_xwalk!$C:$L,5,FALSE)</f>
        <v>#VALUE!</v>
      </c>
      <c r="M675" s="129" t="e">
        <f>VLOOKUP(VALUE($B675),test_out_xwalk!$C:$L,6,FALSE)</f>
        <v>#VALUE!</v>
      </c>
      <c r="N675" s="129" t="e">
        <f>VLOOKUP(VALUE($B675),test_out_xwalk!$C:$L,8,FALSE)</f>
        <v>#VALUE!</v>
      </c>
      <c r="O675" s="129" t="e">
        <f>VLOOKUP(VALUE($B675),test_out_xwalk!$C:$L,7,FALSE)</f>
        <v>#VALUE!</v>
      </c>
      <c r="P675" s="129" t="e">
        <f>VLOOKUP(VALUE($B675),test_out_xwalk!$C:$L,4,FALSE)</f>
        <v>#VALUE!</v>
      </c>
      <c r="Q675" s="129" t="e">
        <f>VLOOKUP(VALUE($B675),test_out_xwalk!$C:$L,9,FALSE)</f>
        <v>#VALUE!</v>
      </c>
      <c r="R675" t="e">
        <f>_xlfn.XLOOKUP(VALUE(B675),test_out_xwalk!$C:$C,test_out_xwalk!$A:$A)</f>
        <v>#VALUE!</v>
      </c>
      <c r="T675" s="121" t="str">
        <f>IF('summary_EPA Pond'!$O675="","Check Summary EPA POND worksheet Column O",'summary_EPA Pond'!$O675)</f>
        <v>Check Summary EPA POND worksheet Column O</v>
      </c>
      <c r="U675" s="121" t="str" cm="1">
        <f t="array" ref="U675">IFERROR(_xlfn.TEXTSPLIT(T675,"_"),"")</f>
        <v>Check Summary EPA POND worksheet Column O</v>
      </c>
      <c r="AA675" s="121" t="str" cm="1">
        <f t="array" ref="AA675">IF(W675="","",(_xlfn.TEXTSPLIT(W675,"-")))</f>
        <v/>
      </c>
      <c r="AD675" s="129" t="e">
        <f>VLOOKUP(VALUE($U675),test_out_xwalk!$C:$L,3,FALSE)</f>
        <v>#VALUE!</v>
      </c>
      <c r="AE675" s="129" t="e">
        <f>VLOOKUP(VALUE($U675),test_out_xwalk!$C:$L,5,FALSE)</f>
        <v>#VALUE!</v>
      </c>
      <c r="AF675" s="129" t="e">
        <f>VLOOKUP(VALUE($U675),test_out_xwalk!$C:$L,6,FALSE)</f>
        <v>#VALUE!</v>
      </c>
      <c r="AG675" s="129" t="e">
        <f>VLOOKUP(VALUE($U675),test_out_xwalk!$C:$L,8,FALSE)</f>
        <v>#VALUE!</v>
      </c>
      <c r="AH675" s="129" t="e">
        <f>VLOOKUP(VALUE($U675),test_out_xwalk!$C:$L,7,FALSE)</f>
        <v>#VALUE!</v>
      </c>
      <c r="AI675" s="129" t="e">
        <f>VLOOKUP(VALUE($U675),test_out_xwalk!$C:$L,4,FALSE)</f>
        <v>#VALUE!</v>
      </c>
      <c r="AJ675" s="129" t="e">
        <f>VLOOKUP(VALUE($U675),test_out_xwalk!$C:$L,9,FALSE)</f>
        <v>#VALUE!</v>
      </c>
      <c r="AK675" t="e">
        <f>_xlfn.XLOOKUP(VALUE(U675),test_out_xwalk!C:C,test_out_xwalk!A:A)</f>
        <v>#VALUE!</v>
      </c>
    </row>
    <row r="676" spans="1:37" x14ac:dyDescent="0.55000000000000004">
      <c r="A676" s="121" t="str">
        <f>IF('summary_EPA Pond'!$A676="","Check Summary EPA POND worksheet Column A",'summary_EPA Pond'!$A676)</f>
        <v>Check Summary EPA POND worksheet Column A</v>
      </c>
      <c r="B676" s="121" t="str" cm="1">
        <f t="array" ref="B676">IFERROR(_xlfn.TEXTSPLIT(A676,"_"),"")</f>
        <v>Check Summary EPA POND worksheet Column A</v>
      </c>
      <c r="H676" s="121" t="str" cm="1">
        <f t="array" ref="H676">IF(D676="","",(_xlfn.TEXTSPLIT(D676,"-")))</f>
        <v/>
      </c>
      <c r="K676" s="129" t="e">
        <f>VLOOKUP(VALUE($B676),test_out_xwalk!$C:$L,3,FALSE)</f>
        <v>#VALUE!</v>
      </c>
      <c r="L676" s="129" t="e">
        <f>VLOOKUP(VALUE($B676),test_out_xwalk!$C:$L,5,FALSE)</f>
        <v>#VALUE!</v>
      </c>
      <c r="M676" s="129" t="e">
        <f>VLOOKUP(VALUE($B676),test_out_xwalk!$C:$L,6,FALSE)</f>
        <v>#VALUE!</v>
      </c>
      <c r="N676" s="129" t="e">
        <f>VLOOKUP(VALUE($B676),test_out_xwalk!$C:$L,8,FALSE)</f>
        <v>#VALUE!</v>
      </c>
      <c r="O676" s="129" t="e">
        <f>VLOOKUP(VALUE($B676),test_out_xwalk!$C:$L,7,FALSE)</f>
        <v>#VALUE!</v>
      </c>
      <c r="P676" s="129" t="e">
        <f>VLOOKUP(VALUE($B676),test_out_xwalk!$C:$L,4,FALSE)</f>
        <v>#VALUE!</v>
      </c>
      <c r="Q676" s="129" t="e">
        <f>VLOOKUP(VALUE($B676),test_out_xwalk!$C:$L,9,FALSE)</f>
        <v>#VALUE!</v>
      </c>
      <c r="R676" t="e">
        <f>_xlfn.XLOOKUP(VALUE(B676),test_out_xwalk!$C:$C,test_out_xwalk!$A:$A)</f>
        <v>#VALUE!</v>
      </c>
      <c r="T676" s="121" t="str">
        <f>IF('summary_EPA Pond'!$O676="","Check Summary EPA POND worksheet Column O",'summary_EPA Pond'!$O676)</f>
        <v>Check Summary EPA POND worksheet Column O</v>
      </c>
      <c r="U676" s="121" t="str" cm="1">
        <f t="array" ref="U676">IFERROR(_xlfn.TEXTSPLIT(T676,"_"),"")</f>
        <v>Check Summary EPA POND worksheet Column O</v>
      </c>
      <c r="AA676" s="121" t="str" cm="1">
        <f t="array" ref="AA676">IF(W676="","",(_xlfn.TEXTSPLIT(W676,"-")))</f>
        <v/>
      </c>
      <c r="AD676" s="129" t="e">
        <f>VLOOKUP(VALUE($U676),test_out_xwalk!$C:$L,3,FALSE)</f>
        <v>#VALUE!</v>
      </c>
      <c r="AE676" s="129" t="e">
        <f>VLOOKUP(VALUE($U676),test_out_xwalk!$C:$L,5,FALSE)</f>
        <v>#VALUE!</v>
      </c>
      <c r="AF676" s="129" t="e">
        <f>VLOOKUP(VALUE($U676),test_out_xwalk!$C:$L,6,FALSE)</f>
        <v>#VALUE!</v>
      </c>
      <c r="AG676" s="129" t="e">
        <f>VLOOKUP(VALUE($U676),test_out_xwalk!$C:$L,8,FALSE)</f>
        <v>#VALUE!</v>
      </c>
      <c r="AH676" s="129" t="e">
        <f>VLOOKUP(VALUE($U676),test_out_xwalk!$C:$L,7,FALSE)</f>
        <v>#VALUE!</v>
      </c>
      <c r="AI676" s="129" t="e">
        <f>VLOOKUP(VALUE($U676),test_out_xwalk!$C:$L,4,FALSE)</f>
        <v>#VALUE!</v>
      </c>
      <c r="AJ676" s="129" t="e">
        <f>VLOOKUP(VALUE($U676),test_out_xwalk!$C:$L,9,FALSE)</f>
        <v>#VALUE!</v>
      </c>
      <c r="AK676" t="e">
        <f>_xlfn.XLOOKUP(VALUE(U676),test_out_xwalk!C:C,test_out_xwalk!A:A)</f>
        <v>#VALUE!</v>
      </c>
    </row>
    <row r="677" spans="1:37" x14ac:dyDescent="0.55000000000000004">
      <c r="A677" s="121" t="str">
        <f>IF('summary_EPA Pond'!$A677="","Check Summary EPA POND worksheet Column A",'summary_EPA Pond'!$A677)</f>
        <v>Check Summary EPA POND worksheet Column A</v>
      </c>
      <c r="B677" s="121" t="str" cm="1">
        <f t="array" ref="B677">IFERROR(_xlfn.TEXTSPLIT(A677,"_"),"")</f>
        <v>Check Summary EPA POND worksheet Column A</v>
      </c>
      <c r="H677" s="121" t="str" cm="1">
        <f t="array" ref="H677">IF(D677="","",(_xlfn.TEXTSPLIT(D677,"-")))</f>
        <v/>
      </c>
      <c r="K677" s="129" t="e">
        <f>VLOOKUP(VALUE($B677),test_out_xwalk!$C:$L,3,FALSE)</f>
        <v>#VALUE!</v>
      </c>
      <c r="L677" s="129" t="e">
        <f>VLOOKUP(VALUE($B677),test_out_xwalk!$C:$L,5,FALSE)</f>
        <v>#VALUE!</v>
      </c>
      <c r="M677" s="129" t="e">
        <f>VLOOKUP(VALUE($B677),test_out_xwalk!$C:$L,6,FALSE)</f>
        <v>#VALUE!</v>
      </c>
      <c r="N677" s="129" t="e">
        <f>VLOOKUP(VALUE($B677),test_out_xwalk!$C:$L,8,FALSE)</f>
        <v>#VALUE!</v>
      </c>
      <c r="O677" s="129" t="e">
        <f>VLOOKUP(VALUE($B677),test_out_xwalk!$C:$L,7,FALSE)</f>
        <v>#VALUE!</v>
      </c>
      <c r="P677" s="129" t="e">
        <f>VLOOKUP(VALUE($B677),test_out_xwalk!$C:$L,4,FALSE)</f>
        <v>#VALUE!</v>
      </c>
      <c r="Q677" s="129" t="e">
        <f>VLOOKUP(VALUE($B677),test_out_xwalk!$C:$L,9,FALSE)</f>
        <v>#VALUE!</v>
      </c>
      <c r="R677" t="e">
        <f>_xlfn.XLOOKUP(VALUE(B677),test_out_xwalk!$C:$C,test_out_xwalk!$A:$A)</f>
        <v>#VALUE!</v>
      </c>
      <c r="T677" s="121" t="str">
        <f>IF('summary_EPA Pond'!$O677="","Check Summary EPA POND worksheet Column O",'summary_EPA Pond'!$O677)</f>
        <v>Check Summary EPA POND worksheet Column O</v>
      </c>
      <c r="U677" s="121" t="str" cm="1">
        <f t="array" ref="U677">IFERROR(_xlfn.TEXTSPLIT(T677,"_"),"")</f>
        <v>Check Summary EPA POND worksheet Column O</v>
      </c>
      <c r="AA677" s="121" t="str" cm="1">
        <f t="array" ref="AA677">IF(W677="","",(_xlfn.TEXTSPLIT(W677,"-")))</f>
        <v/>
      </c>
      <c r="AD677" s="129" t="e">
        <f>VLOOKUP(VALUE($U677),test_out_xwalk!$C:$L,3,FALSE)</f>
        <v>#VALUE!</v>
      </c>
      <c r="AE677" s="129" t="e">
        <f>VLOOKUP(VALUE($U677),test_out_xwalk!$C:$L,5,FALSE)</f>
        <v>#VALUE!</v>
      </c>
      <c r="AF677" s="129" t="e">
        <f>VLOOKUP(VALUE($U677),test_out_xwalk!$C:$L,6,FALSE)</f>
        <v>#VALUE!</v>
      </c>
      <c r="AG677" s="129" t="e">
        <f>VLOOKUP(VALUE($U677),test_out_xwalk!$C:$L,8,FALSE)</f>
        <v>#VALUE!</v>
      </c>
      <c r="AH677" s="129" t="e">
        <f>VLOOKUP(VALUE($U677),test_out_xwalk!$C:$L,7,FALSE)</f>
        <v>#VALUE!</v>
      </c>
      <c r="AI677" s="129" t="e">
        <f>VLOOKUP(VALUE($U677),test_out_xwalk!$C:$L,4,FALSE)</f>
        <v>#VALUE!</v>
      </c>
      <c r="AJ677" s="129" t="e">
        <f>VLOOKUP(VALUE($U677),test_out_xwalk!$C:$L,9,FALSE)</f>
        <v>#VALUE!</v>
      </c>
      <c r="AK677" t="e">
        <f>_xlfn.XLOOKUP(VALUE(U677),test_out_xwalk!C:C,test_out_xwalk!A:A)</f>
        <v>#VALUE!</v>
      </c>
    </row>
    <row r="678" spans="1:37" x14ac:dyDescent="0.55000000000000004">
      <c r="A678" s="121" t="str">
        <f>IF('summary_EPA Pond'!$A678="","Check Summary EPA POND worksheet Column A",'summary_EPA Pond'!$A678)</f>
        <v>Check Summary EPA POND worksheet Column A</v>
      </c>
      <c r="B678" s="121" t="str" cm="1">
        <f t="array" ref="B678">IFERROR(_xlfn.TEXTSPLIT(A678,"_"),"")</f>
        <v>Check Summary EPA POND worksheet Column A</v>
      </c>
      <c r="H678" s="121" t="str" cm="1">
        <f t="array" ref="H678">IF(D678="","",(_xlfn.TEXTSPLIT(D678,"-")))</f>
        <v/>
      </c>
      <c r="K678" s="129" t="e">
        <f>VLOOKUP(VALUE($B678),test_out_xwalk!$C:$L,3,FALSE)</f>
        <v>#VALUE!</v>
      </c>
      <c r="L678" s="129" t="e">
        <f>VLOOKUP(VALUE($B678),test_out_xwalk!$C:$L,5,FALSE)</f>
        <v>#VALUE!</v>
      </c>
      <c r="M678" s="129" t="e">
        <f>VLOOKUP(VALUE($B678),test_out_xwalk!$C:$L,6,FALSE)</f>
        <v>#VALUE!</v>
      </c>
      <c r="N678" s="129" t="e">
        <f>VLOOKUP(VALUE($B678),test_out_xwalk!$C:$L,8,FALSE)</f>
        <v>#VALUE!</v>
      </c>
      <c r="O678" s="129" t="e">
        <f>VLOOKUP(VALUE($B678),test_out_xwalk!$C:$L,7,FALSE)</f>
        <v>#VALUE!</v>
      </c>
      <c r="P678" s="129" t="e">
        <f>VLOOKUP(VALUE($B678),test_out_xwalk!$C:$L,4,FALSE)</f>
        <v>#VALUE!</v>
      </c>
      <c r="Q678" s="129" t="e">
        <f>VLOOKUP(VALUE($B678),test_out_xwalk!$C:$L,9,FALSE)</f>
        <v>#VALUE!</v>
      </c>
      <c r="R678" t="e">
        <f>_xlfn.XLOOKUP(VALUE(B678),test_out_xwalk!$C:$C,test_out_xwalk!$A:$A)</f>
        <v>#VALUE!</v>
      </c>
      <c r="T678" s="121" t="str">
        <f>IF('summary_EPA Pond'!$O678="","Check Summary EPA POND worksheet Column O",'summary_EPA Pond'!$O678)</f>
        <v>Check Summary EPA POND worksheet Column O</v>
      </c>
      <c r="U678" s="121" t="str" cm="1">
        <f t="array" ref="U678">IFERROR(_xlfn.TEXTSPLIT(T678,"_"),"")</f>
        <v>Check Summary EPA POND worksheet Column O</v>
      </c>
      <c r="AA678" s="121" t="str" cm="1">
        <f t="array" ref="AA678">IF(W678="","",(_xlfn.TEXTSPLIT(W678,"-")))</f>
        <v/>
      </c>
      <c r="AD678" s="129" t="e">
        <f>VLOOKUP(VALUE($U678),test_out_xwalk!$C:$L,3,FALSE)</f>
        <v>#VALUE!</v>
      </c>
      <c r="AE678" s="129" t="e">
        <f>VLOOKUP(VALUE($U678),test_out_xwalk!$C:$L,5,FALSE)</f>
        <v>#VALUE!</v>
      </c>
      <c r="AF678" s="129" t="e">
        <f>VLOOKUP(VALUE($U678),test_out_xwalk!$C:$L,6,FALSE)</f>
        <v>#VALUE!</v>
      </c>
      <c r="AG678" s="129" t="e">
        <f>VLOOKUP(VALUE($U678),test_out_xwalk!$C:$L,8,FALSE)</f>
        <v>#VALUE!</v>
      </c>
      <c r="AH678" s="129" t="e">
        <f>VLOOKUP(VALUE($U678),test_out_xwalk!$C:$L,7,FALSE)</f>
        <v>#VALUE!</v>
      </c>
      <c r="AI678" s="129" t="e">
        <f>VLOOKUP(VALUE($U678),test_out_xwalk!$C:$L,4,FALSE)</f>
        <v>#VALUE!</v>
      </c>
      <c r="AJ678" s="129" t="e">
        <f>VLOOKUP(VALUE($U678),test_out_xwalk!$C:$L,9,FALSE)</f>
        <v>#VALUE!</v>
      </c>
      <c r="AK678" t="e">
        <f>_xlfn.XLOOKUP(VALUE(U678),test_out_xwalk!C:C,test_out_xwalk!A:A)</f>
        <v>#VALUE!</v>
      </c>
    </row>
    <row r="679" spans="1:37" x14ac:dyDescent="0.55000000000000004">
      <c r="A679" s="121" t="str">
        <f>IF('summary_EPA Pond'!$A679="","Check Summary EPA POND worksheet Column A",'summary_EPA Pond'!$A679)</f>
        <v>Check Summary EPA POND worksheet Column A</v>
      </c>
      <c r="B679" s="121" t="str" cm="1">
        <f t="array" ref="B679">IFERROR(_xlfn.TEXTSPLIT(A679,"_"),"")</f>
        <v>Check Summary EPA POND worksheet Column A</v>
      </c>
      <c r="H679" s="121" t="str" cm="1">
        <f t="array" ref="H679">IF(D679="","",(_xlfn.TEXTSPLIT(D679,"-")))</f>
        <v/>
      </c>
      <c r="K679" s="129" t="e">
        <f>VLOOKUP(VALUE($B679),test_out_xwalk!$C:$L,3,FALSE)</f>
        <v>#VALUE!</v>
      </c>
      <c r="L679" s="129" t="e">
        <f>VLOOKUP(VALUE($B679),test_out_xwalk!$C:$L,5,FALSE)</f>
        <v>#VALUE!</v>
      </c>
      <c r="M679" s="129" t="e">
        <f>VLOOKUP(VALUE($B679),test_out_xwalk!$C:$L,6,FALSE)</f>
        <v>#VALUE!</v>
      </c>
      <c r="N679" s="129" t="e">
        <f>VLOOKUP(VALUE($B679),test_out_xwalk!$C:$L,8,FALSE)</f>
        <v>#VALUE!</v>
      </c>
      <c r="O679" s="129" t="e">
        <f>VLOOKUP(VALUE($B679),test_out_xwalk!$C:$L,7,FALSE)</f>
        <v>#VALUE!</v>
      </c>
      <c r="P679" s="129" t="e">
        <f>VLOOKUP(VALUE($B679),test_out_xwalk!$C:$L,4,FALSE)</f>
        <v>#VALUE!</v>
      </c>
      <c r="Q679" s="129" t="e">
        <f>VLOOKUP(VALUE($B679),test_out_xwalk!$C:$L,9,FALSE)</f>
        <v>#VALUE!</v>
      </c>
      <c r="R679" t="e">
        <f>_xlfn.XLOOKUP(VALUE(B679),test_out_xwalk!$C:$C,test_out_xwalk!$A:$A)</f>
        <v>#VALUE!</v>
      </c>
      <c r="T679" s="121" t="str">
        <f>IF('summary_EPA Pond'!$O679="","Check Summary EPA POND worksheet Column O",'summary_EPA Pond'!$O679)</f>
        <v>Check Summary EPA POND worksheet Column O</v>
      </c>
      <c r="U679" s="121" t="str" cm="1">
        <f t="array" ref="U679">IFERROR(_xlfn.TEXTSPLIT(T679,"_"),"")</f>
        <v>Check Summary EPA POND worksheet Column O</v>
      </c>
      <c r="AA679" s="121" t="str" cm="1">
        <f t="array" ref="AA679">IF(W679="","",(_xlfn.TEXTSPLIT(W679,"-")))</f>
        <v/>
      </c>
      <c r="AD679" s="129" t="e">
        <f>VLOOKUP(VALUE($U679),test_out_xwalk!$C:$L,3,FALSE)</f>
        <v>#VALUE!</v>
      </c>
      <c r="AE679" s="129" t="e">
        <f>VLOOKUP(VALUE($U679),test_out_xwalk!$C:$L,5,FALSE)</f>
        <v>#VALUE!</v>
      </c>
      <c r="AF679" s="129" t="e">
        <f>VLOOKUP(VALUE($U679),test_out_xwalk!$C:$L,6,FALSE)</f>
        <v>#VALUE!</v>
      </c>
      <c r="AG679" s="129" t="e">
        <f>VLOOKUP(VALUE($U679),test_out_xwalk!$C:$L,8,FALSE)</f>
        <v>#VALUE!</v>
      </c>
      <c r="AH679" s="129" t="e">
        <f>VLOOKUP(VALUE($U679),test_out_xwalk!$C:$L,7,FALSE)</f>
        <v>#VALUE!</v>
      </c>
      <c r="AI679" s="129" t="e">
        <f>VLOOKUP(VALUE($U679),test_out_xwalk!$C:$L,4,FALSE)</f>
        <v>#VALUE!</v>
      </c>
      <c r="AJ679" s="129" t="e">
        <f>VLOOKUP(VALUE($U679),test_out_xwalk!$C:$L,9,FALSE)</f>
        <v>#VALUE!</v>
      </c>
      <c r="AK679" t="e">
        <f>_xlfn.XLOOKUP(VALUE(U679),test_out_xwalk!C:C,test_out_xwalk!A:A)</f>
        <v>#VALUE!</v>
      </c>
    </row>
    <row r="680" spans="1:37" x14ac:dyDescent="0.55000000000000004">
      <c r="A680" s="121" t="str">
        <f>IF('summary_EPA Pond'!$A680="","Check Summary EPA POND worksheet Column A",'summary_EPA Pond'!$A680)</f>
        <v>Check Summary EPA POND worksheet Column A</v>
      </c>
      <c r="B680" s="121" t="str" cm="1">
        <f t="array" ref="B680">IFERROR(_xlfn.TEXTSPLIT(A680,"_"),"")</f>
        <v>Check Summary EPA POND worksheet Column A</v>
      </c>
      <c r="H680" s="121" t="str" cm="1">
        <f t="array" ref="H680">IF(D680="","",(_xlfn.TEXTSPLIT(D680,"-")))</f>
        <v/>
      </c>
      <c r="K680" s="129" t="e">
        <f>VLOOKUP(VALUE($B680),test_out_xwalk!$C:$L,3,FALSE)</f>
        <v>#VALUE!</v>
      </c>
      <c r="L680" s="129" t="e">
        <f>VLOOKUP(VALUE($B680),test_out_xwalk!$C:$L,5,FALSE)</f>
        <v>#VALUE!</v>
      </c>
      <c r="M680" s="129" t="e">
        <f>VLOOKUP(VALUE($B680),test_out_xwalk!$C:$L,6,FALSE)</f>
        <v>#VALUE!</v>
      </c>
      <c r="N680" s="129" t="e">
        <f>VLOOKUP(VALUE($B680),test_out_xwalk!$C:$L,8,FALSE)</f>
        <v>#VALUE!</v>
      </c>
      <c r="O680" s="129" t="e">
        <f>VLOOKUP(VALUE($B680),test_out_xwalk!$C:$L,7,FALSE)</f>
        <v>#VALUE!</v>
      </c>
      <c r="P680" s="129" t="e">
        <f>VLOOKUP(VALUE($B680),test_out_xwalk!$C:$L,4,FALSE)</f>
        <v>#VALUE!</v>
      </c>
      <c r="Q680" s="129" t="e">
        <f>VLOOKUP(VALUE($B680),test_out_xwalk!$C:$L,9,FALSE)</f>
        <v>#VALUE!</v>
      </c>
      <c r="R680" t="e">
        <f>_xlfn.XLOOKUP(VALUE(B680),test_out_xwalk!$C:$C,test_out_xwalk!$A:$A)</f>
        <v>#VALUE!</v>
      </c>
      <c r="T680" s="121" t="str">
        <f>IF('summary_EPA Pond'!$O680="","Check Summary EPA POND worksheet Column O",'summary_EPA Pond'!$O680)</f>
        <v>Check Summary EPA POND worksheet Column O</v>
      </c>
      <c r="U680" s="121" t="str" cm="1">
        <f t="array" ref="U680">IFERROR(_xlfn.TEXTSPLIT(T680,"_"),"")</f>
        <v>Check Summary EPA POND worksheet Column O</v>
      </c>
      <c r="AA680" s="121" t="str" cm="1">
        <f t="array" ref="AA680">IF(W680="","",(_xlfn.TEXTSPLIT(W680,"-")))</f>
        <v/>
      </c>
      <c r="AD680" s="129" t="e">
        <f>VLOOKUP(VALUE($U680),test_out_xwalk!$C:$L,3,FALSE)</f>
        <v>#VALUE!</v>
      </c>
      <c r="AE680" s="129" t="e">
        <f>VLOOKUP(VALUE($U680),test_out_xwalk!$C:$L,5,FALSE)</f>
        <v>#VALUE!</v>
      </c>
      <c r="AF680" s="129" t="e">
        <f>VLOOKUP(VALUE($U680),test_out_xwalk!$C:$L,6,FALSE)</f>
        <v>#VALUE!</v>
      </c>
      <c r="AG680" s="129" t="e">
        <f>VLOOKUP(VALUE($U680),test_out_xwalk!$C:$L,8,FALSE)</f>
        <v>#VALUE!</v>
      </c>
      <c r="AH680" s="129" t="e">
        <f>VLOOKUP(VALUE($U680),test_out_xwalk!$C:$L,7,FALSE)</f>
        <v>#VALUE!</v>
      </c>
      <c r="AI680" s="129" t="e">
        <f>VLOOKUP(VALUE($U680),test_out_xwalk!$C:$L,4,FALSE)</f>
        <v>#VALUE!</v>
      </c>
      <c r="AJ680" s="129" t="e">
        <f>VLOOKUP(VALUE($U680),test_out_xwalk!$C:$L,9,FALSE)</f>
        <v>#VALUE!</v>
      </c>
      <c r="AK680" t="e">
        <f>_xlfn.XLOOKUP(VALUE(U680),test_out_xwalk!C:C,test_out_xwalk!A:A)</f>
        <v>#VALUE!</v>
      </c>
    </row>
    <row r="681" spans="1:37" x14ac:dyDescent="0.55000000000000004">
      <c r="A681" s="121" t="str">
        <f>IF('summary_EPA Pond'!$A681="","Check Summary EPA POND worksheet Column A",'summary_EPA Pond'!$A681)</f>
        <v>Check Summary EPA POND worksheet Column A</v>
      </c>
      <c r="B681" s="121" t="str" cm="1">
        <f t="array" ref="B681">IFERROR(_xlfn.TEXTSPLIT(A681,"_"),"")</f>
        <v>Check Summary EPA POND worksheet Column A</v>
      </c>
      <c r="H681" s="121" t="str" cm="1">
        <f t="array" ref="H681">IF(D681="","",(_xlfn.TEXTSPLIT(D681,"-")))</f>
        <v/>
      </c>
      <c r="K681" s="129" t="e">
        <f>VLOOKUP(VALUE($B681),test_out_xwalk!$C:$L,3,FALSE)</f>
        <v>#VALUE!</v>
      </c>
      <c r="L681" s="129" t="e">
        <f>VLOOKUP(VALUE($B681),test_out_xwalk!$C:$L,5,FALSE)</f>
        <v>#VALUE!</v>
      </c>
      <c r="M681" s="129" t="e">
        <f>VLOOKUP(VALUE($B681),test_out_xwalk!$C:$L,6,FALSE)</f>
        <v>#VALUE!</v>
      </c>
      <c r="N681" s="129" t="e">
        <f>VLOOKUP(VALUE($B681),test_out_xwalk!$C:$L,8,FALSE)</f>
        <v>#VALUE!</v>
      </c>
      <c r="O681" s="129" t="e">
        <f>VLOOKUP(VALUE($B681),test_out_xwalk!$C:$L,7,FALSE)</f>
        <v>#VALUE!</v>
      </c>
      <c r="P681" s="129" t="e">
        <f>VLOOKUP(VALUE($B681),test_out_xwalk!$C:$L,4,FALSE)</f>
        <v>#VALUE!</v>
      </c>
      <c r="Q681" s="129" t="e">
        <f>VLOOKUP(VALUE($B681),test_out_xwalk!$C:$L,9,FALSE)</f>
        <v>#VALUE!</v>
      </c>
      <c r="R681" t="e">
        <f>_xlfn.XLOOKUP(VALUE(B681),test_out_xwalk!$C:$C,test_out_xwalk!$A:$A)</f>
        <v>#VALUE!</v>
      </c>
      <c r="T681" s="121" t="str">
        <f>IF('summary_EPA Pond'!$O681="","Check Summary EPA POND worksheet Column O",'summary_EPA Pond'!$O681)</f>
        <v>Check Summary EPA POND worksheet Column O</v>
      </c>
      <c r="U681" s="121" t="str" cm="1">
        <f t="array" ref="U681">IFERROR(_xlfn.TEXTSPLIT(T681,"_"),"")</f>
        <v>Check Summary EPA POND worksheet Column O</v>
      </c>
      <c r="AA681" s="121" t="str" cm="1">
        <f t="array" ref="AA681">IF(W681="","",(_xlfn.TEXTSPLIT(W681,"-")))</f>
        <v/>
      </c>
      <c r="AD681" s="129" t="e">
        <f>VLOOKUP(VALUE($U681),test_out_xwalk!$C:$L,3,FALSE)</f>
        <v>#VALUE!</v>
      </c>
      <c r="AE681" s="129" t="e">
        <f>VLOOKUP(VALUE($U681),test_out_xwalk!$C:$L,5,FALSE)</f>
        <v>#VALUE!</v>
      </c>
      <c r="AF681" s="129" t="e">
        <f>VLOOKUP(VALUE($U681),test_out_xwalk!$C:$L,6,FALSE)</f>
        <v>#VALUE!</v>
      </c>
      <c r="AG681" s="129" t="e">
        <f>VLOOKUP(VALUE($U681),test_out_xwalk!$C:$L,8,FALSE)</f>
        <v>#VALUE!</v>
      </c>
      <c r="AH681" s="129" t="e">
        <f>VLOOKUP(VALUE($U681),test_out_xwalk!$C:$L,7,FALSE)</f>
        <v>#VALUE!</v>
      </c>
      <c r="AI681" s="129" t="e">
        <f>VLOOKUP(VALUE($U681),test_out_xwalk!$C:$L,4,FALSE)</f>
        <v>#VALUE!</v>
      </c>
      <c r="AJ681" s="129" t="e">
        <f>VLOOKUP(VALUE($U681),test_out_xwalk!$C:$L,9,FALSE)</f>
        <v>#VALUE!</v>
      </c>
      <c r="AK681" t="e">
        <f>_xlfn.XLOOKUP(VALUE(U681),test_out_xwalk!C:C,test_out_xwalk!A:A)</f>
        <v>#VALUE!</v>
      </c>
    </row>
    <row r="682" spans="1:37" x14ac:dyDescent="0.55000000000000004">
      <c r="A682" s="121" t="str">
        <f>IF('summary_EPA Pond'!$A682="","Check Summary EPA POND worksheet Column A",'summary_EPA Pond'!$A682)</f>
        <v>Check Summary EPA POND worksheet Column A</v>
      </c>
      <c r="B682" s="121" t="str" cm="1">
        <f t="array" ref="B682">IFERROR(_xlfn.TEXTSPLIT(A682,"_"),"")</f>
        <v>Check Summary EPA POND worksheet Column A</v>
      </c>
      <c r="H682" s="121" t="str" cm="1">
        <f t="array" ref="H682">IF(D682="","",(_xlfn.TEXTSPLIT(D682,"-")))</f>
        <v/>
      </c>
      <c r="K682" s="129" t="e">
        <f>VLOOKUP(VALUE($B682),test_out_xwalk!$C:$L,3,FALSE)</f>
        <v>#VALUE!</v>
      </c>
      <c r="L682" s="129" t="e">
        <f>VLOOKUP(VALUE($B682),test_out_xwalk!$C:$L,5,FALSE)</f>
        <v>#VALUE!</v>
      </c>
      <c r="M682" s="129" t="e">
        <f>VLOOKUP(VALUE($B682),test_out_xwalk!$C:$L,6,FALSE)</f>
        <v>#VALUE!</v>
      </c>
      <c r="N682" s="129" t="e">
        <f>VLOOKUP(VALUE($B682),test_out_xwalk!$C:$L,8,FALSE)</f>
        <v>#VALUE!</v>
      </c>
      <c r="O682" s="129" t="e">
        <f>VLOOKUP(VALUE($B682),test_out_xwalk!$C:$L,7,FALSE)</f>
        <v>#VALUE!</v>
      </c>
      <c r="P682" s="129" t="e">
        <f>VLOOKUP(VALUE($B682),test_out_xwalk!$C:$L,4,FALSE)</f>
        <v>#VALUE!</v>
      </c>
      <c r="Q682" s="129" t="e">
        <f>VLOOKUP(VALUE($B682),test_out_xwalk!$C:$L,9,FALSE)</f>
        <v>#VALUE!</v>
      </c>
      <c r="R682" t="e">
        <f>_xlfn.XLOOKUP(VALUE(B682),test_out_xwalk!$C:$C,test_out_xwalk!$A:$A)</f>
        <v>#VALUE!</v>
      </c>
      <c r="T682" s="121" t="str">
        <f>IF('summary_EPA Pond'!$O682="","Check Summary EPA POND worksheet Column O",'summary_EPA Pond'!$O682)</f>
        <v>Check Summary EPA POND worksheet Column O</v>
      </c>
      <c r="U682" s="121" t="str" cm="1">
        <f t="array" ref="U682">IFERROR(_xlfn.TEXTSPLIT(T682,"_"),"")</f>
        <v>Check Summary EPA POND worksheet Column O</v>
      </c>
      <c r="AA682" s="121" t="str" cm="1">
        <f t="array" ref="AA682">IF(W682="","",(_xlfn.TEXTSPLIT(W682,"-")))</f>
        <v/>
      </c>
      <c r="AD682" s="129" t="e">
        <f>VLOOKUP(VALUE($U682),test_out_xwalk!$C:$L,3,FALSE)</f>
        <v>#VALUE!</v>
      </c>
      <c r="AE682" s="129" t="e">
        <f>VLOOKUP(VALUE($U682),test_out_xwalk!$C:$L,5,FALSE)</f>
        <v>#VALUE!</v>
      </c>
      <c r="AF682" s="129" t="e">
        <f>VLOOKUP(VALUE($U682),test_out_xwalk!$C:$L,6,FALSE)</f>
        <v>#VALUE!</v>
      </c>
      <c r="AG682" s="129" t="e">
        <f>VLOOKUP(VALUE($U682),test_out_xwalk!$C:$L,8,FALSE)</f>
        <v>#VALUE!</v>
      </c>
      <c r="AH682" s="129" t="e">
        <f>VLOOKUP(VALUE($U682),test_out_xwalk!$C:$L,7,FALSE)</f>
        <v>#VALUE!</v>
      </c>
      <c r="AI682" s="129" t="e">
        <f>VLOOKUP(VALUE($U682),test_out_xwalk!$C:$L,4,FALSE)</f>
        <v>#VALUE!</v>
      </c>
      <c r="AJ682" s="129" t="e">
        <f>VLOOKUP(VALUE($U682),test_out_xwalk!$C:$L,9,FALSE)</f>
        <v>#VALUE!</v>
      </c>
      <c r="AK682" t="e">
        <f>_xlfn.XLOOKUP(VALUE(U682),test_out_xwalk!C:C,test_out_xwalk!A:A)</f>
        <v>#VALUE!</v>
      </c>
    </row>
    <row r="683" spans="1:37" x14ac:dyDescent="0.55000000000000004">
      <c r="A683" s="121" t="str">
        <f>IF('summary_EPA Pond'!$A683="","Check Summary EPA POND worksheet Column A",'summary_EPA Pond'!$A683)</f>
        <v>Check Summary EPA POND worksheet Column A</v>
      </c>
      <c r="B683" s="121" t="str" cm="1">
        <f t="array" ref="B683">IFERROR(_xlfn.TEXTSPLIT(A683,"_"),"")</f>
        <v>Check Summary EPA POND worksheet Column A</v>
      </c>
      <c r="H683" s="121" t="str" cm="1">
        <f t="array" ref="H683">IF(D683="","",(_xlfn.TEXTSPLIT(D683,"-")))</f>
        <v/>
      </c>
      <c r="K683" s="129" t="e">
        <f>VLOOKUP(VALUE($B683),test_out_xwalk!$C:$L,3,FALSE)</f>
        <v>#VALUE!</v>
      </c>
      <c r="L683" s="129" t="e">
        <f>VLOOKUP(VALUE($B683),test_out_xwalk!$C:$L,5,FALSE)</f>
        <v>#VALUE!</v>
      </c>
      <c r="M683" s="129" t="e">
        <f>VLOOKUP(VALUE($B683),test_out_xwalk!$C:$L,6,FALSE)</f>
        <v>#VALUE!</v>
      </c>
      <c r="N683" s="129" t="e">
        <f>VLOOKUP(VALUE($B683),test_out_xwalk!$C:$L,8,FALSE)</f>
        <v>#VALUE!</v>
      </c>
      <c r="O683" s="129" t="e">
        <f>VLOOKUP(VALUE($B683),test_out_xwalk!$C:$L,7,FALSE)</f>
        <v>#VALUE!</v>
      </c>
      <c r="P683" s="129" t="e">
        <f>VLOOKUP(VALUE($B683),test_out_xwalk!$C:$L,4,FALSE)</f>
        <v>#VALUE!</v>
      </c>
      <c r="Q683" s="129" t="e">
        <f>VLOOKUP(VALUE($B683),test_out_xwalk!$C:$L,9,FALSE)</f>
        <v>#VALUE!</v>
      </c>
      <c r="R683" t="e">
        <f>_xlfn.XLOOKUP(VALUE(B683),test_out_xwalk!$C:$C,test_out_xwalk!$A:$A)</f>
        <v>#VALUE!</v>
      </c>
      <c r="T683" s="121" t="str">
        <f>IF('summary_EPA Pond'!$O683="","Check Summary EPA POND worksheet Column O",'summary_EPA Pond'!$O683)</f>
        <v>Check Summary EPA POND worksheet Column O</v>
      </c>
      <c r="U683" s="121" t="str" cm="1">
        <f t="array" ref="U683">IFERROR(_xlfn.TEXTSPLIT(T683,"_"),"")</f>
        <v>Check Summary EPA POND worksheet Column O</v>
      </c>
      <c r="AA683" s="121" t="str" cm="1">
        <f t="array" ref="AA683">IF(W683="","",(_xlfn.TEXTSPLIT(W683,"-")))</f>
        <v/>
      </c>
      <c r="AD683" s="129" t="e">
        <f>VLOOKUP(VALUE($U683),test_out_xwalk!$C:$L,3,FALSE)</f>
        <v>#VALUE!</v>
      </c>
      <c r="AE683" s="129" t="e">
        <f>VLOOKUP(VALUE($U683),test_out_xwalk!$C:$L,5,FALSE)</f>
        <v>#VALUE!</v>
      </c>
      <c r="AF683" s="129" t="e">
        <f>VLOOKUP(VALUE($U683),test_out_xwalk!$C:$L,6,FALSE)</f>
        <v>#VALUE!</v>
      </c>
      <c r="AG683" s="129" t="e">
        <f>VLOOKUP(VALUE($U683),test_out_xwalk!$C:$L,8,FALSE)</f>
        <v>#VALUE!</v>
      </c>
      <c r="AH683" s="129" t="e">
        <f>VLOOKUP(VALUE($U683),test_out_xwalk!$C:$L,7,FALSE)</f>
        <v>#VALUE!</v>
      </c>
      <c r="AI683" s="129" t="e">
        <f>VLOOKUP(VALUE($U683),test_out_xwalk!$C:$L,4,FALSE)</f>
        <v>#VALUE!</v>
      </c>
      <c r="AJ683" s="129" t="e">
        <f>VLOOKUP(VALUE($U683),test_out_xwalk!$C:$L,9,FALSE)</f>
        <v>#VALUE!</v>
      </c>
      <c r="AK683" t="e">
        <f>_xlfn.XLOOKUP(VALUE(U683),test_out_xwalk!C:C,test_out_xwalk!A:A)</f>
        <v>#VALUE!</v>
      </c>
    </row>
    <row r="684" spans="1:37" x14ac:dyDescent="0.55000000000000004">
      <c r="A684" s="121" t="str">
        <f>IF('summary_EPA Pond'!$A684="","Check Summary EPA POND worksheet Column A",'summary_EPA Pond'!$A684)</f>
        <v>Check Summary EPA POND worksheet Column A</v>
      </c>
      <c r="B684" s="121" t="str" cm="1">
        <f t="array" ref="B684">IFERROR(_xlfn.TEXTSPLIT(A684,"_"),"")</f>
        <v>Check Summary EPA POND worksheet Column A</v>
      </c>
      <c r="H684" s="121" t="str" cm="1">
        <f t="array" ref="H684">IF(D684="","",(_xlfn.TEXTSPLIT(D684,"-")))</f>
        <v/>
      </c>
      <c r="K684" s="129" t="e">
        <f>VLOOKUP(VALUE($B684),test_out_xwalk!$C:$L,3,FALSE)</f>
        <v>#VALUE!</v>
      </c>
      <c r="L684" s="129" t="e">
        <f>VLOOKUP(VALUE($B684),test_out_xwalk!$C:$L,5,FALSE)</f>
        <v>#VALUE!</v>
      </c>
      <c r="M684" s="129" t="e">
        <f>VLOOKUP(VALUE($B684),test_out_xwalk!$C:$L,6,FALSE)</f>
        <v>#VALUE!</v>
      </c>
      <c r="N684" s="129" t="e">
        <f>VLOOKUP(VALUE($B684),test_out_xwalk!$C:$L,8,FALSE)</f>
        <v>#VALUE!</v>
      </c>
      <c r="O684" s="129" t="e">
        <f>VLOOKUP(VALUE($B684),test_out_xwalk!$C:$L,7,FALSE)</f>
        <v>#VALUE!</v>
      </c>
      <c r="P684" s="129" t="e">
        <f>VLOOKUP(VALUE($B684),test_out_xwalk!$C:$L,4,FALSE)</f>
        <v>#VALUE!</v>
      </c>
      <c r="Q684" s="129" t="e">
        <f>VLOOKUP(VALUE($B684),test_out_xwalk!$C:$L,9,FALSE)</f>
        <v>#VALUE!</v>
      </c>
      <c r="R684" t="e">
        <f>_xlfn.XLOOKUP(VALUE(B684),test_out_xwalk!$C:$C,test_out_xwalk!$A:$A)</f>
        <v>#VALUE!</v>
      </c>
      <c r="T684" s="121" t="str">
        <f>IF('summary_EPA Pond'!$O684="","Check Summary EPA POND worksheet Column O",'summary_EPA Pond'!$O684)</f>
        <v>Check Summary EPA POND worksheet Column O</v>
      </c>
      <c r="U684" s="121" t="str" cm="1">
        <f t="array" ref="U684">IFERROR(_xlfn.TEXTSPLIT(T684,"_"),"")</f>
        <v>Check Summary EPA POND worksheet Column O</v>
      </c>
      <c r="AA684" s="121" t="str" cm="1">
        <f t="array" ref="AA684">IF(W684="","",(_xlfn.TEXTSPLIT(W684,"-")))</f>
        <v/>
      </c>
      <c r="AD684" s="129" t="e">
        <f>VLOOKUP(VALUE($U684),test_out_xwalk!$C:$L,3,FALSE)</f>
        <v>#VALUE!</v>
      </c>
      <c r="AE684" s="129" t="e">
        <f>VLOOKUP(VALUE($U684),test_out_xwalk!$C:$L,5,FALSE)</f>
        <v>#VALUE!</v>
      </c>
      <c r="AF684" s="129" t="e">
        <f>VLOOKUP(VALUE($U684),test_out_xwalk!$C:$L,6,FALSE)</f>
        <v>#VALUE!</v>
      </c>
      <c r="AG684" s="129" t="e">
        <f>VLOOKUP(VALUE($U684),test_out_xwalk!$C:$L,8,FALSE)</f>
        <v>#VALUE!</v>
      </c>
      <c r="AH684" s="129" t="e">
        <f>VLOOKUP(VALUE($U684),test_out_xwalk!$C:$L,7,FALSE)</f>
        <v>#VALUE!</v>
      </c>
      <c r="AI684" s="129" t="e">
        <f>VLOOKUP(VALUE($U684),test_out_xwalk!$C:$L,4,FALSE)</f>
        <v>#VALUE!</v>
      </c>
      <c r="AJ684" s="129" t="e">
        <f>VLOOKUP(VALUE($U684),test_out_xwalk!$C:$L,9,FALSE)</f>
        <v>#VALUE!</v>
      </c>
      <c r="AK684" t="e">
        <f>_xlfn.XLOOKUP(VALUE(U684),test_out_xwalk!C:C,test_out_xwalk!A:A)</f>
        <v>#VALUE!</v>
      </c>
    </row>
    <row r="685" spans="1:37" x14ac:dyDescent="0.55000000000000004">
      <c r="A685" s="121" t="str">
        <f>IF('summary_EPA Pond'!$A685="","Check Summary EPA POND worksheet Column A",'summary_EPA Pond'!$A685)</f>
        <v>Check Summary EPA POND worksheet Column A</v>
      </c>
      <c r="B685" s="121" t="str" cm="1">
        <f t="array" ref="B685">IFERROR(_xlfn.TEXTSPLIT(A685,"_"),"")</f>
        <v>Check Summary EPA POND worksheet Column A</v>
      </c>
      <c r="H685" s="121" t="str" cm="1">
        <f t="array" ref="H685">IF(D685="","",(_xlfn.TEXTSPLIT(D685,"-")))</f>
        <v/>
      </c>
      <c r="K685" s="129" t="e">
        <f>VLOOKUP(VALUE($B685),test_out_xwalk!$C:$L,3,FALSE)</f>
        <v>#VALUE!</v>
      </c>
      <c r="L685" s="129" t="e">
        <f>VLOOKUP(VALUE($B685),test_out_xwalk!$C:$L,5,FALSE)</f>
        <v>#VALUE!</v>
      </c>
      <c r="M685" s="129" t="e">
        <f>VLOOKUP(VALUE($B685),test_out_xwalk!$C:$L,6,FALSE)</f>
        <v>#VALUE!</v>
      </c>
      <c r="N685" s="129" t="e">
        <f>VLOOKUP(VALUE($B685),test_out_xwalk!$C:$L,8,FALSE)</f>
        <v>#VALUE!</v>
      </c>
      <c r="O685" s="129" t="e">
        <f>VLOOKUP(VALUE($B685),test_out_xwalk!$C:$L,7,FALSE)</f>
        <v>#VALUE!</v>
      </c>
      <c r="P685" s="129" t="e">
        <f>VLOOKUP(VALUE($B685),test_out_xwalk!$C:$L,4,FALSE)</f>
        <v>#VALUE!</v>
      </c>
      <c r="Q685" s="129" t="e">
        <f>VLOOKUP(VALUE($B685),test_out_xwalk!$C:$L,9,FALSE)</f>
        <v>#VALUE!</v>
      </c>
      <c r="R685" t="e">
        <f>_xlfn.XLOOKUP(VALUE(B685),test_out_xwalk!$C:$C,test_out_xwalk!$A:$A)</f>
        <v>#VALUE!</v>
      </c>
      <c r="T685" s="121" t="str">
        <f>IF('summary_EPA Pond'!$O685="","Check Summary EPA POND worksheet Column O",'summary_EPA Pond'!$O685)</f>
        <v>Check Summary EPA POND worksheet Column O</v>
      </c>
      <c r="U685" s="121" t="str" cm="1">
        <f t="array" ref="U685">IFERROR(_xlfn.TEXTSPLIT(T685,"_"),"")</f>
        <v>Check Summary EPA POND worksheet Column O</v>
      </c>
      <c r="AA685" s="121" t="str" cm="1">
        <f t="array" ref="AA685">IF(W685="","",(_xlfn.TEXTSPLIT(W685,"-")))</f>
        <v/>
      </c>
      <c r="AD685" s="129" t="e">
        <f>VLOOKUP(VALUE($U685),test_out_xwalk!$C:$L,3,FALSE)</f>
        <v>#VALUE!</v>
      </c>
      <c r="AE685" s="129" t="e">
        <f>VLOOKUP(VALUE($U685),test_out_xwalk!$C:$L,5,FALSE)</f>
        <v>#VALUE!</v>
      </c>
      <c r="AF685" s="129" t="e">
        <f>VLOOKUP(VALUE($U685),test_out_xwalk!$C:$L,6,FALSE)</f>
        <v>#VALUE!</v>
      </c>
      <c r="AG685" s="129" t="e">
        <f>VLOOKUP(VALUE($U685),test_out_xwalk!$C:$L,8,FALSE)</f>
        <v>#VALUE!</v>
      </c>
      <c r="AH685" s="129" t="e">
        <f>VLOOKUP(VALUE($U685),test_out_xwalk!$C:$L,7,FALSE)</f>
        <v>#VALUE!</v>
      </c>
      <c r="AI685" s="129" t="e">
        <f>VLOOKUP(VALUE($U685),test_out_xwalk!$C:$L,4,FALSE)</f>
        <v>#VALUE!</v>
      </c>
      <c r="AJ685" s="129" t="e">
        <f>VLOOKUP(VALUE($U685),test_out_xwalk!$C:$L,9,FALSE)</f>
        <v>#VALUE!</v>
      </c>
      <c r="AK685" t="e">
        <f>_xlfn.XLOOKUP(VALUE(U685),test_out_xwalk!C:C,test_out_xwalk!A:A)</f>
        <v>#VALUE!</v>
      </c>
    </row>
    <row r="686" spans="1:37" x14ac:dyDescent="0.55000000000000004">
      <c r="A686" s="121" t="str">
        <f>IF('summary_EPA Pond'!$A686="","Check Summary EPA POND worksheet Column A",'summary_EPA Pond'!$A686)</f>
        <v>Check Summary EPA POND worksheet Column A</v>
      </c>
      <c r="B686" s="121" t="str" cm="1">
        <f t="array" ref="B686">IFERROR(_xlfn.TEXTSPLIT(A686,"_"),"")</f>
        <v>Check Summary EPA POND worksheet Column A</v>
      </c>
      <c r="H686" s="121" t="str" cm="1">
        <f t="array" ref="H686">IF(D686="","",(_xlfn.TEXTSPLIT(D686,"-")))</f>
        <v/>
      </c>
      <c r="K686" s="129" t="e">
        <f>VLOOKUP(VALUE($B686),test_out_xwalk!$C:$L,3,FALSE)</f>
        <v>#VALUE!</v>
      </c>
      <c r="L686" s="129" t="e">
        <f>VLOOKUP(VALUE($B686),test_out_xwalk!$C:$L,5,FALSE)</f>
        <v>#VALUE!</v>
      </c>
      <c r="M686" s="129" t="e">
        <f>VLOOKUP(VALUE($B686),test_out_xwalk!$C:$L,6,FALSE)</f>
        <v>#VALUE!</v>
      </c>
      <c r="N686" s="129" t="e">
        <f>VLOOKUP(VALUE($B686),test_out_xwalk!$C:$L,8,FALSE)</f>
        <v>#VALUE!</v>
      </c>
      <c r="O686" s="129" t="e">
        <f>VLOOKUP(VALUE($B686),test_out_xwalk!$C:$L,7,FALSE)</f>
        <v>#VALUE!</v>
      </c>
      <c r="P686" s="129" t="e">
        <f>VLOOKUP(VALUE($B686),test_out_xwalk!$C:$L,4,FALSE)</f>
        <v>#VALUE!</v>
      </c>
      <c r="Q686" s="129" t="e">
        <f>VLOOKUP(VALUE($B686),test_out_xwalk!$C:$L,9,FALSE)</f>
        <v>#VALUE!</v>
      </c>
      <c r="R686" t="e">
        <f>_xlfn.XLOOKUP(VALUE(B686),test_out_xwalk!$C:$C,test_out_xwalk!$A:$A)</f>
        <v>#VALUE!</v>
      </c>
      <c r="T686" s="121" t="str">
        <f>IF('summary_EPA Pond'!$O686="","Check Summary EPA POND worksheet Column O",'summary_EPA Pond'!$O686)</f>
        <v>Check Summary EPA POND worksheet Column O</v>
      </c>
      <c r="U686" s="121" t="str" cm="1">
        <f t="array" ref="U686">IFERROR(_xlfn.TEXTSPLIT(T686,"_"),"")</f>
        <v>Check Summary EPA POND worksheet Column O</v>
      </c>
      <c r="AA686" s="121" t="str" cm="1">
        <f t="array" ref="AA686">IF(W686="","",(_xlfn.TEXTSPLIT(W686,"-")))</f>
        <v/>
      </c>
      <c r="AD686" s="129" t="e">
        <f>VLOOKUP(VALUE($U686),test_out_xwalk!$C:$L,3,FALSE)</f>
        <v>#VALUE!</v>
      </c>
      <c r="AE686" s="129" t="e">
        <f>VLOOKUP(VALUE($U686),test_out_xwalk!$C:$L,5,FALSE)</f>
        <v>#VALUE!</v>
      </c>
      <c r="AF686" s="129" t="e">
        <f>VLOOKUP(VALUE($U686),test_out_xwalk!$C:$L,6,FALSE)</f>
        <v>#VALUE!</v>
      </c>
      <c r="AG686" s="129" t="e">
        <f>VLOOKUP(VALUE($U686),test_out_xwalk!$C:$L,8,FALSE)</f>
        <v>#VALUE!</v>
      </c>
      <c r="AH686" s="129" t="e">
        <f>VLOOKUP(VALUE($U686),test_out_xwalk!$C:$L,7,FALSE)</f>
        <v>#VALUE!</v>
      </c>
      <c r="AI686" s="129" t="e">
        <f>VLOOKUP(VALUE($U686),test_out_xwalk!$C:$L,4,FALSE)</f>
        <v>#VALUE!</v>
      </c>
      <c r="AJ686" s="129" t="e">
        <f>VLOOKUP(VALUE($U686),test_out_xwalk!$C:$L,9,FALSE)</f>
        <v>#VALUE!</v>
      </c>
      <c r="AK686" t="e">
        <f>_xlfn.XLOOKUP(VALUE(U686),test_out_xwalk!C:C,test_out_xwalk!A:A)</f>
        <v>#VALUE!</v>
      </c>
    </row>
    <row r="687" spans="1:37" x14ac:dyDescent="0.55000000000000004">
      <c r="A687" s="121" t="str">
        <f>IF('summary_EPA Pond'!$A687="","Check Summary EPA POND worksheet Column A",'summary_EPA Pond'!$A687)</f>
        <v>Check Summary EPA POND worksheet Column A</v>
      </c>
      <c r="B687" s="121" t="str" cm="1">
        <f t="array" ref="B687">IFERROR(_xlfn.TEXTSPLIT(A687,"_"),"")</f>
        <v>Check Summary EPA POND worksheet Column A</v>
      </c>
      <c r="H687" s="121" t="str" cm="1">
        <f t="array" ref="H687">IF(D687="","",(_xlfn.TEXTSPLIT(D687,"-")))</f>
        <v/>
      </c>
      <c r="K687" s="129" t="e">
        <f>VLOOKUP(VALUE($B687),test_out_xwalk!$C:$L,3,FALSE)</f>
        <v>#VALUE!</v>
      </c>
      <c r="L687" s="129" t="e">
        <f>VLOOKUP(VALUE($B687),test_out_xwalk!$C:$L,5,FALSE)</f>
        <v>#VALUE!</v>
      </c>
      <c r="M687" s="129" t="e">
        <f>VLOOKUP(VALUE($B687),test_out_xwalk!$C:$L,6,FALSE)</f>
        <v>#VALUE!</v>
      </c>
      <c r="N687" s="129" t="e">
        <f>VLOOKUP(VALUE($B687),test_out_xwalk!$C:$L,8,FALSE)</f>
        <v>#VALUE!</v>
      </c>
      <c r="O687" s="129" t="e">
        <f>VLOOKUP(VALUE($B687),test_out_xwalk!$C:$L,7,FALSE)</f>
        <v>#VALUE!</v>
      </c>
      <c r="P687" s="129" t="e">
        <f>VLOOKUP(VALUE($B687),test_out_xwalk!$C:$L,4,FALSE)</f>
        <v>#VALUE!</v>
      </c>
      <c r="Q687" s="129" t="e">
        <f>VLOOKUP(VALUE($B687),test_out_xwalk!$C:$L,9,FALSE)</f>
        <v>#VALUE!</v>
      </c>
      <c r="R687" t="e">
        <f>_xlfn.XLOOKUP(VALUE(B687),test_out_xwalk!$C:$C,test_out_xwalk!$A:$A)</f>
        <v>#VALUE!</v>
      </c>
      <c r="T687" s="121" t="str">
        <f>IF('summary_EPA Pond'!$O687="","Check Summary EPA POND worksheet Column O",'summary_EPA Pond'!$O687)</f>
        <v>Check Summary EPA POND worksheet Column O</v>
      </c>
      <c r="U687" s="121" t="str" cm="1">
        <f t="array" ref="U687">IFERROR(_xlfn.TEXTSPLIT(T687,"_"),"")</f>
        <v>Check Summary EPA POND worksheet Column O</v>
      </c>
      <c r="AA687" s="121" t="str" cm="1">
        <f t="array" ref="AA687">IF(W687="","",(_xlfn.TEXTSPLIT(W687,"-")))</f>
        <v/>
      </c>
      <c r="AD687" s="129" t="e">
        <f>VLOOKUP(VALUE($U687),test_out_xwalk!$C:$L,3,FALSE)</f>
        <v>#VALUE!</v>
      </c>
      <c r="AE687" s="129" t="e">
        <f>VLOOKUP(VALUE($U687),test_out_xwalk!$C:$L,5,FALSE)</f>
        <v>#VALUE!</v>
      </c>
      <c r="AF687" s="129" t="e">
        <f>VLOOKUP(VALUE($U687),test_out_xwalk!$C:$L,6,FALSE)</f>
        <v>#VALUE!</v>
      </c>
      <c r="AG687" s="129" t="e">
        <f>VLOOKUP(VALUE($U687),test_out_xwalk!$C:$L,8,FALSE)</f>
        <v>#VALUE!</v>
      </c>
      <c r="AH687" s="129" t="e">
        <f>VLOOKUP(VALUE($U687),test_out_xwalk!$C:$L,7,FALSE)</f>
        <v>#VALUE!</v>
      </c>
      <c r="AI687" s="129" t="e">
        <f>VLOOKUP(VALUE($U687),test_out_xwalk!$C:$L,4,FALSE)</f>
        <v>#VALUE!</v>
      </c>
      <c r="AJ687" s="129" t="e">
        <f>VLOOKUP(VALUE($U687),test_out_xwalk!$C:$L,9,FALSE)</f>
        <v>#VALUE!</v>
      </c>
      <c r="AK687" t="e">
        <f>_xlfn.XLOOKUP(VALUE(U687),test_out_xwalk!C:C,test_out_xwalk!A:A)</f>
        <v>#VALUE!</v>
      </c>
    </row>
    <row r="688" spans="1:37" x14ac:dyDescent="0.55000000000000004">
      <c r="A688" s="121" t="str">
        <f>IF('summary_EPA Pond'!$A688="","Check Summary EPA POND worksheet Column A",'summary_EPA Pond'!$A688)</f>
        <v>Check Summary EPA POND worksheet Column A</v>
      </c>
      <c r="B688" s="121" t="str" cm="1">
        <f t="array" ref="B688">IFERROR(_xlfn.TEXTSPLIT(A688,"_"),"")</f>
        <v>Check Summary EPA POND worksheet Column A</v>
      </c>
      <c r="H688" s="121" t="str" cm="1">
        <f t="array" ref="H688">IF(D688="","",(_xlfn.TEXTSPLIT(D688,"-")))</f>
        <v/>
      </c>
      <c r="K688" s="129" t="e">
        <f>VLOOKUP(VALUE($B688),test_out_xwalk!$C:$L,3,FALSE)</f>
        <v>#VALUE!</v>
      </c>
      <c r="L688" s="129" t="e">
        <f>VLOOKUP(VALUE($B688),test_out_xwalk!$C:$L,5,FALSE)</f>
        <v>#VALUE!</v>
      </c>
      <c r="M688" s="129" t="e">
        <f>VLOOKUP(VALUE($B688),test_out_xwalk!$C:$L,6,FALSE)</f>
        <v>#VALUE!</v>
      </c>
      <c r="N688" s="129" t="e">
        <f>VLOOKUP(VALUE($B688),test_out_xwalk!$C:$L,8,FALSE)</f>
        <v>#VALUE!</v>
      </c>
      <c r="O688" s="129" t="e">
        <f>VLOOKUP(VALUE($B688),test_out_xwalk!$C:$L,7,FALSE)</f>
        <v>#VALUE!</v>
      </c>
      <c r="P688" s="129" t="e">
        <f>VLOOKUP(VALUE($B688),test_out_xwalk!$C:$L,4,FALSE)</f>
        <v>#VALUE!</v>
      </c>
      <c r="Q688" s="129" t="e">
        <f>VLOOKUP(VALUE($B688),test_out_xwalk!$C:$L,9,FALSE)</f>
        <v>#VALUE!</v>
      </c>
      <c r="R688" t="e">
        <f>_xlfn.XLOOKUP(VALUE(B688),test_out_xwalk!$C:$C,test_out_xwalk!$A:$A)</f>
        <v>#VALUE!</v>
      </c>
      <c r="T688" s="121" t="str">
        <f>IF('summary_EPA Pond'!$O688="","Check Summary EPA POND worksheet Column O",'summary_EPA Pond'!$O688)</f>
        <v>Check Summary EPA POND worksheet Column O</v>
      </c>
      <c r="U688" s="121" t="str" cm="1">
        <f t="array" ref="U688">IFERROR(_xlfn.TEXTSPLIT(T688,"_"),"")</f>
        <v>Check Summary EPA POND worksheet Column O</v>
      </c>
      <c r="AA688" s="121" t="str" cm="1">
        <f t="array" ref="AA688">IF(W688="","",(_xlfn.TEXTSPLIT(W688,"-")))</f>
        <v/>
      </c>
      <c r="AD688" s="129" t="e">
        <f>VLOOKUP(VALUE($U688),test_out_xwalk!$C:$L,3,FALSE)</f>
        <v>#VALUE!</v>
      </c>
      <c r="AE688" s="129" t="e">
        <f>VLOOKUP(VALUE($U688),test_out_xwalk!$C:$L,5,FALSE)</f>
        <v>#VALUE!</v>
      </c>
      <c r="AF688" s="129" t="e">
        <f>VLOOKUP(VALUE($U688),test_out_xwalk!$C:$L,6,FALSE)</f>
        <v>#VALUE!</v>
      </c>
      <c r="AG688" s="129" t="e">
        <f>VLOOKUP(VALUE($U688),test_out_xwalk!$C:$L,8,FALSE)</f>
        <v>#VALUE!</v>
      </c>
      <c r="AH688" s="129" t="e">
        <f>VLOOKUP(VALUE($U688),test_out_xwalk!$C:$L,7,FALSE)</f>
        <v>#VALUE!</v>
      </c>
      <c r="AI688" s="129" t="e">
        <f>VLOOKUP(VALUE($U688),test_out_xwalk!$C:$L,4,FALSE)</f>
        <v>#VALUE!</v>
      </c>
      <c r="AJ688" s="129" t="e">
        <f>VLOOKUP(VALUE($U688),test_out_xwalk!$C:$L,9,FALSE)</f>
        <v>#VALUE!</v>
      </c>
      <c r="AK688" t="e">
        <f>_xlfn.XLOOKUP(VALUE(U688),test_out_xwalk!C:C,test_out_xwalk!A:A)</f>
        <v>#VALUE!</v>
      </c>
    </row>
    <row r="689" spans="1:37" x14ac:dyDescent="0.55000000000000004">
      <c r="A689" s="121" t="str">
        <f>IF('summary_EPA Pond'!$A689="","Check Summary EPA POND worksheet Column A",'summary_EPA Pond'!$A689)</f>
        <v>Check Summary EPA POND worksheet Column A</v>
      </c>
      <c r="B689" s="121" t="str" cm="1">
        <f t="array" ref="B689">IFERROR(_xlfn.TEXTSPLIT(A689,"_"),"")</f>
        <v>Check Summary EPA POND worksheet Column A</v>
      </c>
      <c r="H689" s="121" t="str" cm="1">
        <f t="array" ref="H689">IF(D689="","",(_xlfn.TEXTSPLIT(D689,"-")))</f>
        <v/>
      </c>
      <c r="K689" s="129" t="e">
        <f>VLOOKUP(VALUE($B689),test_out_xwalk!$C:$L,3,FALSE)</f>
        <v>#VALUE!</v>
      </c>
      <c r="L689" s="129" t="e">
        <f>VLOOKUP(VALUE($B689),test_out_xwalk!$C:$L,5,FALSE)</f>
        <v>#VALUE!</v>
      </c>
      <c r="M689" s="129" t="e">
        <f>VLOOKUP(VALUE($B689),test_out_xwalk!$C:$L,6,FALSE)</f>
        <v>#VALUE!</v>
      </c>
      <c r="N689" s="129" t="e">
        <f>VLOOKUP(VALUE($B689),test_out_xwalk!$C:$L,8,FALSE)</f>
        <v>#VALUE!</v>
      </c>
      <c r="O689" s="129" t="e">
        <f>VLOOKUP(VALUE($B689),test_out_xwalk!$C:$L,7,FALSE)</f>
        <v>#VALUE!</v>
      </c>
      <c r="P689" s="129" t="e">
        <f>VLOOKUP(VALUE($B689),test_out_xwalk!$C:$L,4,FALSE)</f>
        <v>#VALUE!</v>
      </c>
      <c r="Q689" s="129" t="e">
        <f>VLOOKUP(VALUE($B689),test_out_xwalk!$C:$L,9,FALSE)</f>
        <v>#VALUE!</v>
      </c>
      <c r="R689" t="e">
        <f>_xlfn.XLOOKUP(VALUE(B689),test_out_xwalk!$C:$C,test_out_xwalk!$A:$A)</f>
        <v>#VALUE!</v>
      </c>
      <c r="T689" s="121" t="str">
        <f>IF('summary_EPA Pond'!$O689="","Check Summary EPA POND worksheet Column O",'summary_EPA Pond'!$O689)</f>
        <v>Check Summary EPA POND worksheet Column O</v>
      </c>
      <c r="U689" s="121" t="str" cm="1">
        <f t="array" ref="U689">IFERROR(_xlfn.TEXTSPLIT(T689,"_"),"")</f>
        <v>Check Summary EPA POND worksheet Column O</v>
      </c>
      <c r="AA689" s="121" t="str" cm="1">
        <f t="array" ref="AA689">IF(W689="","",(_xlfn.TEXTSPLIT(W689,"-")))</f>
        <v/>
      </c>
      <c r="AD689" s="129" t="e">
        <f>VLOOKUP(VALUE($U689),test_out_xwalk!$C:$L,3,FALSE)</f>
        <v>#VALUE!</v>
      </c>
      <c r="AE689" s="129" t="e">
        <f>VLOOKUP(VALUE($U689),test_out_xwalk!$C:$L,5,FALSE)</f>
        <v>#VALUE!</v>
      </c>
      <c r="AF689" s="129" t="e">
        <f>VLOOKUP(VALUE($U689),test_out_xwalk!$C:$L,6,FALSE)</f>
        <v>#VALUE!</v>
      </c>
      <c r="AG689" s="129" t="e">
        <f>VLOOKUP(VALUE($U689),test_out_xwalk!$C:$L,8,FALSE)</f>
        <v>#VALUE!</v>
      </c>
      <c r="AH689" s="129" t="e">
        <f>VLOOKUP(VALUE($U689),test_out_xwalk!$C:$L,7,FALSE)</f>
        <v>#VALUE!</v>
      </c>
      <c r="AI689" s="129" t="e">
        <f>VLOOKUP(VALUE($U689),test_out_xwalk!$C:$L,4,FALSE)</f>
        <v>#VALUE!</v>
      </c>
      <c r="AJ689" s="129" t="e">
        <f>VLOOKUP(VALUE($U689),test_out_xwalk!$C:$L,9,FALSE)</f>
        <v>#VALUE!</v>
      </c>
      <c r="AK689" t="e">
        <f>_xlfn.XLOOKUP(VALUE(U689),test_out_xwalk!C:C,test_out_xwalk!A:A)</f>
        <v>#VALUE!</v>
      </c>
    </row>
    <row r="690" spans="1:37" x14ac:dyDescent="0.55000000000000004">
      <c r="A690" s="121" t="str">
        <f>IF('summary_EPA Pond'!$A690="","Check Summary EPA POND worksheet Column A",'summary_EPA Pond'!$A690)</f>
        <v>Check Summary EPA POND worksheet Column A</v>
      </c>
      <c r="B690" s="121" t="str" cm="1">
        <f t="array" ref="B690">IFERROR(_xlfn.TEXTSPLIT(A690,"_"),"")</f>
        <v>Check Summary EPA POND worksheet Column A</v>
      </c>
      <c r="H690" s="121" t="str" cm="1">
        <f t="array" ref="H690">IF(D690="","",(_xlfn.TEXTSPLIT(D690,"-")))</f>
        <v/>
      </c>
      <c r="K690" s="129" t="e">
        <f>VLOOKUP(VALUE($B690),test_out_xwalk!$C:$L,3,FALSE)</f>
        <v>#VALUE!</v>
      </c>
      <c r="L690" s="129" t="e">
        <f>VLOOKUP(VALUE($B690),test_out_xwalk!$C:$L,5,FALSE)</f>
        <v>#VALUE!</v>
      </c>
      <c r="M690" s="129" t="e">
        <f>VLOOKUP(VALUE($B690),test_out_xwalk!$C:$L,6,FALSE)</f>
        <v>#VALUE!</v>
      </c>
      <c r="N690" s="129" t="e">
        <f>VLOOKUP(VALUE($B690),test_out_xwalk!$C:$L,8,FALSE)</f>
        <v>#VALUE!</v>
      </c>
      <c r="O690" s="129" t="e">
        <f>VLOOKUP(VALUE($B690),test_out_xwalk!$C:$L,7,FALSE)</f>
        <v>#VALUE!</v>
      </c>
      <c r="P690" s="129" t="e">
        <f>VLOOKUP(VALUE($B690),test_out_xwalk!$C:$L,4,FALSE)</f>
        <v>#VALUE!</v>
      </c>
      <c r="Q690" s="129" t="e">
        <f>VLOOKUP(VALUE($B690),test_out_xwalk!$C:$L,9,FALSE)</f>
        <v>#VALUE!</v>
      </c>
      <c r="R690" t="e">
        <f>_xlfn.XLOOKUP(VALUE(B690),test_out_xwalk!$C:$C,test_out_xwalk!$A:$A)</f>
        <v>#VALUE!</v>
      </c>
      <c r="T690" s="121" t="str">
        <f>IF('summary_EPA Pond'!$O690="","Check Summary EPA POND worksheet Column O",'summary_EPA Pond'!$O690)</f>
        <v>Check Summary EPA POND worksheet Column O</v>
      </c>
      <c r="U690" s="121" t="str" cm="1">
        <f t="array" ref="U690">IFERROR(_xlfn.TEXTSPLIT(T690,"_"),"")</f>
        <v>Check Summary EPA POND worksheet Column O</v>
      </c>
      <c r="AA690" s="121" t="str" cm="1">
        <f t="array" ref="AA690">IF(W690="","",(_xlfn.TEXTSPLIT(W690,"-")))</f>
        <v/>
      </c>
      <c r="AD690" s="129" t="e">
        <f>VLOOKUP(VALUE($U690),test_out_xwalk!$C:$L,3,FALSE)</f>
        <v>#VALUE!</v>
      </c>
      <c r="AE690" s="129" t="e">
        <f>VLOOKUP(VALUE($U690),test_out_xwalk!$C:$L,5,FALSE)</f>
        <v>#VALUE!</v>
      </c>
      <c r="AF690" s="129" t="e">
        <f>VLOOKUP(VALUE($U690),test_out_xwalk!$C:$L,6,FALSE)</f>
        <v>#VALUE!</v>
      </c>
      <c r="AG690" s="129" t="e">
        <f>VLOOKUP(VALUE($U690),test_out_xwalk!$C:$L,8,FALSE)</f>
        <v>#VALUE!</v>
      </c>
      <c r="AH690" s="129" t="e">
        <f>VLOOKUP(VALUE($U690),test_out_xwalk!$C:$L,7,FALSE)</f>
        <v>#VALUE!</v>
      </c>
      <c r="AI690" s="129" t="e">
        <f>VLOOKUP(VALUE($U690),test_out_xwalk!$C:$L,4,FALSE)</f>
        <v>#VALUE!</v>
      </c>
      <c r="AJ690" s="129" t="e">
        <f>VLOOKUP(VALUE($U690),test_out_xwalk!$C:$L,9,FALSE)</f>
        <v>#VALUE!</v>
      </c>
      <c r="AK690" t="e">
        <f>_xlfn.XLOOKUP(VALUE(U690),test_out_xwalk!C:C,test_out_xwalk!A:A)</f>
        <v>#VALUE!</v>
      </c>
    </row>
    <row r="691" spans="1:37" x14ac:dyDescent="0.55000000000000004">
      <c r="A691" s="121" t="str">
        <f>IF('summary_EPA Pond'!$A691="","Check Summary EPA POND worksheet Column A",'summary_EPA Pond'!$A691)</f>
        <v>Check Summary EPA POND worksheet Column A</v>
      </c>
      <c r="B691" s="121" t="str" cm="1">
        <f t="array" ref="B691">IFERROR(_xlfn.TEXTSPLIT(A691,"_"),"")</f>
        <v>Check Summary EPA POND worksheet Column A</v>
      </c>
      <c r="H691" s="121" t="str" cm="1">
        <f t="array" ref="H691">IF(D691="","",(_xlfn.TEXTSPLIT(D691,"-")))</f>
        <v/>
      </c>
      <c r="K691" s="129" t="e">
        <f>VLOOKUP(VALUE($B691),test_out_xwalk!$C:$L,3,FALSE)</f>
        <v>#VALUE!</v>
      </c>
      <c r="L691" s="129" t="e">
        <f>VLOOKUP(VALUE($B691),test_out_xwalk!$C:$L,5,FALSE)</f>
        <v>#VALUE!</v>
      </c>
      <c r="M691" s="129" t="e">
        <f>VLOOKUP(VALUE($B691),test_out_xwalk!$C:$L,6,FALSE)</f>
        <v>#VALUE!</v>
      </c>
      <c r="N691" s="129" t="e">
        <f>VLOOKUP(VALUE($B691),test_out_xwalk!$C:$L,8,FALSE)</f>
        <v>#VALUE!</v>
      </c>
      <c r="O691" s="129" t="e">
        <f>VLOOKUP(VALUE($B691),test_out_xwalk!$C:$L,7,FALSE)</f>
        <v>#VALUE!</v>
      </c>
      <c r="P691" s="129" t="e">
        <f>VLOOKUP(VALUE($B691),test_out_xwalk!$C:$L,4,FALSE)</f>
        <v>#VALUE!</v>
      </c>
      <c r="Q691" s="129" t="e">
        <f>VLOOKUP(VALUE($B691),test_out_xwalk!$C:$L,9,FALSE)</f>
        <v>#VALUE!</v>
      </c>
      <c r="R691" t="e">
        <f>_xlfn.XLOOKUP(VALUE(B691),test_out_xwalk!$C:$C,test_out_xwalk!$A:$A)</f>
        <v>#VALUE!</v>
      </c>
      <c r="T691" s="121" t="str">
        <f>IF('summary_EPA Pond'!$O691="","Check Summary EPA POND worksheet Column O",'summary_EPA Pond'!$O691)</f>
        <v>Check Summary EPA POND worksheet Column O</v>
      </c>
      <c r="U691" s="121" t="str" cm="1">
        <f t="array" ref="U691">IFERROR(_xlfn.TEXTSPLIT(T691,"_"),"")</f>
        <v>Check Summary EPA POND worksheet Column O</v>
      </c>
      <c r="AA691" s="121" t="str" cm="1">
        <f t="array" ref="AA691">IF(W691="","",(_xlfn.TEXTSPLIT(W691,"-")))</f>
        <v/>
      </c>
      <c r="AD691" s="129" t="e">
        <f>VLOOKUP(VALUE($U691),test_out_xwalk!$C:$L,3,FALSE)</f>
        <v>#VALUE!</v>
      </c>
      <c r="AE691" s="129" t="e">
        <f>VLOOKUP(VALUE($U691),test_out_xwalk!$C:$L,5,FALSE)</f>
        <v>#VALUE!</v>
      </c>
      <c r="AF691" s="129" t="e">
        <f>VLOOKUP(VALUE($U691),test_out_xwalk!$C:$L,6,FALSE)</f>
        <v>#VALUE!</v>
      </c>
      <c r="AG691" s="129" t="e">
        <f>VLOOKUP(VALUE($U691),test_out_xwalk!$C:$L,8,FALSE)</f>
        <v>#VALUE!</v>
      </c>
      <c r="AH691" s="129" t="e">
        <f>VLOOKUP(VALUE($U691),test_out_xwalk!$C:$L,7,FALSE)</f>
        <v>#VALUE!</v>
      </c>
      <c r="AI691" s="129" t="e">
        <f>VLOOKUP(VALUE($U691),test_out_xwalk!$C:$L,4,FALSE)</f>
        <v>#VALUE!</v>
      </c>
      <c r="AJ691" s="129" t="e">
        <f>VLOOKUP(VALUE($U691),test_out_xwalk!$C:$L,9,FALSE)</f>
        <v>#VALUE!</v>
      </c>
      <c r="AK691" t="e">
        <f>_xlfn.XLOOKUP(VALUE(U691),test_out_xwalk!C:C,test_out_xwalk!A:A)</f>
        <v>#VALUE!</v>
      </c>
    </row>
    <row r="692" spans="1:37" x14ac:dyDescent="0.55000000000000004">
      <c r="A692" s="121" t="str">
        <f>IF('summary_EPA Pond'!$A692="","Check Summary EPA POND worksheet Column A",'summary_EPA Pond'!$A692)</f>
        <v>Check Summary EPA POND worksheet Column A</v>
      </c>
      <c r="B692" s="121" t="str" cm="1">
        <f t="array" ref="B692">IFERROR(_xlfn.TEXTSPLIT(A692,"_"),"")</f>
        <v>Check Summary EPA POND worksheet Column A</v>
      </c>
      <c r="H692" s="121" t="str" cm="1">
        <f t="array" ref="H692">IF(D692="","",(_xlfn.TEXTSPLIT(D692,"-")))</f>
        <v/>
      </c>
      <c r="K692" s="129" t="e">
        <f>VLOOKUP(VALUE($B692),test_out_xwalk!$C:$L,3,FALSE)</f>
        <v>#VALUE!</v>
      </c>
      <c r="L692" s="129" t="e">
        <f>VLOOKUP(VALUE($B692),test_out_xwalk!$C:$L,5,FALSE)</f>
        <v>#VALUE!</v>
      </c>
      <c r="M692" s="129" t="e">
        <f>VLOOKUP(VALUE($B692),test_out_xwalk!$C:$L,6,FALSE)</f>
        <v>#VALUE!</v>
      </c>
      <c r="N692" s="129" t="e">
        <f>VLOOKUP(VALUE($B692),test_out_xwalk!$C:$L,8,FALSE)</f>
        <v>#VALUE!</v>
      </c>
      <c r="O692" s="129" t="e">
        <f>VLOOKUP(VALUE($B692),test_out_xwalk!$C:$L,7,FALSE)</f>
        <v>#VALUE!</v>
      </c>
      <c r="P692" s="129" t="e">
        <f>VLOOKUP(VALUE($B692),test_out_xwalk!$C:$L,4,FALSE)</f>
        <v>#VALUE!</v>
      </c>
      <c r="Q692" s="129" t="e">
        <f>VLOOKUP(VALUE($B692),test_out_xwalk!$C:$L,9,FALSE)</f>
        <v>#VALUE!</v>
      </c>
      <c r="R692" t="e">
        <f>_xlfn.XLOOKUP(VALUE(B692),test_out_xwalk!$C:$C,test_out_xwalk!$A:$A)</f>
        <v>#VALUE!</v>
      </c>
      <c r="T692" s="121" t="str">
        <f>IF('summary_EPA Pond'!$O692="","Check Summary EPA POND worksheet Column O",'summary_EPA Pond'!$O692)</f>
        <v>Check Summary EPA POND worksheet Column O</v>
      </c>
      <c r="U692" s="121" t="str" cm="1">
        <f t="array" ref="U692">IFERROR(_xlfn.TEXTSPLIT(T692,"_"),"")</f>
        <v>Check Summary EPA POND worksheet Column O</v>
      </c>
      <c r="AA692" s="121" t="str" cm="1">
        <f t="array" ref="AA692">IF(W692="","",(_xlfn.TEXTSPLIT(W692,"-")))</f>
        <v/>
      </c>
      <c r="AD692" s="129" t="e">
        <f>VLOOKUP(VALUE($U692),test_out_xwalk!$C:$L,3,FALSE)</f>
        <v>#VALUE!</v>
      </c>
      <c r="AE692" s="129" t="e">
        <f>VLOOKUP(VALUE($U692),test_out_xwalk!$C:$L,5,FALSE)</f>
        <v>#VALUE!</v>
      </c>
      <c r="AF692" s="129" t="e">
        <f>VLOOKUP(VALUE($U692),test_out_xwalk!$C:$L,6,FALSE)</f>
        <v>#VALUE!</v>
      </c>
      <c r="AG692" s="129" t="e">
        <f>VLOOKUP(VALUE($U692),test_out_xwalk!$C:$L,8,FALSE)</f>
        <v>#VALUE!</v>
      </c>
      <c r="AH692" s="129" t="e">
        <f>VLOOKUP(VALUE($U692),test_out_xwalk!$C:$L,7,FALSE)</f>
        <v>#VALUE!</v>
      </c>
      <c r="AI692" s="129" t="e">
        <f>VLOOKUP(VALUE($U692),test_out_xwalk!$C:$L,4,FALSE)</f>
        <v>#VALUE!</v>
      </c>
      <c r="AJ692" s="129" t="e">
        <f>VLOOKUP(VALUE($U692),test_out_xwalk!$C:$L,9,FALSE)</f>
        <v>#VALUE!</v>
      </c>
      <c r="AK692" t="e">
        <f>_xlfn.XLOOKUP(VALUE(U692),test_out_xwalk!C:C,test_out_xwalk!A:A)</f>
        <v>#VALUE!</v>
      </c>
    </row>
    <row r="693" spans="1:37" x14ac:dyDescent="0.55000000000000004">
      <c r="A693" s="121" t="str">
        <f>IF('summary_EPA Pond'!$A693="","Check Summary EPA POND worksheet Column A",'summary_EPA Pond'!$A693)</f>
        <v>Check Summary EPA POND worksheet Column A</v>
      </c>
      <c r="B693" s="121" t="str" cm="1">
        <f t="array" ref="B693">IFERROR(_xlfn.TEXTSPLIT(A693,"_"),"")</f>
        <v>Check Summary EPA POND worksheet Column A</v>
      </c>
      <c r="H693" s="121" t="str" cm="1">
        <f t="array" ref="H693">IF(D693="","",(_xlfn.TEXTSPLIT(D693,"-")))</f>
        <v/>
      </c>
      <c r="K693" s="129" t="e">
        <f>VLOOKUP(VALUE($B693),test_out_xwalk!$C:$L,3,FALSE)</f>
        <v>#VALUE!</v>
      </c>
      <c r="L693" s="129" t="e">
        <f>VLOOKUP(VALUE($B693),test_out_xwalk!$C:$L,5,FALSE)</f>
        <v>#VALUE!</v>
      </c>
      <c r="M693" s="129" t="e">
        <f>VLOOKUP(VALUE($B693),test_out_xwalk!$C:$L,6,FALSE)</f>
        <v>#VALUE!</v>
      </c>
      <c r="N693" s="129" t="e">
        <f>VLOOKUP(VALUE($B693),test_out_xwalk!$C:$L,8,FALSE)</f>
        <v>#VALUE!</v>
      </c>
      <c r="O693" s="129" t="e">
        <f>VLOOKUP(VALUE($B693),test_out_xwalk!$C:$L,7,FALSE)</f>
        <v>#VALUE!</v>
      </c>
      <c r="P693" s="129" t="e">
        <f>VLOOKUP(VALUE($B693),test_out_xwalk!$C:$L,4,FALSE)</f>
        <v>#VALUE!</v>
      </c>
      <c r="Q693" s="129" t="e">
        <f>VLOOKUP(VALUE($B693),test_out_xwalk!$C:$L,9,FALSE)</f>
        <v>#VALUE!</v>
      </c>
      <c r="R693" t="e">
        <f>_xlfn.XLOOKUP(VALUE(B693),test_out_xwalk!$C:$C,test_out_xwalk!$A:$A)</f>
        <v>#VALUE!</v>
      </c>
      <c r="T693" s="121" t="str">
        <f>IF('summary_EPA Pond'!$O693="","Check Summary EPA POND worksheet Column O",'summary_EPA Pond'!$O693)</f>
        <v>Check Summary EPA POND worksheet Column O</v>
      </c>
      <c r="U693" s="121" t="str" cm="1">
        <f t="array" ref="U693">IFERROR(_xlfn.TEXTSPLIT(T693,"_"),"")</f>
        <v>Check Summary EPA POND worksheet Column O</v>
      </c>
      <c r="AA693" s="121" t="str" cm="1">
        <f t="array" ref="AA693">IF(W693="","",(_xlfn.TEXTSPLIT(W693,"-")))</f>
        <v/>
      </c>
      <c r="AD693" s="129" t="e">
        <f>VLOOKUP(VALUE($U693),test_out_xwalk!$C:$L,3,FALSE)</f>
        <v>#VALUE!</v>
      </c>
      <c r="AE693" s="129" t="e">
        <f>VLOOKUP(VALUE($U693),test_out_xwalk!$C:$L,5,FALSE)</f>
        <v>#VALUE!</v>
      </c>
      <c r="AF693" s="129" t="e">
        <f>VLOOKUP(VALUE($U693),test_out_xwalk!$C:$L,6,FALSE)</f>
        <v>#VALUE!</v>
      </c>
      <c r="AG693" s="129" t="e">
        <f>VLOOKUP(VALUE($U693),test_out_xwalk!$C:$L,8,FALSE)</f>
        <v>#VALUE!</v>
      </c>
      <c r="AH693" s="129" t="e">
        <f>VLOOKUP(VALUE($U693),test_out_xwalk!$C:$L,7,FALSE)</f>
        <v>#VALUE!</v>
      </c>
      <c r="AI693" s="129" t="e">
        <f>VLOOKUP(VALUE($U693),test_out_xwalk!$C:$L,4,FALSE)</f>
        <v>#VALUE!</v>
      </c>
      <c r="AJ693" s="129" t="e">
        <f>VLOOKUP(VALUE($U693),test_out_xwalk!$C:$L,9,FALSE)</f>
        <v>#VALUE!</v>
      </c>
      <c r="AK693" t="e">
        <f>_xlfn.XLOOKUP(VALUE(U693),test_out_xwalk!C:C,test_out_xwalk!A:A)</f>
        <v>#VALUE!</v>
      </c>
    </row>
    <row r="694" spans="1:37" x14ac:dyDescent="0.55000000000000004">
      <c r="A694" s="121" t="str">
        <f>IF('summary_EPA Pond'!$A694="","Check Summary EPA POND worksheet Column A",'summary_EPA Pond'!$A694)</f>
        <v>Check Summary EPA POND worksheet Column A</v>
      </c>
      <c r="B694" s="121" t="str" cm="1">
        <f t="array" ref="B694">IFERROR(_xlfn.TEXTSPLIT(A694,"_"),"")</f>
        <v>Check Summary EPA POND worksheet Column A</v>
      </c>
      <c r="H694" s="121" t="str" cm="1">
        <f t="array" ref="H694">IF(D694="","",(_xlfn.TEXTSPLIT(D694,"-")))</f>
        <v/>
      </c>
      <c r="K694" s="129" t="e">
        <f>VLOOKUP(VALUE($B694),test_out_xwalk!$C:$L,3,FALSE)</f>
        <v>#VALUE!</v>
      </c>
      <c r="L694" s="129" t="e">
        <f>VLOOKUP(VALUE($B694),test_out_xwalk!$C:$L,5,FALSE)</f>
        <v>#VALUE!</v>
      </c>
      <c r="M694" s="129" t="e">
        <f>VLOOKUP(VALUE($B694),test_out_xwalk!$C:$L,6,FALSE)</f>
        <v>#VALUE!</v>
      </c>
      <c r="N694" s="129" t="e">
        <f>VLOOKUP(VALUE($B694),test_out_xwalk!$C:$L,8,FALSE)</f>
        <v>#VALUE!</v>
      </c>
      <c r="O694" s="129" t="e">
        <f>VLOOKUP(VALUE($B694),test_out_xwalk!$C:$L,7,FALSE)</f>
        <v>#VALUE!</v>
      </c>
      <c r="P694" s="129" t="e">
        <f>VLOOKUP(VALUE($B694),test_out_xwalk!$C:$L,4,FALSE)</f>
        <v>#VALUE!</v>
      </c>
      <c r="Q694" s="129" t="e">
        <f>VLOOKUP(VALUE($B694),test_out_xwalk!$C:$L,9,FALSE)</f>
        <v>#VALUE!</v>
      </c>
      <c r="R694" t="e">
        <f>_xlfn.XLOOKUP(VALUE(B694),test_out_xwalk!$C:$C,test_out_xwalk!$A:$A)</f>
        <v>#VALUE!</v>
      </c>
      <c r="T694" s="121" t="str">
        <f>IF('summary_EPA Pond'!$O694="","Check Summary EPA POND worksheet Column O",'summary_EPA Pond'!$O694)</f>
        <v>Check Summary EPA POND worksheet Column O</v>
      </c>
      <c r="U694" s="121" t="str" cm="1">
        <f t="array" ref="U694">IFERROR(_xlfn.TEXTSPLIT(T694,"_"),"")</f>
        <v>Check Summary EPA POND worksheet Column O</v>
      </c>
      <c r="AA694" s="121" t="str" cm="1">
        <f t="array" ref="AA694">IF(W694="","",(_xlfn.TEXTSPLIT(W694,"-")))</f>
        <v/>
      </c>
      <c r="AD694" s="129" t="e">
        <f>VLOOKUP(VALUE($U694),test_out_xwalk!$C:$L,3,FALSE)</f>
        <v>#VALUE!</v>
      </c>
      <c r="AE694" s="129" t="e">
        <f>VLOOKUP(VALUE($U694),test_out_xwalk!$C:$L,5,FALSE)</f>
        <v>#VALUE!</v>
      </c>
      <c r="AF694" s="129" t="e">
        <f>VLOOKUP(VALUE($U694),test_out_xwalk!$C:$L,6,FALSE)</f>
        <v>#VALUE!</v>
      </c>
      <c r="AG694" s="129" t="e">
        <f>VLOOKUP(VALUE($U694),test_out_xwalk!$C:$L,8,FALSE)</f>
        <v>#VALUE!</v>
      </c>
      <c r="AH694" s="129" t="e">
        <f>VLOOKUP(VALUE($U694),test_out_xwalk!$C:$L,7,FALSE)</f>
        <v>#VALUE!</v>
      </c>
      <c r="AI694" s="129" t="e">
        <f>VLOOKUP(VALUE($U694),test_out_xwalk!$C:$L,4,FALSE)</f>
        <v>#VALUE!</v>
      </c>
      <c r="AJ694" s="129" t="e">
        <f>VLOOKUP(VALUE($U694),test_out_xwalk!$C:$L,9,FALSE)</f>
        <v>#VALUE!</v>
      </c>
      <c r="AK694" t="e">
        <f>_xlfn.XLOOKUP(VALUE(U694),test_out_xwalk!C:C,test_out_xwalk!A:A)</f>
        <v>#VALUE!</v>
      </c>
    </row>
    <row r="695" spans="1:37" x14ac:dyDescent="0.55000000000000004">
      <c r="A695" s="121" t="str">
        <f>IF('summary_EPA Pond'!$A695="","Check Summary EPA POND worksheet Column A",'summary_EPA Pond'!$A695)</f>
        <v>Check Summary EPA POND worksheet Column A</v>
      </c>
      <c r="B695" s="121" t="str" cm="1">
        <f t="array" ref="B695">IFERROR(_xlfn.TEXTSPLIT(A695,"_"),"")</f>
        <v>Check Summary EPA POND worksheet Column A</v>
      </c>
      <c r="H695" s="121" t="str" cm="1">
        <f t="array" ref="H695">IF(D695="","",(_xlfn.TEXTSPLIT(D695,"-")))</f>
        <v/>
      </c>
      <c r="K695" s="129" t="e">
        <f>VLOOKUP(VALUE($B695),test_out_xwalk!$C:$L,3,FALSE)</f>
        <v>#VALUE!</v>
      </c>
      <c r="L695" s="129" t="e">
        <f>VLOOKUP(VALUE($B695),test_out_xwalk!$C:$L,5,FALSE)</f>
        <v>#VALUE!</v>
      </c>
      <c r="M695" s="129" t="e">
        <f>VLOOKUP(VALUE($B695),test_out_xwalk!$C:$L,6,FALSE)</f>
        <v>#VALUE!</v>
      </c>
      <c r="N695" s="129" t="e">
        <f>VLOOKUP(VALUE($B695),test_out_xwalk!$C:$L,8,FALSE)</f>
        <v>#VALUE!</v>
      </c>
      <c r="O695" s="129" t="e">
        <f>VLOOKUP(VALUE($B695),test_out_xwalk!$C:$L,7,FALSE)</f>
        <v>#VALUE!</v>
      </c>
      <c r="P695" s="129" t="e">
        <f>VLOOKUP(VALUE($B695),test_out_xwalk!$C:$L,4,FALSE)</f>
        <v>#VALUE!</v>
      </c>
      <c r="Q695" s="129" t="e">
        <f>VLOOKUP(VALUE($B695),test_out_xwalk!$C:$L,9,FALSE)</f>
        <v>#VALUE!</v>
      </c>
      <c r="R695" t="e">
        <f>_xlfn.XLOOKUP(VALUE(B695),test_out_xwalk!$C:$C,test_out_xwalk!$A:$A)</f>
        <v>#VALUE!</v>
      </c>
      <c r="T695" s="121" t="str">
        <f>IF('summary_EPA Pond'!$O695="","Check Summary EPA POND worksheet Column O",'summary_EPA Pond'!$O695)</f>
        <v>Check Summary EPA POND worksheet Column O</v>
      </c>
      <c r="U695" s="121" t="str" cm="1">
        <f t="array" ref="U695">IFERROR(_xlfn.TEXTSPLIT(T695,"_"),"")</f>
        <v>Check Summary EPA POND worksheet Column O</v>
      </c>
      <c r="AA695" s="121" t="str" cm="1">
        <f t="array" ref="AA695">IF(W695="","",(_xlfn.TEXTSPLIT(W695,"-")))</f>
        <v/>
      </c>
      <c r="AD695" s="129" t="e">
        <f>VLOOKUP(VALUE($U695),test_out_xwalk!$C:$L,3,FALSE)</f>
        <v>#VALUE!</v>
      </c>
      <c r="AE695" s="129" t="e">
        <f>VLOOKUP(VALUE($U695),test_out_xwalk!$C:$L,5,FALSE)</f>
        <v>#VALUE!</v>
      </c>
      <c r="AF695" s="129" t="e">
        <f>VLOOKUP(VALUE($U695),test_out_xwalk!$C:$L,6,FALSE)</f>
        <v>#VALUE!</v>
      </c>
      <c r="AG695" s="129" t="e">
        <f>VLOOKUP(VALUE($U695),test_out_xwalk!$C:$L,8,FALSE)</f>
        <v>#VALUE!</v>
      </c>
      <c r="AH695" s="129" t="e">
        <f>VLOOKUP(VALUE($U695),test_out_xwalk!$C:$L,7,FALSE)</f>
        <v>#VALUE!</v>
      </c>
      <c r="AI695" s="129" t="e">
        <f>VLOOKUP(VALUE($U695),test_out_xwalk!$C:$L,4,FALSE)</f>
        <v>#VALUE!</v>
      </c>
      <c r="AJ695" s="129" t="e">
        <f>VLOOKUP(VALUE($U695),test_out_xwalk!$C:$L,9,FALSE)</f>
        <v>#VALUE!</v>
      </c>
      <c r="AK695" t="e">
        <f>_xlfn.XLOOKUP(VALUE(U695),test_out_xwalk!C:C,test_out_xwalk!A:A)</f>
        <v>#VALUE!</v>
      </c>
    </row>
    <row r="696" spans="1:37" x14ac:dyDescent="0.55000000000000004">
      <c r="A696" s="121" t="str">
        <f>IF('summary_EPA Pond'!$A696="","Check Summary EPA POND worksheet Column A",'summary_EPA Pond'!$A696)</f>
        <v>Check Summary EPA POND worksheet Column A</v>
      </c>
      <c r="B696" s="121" t="str" cm="1">
        <f t="array" ref="B696">IFERROR(_xlfn.TEXTSPLIT(A696,"_"),"")</f>
        <v>Check Summary EPA POND worksheet Column A</v>
      </c>
      <c r="H696" s="121" t="str" cm="1">
        <f t="array" ref="H696">IF(D696="","",(_xlfn.TEXTSPLIT(D696,"-")))</f>
        <v/>
      </c>
      <c r="K696" s="129" t="e">
        <f>VLOOKUP(VALUE($B696),test_out_xwalk!$C:$L,3,FALSE)</f>
        <v>#VALUE!</v>
      </c>
      <c r="L696" s="129" t="e">
        <f>VLOOKUP(VALUE($B696),test_out_xwalk!$C:$L,5,FALSE)</f>
        <v>#VALUE!</v>
      </c>
      <c r="M696" s="129" t="e">
        <f>VLOOKUP(VALUE($B696),test_out_xwalk!$C:$L,6,FALSE)</f>
        <v>#VALUE!</v>
      </c>
      <c r="N696" s="129" t="e">
        <f>VLOOKUP(VALUE($B696),test_out_xwalk!$C:$L,8,FALSE)</f>
        <v>#VALUE!</v>
      </c>
      <c r="O696" s="129" t="e">
        <f>VLOOKUP(VALUE($B696),test_out_xwalk!$C:$L,7,FALSE)</f>
        <v>#VALUE!</v>
      </c>
      <c r="P696" s="129" t="e">
        <f>VLOOKUP(VALUE($B696),test_out_xwalk!$C:$L,4,FALSE)</f>
        <v>#VALUE!</v>
      </c>
      <c r="Q696" s="129" t="e">
        <f>VLOOKUP(VALUE($B696),test_out_xwalk!$C:$L,9,FALSE)</f>
        <v>#VALUE!</v>
      </c>
      <c r="R696" t="e">
        <f>_xlfn.XLOOKUP(VALUE(B696),test_out_xwalk!$C:$C,test_out_xwalk!$A:$A)</f>
        <v>#VALUE!</v>
      </c>
      <c r="T696" s="121" t="str">
        <f>IF('summary_EPA Pond'!$O696="","Check Summary EPA POND worksheet Column O",'summary_EPA Pond'!$O696)</f>
        <v>Check Summary EPA POND worksheet Column O</v>
      </c>
      <c r="U696" s="121" t="str" cm="1">
        <f t="array" ref="U696">IFERROR(_xlfn.TEXTSPLIT(T696,"_"),"")</f>
        <v>Check Summary EPA POND worksheet Column O</v>
      </c>
      <c r="AA696" s="121" t="str" cm="1">
        <f t="array" ref="AA696">IF(W696="","",(_xlfn.TEXTSPLIT(W696,"-")))</f>
        <v/>
      </c>
      <c r="AD696" s="129" t="e">
        <f>VLOOKUP(VALUE($U696),test_out_xwalk!$C:$L,3,FALSE)</f>
        <v>#VALUE!</v>
      </c>
      <c r="AE696" s="129" t="e">
        <f>VLOOKUP(VALUE($U696),test_out_xwalk!$C:$L,5,FALSE)</f>
        <v>#VALUE!</v>
      </c>
      <c r="AF696" s="129" t="e">
        <f>VLOOKUP(VALUE($U696),test_out_xwalk!$C:$L,6,FALSE)</f>
        <v>#VALUE!</v>
      </c>
      <c r="AG696" s="129" t="e">
        <f>VLOOKUP(VALUE($U696),test_out_xwalk!$C:$L,8,FALSE)</f>
        <v>#VALUE!</v>
      </c>
      <c r="AH696" s="129" t="e">
        <f>VLOOKUP(VALUE($U696),test_out_xwalk!$C:$L,7,FALSE)</f>
        <v>#VALUE!</v>
      </c>
      <c r="AI696" s="129" t="e">
        <f>VLOOKUP(VALUE($U696),test_out_xwalk!$C:$L,4,FALSE)</f>
        <v>#VALUE!</v>
      </c>
      <c r="AJ696" s="129" t="e">
        <f>VLOOKUP(VALUE($U696),test_out_xwalk!$C:$L,9,FALSE)</f>
        <v>#VALUE!</v>
      </c>
      <c r="AK696" t="e">
        <f>_xlfn.XLOOKUP(VALUE(U696),test_out_xwalk!C:C,test_out_xwalk!A:A)</f>
        <v>#VALUE!</v>
      </c>
    </row>
    <row r="697" spans="1:37" x14ac:dyDescent="0.55000000000000004">
      <c r="A697" s="121" t="str">
        <f>IF('summary_EPA Pond'!$A697="","Check Summary EPA POND worksheet Column A",'summary_EPA Pond'!$A697)</f>
        <v>Check Summary EPA POND worksheet Column A</v>
      </c>
      <c r="B697" s="121" t="str" cm="1">
        <f t="array" ref="B697">IFERROR(_xlfn.TEXTSPLIT(A697,"_"),"")</f>
        <v>Check Summary EPA POND worksheet Column A</v>
      </c>
      <c r="H697" s="121" t="str" cm="1">
        <f t="array" ref="H697">IF(D697="","",(_xlfn.TEXTSPLIT(D697,"-")))</f>
        <v/>
      </c>
      <c r="K697" s="129" t="e">
        <f>VLOOKUP(VALUE($B697),test_out_xwalk!$C:$L,3,FALSE)</f>
        <v>#VALUE!</v>
      </c>
      <c r="L697" s="129" t="e">
        <f>VLOOKUP(VALUE($B697),test_out_xwalk!$C:$L,5,FALSE)</f>
        <v>#VALUE!</v>
      </c>
      <c r="M697" s="129" t="e">
        <f>VLOOKUP(VALUE($B697),test_out_xwalk!$C:$L,6,FALSE)</f>
        <v>#VALUE!</v>
      </c>
      <c r="N697" s="129" t="e">
        <f>VLOOKUP(VALUE($B697),test_out_xwalk!$C:$L,8,FALSE)</f>
        <v>#VALUE!</v>
      </c>
      <c r="O697" s="129" t="e">
        <f>VLOOKUP(VALUE($B697),test_out_xwalk!$C:$L,7,FALSE)</f>
        <v>#VALUE!</v>
      </c>
      <c r="P697" s="129" t="e">
        <f>VLOOKUP(VALUE($B697),test_out_xwalk!$C:$L,4,FALSE)</f>
        <v>#VALUE!</v>
      </c>
      <c r="Q697" s="129" t="e">
        <f>VLOOKUP(VALUE($B697),test_out_xwalk!$C:$L,9,FALSE)</f>
        <v>#VALUE!</v>
      </c>
      <c r="R697" t="e">
        <f>_xlfn.XLOOKUP(VALUE(B697),test_out_xwalk!$C:$C,test_out_xwalk!$A:$A)</f>
        <v>#VALUE!</v>
      </c>
      <c r="T697" s="121" t="str">
        <f>IF('summary_EPA Pond'!$O697="","Check Summary EPA POND worksheet Column O",'summary_EPA Pond'!$O697)</f>
        <v>Check Summary EPA POND worksheet Column O</v>
      </c>
      <c r="U697" s="121" t="str" cm="1">
        <f t="array" ref="U697">IFERROR(_xlfn.TEXTSPLIT(T697,"_"),"")</f>
        <v>Check Summary EPA POND worksheet Column O</v>
      </c>
      <c r="AA697" s="121" t="str" cm="1">
        <f t="array" ref="AA697">IF(W697="","",(_xlfn.TEXTSPLIT(W697,"-")))</f>
        <v/>
      </c>
      <c r="AD697" s="129" t="e">
        <f>VLOOKUP(VALUE($U697),test_out_xwalk!$C:$L,3,FALSE)</f>
        <v>#VALUE!</v>
      </c>
      <c r="AE697" s="129" t="e">
        <f>VLOOKUP(VALUE($U697),test_out_xwalk!$C:$L,5,FALSE)</f>
        <v>#VALUE!</v>
      </c>
      <c r="AF697" s="129" t="e">
        <f>VLOOKUP(VALUE($U697),test_out_xwalk!$C:$L,6,FALSE)</f>
        <v>#VALUE!</v>
      </c>
      <c r="AG697" s="129" t="e">
        <f>VLOOKUP(VALUE($U697),test_out_xwalk!$C:$L,8,FALSE)</f>
        <v>#VALUE!</v>
      </c>
      <c r="AH697" s="129" t="e">
        <f>VLOOKUP(VALUE($U697),test_out_xwalk!$C:$L,7,FALSE)</f>
        <v>#VALUE!</v>
      </c>
      <c r="AI697" s="129" t="e">
        <f>VLOOKUP(VALUE($U697),test_out_xwalk!$C:$L,4,FALSE)</f>
        <v>#VALUE!</v>
      </c>
      <c r="AJ697" s="129" t="e">
        <f>VLOOKUP(VALUE($U697),test_out_xwalk!$C:$L,9,FALSE)</f>
        <v>#VALUE!</v>
      </c>
      <c r="AK697" t="e">
        <f>_xlfn.XLOOKUP(VALUE(U697),test_out_xwalk!C:C,test_out_xwalk!A:A)</f>
        <v>#VALUE!</v>
      </c>
    </row>
    <row r="698" spans="1:37" x14ac:dyDescent="0.55000000000000004">
      <c r="A698" s="121" t="str">
        <f>IF('summary_EPA Pond'!$A698="","Check Summary EPA POND worksheet Column A",'summary_EPA Pond'!$A698)</f>
        <v>Check Summary EPA POND worksheet Column A</v>
      </c>
      <c r="B698" s="121" t="str" cm="1">
        <f t="array" ref="B698">IFERROR(_xlfn.TEXTSPLIT(A698,"_"),"")</f>
        <v>Check Summary EPA POND worksheet Column A</v>
      </c>
      <c r="H698" s="121" t="str" cm="1">
        <f t="array" ref="H698">IF(D698="","",(_xlfn.TEXTSPLIT(D698,"-")))</f>
        <v/>
      </c>
      <c r="K698" s="129" t="e">
        <f>VLOOKUP(VALUE($B698),test_out_xwalk!$C:$L,3,FALSE)</f>
        <v>#VALUE!</v>
      </c>
      <c r="L698" s="129" t="e">
        <f>VLOOKUP(VALUE($B698),test_out_xwalk!$C:$L,5,FALSE)</f>
        <v>#VALUE!</v>
      </c>
      <c r="M698" s="129" t="e">
        <f>VLOOKUP(VALUE($B698),test_out_xwalk!$C:$L,6,FALSE)</f>
        <v>#VALUE!</v>
      </c>
      <c r="N698" s="129" t="e">
        <f>VLOOKUP(VALUE($B698),test_out_xwalk!$C:$L,8,FALSE)</f>
        <v>#VALUE!</v>
      </c>
      <c r="O698" s="129" t="e">
        <f>VLOOKUP(VALUE($B698),test_out_xwalk!$C:$L,7,FALSE)</f>
        <v>#VALUE!</v>
      </c>
      <c r="P698" s="129" t="e">
        <f>VLOOKUP(VALUE($B698),test_out_xwalk!$C:$L,4,FALSE)</f>
        <v>#VALUE!</v>
      </c>
      <c r="Q698" s="129" t="e">
        <f>VLOOKUP(VALUE($B698),test_out_xwalk!$C:$L,9,FALSE)</f>
        <v>#VALUE!</v>
      </c>
      <c r="R698" t="e">
        <f>_xlfn.XLOOKUP(VALUE(B698),test_out_xwalk!$C:$C,test_out_xwalk!$A:$A)</f>
        <v>#VALUE!</v>
      </c>
      <c r="T698" s="121" t="str">
        <f>IF('summary_EPA Pond'!$O698="","Check Summary EPA POND worksheet Column O",'summary_EPA Pond'!$O698)</f>
        <v>Check Summary EPA POND worksheet Column O</v>
      </c>
      <c r="U698" s="121" t="str" cm="1">
        <f t="array" ref="U698">IFERROR(_xlfn.TEXTSPLIT(T698,"_"),"")</f>
        <v>Check Summary EPA POND worksheet Column O</v>
      </c>
      <c r="AA698" s="121" t="str" cm="1">
        <f t="array" ref="AA698">IF(W698="","",(_xlfn.TEXTSPLIT(W698,"-")))</f>
        <v/>
      </c>
      <c r="AD698" s="129" t="e">
        <f>VLOOKUP(VALUE($U698),test_out_xwalk!$C:$L,3,FALSE)</f>
        <v>#VALUE!</v>
      </c>
      <c r="AE698" s="129" t="e">
        <f>VLOOKUP(VALUE($U698),test_out_xwalk!$C:$L,5,FALSE)</f>
        <v>#VALUE!</v>
      </c>
      <c r="AF698" s="129" t="e">
        <f>VLOOKUP(VALUE($U698),test_out_xwalk!$C:$L,6,FALSE)</f>
        <v>#VALUE!</v>
      </c>
      <c r="AG698" s="129" t="e">
        <f>VLOOKUP(VALUE($U698),test_out_xwalk!$C:$L,8,FALSE)</f>
        <v>#VALUE!</v>
      </c>
      <c r="AH698" s="129" t="e">
        <f>VLOOKUP(VALUE($U698),test_out_xwalk!$C:$L,7,FALSE)</f>
        <v>#VALUE!</v>
      </c>
      <c r="AI698" s="129" t="e">
        <f>VLOOKUP(VALUE($U698),test_out_xwalk!$C:$L,4,FALSE)</f>
        <v>#VALUE!</v>
      </c>
      <c r="AJ698" s="129" t="e">
        <f>VLOOKUP(VALUE($U698),test_out_xwalk!$C:$L,9,FALSE)</f>
        <v>#VALUE!</v>
      </c>
      <c r="AK698" t="e">
        <f>_xlfn.XLOOKUP(VALUE(U698),test_out_xwalk!C:C,test_out_xwalk!A:A)</f>
        <v>#VALUE!</v>
      </c>
    </row>
    <row r="699" spans="1:37" x14ac:dyDescent="0.55000000000000004">
      <c r="A699" s="121" t="str">
        <f>IF('summary_EPA Pond'!$A699="","Check Summary EPA POND worksheet Column A",'summary_EPA Pond'!$A699)</f>
        <v>Check Summary EPA POND worksheet Column A</v>
      </c>
      <c r="B699" s="121" t="str" cm="1">
        <f t="array" ref="B699">IFERROR(_xlfn.TEXTSPLIT(A699,"_"),"")</f>
        <v>Check Summary EPA POND worksheet Column A</v>
      </c>
      <c r="H699" s="121" t="str" cm="1">
        <f t="array" ref="H699">IF(D699="","",(_xlfn.TEXTSPLIT(D699,"-")))</f>
        <v/>
      </c>
      <c r="K699" s="129" t="e">
        <f>VLOOKUP(VALUE($B699),test_out_xwalk!$C:$L,3,FALSE)</f>
        <v>#VALUE!</v>
      </c>
      <c r="L699" s="129" t="e">
        <f>VLOOKUP(VALUE($B699),test_out_xwalk!$C:$L,5,FALSE)</f>
        <v>#VALUE!</v>
      </c>
      <c r="M699" s="129" t="e">
        <f>VLOOKUP(VALUE($B699),test_out_xwalk!$C:$L,6,FALSE)</f>
        <v>#VALUE!</v>
      </c>
      <c r="N699" s="129" t="e">
        <f>VLOOKUP(VALUE($B699),test_out_xwalk!$C:$L,8,FALSE)</f>
        <v>#VALUE!</v>
      </c>
      <c r="O699" s="129" t="e">
        <f>VLOOKUP(VALUE($B699),test_out_xwalk!$C:$L,7,FALSE)</f>
        <v>#VALUE!</v>
      </c>
      <c r="P699" s="129" t="e">
        <f>VLOOKUP(VALUE($B699),test_out_xwalk!$C:$L,4,FALSE)</f>
        <v>#VALUE!</v>
      </c>
      <c r="Q699" s="129" t="e">
        <f>VLOOKUP(VALUE($B699),test_out_xwalk!$C:$L,9,FALSE)</f>
        <v>#VALUE!</v>
      </c>
      <c r="R699" t="e">
        <f>_xlfn.XLOOKUP(VALUE(B699),test_out_xwalk!$C:$C,test_out_xwalk!$A:$A)</f>
        <v>#VALUE!</v>
      </c>
      <c r="T699" s="121" t="str">
        <f>IF('summary_EPA Pond'!$O699="","Check Summary EPA POND worksheet Column O",'summary_EPA Pond'!$O699)</f>
        <v>Check Summary EPA POND worksheet Column O</v>
      </c>
      <c r="U699" s="121" t="str" cm="1">
        <f t="array" ref="U699">IFERROR(_xlfn.TEXTSPLIT(T699,"_"),"")</f>
        <v>Check Summary EPA POND worksheet Column O</v>
      </c>
      <c r="AA699" s="121" t="str" cm="1">
        <f t="array" ref="AA699">IF(W699="","",(_xlfn.TEXTSPLIT(W699,"-")))</f>
        <v/>
      </c>
      <c r="AD699" s="129" t="e">
        <f>VLOOKUP(VALUE($U699),test_out_xwalk!$C:$L,3,FALSE)</f>
        <v>#VALUE!</v>
      </c>
      <c r="AE699" s="129" t="e">
        <f>VLOOKUP(VALUE($U699),test_out_xwalk!$C:$L,5,FALSE)</f>
        <v>#VALUE!</v>
      </c>
      <c r="AF699" s="129" t="e">
        <f>VLOOKUP(VALUE($U699),test_out_xwalk!$C:$L,6,FALSE)</f>
        <v>#VALUE!</v>
      </c>
      <c r="AG699" s="129" t="e">
        <f>VLOOKUP(VALUE($U699),test_out_xwalk!$C:$L,8,FALSE)</f>
        <v>#VALUE!</v>
      </c>
      <c r="AH699" s="129" t="e">
        <f>VLOOKUP(VALUE($U699),test_out_xwalk!$C:$L,7,FALSE)</f>
        <v>#VALUE!</v>
      </c>
      <c r="AI699" s="129" t="e">
        <f>VLOOKUP(VALUE($U699),test_out_xwalk!$C:$L,4,FALSE)</f>
        <v>#VALUE!</v>
      </c>
      <c r="AJ699" s="129" t="e">
        <f>VLOOKUP(VALUE($U699),test_out_xwalk!$C:$L,9,FALSE)</f>
        <v>#VALUE!</v>
      </c>
      <c r="AK699" t="e">
        <f>_xlfn.XLOOKUP(VALUE(U699),test_out_xwalk!C:C,test_out_xwalk!A:A)</f>
        <v>#VALUE!</v>
      </c>
    </row>
    <row r="700" spans="1:37" x14ac:dyDescent="0.55000000000000004">
      <c r="A700" s="121" t="str">
        <f>IF('summary_EPA Pond'!$A700="","Check Summary EPA POND worksheet Column A",'summary_EPA Pond'!$A700)</f>
        <v>Check Summary EPA POND worksheet Column A</v>
      </c>
      <c r="B700" s="121" t="str" cm="1">
        <f t="array" ref="B700">IFERROR(_xlfn.TEXTSPLIT(A700,"_"),"")</f>
        <v>Check Summary EPA POND worksheet Column A</v>
      </c>
      <c r="H700" s="121" t="str" cm="1">
        <f t="array" ref="H700">IF(D700="","",(_xlfn.TEXTSPLIT(D700,"-")))</f>
        <v/>
      </c>
      <c r="K700" s="129" t="e">
        <f>VLOOKUP(VALUE($B700),test_out_xwalk!$C:$L,3,FALSE)</f>
        <v>#VALUE!</v>
      </c>
      <c r="L700" s="129" t="e">
        <f>VLOOKUP(VALUE($B700),test_out_xwalk!$C:$L,5,FALSE)</f>
        <v>#VALUE!</v>
      </c>
      <c r="M700" s="129" t="e">
        <f>VLOOKUP(VALUE($B700),test_out_xwalk!$C:$L,6,FALSE)</f>
        <v>#VALUE!</v>
      </c>
      <c r="N700" s="129" t="e">
        <f>VLOOKUP(VALUE($B700),test_out_xwalk!$C:$L,8,FALSE)</f>
        <v>#VALUE!</v>
      </c>
      <c r="O700" s="129" t="e">
        <f>VLOOKUP(VALUE($B700),test_out_xwalk!$C:$L,7,FALSE)</f>
        <v>#VALUE!</v>
      </c>
      <c r="P700" s="129" t="e">
        <f>VLOOKUP(VALUE($B700),test_out_xwalk!$C:$L,4,FALSE)</f>
        <v>#VALUE!</v>
      </c>
      <c r="Q700" s="129" t="e">
        <f>VLOOKUP(VALUE($B700),test_out_xwalk!$C:$L,9,FALSE)</f>
        <v>#VALUE!</v>
      </c>
      <c r="R700" t="e">
        <f>_xlfn.XLOOKUP(VALUE(B700),test_out_xwalk!$C:$C,test_out_xwalk!$A:$A)</f>
        <v>#VALUE!</v>
      </c>
      <c r="T700" s="121" t="str">
        <f>IF('summary_EPA Pond'!$O700="","Check Summary EPA POND worksheet Column O",'summary_EPA Pond'!$O700)</f>
        <v>Check Summary EPA POND worksheet Column O</v>
      </c>
      <c r="U700" s="121" t="str" cm="1">
        <f t="array" ref="U700">IFERROR(_xlfn.TEXTSPLIT(T700,"_"),"")</f>
        <v>Check Summary EPA POND worksheet Column O</v>
      </c>
      <c r="AA700" s="121" t="str" cm="1">
        <f t="array" ref="AA700">IF(W700="","",(_xlfn.TEXTSPLIT(W700,"-")))</f>
        <v/>
      </c>
      <c r="AD700" s="129" t="e">
        <f>VLOOKUP(VALUE($U700),test_out_xwalk!$C:$L,3,FALSE)</f>
        <v>#VALUE!</v>
      </c>
      <c r="AE700" s="129" t="e">
        <f>VLOOKUP(VALUE($U700),test_out_xwalk!$C:$L,5,FALSE)</f>
        <v>#VALUE!</v>
      </c>
      <c r="AF700" s="129" t="e">
        <f>VLOOKUP(VALUE($U700),test_out_xwalk!$C:$L,6,FALSE)</f>
        <v>#VALUE!</v>
      </c>
      <c r="AG700" s="129" t="e">
        <f>VLOOKUP(VALUE($U700),test_out_xwalk!$C:$L,8,FALSE)</f>
        <v>#VALUE!</v>
      </c>
      <c r="AH700" s="129" t="e">
        <f>VLOOKUP(VALUE($U700),test_out_xwalk!$C:$L,7,FALSE)</f>
        <v>#VALUE!</v>
      </c>
      <c r="AI700" s="129" t="e">
        <f>VLOOKUP(VALUE($U700),test_out_xwalk!$C:$L,4,FALSE)</f>
        <v>#VALUE!</v>
      </c>
      <c r="AJ700" s="129" t="e">
        <f>VLOOKUP(VALUE($U700),test_out_xwalk!$C:$L,9,FALSE)</f>
        <v>#VALUE!</v>
      </c>
      <c r="AK700" t="e">
        <f>_xlfn.XLOOKUP(VALUE(U700),test_out_xwalk!C:C,test_out_xwalk!A:A)</f>
        <v>#VALUE!</v>
      </c>
    </row>
    <row r="701" spans="1:37" x14ac:dyDescent="0.55000000000000004">
      <c r="A701" s="121" t="str">
        <f>IF('summary_EPA Pond'!$A701="","Check Summary EPA POND worksheet Column A",'summary_EPA Pond'!$A701)</f>
        <v>Check Summary EPA POND worksheet Column A</v>
      </c>
      <c r="B701" s="121" t="str" cm="1">
        <f t="array" ref="B701">IFERROR(_xlfn.TEXTSPLIT(A701,"_"),"")</f>
        <v>Check Summary EPA POND worksheet Column A</v>
      </c>
      <c r="H701" s="121" t="str" cm="1">
        <f t="array" ref="H701">IF(D701="","",(_xlfn.TEXTSPLIT(D701,"-")))</f>
        <v/>
      </c>
      <c r="K701" s="129" t="e">
        <f>VLOOKUP(VALUE($B701),test_out_xwalk!$C:$L,3,FALSE)</f>
        <v>#VALUE!</v>
      </c>
      <c r="L701" s="129" t="e">
        <f>VLOOKUP(VALUE($B701),test_out_xwalk!$C:$L,5,FALSE)</f>
        <v>#VALUE!</v>
      </c>
      <c r="M701" s="129" t="e">
        <f>VLOOKUP(VALUE($B701),test_out_xwalk!$C:$L,6,FALSE)</f>
        <v>#VALUE!</v>
      </c>
      <c r="N701" s="129" t="e">
        <f>VLOOKUP(VALUE($B701),test_out_xwalk!$C:$L,8,FALSE)</f>
        <v>#VALUE!</v>
      </c>
      <c r="O701" s="129" t="e">
        <f>VLOOKUP(VALUE($B701),test_out_xwalk!$C:$L,7,FALSE)</f>
        <v>#VALUE!</v>
      </c>
      <c r="P701" s="129" t="e">
        <f>VLOOKUP(VALUE($B701),test_out_xwalk!$C:$L,4,FALSE)</f>
        <v>#VALUE!</v>
      </c>
      <c r="Q701" s="129" t="e">
        <f>VLOOKUP(VALUE($B701),test_out_xwalk!$C:$L,9,FALSE)</f>
        <v>#VALUE!</v>
      </c>
      <c r="R701" t="e">
        <f>_xlfn.XLOOKUP(VALUE(B701),test_out_xwalk!$C:$C,test_out_xwalk!$A:$A)</f>
        <v>#VALUE!</v>
      </c>
      <c r="T701" s="121" t="str">
        <f>IF('summary_EPA Pond'!$O701="","Check Summary EPA POND worksheet Column O",'summary_EPA Pond'!$O701)</f>
        <v>Check Summary EPA POND worksheet Column O</v>
      </c>
      <c r="U701" s="121" t="str" cm="1">
        <f t="array" ref="U701">IFERROR(_xlfn.TEXTSPLIT(T701,"_"),"")</f>
        <v>Check Summary EPA POND worksheet Column O</v>
      </c>
      <c r="AA701" s="121" t="str" cm="1">
        <f t="array" ref="AA701">IF(W701="","",(_xlfn.TEXTSPLIT(W701,"-")))</f>
        <v/>
      </c>
      <c r="AD701" s="129" t="e">
        <f>VLOOKUP(VALUE($U701),test_out_xwalk!$C:$L,3,FALSE)</f>
        <v>#VALUE!</v>
      </c>
      <c r="AE701" s="129" t="e">
        <f>VLOOKUP(VALUE($U701),test_out_xwalk!$C:$L,5,FALSE)</f>
        <v>#VALUE!</v>
      </c>
      <c r="AF701" s="129" t="e">
        <f>VLOOKUP(VALUE($U701),test_out_xwalk!$C:$L,6,FALSE)</f>
        <v>#VALUE!</v>
      </c>
      <c r="AG701" s="129" t="e">
        <f>VLOOKUP(VALUE($U701),test_out_xwalk!$C:$L,8,FALSE)</f>
        <v>#VALUE!</v>
      </c>
      <c r="AH701" s="129" t="e">
        <f>VLOOKUP(VALUE($U701),test_out_xwalk!$C:$L,7,FALSE)</f>
        <v>#VALUE!</v>
      </c>
      <c r="AI701" s="129" t="e">
        <f>VLOOKUP(VALUE($U701),test_out_xwalk!$C:$L,4,FALSE)</f>
        <v>#VALUE!</v>
      </c>
      <c r="AJ701" s="129" t="e">
        <f>VLOOKUP(VALUE($U701),test_out_xwalk!$C:$L,9,FALSE)</f>
        <v>#VALUE!</v>
      </c>
      <c r="AK701" t="e">
        <f>_xlfn.XLOOKUP(VALUE(U701),test_out_xwalk!C:C,test_out_xwalk!A:A)</f>
        <v>#VALUE!</v>
      </c>
    </row>
    <row r="702" spans="1:37" x14ac:dyDescent="0.55000000000000004">
      <c r="A702" s="121" t="str">
        <f>IF('summary_EPA Pond'!$A702="","Check Summary EPA POND worksheet Column A",'summary_EPA Pond'!$A702)</f>
        <v>Check Summary EPA POND worksheet Column A</v>
      </c>
      <c r="B702" s="121" t="str" cm="1">
        <f t="array" ref="B702">IFERROR(_xlfn.TEXTSPLIT(A702,"_"),"")</f>
        <v>Check Summary EPA POND worksheet Column A</v>
      </c>
      <c r="H702" s="121" t="str" cm="1">
        <f t="array" ref="H702">IF(D702="","",(_xlfn.TEXTSPLIT(D702,"-")))</f>
        <v/>
      </c>
      <c r="K702" s="129" t="e">
        <f>VLOOKUP(VALUE($B702),test_out_xwalk!$C:$L,3,FALSE)</f>
        <v>#VALUE!</v>
      </c>
      <c r="L702" s="129" t="e">
        <f>VLOOKUP(VALUE($B702),test_out_xwalk!$C:$L,5,FALSE)</f>
        <v>#VALUE!</v>
      </c>
      <c r="M702" s="129" t="e">
        <f>VLOOKUP(VALUE($B702),test_out_xwalk!$C:$L,6,FALSE)</f>
        <v>#VALUE!</v>
      </c>
      <c r="N702" s="129" t="e">
        <f>VLOOKUP(VALUE($B702),test_out_xwalk!$C:$L,8,FALSE)</f>
        <v>#VALUE!</v>
      </c>
      <c r="O702" s="129" t="e">
        <f>VLOOKUP(VALUE($B702),test_out_xwalk!$C:$L,7,FALSE)</f>
        <v>#VALUE!</v>
      </c>
      <c r="P702" s="129" t="e">
        <f>VLOOKUP(VALUE($B702),test_out_xwalk!$C:$L,4,FALSE)</f>
        <v>#VALUE!</v>
      </c>
      <c r="Q702" s="129" t="e">
        <f>VLOOKUP(VALUE($B702),test_out_xwalk!$C:$L,9,FALSE)</f>
        <v>#VALUE!</v>
      </c>
      <c r="R702" t="e">
        <f>_xlfn.XLOOKUP(VALUE(B702),test_out_xwalk!$C:$C,test_out_xwalk!$A:$A)</f>
        <v>#VALUE!</v>
      </c>
      <c r="T702" s="121" t="str">
        <f>IF('summary_EPA Pond'!$O702="","Check Summary EPA POND worksheet Column O",'summary_EPA Pond'!$O702)</f>
        <v>Check Summary EPA POND worksheet Column O</v>
      </c>
      <c r="U702" s="121" t="str" cm="1">
        <f t="array" ref="U702">IFERROR(_xlfn.TEXTSPLIT(T702,"_"),"")</f>
        <v>Check Summary EPA POND worksheet Column O</v>
      </c>
      <c r="AA702" s="121" t="str" cm="1">
        <f t="array" ref="AA702">IF(W702="","",(_xlfn.TEXTSPLIT(W702,"-")))</f>
        <v/>
      </c>
      <c r="AD702" s="129" t="e">
        <f>VLOOKUP(VALUE($U702),test_out_xwalk!$C:$L,3,FALSE)</f>
        <v>#VALUE!</v>
      </c>
      <c r="AE702" s="129" t="e">
        <f>VLOOKUP(VALUE($U702),test_out_xwalk!$C:$L,5,FALSE)</f>
        <v>#VALUE!</v>
      </c>
      <c r="AF702" s="129" t="e">
        <f>VLOOKUP(VALUE($U702),test_out_xwalk!$C:$L,6,FALSE)</f>
        <v>#VALUE!</v>
      </c>
      <c r="AG702" s="129" t="e">
        <f>VLOOKUP(VALUE($U702),test_out_xwalk!$C:$L,8,FALSE)</f>
        <v>#VALUE!</v>
      </c>
      <c r="AH702" s="129" t="e">
        <f>VLOOKUP(VALUE($U702),test_out_xwalk!$C:$L,7,FALSE)</f>
        <v>#VALUE!</v>
      </c>
      <c r="AI702" s="129" t="e">
        <f>VLOOKUP(VALUE($U702),test_out_xwalk!$C:$L,4,FALSE)</f>
        <v>#VALUE!</v>
      </c>
      <c r="AJ702" s="129" t="e">
        <f>VLOOKUP(VALUE($U702),test_out_xwalk!$C:$L,9,FALSE)</f>
        <v>#VALUE!</v>
      </c>
      <c r="AK702" t="e">
        <f>_xlfn.XLOOKUP(VALUE(U702),test_out_xwalk!C:C,test_out_xwalk!A:A)</f>
        <v>#VALUE!</v>
      </c>
    </row>
    <row r="703" spans="1:37" x14ac:dyDescent="0.55000000000000004">
      <c r="A703" s="121" t="str">
        <f>IF('summary_EPA Pond'!$A703="","Check Summary EPA POND worksheet Column A",'summary_EPA Pond'!$A703)</f>
        <v>Check Summary EPA POND worksheet Column A</v>
      </c>
      <c r="B703" s="121" t="str" cm="1">
        <f t="array" ref="B703">IFERROR(_xlfn.TEXTSPLIT(A703,"_"),"")</f>
        <v>Check Summary EPA POND worksheet Column A</v>
      </c>
      <c r="H703" s="121" t="str" cm="1">
        <f t="array" ref="H703">IF(D703="","",(_xlfn.TEXTSPLIT(D703,"-")))</f>
        <v/>
      </c>
      <c r="K703" s="129" t="e">
        <f>VLOOKUP(VALUE($B703),test_out_xwalk!$C:$L,3,FALSE)</f>
        <v>#VALUE!</v>
      </c>
      <c r="L703" s="129" t="e">
        <f>VLOOKUP(VALUE($B703),test_out_xwalk!$C:$L,5,FALSE)</f>
        <v>#VALUE!</v>
      </c>
      <c r="M703" s="129" t="e">
        <f>VLOOKUP(VALUE($B703),test_out_xwalk!$C:$L,6,FALSE)</f>
        <v>#VALUE!</v>
      </c>
      <c r="N703" s="129" t="e">
        <f>VLOOKUP(VALUE($B703),test_out_xwalk!$C:$L,8,FALSE)</f>
        <v>#VALUE!</v>
      </c>
      <c r="O703" s="129" t="e">
        <f>VLOOKUP(VALUE($B703),test_out_xwalk!$C:$L,7,FALSE)</f>
        <v>#VALUE!</v>
      </c>
      <c r="P703" s="129" t="e">
        <f>VLOOKUP(VALUE($B703),test_out_xwalk!$C:$L,4,FALSE)</f>
        <v>#VALUE!</v>
      </c>
      <c r="Q703" s="129" t="e">
        <f>VLOOKUP(VALUE($B703),test_out_xwalk!$C:$L,9,FALSE)</f>
        <v>#VALUE!</v>
      </c>
      <c r="R703" t="e">
        <f>_xlfn.XLOOKUP(VALUE(B703),test_out_xwalk!$C:$C,test_out_xwalk!$A:$A)</f>
        <v>#VALUE!</v>
      </c>
      <c r="T703" s="121" t="str">
        <f>IF('summary_EPA Pond'!$O703="","Check Summary EPA POND worksheet Column O",'summary_EPA Pond'!$O703)</f>
        <v>Check Summary EPA POND worksheet Column O</v>
      </c>
      <c r="U703" s="121" t="str" cm="1">
        <f t="array" ref="U703">IFERROR(_xlfn.TEXTSPLIT(T703,"_"),"")</f>
        <v>Check Summary EPA POND worksheet Column O</v>
      </c>
      <c r="AA703" s="121" t="str" cm="1">
        <f t="array" ref="AA703">IF(W703="","",(_xlfn.TEXTSPLIT(W703,"-")))</f>
        <v/>
      </c>
      <c r="AD703" s="129" t="e">
        <f>VLOOKUP(VALUE($U703),test_out_xwalk!$C:$L,3,FALSE)</f>
        <v>#VALUE!</v>
      </c>
      <c r="AE703" s="129" t="e">
        <f>VLOOKUP(VALUE($U703),test_out_xwalk!$C:$L,5,FALSE)</f>
        <v>#VALUE!</v>
      </c>
      <c r="AF703" s="129" t="e">
        <f>VLOOKUP(VALUE($U703),test_out_xwalk!$C:$L,6,FALSE)</f>
        <v>#VALUE!</v>
      </c>
      <c r="AG703" s="129" t="e">
        <f>VLOOKUP(VALUE($U703),test_out_xwalk!$C:$L,8,FALSE)</f>
        <v>#VALUE!</v>
      </c>
      <c r="AH703" s="129" t="e">
        <f>VLOOKUP(VALUE($U703),test_out_xwalk!$C:$L,7,FALSE)</f>
        <v>#VALUE!</v>
      </c>
      <c r="AI703" s="129" t="e">
        <f>VLOOKUP(VALUE($U703),test_out_xwalk!$C:$L,4,FALSE)</f>
        <v>#VALUE!</v>
      </c>
      <c r="AJ703" s="129" t="e">
        <f>VLOOKUP(VALUE($U703),test_out_xwalk!$C:$L,9,FALSE)</f>
        <v>#VALUE!</v>
      </c>
      <c r="AK703" t="e">
        <f>_xlfn.XLOOKUP(VALUE(U703),test_out_xwalk!C:C,test_out_xwalk!A:A)</f>
        <v>#VALUE!</v>
      </c>
    </row>
    <row r="704" spans="1:37" x14ac:dyDescent="0.55000000000000004">
      <c r="A704" s="121" t="str">
        <f>IF('summary_EPA Pond'!$A704="","Check Summary EPA POND worksheet Column A",'summary_EPA Pond'!$A704)</f>
        <v>Check Summary EPA POND worksheet Column A</v>
      </c>
      <c r="B704" s="121" t="str" cm="1">
        <f t="array" ref="B704">IFERROR(_xlfn.TEXTSPLIT(A704,"_"),"")</f>
        <v>Check Summary EPA POND worksheet Column A</v>
      </c>
      <c r="H704" s="121" t="str" cm="1">
        <f t="array" ref="H704">IF(D704="","",(_xlfn.TEXTSPLIT(D704,"-")))</f>
        <v/>
      </c>
      <c r="K704" s="129" t="e">
        <f>VLOOKUP(VALUE($B704),test_out_xwalk!$C:$L,3,FALSE)</f>
        <v>#VALUE!</v>
      </c>
      <c r="L704" s="129" t="e">
        <f>VLOOKUP(VALUE($B704),test_out_xwalk!$C:$L,5,FALSE)</f>
        <v>#VALUE!</v>
      </c>
      <c r="M704" s="129" t="e">
        <f>VLOOKUP(VALUE($B704),test_out_xwalk!$C:$L,6,FALSE)</f>
        <v>#VALUE!</v>
      </c>
      <c r="N704" s="129" t="e">
        <f>VLOOKUP(VALUE($B704),test_out_xwalk!$C:$L,8,FALSE)</f>
        <v>#VALUE!</v>
      </c>
      <c r="O704" s="129" t="e">
        <f>VLOOKUP(VALUE($B704),test_out_xwalk!$C:$L,7,FALSE)</f>
        <v>#VALUE!</v>
      </c>
      <c r="P704" s="129" t="e">
        <f>VLOOKUP(VALUE($B704),test_out_xwalk!$C:$L,4,FALSE)</f>
        <v>#VALUE!</v>
      </c>
      <c r="Q704" s="129" t="e">
        <f>VLOOKUP(VALUE($B704),test_out_xwalk!$C:$L,9,FALSE)</f>
        <v>#VALUE!</v>
      </c>
      <c r="R704" t="e">
        <f>_xlfn.XLOOKUP(VALUE(B704),test_out_xwalk!$C:$C,test_out_xwalk!$A:$A)</f>
        <v>#VALUE!</v>
      </c>
      <c r="T704" s="121" t="str">
        <f>IF('summary_EPA Pond'!$O704="","Check Summary EPA POND worksheet Column O",'summary_EPA Pond'!$O704)</f>
        <v>Check Summary EPA POND worksheet Column O</v>
      </c>
      <c r="U704" s="121" t="str" cm="1">
        <f t="array" ref="U704">IFERROR(_xlfn.TEXTSPLIT(T704,"_"),"")</f>
        <v>Check Summary EPA POND worksheet Column O</v>
      </c>
      <c r="AA704" s="121" t="str" cm="1">
        <f t="array" ref="AA704">IF(W704="","",(_xlfn.TEXTSPLIT(W704,"-")))</f>
        <v/>
      </c>
      <c r="AD704" s="129" t="e">
        <f>VLOOKUP(VALUE($U704),test_out_xwalk!$C:$L,3,FALSE)</f>
        <v>#VALUE!</v>
      </c>
      <c r="AE704" s="129" t="e">
        <f>VLOOKUP(VALUE($U704),test_out_xwalk!$C:$L,5,FALSE)</f>
        <v>#VALUE!</v>
      </c>
      <c r="AF704" s="129" t="e">
        <f>VLOOKUP(VALUE($U704),test_out_xwalk!$C:$L,6,FALSE)</f>
        <v>#VALUE!</v>
      </c>
      <c r="AG704" s="129" t="e">
        <f>VLOOKUP(VALUE($U704),test_out_xwalk!$C:$L,8,FALSE)</f>
        <v>#VALUE!</v>
      </c>
      <c r="AH704" s="129" t="e">
        <f>VLOOKUP(VALUE($U704),test_out_xwalk!$C:$L,7,FALSE)</f>
        <v>#VALUE!</v>
      </c>
      <c r="AI704" s="129" t="e">
        <f>VLOOKUP(VALUE($U704),test_out_xwalk!$C:$L,4,FALSE)</f>
        <v>#VALUE!</v>
      </c>
      <c r="AJ704" s="129" t="e">
        <f>VLOOKUP(VALUE($U704),test_out_xwalk!$C:$L,9,FALSE)</f>
        <v>#VALUE!</v>
      </c>
      <c r="AK704" t="e">
        <f>_xlfn.XLOOKUP(VALUE(U704),test_out_xwalk!C:C,test_out_xwalk!A:A)</f>
        <v>#VALUE!</v>
      </c>
    </row>
    <row r="705" spans="1:37" x14ac:dyDescent="0.55000000000000004">
      <c r="A705" s="121" t="str">
        <f>IF('summary_EPA Pond'!$A705="","Check Summary EPA POND worksheet Column A",'summary_EPA Pond'!$A705)</f>
        <v>Check Summary EPA POND worksheet Column A</v>
      </c>
      <c r="B705" s="121" t="str" cm="1">
        <f t="array" ref="B705">IFERROR(_xlfn.TEXTSPLIT(A705,"_"),"")</f>
        <v>Check Summary EPA POND worksheet Column A</v>
      </c>
      <c r="H705" s="121" t="str" cm="1">
        <f t="array" ref="H705">IF(D705="","",(_xlfn.TEXTSPLIT(D705,"-")))</f>
        <v/>
      </c>
      <c r="K705" s="129" t="e">
        <f>VLOOKUP(VALUE($B705),test_out_xwalk!$C:$L,3,FALSE)</f>
        <v>#VALUE!</v>
      </c>
      <c r="L705" s="129" t="e">
        <f>VLOOKUP(VALUE($B705),test_out_xwalk!$C:$L,5,FALSE)</f>
        <v>#VALUE!</v>
      </c>
      <c r="M705" s="129" t="e">
        <f>VLOOKUP(VALUE($B705),test_out_xwalk!$C:$L,6,FALSE)</f>
        <v>#VALUE!</v>
      </c>
      <c r="N705" s="129" t="e">
        <f>VLOOKUP(VALUE($B705),test_out_xwalk!$C:$L,8,FALSE)</f>
        <v>#VALUE!</v>
      </c>
      <c r="O705" s="129" t="e">
        <f>VLOOKUP(VALUE($B705),test_out_xwalk!$C:$L,7,FALSE)</f>
        <v>#VALUE!</v>
      </c>
      <c r="P705" s="129" t="e">
        <f>VLOOKUP(VALUE($B705),test_out_xwalk!$C:$L,4,FALSE)</f>
        <v>#VALUE!</v>
      </c>
      <c r="Q705" s="129" t="e">
        <f>VLOOKUP(VALUE($B705),test_out_xwalk!$C:$L,9,FALSE)</f>
        <v>#VALUE!</v>
      </c>
      <c r="R705" t="e">
        <f>_xlfn.XLOOKUP(VALUE(B705),test_out_xwalk!$C:$C,test_out_xwalk!$A:$A)</f>
        <v>#VALUE!</v>
      </c>
      <c r="T705" s="121" t="str">
        <f>IF('summary_EPA Pond'!$O705="","Check Summary EPA POND worksheet Column O",'summary_EPA Pond'!$O705)</f>
        <v>Check Summary EPA POND worksheet Column O</v>
      </c>
      <c r="U705" s="121" t="str" cm="1">
        <f t="array" ref="U705">IFERROR(_xlfn.TEXTSPLIT(T705,"_"),"")</f>
        <v>Check Summary EPA POND worksheet Column O</v>
      </c>
      <c r="AA705" s="121" t="str" cm="1">
        <f t="array" ref="AA705">IF(W705="","",(_xlfn.TEXTSPLIT(W705,"-")))</f>
        <v/>
      </c>
      <c r="AD705" s="129" t="e">
        <f>VLOOKUP(VALUE($U705),test_out_xwalk!$C:$L,3,FALSE)</f>
        <v>#VALUE!</v>
      </c>
      <c r="AE705" s="129" t="e">
        <f>VLOOKUP(VALUE($U705),test_out_xwalk!$C:$L,5,FALSE)</f>
        <v>#VALUE!</v>
      </c>
      <c r="AF705" s="129" t="e">
        <f>VLOOKUP(VALUE($U705),test_out_xwalk!$C:$L,6,FALSE)</f>
        <v>#VALUE!</v>
      </c>
      <c r="AG705" s="129" t="e">
        <f>VLOOKUP(VALUE($U705),test_out_xwalk!$C:$L,8,FALSE)</f>
        <v>#VALUE!</v>
      </c>
      <c r="AH705" s="129" t="e">
        <f>VLOOKUP(VALUE($U705),test_out_xwalk!$C:$L,7,FALSE)</f>
        <v>#VALUE!</v>
      </c>
      <c r="AI705" s="129" t="e">
        <f>VLOOKUP(VALUE($U705),test_out_xwalk!$C:$L,4,FALSE)</f>
        <v>#VALUE!</v>
      </c>
      <c r="AJ705" s="129" t="e">
        <f>VLOOKUP(VALUE($U705),test_out_xwalk!$C:$L,9,FALSE)</f>
        <v>#VALUE!</v>
      </c>
      <c r="AK705" t="e">
        <f>_xlfn.XLOOKUP(VALUE(U705),test_out_xwalk!C:C,test_out_xwalk!A:A)</f>
        <v>#VALUE!</v>
      </c>
    </row>
    <row r="706" spans="1:37" x14ac:dyDescent="0.55000000000000004">
      <c r="A706" s="121" t="str">
        <f>IF('summary_EPA Pond'!$A706="","Check Summary EPA POND worksheet Column A",'summary_EPA Pond'!$A706)</f>
        <v>Check Summary EPA POND worksheet Column A</v>
      </c>
      <c r="B706" s="121" t="str" cm="1">
        <f t="array" ref="B706">IFERROR(_xlfn.TEXTSPLIT(A706,"_"),"")</f>
        <v>Check Summary EPA POND worksheet Column A</v>
      </c>
      <c r="H706" s="121" t="str" cm="1">
        <f t="array" ref="H706">IF(D706="","",(_xlfn.TEXTSPLIT(D706,"-")))</f>
        <v/>
      </c>
      <c r="K706" s="129" t="e">
        <f>VLOOKUP(VALUE($B706),test_out_xwalk!$C:$L,3,FALSE)</f>
        <v>#VALUE!</v>
      </c>
      <c r="L706" s="129" t="e">
        <f>VLOOKUP(VALUE($B706),test_out_xwalk!$C:$L,5,FALSE)</f>
        <v>#VALUE!</v>
      </c>
      <c r="M706" s="129" t="e">
        <f>VLOOKUP(VALUE($B706),test_out_xwalk!$C:$L,6,FALSE)</f>
        <v>#VALUE!</v>
      </c>
      <c r="N706" s="129" t="e">
        <f>VLOOKUP(VALUE($B706),test_out_xwalk!$C:$L,8,FALSE)</f>
        <v>#VALUE!</v>
      </c>
      <c r="O706" s="129" t="e">
        <f>VLOOKUP(VALUE($B706),test_out_xwalk!$C:$L,7,FALSE)</f>
        <v>#VALUE!</v>
      </c>
      <c r="P706" s="129" t="e">
        <f>VLOOKUP(VALUE($B706),test_out_xwalk!$C:$L,4,FALSE)</f>
        <v>#VALUE!</v>
      </c>
      <c r="Q706" s="129" t="e">
        <f>VLOOKUP(VALUE($B706),test_out_xwalk!$C:$L,9,FALSE)</f>
        <v>#VALUE!</v>
      </c>
      <c r="R706" t="e">
        <f>_xlfn.XLOOKUP(VALUE(B706),test_out_xwalk!$C:$C,test_out_xwalk!$A:$A)</f>
        <v>#VALUE!</v>
      </c>
      <c r="T706" s="121" t="str">
        <f>IF('summary_EPA Pond'!$O706="","Check Summary EPA POND worksheet Column O",'summary_EPA Pond'!$O706)</f>
        <v>Check Summary EPA POND worksheet Column O</v>
      </c>
      <c r="U706" s="121" t="str" cm="1">
        <f t="array" ref="U706">IFERROR(_xlfn.TEXTSPLIT(T706,"_"),"")</f>
        <v>Check Summary EPA POND worksheet Column O</v>
      </c>
      <c r="AA706" s="121" t="str" cm="1">
        <f t="array" ref="AA706">IF(W706="","",(_xlfn.TEXTSPLIT(W706,"-")))</f>
        <v/>
      </c>
      <c r="AD706" s="129" t="e">
        <f>VLOOKUP(VALUE($U706),test_out_xwalk!$C:$L,3,FALSE)</f>
        <v>#VALUE!</v>
      </c>
      <c r="AE706" s="129" t="e">
        <f>VLOOKUP(VALUE($U706),test_out_xwalk!$C:$L,5,FALSE)</f>
        <v>#VALUE!</v>
      </c>
      <c r="AF706" s="129" t="e">
        <f>VLOOKUP(VALUE($U706),test_out_xwalk!$C:$L,6,FALSE)</f>
        <v>#VALUE!</v>
      </c>
      <c r="AG706" s="129" t="e">
        <f>VLOOKUP(VALUE($U706),test_out_xwalk!$C:$L,8,FALSE)</f>
        <v>#VALUE!</v>
      </c>
      <c r="AH706" s="129" t="e">
        <f>VLOOKUP(VALUE($U706),test_out_xwalk!$C:$L,7,FALSE)</f>
        <v>#VALUE!</v>
      </c>
      <c r="AI706" s="129" t="e">
        <f>VLOOKUP(VALUE($U706),test_out_xwalk!$C:$L,4,FALSE)</f>
        <v>#VALUE!</v>
      </c>
      <c r="AJ706" s="129" t="e">
        <f>VLOOKUP(VALUE($U706),test_out_xwalk!$C:$L,9,FALSE)</f>
        <v>#VALUE!</v>
      </c>
      <c r="AK706" t="e">
        <f>_xlfn.XLOOKUP(VALUE(U706),test_out_xwalk!C:C,test_out_xwalk!A:A)</f>
        <v>#VALUE!</v>
      </c>
    </row>
    <row r="707" spans="1:37" x14ac:dyDescent="0.55000000000000004">
      <c r="A707" s="121" t="str">
        <f>IF('summary_EPA Pond'!$A707="","Check Summary EPA POND worksheet Column A",'summary_EPA Pond'!$A707)</f>
        <v>Check Summary EPA POND worksheet Column A</v>
      </c>
      <c r="B707" s="121" t="str" cm="1">
        <f t="array" ref="B707">IFERROR(_xlfn.TEXTSPLIT(A707,"_"),"")</f>
        <v>Check Summary EPA POND worksheet Column A</v>
      </c>
      <c r="H707" s="121" t="str" cm="1">
        <f t="array" ref="H707">IF(D707="","",(_xlfn.TEXTSPLIT(D707,"-")))</f>
        <v/>
      </c>
      <c r="K707" s="129" t="e">
        <f>VLOOKUP(VALUE($B707),test_out_xwalk!$C:$L,3,FALSE)</f>
        <v>#VALUE!</v>
      </c>
      <c r="L707" s="129" t="e">
        <f>VLOOKUP(VALUE($B707),test_out_xwalk!$C:$L,5,FALSE)</f>
        <v>#VALUE!</v>
      </c>
      <c r="M707" s="129" t="e">
        <f>VLOOKUP(VALUE($B707),test_out_xwalk!$C:$L,6,FALSE)</f>
        <v>#VALUE!</v>
      </c>
      <c r="N707" s="129" t="e">
        <f>VLOOKUP(VALUE($B707),test_out_xwalk!$C:$L,8,FALSE)</f>
        <v>#VALUE!</v>
      </c>
      <c r="O707" s="129" t="e">
        <f>VLOOKUP(VALUE($B707),test_out_xwalk!$C:$L,7,FALSE)</f>
        <v>#VALUE!</v>
      </c>
      <c r="P707" s="129" t="e">
        <f>VLOOKUP(VALUE($B707),test_out_xwalk!$C:$L,4,FALSE)</f>
        <v>#VALUE!</v>
      </c>
      <c r="Q707" s="129" t="e">
        <f>VLOOKUP(VALUE($B707),test_out_xwalk!$C:$L,9,FALSE)</f>
        <v>#VALUE!</v>
      </c>
      <c r="R707" t="e">
        <f>_xlfn.XLOOKUP(VALUE(B707),test_out_xwalk!$C:$C,test_out_xwalk!$A:$A)</f>
        <v>#VALUE!</v>
      </c>
      <c r="T707" s="121" t="str">
        <f>IF('summary_EPA Pond'!$O707="","Check Summary EPA POND worksheet Column O",'summary_EPA Pond'!$O707)</f>
        <v>Check Summary EPA POND worksheet Column O</v>
      </c>
      <c r="U707" s="121" t="str" cm="1">
        <f t="array" ref="U707">IFERROR(_xlfn.TEXTSPLIT(T707,"_"),"")</f>
        <v>Check Summary EPA POND worksheet Column O</v>
      </c>
      <c r="AA707" s="121" t="str" cm="1">
        <f t="array" ref="AA707">IF(W707="","",(_xlfn.TEXTSPLIT(W707,"-")))</f>
        <v/>
      </c>
      <c r="AD707" s="129" t="e">
        <f>VLOOKUP(VALUE($U707),test_out_xwalk!$C:$L,3,FALSE)</f>
        <v>#VALUE!</v>
      </c>
      <c r="AE707" s="129" t="e">
        <f>VLOOKUP(VALUE($U707),test_out_xwalk!$C:$L,5,FALSE)</f>
        <v>#VALUE!</v>
      </c>
      <c r="AF707" s="129" t="e">
        <f>VLOOKUP(VALUE($U707),test_out_xwalk!$C:$L,6,FALSE)</f>
        <v>#VALUE!</v>
      </c>
      <c r="AG707" s="129" t="e">
        <f>VLOOKUP(VALUE($U707),test_out_xwalk!$C:$L,8,FALSE)</f>
        <v>#VALUE!</v>
      </c>
      <c r="AH707" s="129" t="e">
        <f>VLOOKUP(VALUE($U707),test_out_xwalk!$C:$L,7,FALSE)</f>
        <v>#VALUE!</v>
      </c>
      <c r="AI707" s="129" t="e">
        <f>VLOOKUP(VALUE($U707),test_out_xwalk!$C:$L,4,FALSE)</f>
        <v>#VALUE!</v>
      </c>
      <c r="AJ707" s="129" t="e">
        <f>VLOOKUP(VALUE($U707),test_out_xwalk!$C:$L,9,FALSE)</f>
        <v>#VALUE!</v>
      </c>
      <c r="AK707" t="e">
        <f>_xlfn.XLOOKUP(VALUE(U707),test_out_xwalk!C:C,test_out_xwalk!A:A)</f>
        <v>#VALUE!</v>
      </c>
    </row>
  </sheetData>
  <sheetProtection algorithmName="SHA-512" hashValue="L4C/G4F829pqaYEuiAkR3lzCRflJMi/rGAVh4SlpSTO5QMa/hgfXF6VqNxMRka/EPd8KB+u6psvhTNTasEOHjw==" saltValue="Z6OZ8Au8FNLtKG+PJlVoPg=="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8A7A-6302-474C-8836-9EDA31211259}">
  <sheetPr>
    <tabColor rgb="FFFFC000"/>
  </sheetPr>
  <dimension ref="A1:H37"/>
  <sheetViews>
    <sheetView zoomScale="87" zoomScaleNormal="140" workbookViewId="0">
      <selection activeCell="K22" sqref="K22"/>
    </sheetView>
  </sheetViews>
  <sheetFormatPr defaultRowHeight="14.4" x14ac:dyDescent="0.55000000000000004"/>
  <cols>
    <col min="1" max="1" width="11.26171875" bestFit="1" customWidth="1"/>
    <col min="2" max="2" width="11.26171875" customWidth="1"/>
    <col min="3" max="3" width="20.26171875" bestFit="1" customWidth="1"/>
    <col min="4" max="6" width="20.26171875" customWidth="1"/>
    <col min="7" max="7" width="17.83984375" bestFit="1" customWidth="1"/>
    <col min="8" max="8" width="5.83984375" bestFit="1" customWidth="1"/>
  </cols>
  <sheetData>
    <row r="1" spans="1:8" x14ac:dyDescent="0.55000000000000004">
      <c r="A1" s="1" t="s">
        <v>3215</v>
      </c>
      <c r="B1" s="1" t="s">
        <v>3216</v>
      </c>
      <c r="C1" s="1" t="s">
        <v>3217</v>
      </c>
      <c r="D1" s="1" t="s">
        <v>3218</v>
      </c>
      <c r="E1" s="1" t="s">
        <v>3219</v>
      </c>
      <c r="F1" s="1" t="s">
        <v>3220</v>
      </c>
      <c r="G1" s="1" t="s">
        <v>3221</v>
      </c>
      <c r="H1" s="1" t="s">
        <v>3222</v>
      </c>
    </row>
    <row r="2" spans="1:8" x14ac:dyDescent="0.55000000000000004">
      <c r="A2" t="s">
        <v>3223</v>
      </c>
      <c r="B2" t="s">
        <v>3224</v>
      </c>
      <c r="C2" t="s">
        <v>3225</v>
      </c>
      <c r="D2" t="s">
        <v>3226</v>
      </c>
      <c r="E2" t="s">
        <v>3227</v>
      </c>
      <c r="G2" t="s">
        <v>3228</v>
      </c>
      <c r="H2">
        <f>IF('Endpoints for Terrestrial'!H17=0,NA(),'Endpoints for Terrestrial'!H17)</f>
        <v>5</v>
      </c>
    </row>
    <row r="3" spans="1:8" x14ac:dyDescent="0.55000000000000004">
      <c r="A3" t="s">
        <v>3223</v>
      </c>
      <c r="B3" t="s">
        <v>3224</v>
      </c>
      <c r="C3" t="s">
        <v>3225</v>
      </c>
      <c r="D3" t="s">
        <v>3226</v>
      </c>
      <c r="E3" t="s">
        <v>3229</v>
      </c>
      <c r="F3" t="b">
        <v>1</v>
      </c>
      <c r="G3" t="s">
        <v>3228</v>
      </c>
      <c r="H3">
        <f>IF('Endpoints for Terrestrial'!H18=0,NA(),'Endpoints for Terrestrial'!H18)</f>
        <v>10</v>
      </c>
    </row>
    <row r="4" spans="1:8" x14ac:dyDescent="0.55000000000000004">
      <c r="A4" t="s">
        <v>3223</v>
      </c>
      <c r="B4" t="s">
        <v>3224</v>
      </c>
      <c r="C4" t="s">
        <v>3225</v>
      </c>
      <c r="D4" t="s">
        <v>3230</v>
      </c>
      <c r="E4" t="s">
        <v>3229</v>
      </c>
      <c r="F4" t="b">
        <v>1</v>
      </c>
      <c r="G4" t="s">
        <v>3231</v>
      </c>
      <c r="H4">
        <f>IF('Endpoints for Terrestrial'!H19=0,NA(),'Endpoints for Terrestrial'!H19)</f>
        <v>8</v>
      </c>
    </row>
    <row r="5" spans="1:8" x14ac:dyDescent="0.55000000000000004">
      <c r="A5" t="s">
        <v>3223</v>
      </c>
      <c r="B5" t="s">
        <v>3232</v>
      </c>
      <c r="C5" t="s">
        <v>3225</v>
      </c>
      <c r="D5" t="s">
        <v>3226</v>
      </c>
      <c r="E5" t="s">
        <v>3229</v>
      </c>
      <c r="F5" t="b">
        <v>1</v>
      </c>
      <c r="G5" t="s">
        <v>3228</v>
      </c>
      <c r="H5">
        <f>IF('Endpoints for Terrestrial'!H21=0,NA(),'Endpoints for Terrestrial'!H21)</f>
        <v>50</v>
      </c>
    </row>
    <row r="6" spans="1:8" x14ac:dyDescent="0.55000000000000004">
      <c r="A6" t="s">
        <v>3223</v>
      </c>
      <c r="B6" t="s">
        <v>3232</v>
      </c>
      <c r="C6" t="s">
        <v>3225</v>
      </c>
      <c r="D6" t="s">
        <v>3230</v>
      </c>
      <c r="E6" t="s">
        <v>3229</v>
      </c>
      <c r="F6" t="b">
        <v>1</v>
      </c>
      <c r="G6" t="s">
        <v>3233</v>
      </c>
      <c r="H6">
        <f>IF('Endpoints for Terrestrial'!H22=0,NA(),'Endpoints for Terrestrial'!H22)</f>
        <v>1</v>
      </c>
    </row>
    <row r="7" spans="1:8" x14ac:dyDescent="0.55000000000000004">
      <c r="A7" t="s">
        <v>3234</v>
      </c>
      <c r="B7" t="s">
        <v>3224</v>
      </c>
      <c r="C7" t="s">
        <v>3225</v>
      </c>
      <c r="D7" t="s">
        <v>3226</v>
      </c>
      <c r="E7" t="s">
        <v>3229</v>
      </c>
      <c r="F7" t="b">
        <v>0</v>
      </c>
      <c r="G7" t="s">
        <v>3235</v>
      </c>
      <c r="H7">
        <f>IF('Endpoints for Terrestrial'!H30=0,NA(),'Endpoints for Terrestrial'!H30)</f>
        <v>20</v>
      </c>
    </row>
    <row r="8" spans="1:8" x14ac:dyDescent="0.55000000000000004">
      <c r="A8" t="s">
        <v>3234</v>
      </c>
      <c r="B8" t="s">
        <v>3224</v>
      </c>
      <c r="C8" t="s">
        <v>3225</v>
      </c>
      <c r="D8" t="s">
        <v>3230</v>
      </c>
      <c r="E8" t="s">
        <v>3229</v>
      </c>
      <c r="F8" t="b">
        <v>0</v>
      </c>
      <c r="G8" t="s">
        <v>3236</v>
      </c>
      <c r="H8">
        <f>IF('Endpoints for Terrestrial'!H31=0,NA(),'Endpoints for Terrestrial'!H31)</f>
        <v>5</v>
      </c>
    </row>
    <row r="9" spans="1:8" x14ac:dyDescent="0.55000000000000004">
      <c r="A9" t="s">
        <v>3223</v>
      </c>
      <c r="B9" t="s">
        <v>3224</v>
      </c>
      <c r="C9" t="s">
        <v>3237</v>
      </c>
      <c r="D9" t="s">
        <v>3226</v>
      </c>
      <c r="E9" t="s">
        <v>3227</v>
      </c>
      <c r="G9" t="s">
        <v>3228</v>
      </c>
      <c r="H9">
        <f>IF('Endpoints for Terrestrial'!K17=0,NA(),'Endpoints for Terrestrial'!K17)</f>
        <v>5</v>
      </c>
    </row>
    <row r="10" spans="1:8" x14ac:dyDescent="0.55000000000000004">
      <c r="A10" t="s">
        <v>3223</v>
      </c>
      <c r="B10" t="s">
        <v>3224</v>
      </c>
      <c r="C10" t="s">
        <v>3237</v>
      </c>
      <c r="D10" t="s">
        <v>3226</v>
      </c>
      <c r="E10" t="s">
        <v>3229</v>
      </c>
      <c r="F10" t="b">
        <v>1</v>
      </c>
      <c r="G10" t="s">
        <v>3228</v>
      </c>
      <c r="H10">
        <f>IF('Endpoints for Terrestrial'!K18=0,NA(),'Endpoints for Terrestrial'!K18)</f>
        <v>10</v>
      </c>
    </row>
    <row r="11" spans="1:8" x14ac:dyDescent="0.55000000000000004">
      <c r="A11" t="s">
        <v>3223</v>
      </c>
      <c r="B11" t="s">
        <v>3224</v>
      </c>
      <c r="C11" t="s">
        <v>3237</v>
      </c>
      <c r="D11" t="s">
        <v>3230</v>
      </c>
      <c r="E11" t="s">
        <v>3229</v>
      </c>
      <c r="F11" t="b">
        <v>1</v>
      </c>
      <c r="G11" t="s">
        <v>3231</v>
      </c>
      <c r="H11">
        <f>IF('Endpoints for Terrestrial'!K19=0,NA(),'Endpoints for Terrestrial'!K19)</f>
        <v>8</v>
      </c>
    </row>
    <row r="12" spans="1:8" x14ac:dyDescent="0.55000000000000004">
      <c r="A12" t="s">
        <v>3223</v>
      </c>
      <c r="B12" t="s">
        <v>3224</v>
      </c>
      <c r="C12" t="s">
        <v>3237</v>
      </c>
      <c r="D12" t="s">
        <v>3230</v>
      </c>
      <c r="E12" t="s">
        <v>3229</v>
      </c>
      <c r="F12" t="b">
        <v>1</v>
      </c>
      <c r="G12" t="s">
        <v>3240</v>
      </c>
      <c r="H12">
        <f>IF('Endpoints for Terrestrial'!K20=0,NA(),'Endpoints for Terrestrial'!K20)</f>
        <v>8.4852813742385695</v>
      </c>
    </row>
    <row r="13" spans="1:8" x14ac:dyDescent="0.55000000000000004">
      <c r="A13" t="s">
        <v>3223</v>
      </c>
      <c r="B13" t="s">
        <v>3232</v>
      </c>
      <c r="C13" t="s">
        <v>3237</v>
      </c>
      <c r="D13" t="s">
        <v>3226</v>
      </c>
      <c r="E13" t="s">
        <v>3229</v>
      </c>
      <c r="F13" t="b">
        <v>1</v>
      </c>
      <c r="G13" t="s">
        <v>3228</v>
      </c>
      <c r="H13">
        <f>IF('Endpoints for Terrestrial'!K21=0,NA(),'Endpoints for Terrestrial'!K21)</f>
        <v>50</v>
      </c>
    </row>
    <row r="14" spans="1:8" x14ac:dyDescent="0.55000000000000004">
      <c r="A14" t="s">
        <v>3223</v>
      </c>
      <c r="B14" t="s">
        <v>3232</v>
      </c>
      <c r="C14" t="s">
        <v>3237</v>
      </c>
      <c r="D14" t="s">
        <v>3230</v>
      </c>
      <c r="E14" t="s">
        <v>3229</v>
      </c>
      <c r="F14" t="b">
        <v>1</v>
      </c>
      <c r="G14" t="s">
        <v>3231</v>
      </c>
      <c r="H14">
        <f>IF('Endpoints for Terrestrial'!K22=0,NA(),'Endpoints for Terrestrial'!K22)</f>
        <v>1</v>
      </c>
    </row>
    <row r="15" spans="1:8" x14ac:dyDescent="0.55000000000000004">
      <c r="A15" t="s">
        <v>3223</v>
      </c>
      <c r="B15" t="s">
        <v>3232</v>
      </c>
      <c r="C15" t="s">
        <v>3237</v>
      </c>
      <c r="D15" t="s">
        <v>3230</v>
      </c>
      <c r="E15" t="s">
        <v>3229</v>
      </c>
      <c r="F15" t="b">
        <v>1</v>
      </c>
      <c r="G15" t="s">
        <v>3240</v>
      </c>
      <c r="H15">
        <f>IF('Endpoints for Terrestrial'!K23=0,NA(),'Endpoints for Terrestrial'!K23)</f>
        <v>2.2360679774997898</v>
      </c>
    </row>
    <row r="16" spans="1:8" x14ac:dyDescent="0.55000000000000004">
      <c r="A16" t="s">
        <v>3234</v>
      </c>
      <c r="B16" t="s">
        <v>3224</v>
      </c>
      <c r="C16" t="s">
        <v>3237</v>
      </c>
      <c r="D16" t="s">
        <v>3226</v>
      </c>
      <c r="E16" t="s">
        <v>3229</v>
      </c>
      <c r="F16" t="b">
        <v>0</v>
      </c>
      <c r="G16" t="s">
        <v>3235</v>
      </c>
      <c r="H16">
        <f>IF('Endpoints for Terrestrial'!K30=0,NA(),'Endpoints for Terrestrial'!K30)</f>
        <v>20</v>
      </c>
    </row>
    <row r="17" spans="1:8" x14ac:dyDescent="0.55000000000000004">
      <c r="A17" t="s">
        <v>3234</v>
      </c>
      <c r="B17" t="s">
        <v>3224</v>
      </c>
      <c r="C17" t="s">
        <v>3237</v>
      </c>
      <c r="D17" t="s">
        <v>3230</v>
      </c>
      <c r="E17" t="s">
        <v>3229</v>
      </c>
      <c r="F17" t="b">
        <v>0</v>
      </c>
      <c r="G17" t="s">
        <v>3236</v>
      </c>
      <c r="H17">
        <f>IF('Endpoints for Terrestrial'!K31=0,NA(),'Endpoints for Terrestrial'!K31)</f>
        <v>5</v>
      </c>
    </row>
    <row r="18" spans="1:8" x14ac:dyDescent="0.55000000000000004">
      <c r="A18" t="s">
        <v>3234</v>
      </c>
      <c r="B18" t="s">
        <v>3224</v>
      </c>
      <c r="C18" t="s">
        <v>3237</v>
      </c>
      <c r="D18" t="s">
        <v>3230</v>
      </c>
      <c r="E18" t="s">
        <v>3229</v>
      </c>
      <c r="F18" t="b">
        <v>0</v>
      </c>
      <c r="G18" t="s">
        <v>3242</v>
      </c>
      <c r="H18">
        <f>IF('Endpoints for Terrestrial'!K32=0,NA(),'Endpoints for Terrestrial'!K32)</f>
        <v>7.0710678118654755</v>
      </c>
    </row>
    <row r="19" spans="1:8" x14ac:dyDescent="0.55000000000000004">
      <c r="A19" t="s">
        <v>3223</v>
      </c>
      <c r="B19" t="s">
        <v>3224</v>
      </c>
      <c r="C19" t="s">
        <v>3238</v>
      </c>
      <c r="D19" t="s">
        <v>3226</v>
      </c>
      <c r="E19" t="s">
        <v>3227</v>
      </c>
      <c r="G19" t="s">
        <v>3239</v>
      </c>
      <c r="H19" s="254">
        <f>IF('Endpoints for Terrestrial'!N17=0,NA(),'Endpoints for Terrestrial'!N17)</f>
        <v>2</v>
      </c>
    </row>
    <row r="20" spans="1:8" x14ac:dyDescent="0.55000000000000004">
      <c r="A20" t="s">
        <v>3223</v>
      </c>
      <c r="B20" t="s">
        <v>3224</v>
      </c>
      <c r="C20" t="s">
        <v>3238</v>
      </c>
      <c r="D20" t="s">
        <v>3226</v>
      </c>
      <c r="E20" t="s">
        <v>3229</v>
      </c>
      <c r="F20" t="b">
        <v>1</v>
      </c>
      <c r="G20" t="s">
        <v>3239</v>
      </c>
      <c r="H20" s="254">
        <f>IF('Endpoints for Terrestrial'!N18=0,NA(),'Endpoints for Terrestrial'!N18)</f>
        <v>4</v>
      </c>
    </row>
    <row r="21" spans="1:8" x14ac:dyDescent="0.55000000000000004">
      <c r="A21" t="s">
        <v>3223</v>
      </c>
      <c r="B21" t="s">
        <v>3224</v>
      </c>
      <c r="C21" t="s">
        <v>3238</v>
      </c>
      <c r="D21" t="s">
        <v>3230</v>
      </c>
      <c r="E21" t="s">
        <v>3229</v>
      </c>
      <c r="F21" t="b">
        <v>1</v>
      </c>
      <c r="G21" t="s">
        <v>3240</v>
      </c>
      <c r="H21" s="254">
        <f>IF('Endpoints for Terrestrial'!N19=0,NA(),'Endpoints for Terrestrial'!N19)</f>
        <v>8.4852813742385695</v>
      </c>
    </row>
    <row r="22" spans="1:8" x14ac:dyDescent="0.55000000000000004">
      <c r="A22" t="s">
        <v>3223</v>
      </c>
      <c r="B22" t="s">
        <v>3232</v>
      </c>
      <c r="C22" t="s">
        <v>3238</v>
      </c>
      <c r="D22" t="s">
        <v>3226</v>
      </c>
      <c r="E22" t="s">
        <v>3229</v>
      </c>
      <c r="F22" t="b">
        <v>1</v>
      </c>
      <c r="G22" t="s">
        <v>3239</v>
      </c>
      <c r="H22" s="254">
        <f>IF('Endpoints for Terrestrial'!N21=0,NA(),'Endpoints for Terrestrial'!N21)</f>
        <v>20</v>
      </c>
    </row>
    <row r="23" spans="1:8" x14ac:dyDescent="0.55000000000000004">
      <c r="A23" t="s">
        <v>3223</v>
      </c>
      <c r="B23" t="s">
        <v>3232</v>
      </c>
      <c r="C23" t="s">
        <v>3238</v>
      </c>
      <c r="D23" t="s">
        <v>3230</v>
      </c>
      <c r="E23" t="s">
        <v>3229</v>
      </c>
      <c r="F23" t="b">
        <v>1</v>
      </c>
      <c r="G23" t="s">
        <v>3240</v>
      </c>
      <c r="H23" s="254">
        <f>IF('Endpoints for Terrestrial'!N22=0,NA(),'Endpoints for Terrestrial'!N22)</f>
        <v>2.2360679774997898</v>
      </c>
    </row>
    <row r="24" spans="1:8" x14ac:dyDescent="0.55000000000000004">
      <c r="A24" t="s">
        <v>3234</v>
      </c>
      <c r="B24" t="s">
        <v>3224</v>
      </c>
      <c r="C24" t="s">
        <v>3238</v>
      </c>
      <c r="D24" t="s">
        <v>3226</v>
      </c>
      <c r="E24" t="s">
        <v>3229</v>
      </c>
      <c r="F24" t="b">
        <v>0</v>
      </c>
      <c r="G24" t="s">
        <v>3241</v>
      </c>
      <c r="H24" s="254">
        <f>IF('Endpoints for Terrestrial'!N30=0,NA(),'Endpoints for Terrestrial'!N30)</f>
        <v>8</v>
      </c>
    </row>
    <row r="25" spans="1:8" x14ac:dyDescent="0.55000000000000004">
      <c r="A25" t="s">
        <v>3234</v>
      </c>
      <c r="B25" t="s">
        <v>3224</v>
      </c>
      <c r="C25" t="s">
        <v>3238</v>
      </c>
      <c r="D25" t="s">
        <v>3230</v>
      </c>
      <c r="E25" t="s">
        <v>3229</v>
      </c>
      <c r="F25" t="b">
        <v>0</v>
      </c>
      <c r="G25" t="s">
        <v>3242</v>
      </c>
      <c r="H25" s="254">
        <f>IF('Endpoints for Terrestrial'!N31=0,NA(),'Endpoints for Terrestrial'!N31)</f>
        <v>7.0710678118654755</v>
      </c>
    </row>
    <row r="26" spans="1:8" x14ac:dyDescent="0.55000000000000004">
      <c r="A26" t="s">
        <v>3223</v>
      </c>
      <c r="B26" t="s">
        <v>3224</v>
      </c>
      <c r="C26" t="s">
        <v>3243</v>
      </c>
      <c r="D26" t="s">
        <v>3226</v>
      </c>
      <c r="E26" t="s">
        <v>3227</v>
      </c>
      <c r="G26" t="s">
        <v>3244</v>
      </c>
      <c r="H26">
        <f>IF('Endpoints for Terrestrial'!Q17=0,NA(),'Endpoints for Terrestrial'!Q17)</f>
        <v>5</v>
      </c>
    </row>
    <row r="27" spans="1:8" x14ac:dyDescent="0.55000000000000004">
      <c r="A27" t="s">
        <v>3223</v>
      </c>
      <c r="B27" t="s">
        <v>3224</v>
      </c>
      <c r="C27" t="s">
        <v>3243</v>
      </c>
      <c r="D27" t="s">
        <v>3226</v>
      </c>
      <c r="E27" t="s">
        <v>3229</v>
      </c>
      <c r="F27" t="b">
        <v>1</v>
      </c>
      <c r="G27" t="s">
        <v>3245</v>
      </c>
      <c r="H27">
        <f>IF('Endpoints for Terrestrial'!Q18=0,NA(),'Endpoints for Terrestrial'!Q18)</f>
        <v>10</v>
      </c>
    </row>
    <row r="28" spans="1:8" x14ac:dyDescent="0.55000000000000004">
      <c r="A28" t="s">
        <v>3223</v>
      </c>
      <c r="B28" t="s">
        <v>3232</v>
      </c>
      <c r="C28" t="s">
        <v>3243</v>
      </c>
      <c r="D28" t="s">
        <v>3226</v>
      </c>
      <c r="E28" t="s">
        <v>3229</v>
      </c>
      <c r="F28" t="b">
        <v>1</v>
      </c>
      <c r="G28" t="s">
        <v>3246</v>
      </c>
      <c r="H28" t="e">
        <f>IF('Endpoints for Terrestrial'!Q21=0,NA(),'Endpoints for Terrestrial'!Q21)</f>
        <v>#N/A</v>
      </c>
    </row>
    <row r="29" spans="1:8" x14ac:dyDescent="0.55000000000000004">
      <c r="A29" t="s">
        <v>3234</v>
      </c>
      <c r="B29" t="s">
        <v>3224</v>
      </c>
      <c r="C29" t="s">
        <v>3243</v>
      </c>
      <c r="D29" t="s">
        <v>3226</v>
      </c>
      <c r="E29" t="s">
        <v>3229</v>
      </c>
      <c r="F29" t="b">
        <v>0</v>
      </c>
      <c r="G29" t="s">
        <v>3245</v>
      </c>
      <c r="H29">
        <f>IF('Endpoints for Terrestrial'!Q30=0,NA(),'Endpoints for Terrestrial'!Q30)</f>
        <v>20</v>
      </c>
    </row>
    <row r="30" spans="1:8" x14ac:dyDescent="0.55000000000000004">
      <c r="A30" t="s">
        <v>3234</v>
      </c>
      <c r="B30" t="s">
        <v>3232</v>
      </c>
      <c r="C30" t="s">
        <v>3225</v>
      </c>
      <c r="D30" t="s">
        <v>3226</v>
      </c>
      <c r="E30" t="s">
        <v>3229</v>
      </c>
      <c r="F30" t="b">
        <v>1</v>
      </c>
      <c r="G30" t="s">
        <v>3228</v>
      </c>
      <c r="H30">
        <f>IF('Endpoints for Terrestrial'!H21=0,NA(),'Endpoints for Terrestrial'!H21)</f>
        <v>50</v>
      </c>
    </row>
    <row r="31" spans="1:8" x14ac:dyDescent="0.55000000000000004">
      <c r="A31" t="s">
        <v>3234</v>
      </c>
      <c r="B31" t="s">
        <v>3232</v>
      </c>
      <c r="C31" t="s">
        <v>3225</v>
      </c>
      <c r="D31" t="s">
        <v>3230</v>
      </c>
      <c r="E31" t="s">
        <v>3229</v>
      </c>
      <c r="F31" t="b">
        <v>1</v>
      </c>
      <c r="G31" t="s">
        <v>3233</v>
      </c>
      <c r="H31">
        <f>IF('Endpoints for Terrestrial'!H22=0,NA(),'Endpoints for Terrestrial'!H22)</f>
        <v>1</v>
      </c>
    </row>
    <row r="32" spans="1:8" x14ac:dyDescent="0.55000000000000004">
      <c r="A32" t="s">
        <v>3234</v>
      </c>
      <c r="B32" t="s">
        <v>3232</v>
      </c>
      <c r="C32" t="s">
        <v>3237</v>
      </c>
      <c r="D32" t="s">
        <v>3226</v>
      </c>
      <c r="E32" t="s">
        <v>3229</v>
      </c>
      <c r="F32" t="b">
        <v>1</v>
      </c>
      <c r="G32" t="s">
        <v>3228</v>
      </c>
      <c r="H32">
        <f>IF('Endpoints for Terrestrial'!K21=0,NA(),'Endpoints for Terrestrial'!K21)</f>
        <v>50</v>
      </c>
    </row>
    <row r="33" spans="1:8" x14ac:dyDescent="0.55000000000000004">
      <c r="A33" t="s">
        <v>3234</v>
      </c>
      <c r="B33" t="s">
        <v>3232</v>
      </c>
      <c r="C33" t="s">
        <v>3237</v>
      </c>
      <c r="D33" t="s">
        <v>3230</v>
      </c>
      <c r="E33" t="s">
        <v>3229</v>
      </c>
      <c r="F33" t="b">
        <v>1</v>
      </c>
      <c r="G33" t="s">
        <v>3231</v>
      </c>
      <c r="H33">
        <f>IF('Endpoints for Terrestrial'!K22=0,NA(),'Endpoints for Terrestrial'!K22)</f>
        <v>1</v>
      </c>
    </row>
    <row r="34" spans="1:8" x14ac:dyDescent="0.55000000000000004">
      <c r="A34" t="s">
        <v>3234</v>
      </c>
      <c r="B34" t="s">
        <v>3232</v>
      </c>
      <c r="C34" t="s">
        <v>3237</v>
      </c>
      <c r="D34" t="s">
        <v>3230</v>
      </c>
      <c r="E34" t="s">
        <v>3229</v>
      </c>
      <c r="F34" t="b">
        <v>1</v>
      </c>
      <c r="G34" t="s">
        <v>3240</v>
      </c>
      <c r="H34">
        <f>IF('Endpoints for Terrestrial'!K23=0,NA(),'Endpoints for Terrestrial'!K23)</f>
        <v>2.2360679774997898</v>
      </c>
    </row>
    <row r="35" spans="1:8" x14ac:dyDescent="0.55000000000000004">
      <c r="A35" t="s">
        <v>3234</v>
      </c>
      <c r="B35" t="s">
        <v>3232</v>
      </c>
      <c r="C35" t="s">
        <v>3238</v>
      </c>
      <c r="D35" t="s">
        <v>3226</v>
      </c>
      <c r="E35" t="s">
        <v>3229</v>
      </c>
      <c r="F35" t="b">
        <v>1</v>
      </c>
      <c r="G35" t="s">
        <v>3239</v>
      </c>
      <c r="H35" s="254">
        <f>IF('Endpoints for Terrestrial'!N21=0,NA(),'Endpoints for Terrestrial'!N21)</f>
        <v>20</v>
      </c>
    </row>
    <row r="36" spans="1:8" x14ac:dyDescent="0.55000000000000004">
      <c r="A36" t="s">
        <v>3234</v>
      </c>
      <c r="B36" t="s">
        <v>3232</v>
      </c>
      <c r="C36" t="s">
        <v>3238</v>
      </c>
      <c r="D36" t="s">
        <v>3230</v>
      </c>
      <c r="E36" t="s">
        <v>3229</v>
      </c>
      <c r="F36" t="b">
        <v>1</v>
      </c>
      <c r="G36" t="s">
        <v>3240</v>
      </c>
      <c r="H36" s="254">
        <f>IF('Endpoints for Terrestrial'!N22=0,NA(),'Endpoints for Terrestrial'!N22)</f>
        <v>2.2360679774997898</v>
      </c>
    </row>
    <row r="37" spans="1:8" x14ac:dyDescent="0.55000000000000004">
      <c r="A37" t="s">
        <v>3234</v>
      </c>
      <c r="B37" t="s">
        <v>3232</v>
      </c>
      <c r="C37" t="s">
        <v>3243</v>
      </c>
      <c r="D37" t="s">
        <v>3226</v>
      </c>
      <c r="E37" t="s">
        <v>3229</v>
      </c>
      <c r="F37" t="b">
        <v>1</v>
      </c>
      <c r="G37" t="s">
        <v>3246</v>
      </c>
      <c r="H37" t="e">
        <f>IF('Endpoints for Terrestrial'!Q21=0,NA(),'Endpoints for Terrestrial'!Q21)</f>
        <v>#N/A</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1E26-7ADE-4034-A10D-474F3C71B3DC}">
  <sheetPr codeName="Sheet14"/>
  <dimension ref="A1:I104"/>
  <sheetViews>
    <sheetView workbookViewId="0">
      <selection activeCell="C6" sqref="C6"/>
    </sheetView>
  </sheetViews>
  <sheetFormatPr defaultRowHeight="14.4" x14ac:dyDescent="0.55000000000000004"/>
  <cols>
    <col min="1" max="1" width="13.26171875" customWidth="1"/>
    <col min="3" max="3" width="14.41796875" customWidth="1"/>
    <col min="4" max="4" width="40.578125" customWidth="1"/>
    <col min="9" max="9" width="8.578125" style="15"/>
  </cols>
  <sheetData>
    <row r="1" spans="1:9" x14ac:dyDescent="0.55000000000000004">
      <c r="A1" s="13" t="s">
        <v>53</v>
      </c>
      <c r="C1" s="19" t="s">
        <v>54</v>
      </c>
      <c r="D1" s="4" t="s">
        <v>55</v>
      </c>
      <c r="G1" s="15"/>
      <c r="I1"/>
    </row>
    <row r="2" spans="1:9" x14ac:dyDescent="0.55000000000000004">
      <c r="A2" s="14" t="s">
        <v>50</v>
      </c>
      <c r="D2" s="4" t="s">
        <v>58</v>
      </c>
      <c r="G2" s="15"/>
      <c r="I2"/>
    </row>
    <row r="3" spans="1:9" x14ac:dyDescent="0.55000000000000004">
      <c r="A3" s="14" t="s">
        <v>57</v>
      </c>
      <c r="D3" s="4" t="s">
        <v>59</v>
      </c>
      <c r="G3" s="15"/>
      <c r="I3"/>
    </row>
    <row r="4" spans="1:9" x14ac:dyDescent="0.55000000000000004">
      <c r="A4" s="14" t="s">
        <v>60</v>
      </c>
      <c r="D4" s="16" t="s">
        <v>61</v>
      </c>
      <c r="G4" s="15"/>
      <c r="I4"/>
    </row>
    <row r="5" spans="1:9" x14ac:dyDescent="0.55000000000000004">
      <c r="D5" s="16" t="s">
        <v>62</v>
      </c>
      <c r="G5" s="15"/>
      <c r="I5"/>
    </row>
    <row r="6" spans="1:9" x14ac:dyDescent="0.55000000000000004">
      <c r="D6" s="16" t="s">
        <v>63</v>
      </c>
      <c r="G6" s="15"/>
      <c r="I6"/>
    </row>
    <row r="7" spans="1:9" x14ac:dyDescent="0.55000000000000004">
      <c r="D7" s="16" t="s">
        <v>64</v>
      </c>
      <c r="G7" s="15"/>
      <c r="I7"/>
    </row>
    <row r="8" spans="1:9" x14ac:dyDescent="0.55000000000000004">
      <c r="D8" s="16" t="s">
        <v>18</v>
      </c>
      <c r="G8" s="15"/>
      <c r="I8"/>
    </row>
    <row r="9" spans="1:9" x14ac:dyDescent="0.55000000000000004">
      <c r="D9" s="16" t="s">
        <v>65</v>
      </c>
      <c r="G9" s="15"/>
      <c r="I9"/>
    </row>
    <row r="10" spans="1:9" x14ac:dyDescent="0.55000000000000004">
      <c r="D10" s="16" t="s">
        <v>68</v>
      </c>
      <c r="G10" s="15"/>
      <c r="I10"/>
    </row>
    <row r="11" spans="1:9" x14ac:dyDescent="0.55000000000000004">
      <c r="D11" s="16" t="s">
        <v>70</v>
      </c>
      <c r="G11" s="15"/>
      <c r="I11"/>
    </row>
    <row r="12" spans="1:9" x14ac:dyDescent="0.55000000000000004">
      <c r="D12" s="16" t="s">
        <v>71</v>
      </c>
    </row>
    <row r="13" spans="1:9" x14ac:dyDescent="0.55000000000000004">
      <c r="D13" s="16" t="s">
        <v>72</v>
      </c>
    </row>
    <row r="14" spans="1:9" x14ac:dyDescent="0.55000000000000004">
      <c r="D14" s="16" t="s">
        <v>73</v>
      </c>
    </row>
    <row r="15" spans="1:9" x14ac:dyDescent="0.55000000000000004">
      <c r="D15" s="16" t="s">
        <v>74</v>
      </c>
    </row>
    <row r="16" spans="1:9" x14ac:dyDescent="0.55000000000000004">
      <c r="D16" s="16" t="s">
        <v>76</v>
      </c>
    </row>
    <row r="17" spans="4:4" x14ac:dyDescent="0.55000000000000004">
      <c r="D17" s="16" t="s">
        <v>78</v>
      </c>
    </row>
    <row r="18" spans="4:4" x14ac:dyDescent="0.55000000000000004">
      <c r="D18" s="16" t="s">
        <v>79</v>
      </c>
    </row>
    <row r="19" spans="4:4" x14ac:dyDescent="0.55000000000000004">
      <c r="D19" s="16" t="s">
        <v>81</v>
      </c>
    </row>
    <row r="20" spans="4:4" x14ac:dyDescent="0.55000000000000004">
      <c r="D20" s="16" t="s">
        <v>83</v>
      </c>
    </row>
    <row r="21" spans="4:4" x14ac:dyDescent="0.55000000000000004">
      <c r="D21" s="16" t="s">
        <v>84</v>
      </c>
    </row>
    <row r="22" spans="4:4" x14ac:dyDescent="0.55000000000000004">
      <c r="D22" s="16" t="s">
        <v>86</v>
      </c>
    </row>
    <row r="23" spans="4:4" x14ac:dyDescent="0.55000000000000004">
      <c r="D23" s="16" t="s">
        <v>87</v>
      </c>
    </row>
    <row r="24" spans="4:4" x14ac:dyDescent="0.55000000000000004">
      <c r="D24" s="16" t="s">
        <v>88</v>
      </c>
    </row>
    <row r="25" spans="4:4" x14ac:dyDescent="0.55000000000000004">
      <c r="D25" s="16" t="s">
        <v>89</v>
      </c>
    </row>
    <row r="26" spans="4:4" x14ac:dyDescent="0.55000000000000004">
      <c r="D26" s="16" t="s">
        <v>17</v>
      </c>
    </row>
    <row r="27" spans="4:4" x14ac:dyDescent="0.55000000000000004">
      <c r="D27" s="16" t="s">
        <v>90</v>
      </c>
    </row>
    <row r="28" spans="4:4" x14ac:dyDescent="0.55000000000000004">
      <c r="D28" s="16" t="s">
        <v>91</v>
      </c>
    </row>
    <row r="29" spans="4:4" x14ac:dyDescent="0.55000000000000004">
      <c r="D29" s="16" t="s">
        <v>92</v>
      </c>
    </row>
    <row r="30" spans="4:4" x14ac:dyDescent="0.55000000000000004">
      <c r="D30" s="16" t="s">
        <v>93</v>
      </c>
    </row>
    <row r="31" spans="4:4" x14ac:dyDescent="0.55000000000000004">
      <c r="D31" s="16" t="s">
        <v>94</v>
      </c>
    </row>
    <row r="32" spans="4:4" x14ac:dyDescent="0.55000000000000004">
      <c r="D32" s="16" t="s">
        <v>95</v>
      </c>
    </row>
    <row r="33" spans="4:4" x14ac:dyDescent="0.55000000000000004">
      <c r="D33" s="16" t="s">
        <v>20</v>
      </c>
    </row>
    <row r="34" spans="4:4" x14ac:dyDescent="0.55000000000000004">
      <c r="D34" s="16" t="s">
        <v>102</v>
      </c>
    </row>
    <row r="35" spans="4:4" x14ac:dyDescent="0.55000000000000004">
      <c r="D35" s="16" t="s">
        <v>108</v>
      </c>
    </row>
    <row r="36" spans="4:4" x14ac:dyDescent="0.55000000000000004">
      <c r="D36" s="16" t="s">
        <v>208</v>
      </c>
    </row>
    <row r="37" spans="4:4" x14ac:dyDescent="0.55000000000000004">
      <c r="D37" s="16" t="s">
        <v>85</v>
      </c>
    </row>
    <row r="38" spans="4:4" x14ac:dyDescent="0.55000000000000004">
      <c r="D38" s="16" t="s">
        <v>210</v>
      </c>
    </row>
    <row r="39" spans="4:4" x14ac:dyDescent="0.55000000000000004">
      <c r="D39" s="16" t="s">
        <v>112</v>
      </c>
    </row>
    <row r="40" spans="4:4" x14ac:dyDescent="0.55000000000000004">
      <c r="D40" s="16" t="s">
        <v>214</v>
      </c>
    </row>
    <row r="41" spans="4:4" x14ac:dyDescent="0.55000000000000004">
      <c r="D41" s="16" t="s">
        <v>113</v>
      </c>
    </row>
    <row r="42" spans="4:4" x14ac:dyDescent="0.55000000000000004">
      <c r="D42" s="16" t="s">
        <v>114</v>
      </c>
    </row>
    <row r="43" spans="4:4" x14ac:dyDescent="0.55000000000000004">
      <c r="D43" s="16" t="s">
        <v>115</v>
      </c>
    </row>
    <row r="44" spans="4:4" x14ac:dyDescent="0.55000000000000004">
      <c r="D44" s="16" t="s">
        <v>116</v>
      </c>
    </row>
    <row r="45" spans="4:4" ht="14.5" customHeight="1" x14ac:dyDescent="0.55000000000000004">
      <c r="D45" s="16" t="s">
        <v>117</v>
      </c>
    </row>
    <row r="46" spans="4:4" x14ac:dyDescent="0.55000000000000004">
      <c r="D46" s="16" t="s">
        <v>118</v>
      </c>
    </row>
    <row r="47" spans="4:4" x14ac:dyDescent="0.55000000000000004">
      <c r="D47" s="16" t="s">
        <v>119</v>
      </c>
    </row>
    <row r="48" spans="4:4" x14ac:dyDescent="0.55000000000000004">
      <c r="D48" s="16" t="s">
        <v>120</v>
      </c>
    </row>
    <row r="49" spans="4:4" x14ac:dyDescent="0.55000000000000004">
      <c r="D49" s="16" t="s">
        <v>121</v>
      </c>
    </row>
    <row r="50" spans="4:4" x14ac:dyDescent="0.55000000000000004">
      <c r="D50" s="16" t="s">
        <v>122</v>
      </c>
    </row>
    <row r="51" spans="4:4" x14ac:dyDescent="0.55000000000000004">
      <c r="D51" s="16" t="s">
        <v>123</v>
      </c>
    </row>
    <row r="52" spans="4:4" x14ac:dyDescent="0.55000000000000004">
      <c r="D52" s="16" t="s">
        <v>124</v>
      </c>
    </row>
    <row r="53" spans="4:4" x14ac:dyDescent="0.55000000000000004">
      <c r="D53" s="16" t="s">
        <v>125</v>
      </c>
    </row>
    <row r="54" spans="4:4" x14ac:dyDescent="0.55000000000000004">
      <c r="D54" s="16" t="s">
        <v>126</v>
      </c>
    </row>
    <row r="55" spans="4:4" x14ac:dyDescent="0.55000000000000004">
      <c r="D55" s="16" t="s">
        <v>127</v>
      </c>
    </row>
    <row r="56" spans="4:4" x14ac:dyDescent="0.55000000000000004">
      <c r="D56" s="16" t="s">
        <v>128</v>
      </c>
    </row>
    <row r="57" spans="4:4" x14ac:dyDescent="0.55000000000000004">
      <c r="D57" s="16" t="s">
        <v>129</v>
      </c>
    </row>
    <row r="58" spans="4:4" x14ac:dyDescent="0.55000000000000004">
      <c r="D58" s="16" t="s">
        <v>130</v>
      </c>
    </row>
    <row r="59" spans="4:4" x14ac:dyDescent="0.55000000000000004">
      <c r="D59" s="16" t="s">
        <v>131</v>
      </c>
    </row>
    <row r="60" spans="4:4" x14ac:dyDescent="0.55000000000000004">
      <c r="D60" s="16" t="s">
        <v>132</v>
      </c>
    </row>
    <row r="61" spans="4:4" x14ac:dyDescent="0.55000000000000004">
      <c r="D61" s="16" t="s">
        <v>133</v>
      </c>
    </row>
    <row r="62" spans="4:4" x14ac:dyDescent="0.55000000000000004">
      <c r="D62" s="16" t="s">
        <v>134</v>
      </c>
    </row>
    <row r="63" spans="4:4" x14ac:dyDescent="0.55000000000000004">
      <c r="D63" s="16" t="s">
        <v>135</v>
      </c>
    </row>
    <row r="64" spans="4:4" x14ac:dyDescent="0.55000000000000004">
      <c r="D64" s="16" t="s">
        <v>136</v>
      </c>
    </row>
    <row r="65" spans="4:4" x14ac:dyDescent="0.55000000000000004">
      <c r="D65" s="16" t="s">
        <v>137</v>
      </c>
    </row>
    <row r="66" spans="4:4" x14ac:dyDescent="0.55000000000000004">
      <c r="D66" s="16" t="s">
        <v>138</v>
      </c>
    </row>
    <row r="67" spans="4:4" x14ac:dyDescent="0.55000000000000004">
      <c r="D67" s="16" t="s">
        <v>139</v>
      </c>
    </row>
    <row r="68" spans="4:4" x14ac:dyDescent="0.55000000000000004">
      <c r="D68" s="16" t="s">
        <v>140</v>
      </c>
    </row>
    <row r="69" spans="4:4" x14ac:dyDescent="0.55000000000000004">
      <c r="D69" s="16" t="s">
        <v>141</v>
      </c>
    </row>
    <row r="70" spans="4:4" x14ac:dyDescent="0.55000000000000004">
      <c r="D70" s="16" t="s">
        <v>142</v>
      </c>
    </row>
    <row r="71" spans="4:4" x14ac:dyDescent="0.55000000000000004">
      <c r="D71" s="16" t="s">
        <v>143</v>
      </c>
    </row>
    <row r="72" spans="4:4" x14ac:dyDescent="0.55000000000000004">
      <c r="D72" s="2" t="s">
        <v>832</v>
      </c>
    </row>
    <row r="73" spans="4:4" x14ac:dyDescent="0.55000000000000004">
      <c r="D73" s="2" t="s">
        <v>833</v>
      </c>
    </row>
    <row r="74" spans="4:4" x14ac:dyDescent="0.55000000000000004">
      <c r="D74" s="2" t="s">
        <v>834</v>
      </c>
    </row>
    <row r="75" spans="4:4" x14ac:dyDescent="0.55000000000000004">
      <c r="D75" s="2" t="s">
        <v>835</v>
      </c>
    </row>
    <row r="76" spans="4:4" x14ac:dyDescent="0.55000000000000004">
      <c r="D76" s="2" t="s">
        <v>836</v>
      </c>
    </row>
    <row r="77" spans="4:4" x14ac:dyDescent="0.55000000000000004">
      <c r="D77" s="2" t="s">
        <v>837</v>
      </c>
    </row>
    <row r="78" spans="4:4" x14ac:dyDescent="0.55000000000000004">
      <c r="D78" s="2" t="s">
        <v>838</v>
      </c>
    </row>
    <row r="79" spans="4:4" x14ac:dyDescent="0.55000000000000004">
      <c r="D79" s="2" t="s">
        <v>839</v>
      </c>
    </row>
    <row r="80" spans="4:4" x14ac:dyDescent="0.55000000000000004">
      <c r="D80" s="2" t="s">
        <v>840</v>
      </c>
    </row>
    <row r="81" spans="4:4" x14ac:dyDescent="0.55000000000000004">
      <c r="D81" s="2" t="s">
        <v>841</v>
      </c>
    </row>
    <row r="82" spans="4:4" x14ac:dyDescent="0.55000000000000004">
      <c r="D82" s="2" t="s">
        <v>842</v>
      </c>
    </row>
    <row r="83" spans="4:4" x14ac:dyDescent="0.55000000000000004">
      <c r="D83" s="2" t="s">
        <v>843</v>
      </c>
    </row>
    <row r="84" spans="4:4" x14ac:dyDescent="0.55000000000000004">
      <c r="D84" s="2" t="s">
        <v>844</v>
      </c>
    </row>
    <row r="85" spans="4:4" x14ac:dyDescent="0.55000000000000004">
      <c r="D85" s="2" t="s">
        <v>845</v>
      </c>
    </row>
    <row r="86" spans="4:4" x14ac:dyDescent="0.55000000000000004">
      <c r="D86" s="2" t="s">
        <v>846</v>
      </c>
    </row>
    <row r="87" spans="4:4" x14ac:dyDescent="0.55000000000000004">
      <c r="D87" s="2" t="s">
        <v>847</v>
      </c>
    </row>
    <row r="88" spans="4:4" x14ac:dyDescent="0.55000000000000004">
      <c r="D88" s="2" t="s">
        <v>848</v>
      </c>
    </row>
    <row r="89" spans="4:4" x14ac:dyDescent="0.55000000000000004">
      <c r="D89" s="2" t="s">
        <v>849</v>
      </c>
    </row>
    <row r="90" spans="4:4" x14ac:dyDescent="0.55000000000000004">
      <c r="D90" s="2" t="s">
        <v>850</v>
      </c>
    </row>
    <row r="91" spans="4:4" x14ac:dyDescent="0.55000000000000004">
      <c r="D91" s="2" t="s">
        <v>851</v>
      </c>
    </row>
    <row r="92" spans="4:4" x14ac:dyDescent="0.55000000000000004">
      <c r="D92" s="20" t="s">
        <v>163</v>
      </c>
    </row>
    <row r="93" spans="4:4" x14ac:dyDescent="0.55000000000000004">
      <c r="D93" s="2" t="s">
        <v>852</v>
      </c>
    </row>
    <row r="94" spans="4:4" x14ac:dyDescent="0.55000000000000004">
      <c r="D94" s="2" t="s">
        <v>853</v>
      </c>
    </row>
    <row r="95" spans="4:4" x14ac:dyDescent="0.55000000000000004">
      <c r="D95" s="2" t="s">
        <v>854</v>
      </c>
    </row>
    <row r="96" spans="4:4" x14ac:dyDescent="0.55000000000000004">
      <c r="D96" s="2" t="s">
        <v>855</v>
      </c>
    </row>
    <row r="97" spans="4:4" x14ac:dyDescent="0.55000000000000004">
      <c r="D97" s="2" t="s">
        <v>856</v>
      </c>
    </row>
    <row r="98" spans="4:4" x14ac:dyDescent="0.55000000000000004">
      <c r="D98" s="2" t="s">
        <v>857</v>
      </c>
    </row>
    <row r="99" spans="4:4" x14ac:dyDescent="0.55000000000000004">
      <c r="D99" s="2" t="s">
        <v>858</v>
      </c>
    </row>
    <row r="100" spans="4:4" x14ac:dyDescent="0.55000000000000004">
      <c r="D100" s="2" t="s">
        <v>859</v>
      </c>
    </row>
    <row r="101" spans="4:4" x14ac:dyDescent="0.55000000000000004">
      <c r="D101" s="2" t="s">
        <v>860</v>
      </c>
    </row>
    <row r="102" spans="4:4" x14ac:dyDescent="0.55000000000000004">
      <c r="D102" s="2" t="s">
        <v>861</v>
      </c>
    </row>
    <row r="103" spans="4:4" x14ac:dyDescent="0.55000000000000004">
      <c r="D103" s="2" t="s">
        <v>862</v>
      </c>
    </row>
    <row r="104" spans="4:4" x14ac:dyDescent="0.55000000000000004">
      <c r="D104" s="2" t="s">
        <v>863</v>
      </c>
    </row>
  </sheetData>
  <sheetProtection algorithmName="SHA-512" hashValue="3kU51M0muWi8T0KpDEzrpHSuvyGzIssPS+iicwmURH4dG1N4EQQyrxPkw5r3U4j1I/wb8fWhowIgtGSu1tMTQQ==" saltValue="VIL/gDAMHvwpDsqkpIRvCg==" spinCount="100000" sheet="1" objects="1" scenarios="1"/>
  <sortState xmlns:xlrd2="http://schemas.microsoft.com/office/spreadsheetml/2017/richdata2" ref="D4:D53">
    <sortCondition ref="D4:D5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A285479F4BDB438070C8BE76D415ED" ma:contentTypeVersion="5" ma:contentTypeDescription="Create a new document." ma:contentTypeScope="" ma:versionID="695d16f4d7d26fb1e94e387b22fcca17">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0ff99760-48ab-417a-8113-ee4400350066" targetNamespace="http://schemas.microsoft.com/office/2006/metadata/properties" ma:root="true" ma:fieldsID="0bc5c06afea24476ddf13c3174715b07" ns1:_="" ns2:_="" ns3:_="" ns4:_="" ns5:_="">
    <xsd:import namespace="http://schemas.microsoft.com/sharepoint/v3"/>
    <xsd:import namespace="4ffa91fb-a0ff-4ac5-b2db-65c790d184a4"/>
    <xsd:import namespace="http://schemas.microsoft.com/sharepoint.v3"/>
    <xsd:import namespace="http://schemas.microsoft.com/sharepoint/v3/fields"/>
    <xsd:import namespace="0ff99760-48ab-417a-8113-ee4400350066"/>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cc6e7a77-4bc8-4382-9b51-ef464a9664fa}" ma:internalName="TaxCatchAllLabel" ma:readOnly="true" ma:showField="CatchAllDataLabel" ma:web="2bd85e51-c869-4cda-8389-6b6bc1464caf">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cc6e7a77-4bc8-4382-9b51-ef464a9664fa}" ma:internalName="TaxCatchAll" ma:showField="CatchAllData" ma:web="2bd85e51-c869-4cda-8389-6b6bc1464ca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f99760-48ab-417a-8113-ee4400350066"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2025-06-16T18:04:48+00:00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documentManagement>
</p:properties>
</file>

<file path=customXml/itemProps1.xml><?xml version="1.0" encoding="utf-8"?>
<ds:datastoreItem xmlns:ds="http://schemas.openxmlformats.org/officeDocument/2006/customXml" ds:itemID="{66D99D5E-0289-4DA7-955C-199163BF3E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0ff99760-48ab-417a-8113-ee4400350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E259D0-F9D6-4C3A-B334-3302A0E4A2F0}">
  <ds:schemaRefs>
    <ds:schemaRef ds:uri="Microsoft.SharePoint.Taxonomy.ContentTypeSync"/>
  </ds:schemaRefs>
</ds:datastoreItem>
</file>

<file path=customXml/itemProps3.xml><?xml version="1.0" encoding="utf-8"?>
<ds:datastoreItem xmlns:ds="http://schemas.openxmlformats.org/officeDocument/2006/customXml" ds:itemID="{7ED9CA28-39E8-464B-A1F3-2EE76C93F3C5}">
  <ds:schemaRefs>
    <ds:schemaRef ds:uri="http://schemas.microsoft.com/sharepoint/v3/contenttype/forms"/>
  </ds:schemaRefs>
</ds:datastoreItem>
</file>

<file path=customXml/itemProps4.xml><?xml version="1.0" encoding="utf-8"?>
<ds:datastoreItem xmlns:ds="http://schemas.openxmlformats.org/officeDocument/2006/customXml" ds:itemID="{A4F047AA-A350-4EF0-B2B5-65077875A86A}">
  <ds:schemaRefs>
    <ds:schemaRef ds:uri="4ffa91fb-a0ff-4ac5-b2db-65c790d184a4"/>
    <ds:schemaRef ds:uri="http://purl.org/dc/terms/"/>
    <ds:schemaRef ds:uri="http://schemas.microsoft.com/sharepoint/v3/fields"/>
    <ds:schemaRef ds:uri="http://schemas.microsoft.com/sharepoint.v3"/>
    <ds:schemaRef ds:uri="http://schemas.openxmlformats.org/package/2006/metadata/core-properties"/>
    <ds:schemaRef ds:uri="http://purl.org/dc/elements/1.1/"/>
    <ds:schemaRef ds:uri="http://schemas.microsoft.com/office/2006/documentManagement/types"/>
    <ds:schemaRef ds:uri="0ff99760-48ab-417a-8113-ee4400350066"/>
    <ds:schemaRef ds:uri="http://purl.org/dc/dcmitype/"/>
    <ds:schemaRef ds:uri="http://schemas.microsoft.com/office/2006/metadata/properties"/>
    <ds:schemaRef ds:uri="http://schemas.microsoft.com/office/infopath/2007/PartnerControls"/>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Endpoints for Plants &amp; Aquatics</vt:lpstr>
      <vt:lpstr>Endpoints for Terrestrial</vt:lpstr>
      <vt:lpstr>USE SUMMARY TABLE</vt:lpstr>
      <vt:lpstr>Physiochemical Data Entry</vt:lpstr>
      <vt:lpstr>Plant Residue Data Entry</vt:lpstr>
      <vt:lpstr>Lookup Tables For Tool</vt:lpstr>
      <vt:lpstr>summary_TPEZ</vt:lpstr>
      <vt:lpstr>summary_EPA Pond</vt:lpstr>
      <vt:lpstr>summary_WPEZ</vt:lpstr>
      <vt:lpstr>PWC scheme check</vt:lpstr>
      <vt:lpstr>test_out_xwalk</vt:lpstr>
      <vt:lpstr>PWC Output MetaData</vt:lpstr>
      <vt:lpstr>Endpoints to BeeREX</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Farruggia, Frank</dc:creator>
  <cp:keywords/>
  <dc:description/>
  <cp:lastModifiedBy>Farruggia, Frank</cp:lastModifiedBy>
  <cp:revision/>
  <dcterms:created xsi:type="dcterms:W3CDTF">2025-06-16T17:59:30Z</dcterms:created>
  <dcterms:modified xsi:type="dcterms:W3CDTF">2026-01-26T14:50:04Z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0x01010016A285479F4BDB438070C8BE76D415ED</vt:lpwstr>
  </property>
  <property fmtid="{D5CDD505-2E9C-101B-9397-08002B2CF9AE}" pid="3" name="TaxKeyword">
    <vt:lpwstr/>
  </property>
  <property fmtid="{D5CDD505-2E9C-101B-9397-08002B2CF9AE}" pid="4" name="Document_x0020_Type">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ies>
</file>